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" sheetId="1" r:id="rId4"/>
    <sheet state="visible" name="Ent" sheetId="2" r:id="rId5"/>
    <sheet state="visible" name="BOD" sheetId="3" r:id="rId6"/>
    <sheet state="visible" name="TSS" sheetId="4" r:id="rId7"/>
    <sheet state="visible" name="Chlor.a" sheetId="5" r:id="rId8"/>
    <sheet state="visible" name="Turbidity" sheetId="6" r:id="rId9"/>
    <sheet state="visible" name="All DIC raw data" sheetId="7" r:id="rId10"/>
    <sheet state="visible" name="DIC Temperatures" sheetId="8" r:id="rId11"/>
    <sheet state="visible" name="All TA raw data" sheetId="9" r:id="rId12"/>
    <sheet state="visible" name="TKN" sheetId="10" r:id="rId13"/>
    <sheet state="visible" name="NOx_PO4" sheetId="11" r:id="rId14"/>
  </sheets>
  <definedNames>
    <definedName hidden="1" localSheetId="0" name="_xlnm._FilterDatabase">SS!$A$1:$J$48</definedName>
    <definedName hidden="1" localSheetId="2" name="_xlnm._FilterDatabase">BOD!$A$1:$O$69</definedName>
    <definedName hidden="1" localSheetId="3" name="_xlnm._FilterDatabase">TSS!$A$1:$Q$60</definedName>
  </definedNames>
  <calcPr/>
  <extLst>
    <ext uri="GoogleSheetsCustomDataVersion2">
      <go:sheetsCustomData xmlns:go="http://customooxmlschemas.google.com/" r:id="rId15" roundtripDataChecksum="AJoy4xXnz9q55QHqscQOQcRSHLpgMqqJa0yG3sDeKW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46">
      <text>
        <t xml:space="preserve">This samples was wrong (187). The real one is 197. 
======</t>
      </text>
    </comment>
  </commentList>
</comments>
</file>

<file path=xl/sharedStrings.xml><?xml version="1.0" encoding="utf-8"?>
<sst xmlns="http://schemas.openxmlformats.org/spreadsheetml/2006/main" count="7920" uniqueCount="980">
  <si>
    <t>Sample ID</t>
  </si>
  <si>
    <t>Date collected</t>
  </si>
  <si>
    <t>Time collected</t>
  </si>
  <si>
    <t>Date analysis</t>
  </si>
  <si>
    <t>Start time</t>
  </si>
  <si>
    <t>End time</t>
  </si>
  <si>
    <t>Results ml/L</t>
  </si>
  <si>
    <t>QA Flag</t>
  </si>
  <si>
    <t>Analyst</t>
  </si>
  <si>
    <t>Notes</t>
  </si>
  <si>
    <t>SS_7</t>
  </si>
  <si>
    <t>&lt; 0.1</t>
  </si>
  <si>
    <t>A</t>
  </si>
  <si>
    <t>MR</t>
  </si>
  <si>
    <t>SS_124</t>
  </si>
  <si>
    <t>SS_111</t>
  </si>
  <si>
    <t>SS_20</t>
  </si>
  <si>
    <t>SS_85</t>
  </si>
  <si>
    <t>SS_72</t>
  </si>
  <si>
    <t>SS_98</t>
  </si>
  <si>
    <t>SS_59</t>
  </si>
  <si>
    <t>SS_150</t>
  </si>
  <si>
    <t>SS_33</t>
  </si>
  <si>
    <t>SS_163</t>
  </si>
  <si>
    <t>SS_46</t>
  </si>
  <si>
    <t>SS_137</t>
  </si>
  <si>
    <t>SS_176</t>
  </si>
  <si>
    <t>SS_293</t>
  </si>
  <si>
    <t>SS_215</t>
  </si>
  <si>
    <t>SS_189</t>
  </si>
  <si>
    <t>SS_280</t>
  </si>
  <si>
    <t>SS_241</t>
  </si>
  <si>
    <t>SS_228</t>
  </si>
  <si>
    <t>SS_267</t>
  </si>
  <si>
    <t>SS_306</t>
  </si>
  <si>
    <t>SS_202</t>
  </si>
  <si>
    <t>SS_345</t>
  </si>
  <si>
    <t>SS_254</t>
  </si>
  <si>
    <t>SS_319</t>
  </si>
  <si>
    <t>SS_332</t>
  </si>
  <si>
    <t>The holding time was exceeded by 1 hour. The sample took time to reach room temperature.</t>
  </si>
  <si>
    <t>SS_397</t>
  </si>
  <si>
    <t>The holding time was exceeded by 5 minutes. The sample took time to reach room temperature.</t>
  </si>
  <si>
    <t>SS_358</t>
  </si>
  <si>
    <t>SS_371</t>
  </si>
  <si>
    <t>SS_449</t>
  </si>
  <si>
    <t>98:32:00 AM</t>
  </si>
  <si>
    <t>SS_423</t>
  </si>
  <si>
    <t>SS_410</t>
  </si>
  <si>
    <t>SS_462</t>
  </si>
  <si>
    <t>SS_488</t>
  </si>
  <si>
    <t>SS_384</t>
  </si>
  <si>
    <t>SS_436</t>
  </si>
  <si>
    <t>SS_540</t>
  </si>
  <si>
    <t>SS_514</t>
  </si>
  <si>
    <t>SS_475</t>
  </si>
  <si>
    <t>SS_527</t>
  </si>
  <si>
    <t>SS_501</t>
  </si>
  <si>
    <t>SS_566</t>
  </si>
  <si>
    <t>SS_579</t>
  </si>
  <si>
    <t>SS_618</t>
  </si>
  <si>
    <t>SS_605</t>
  </si>
  <si>
    <t>SS_553</t>
  </si>
  <si>
    <t>Date Start</t>
  </si>
  <si>
    <t>Time start</t>
  </si>
  <si>
    <t>Temp.start (°C)</t>
  </si>
  <si>
    <t>Date End</t>
  </si>
  <si>
    <t>Time End</t>
  </si>
  <si>
    <t>Temp. end °C</t>
  </si>
  <si>
    <t>Large Positive Wells</t>
  </si>
  <si>
    <t>Small Positive Wells</t>
  </si>
  <si>
    <t>MPN</t>
  </si>
  <si>
    <t>MPN by 10 (Dilution factor)</t>
  </si>
  <si>
    <t>Serratia marcenses</t>
  </si>
  <si>
    <t>N/A</t>
  </si>
  <si>
    <t>&lt; 1</t>
  </si>
  <si>
    <t>Lot Verified</t>
  </si>
  <si>
    <t>Aerococcus viridans</t>
  </si>
  <si>
    <t>Enterococcus faecium</t>
  </si>
  <si>
    <t>Blank</t>
  </si>
  <si>
    <t>Ent_11</t>
  </si>
  <si>
    <t>CH/MR</t>
  </si>
  <si>
    <t>Ent_128</t>
  </si>
  <si>
    <t>Ent_115</t>
  </si>
  <si>
    <t>Ent_24</t>
  </si>
  <si>
    <t>Ent_89</t>
  </si>
  <si>
    <t>Ent_76</t>
  </si>
  <si>
    <t>Ent_102</t>
  </si>
  <si>
    <t>Ent_63</t>
  </si>
  <si>
    <t>Ent_50</t>
  </si>
  <si>
    <t>MR/MG</t>
  </si>
  <si>
    <t>Ent_154</t>
  </si>
  <si>
    <t>Ent_167</t>
  </si>
  <si>
    <t>Ent_141</t>
  </si>
  <si>
    <t>Ent_37</t>
  </si>
  <si>
    <t>Ent_180</t>
  </si>
  <si>
    <t>Ent_297</t>
  </si>
  <si>
    <t>Ent_219</t>
  </si>
  <si>
    <t>Ent_193</t>
  </si>
  <si>
    <t>Ent_284</t>
  </si>
  <si>
    <t>Ent_245</t>
  </si>
  <si>
    <t>Ent_232</t>
  </si>
  <si>
    <t>Ent_271</t>
  </si>
  <si>
    <t>Ent_316</t>
  </si>
  <si>
    <t>MH/MG</t>
  </si>
  <si>
    <t>Ent_206</t>
  </si>
  <si>
    <t>Ent_349</t>
  </si>
  <si>
    <t>Ent_258</t>
  </si>
  <si>
    <t>Ent_323</t>
  </si>
  <si>
    <t>Ent_336</t>
  </si>
  <si>
    <t>MG</t>
  </si>
  <si>
    <t>Ent_401</t>
  </si>
  <si>
    <t>Ent_362</t>
  </si>
  <si>
    <t>Samples incubated on the small oven at 41 Celsius</t>
  </si>
  <si>
    <t>Ent_375</t>
  </si>
  <si>
    <t>Ent_453</t>
  </si>
  <si>
    <t>MO</t>
  </si>
  <si>
    <t>Ent_427</t>
  </si>
  <si>
    <t>Ent_414</t>
  </si>
  <si>
    <t>Ent_466</t>
  </si>
  <si>
    <t>Ent_492</t>
  </si>
  <si>
    <t>Ent_388</t>
  </si>
  <si>
    <t>Ent_440</t>
  </si>
  <si>
    <t>Ent_544</t>
  </si>
  <si>
    <t>Ent_518</t>
  </si>
  <si>
    <t>Ent_479</t>
  </si>
  <si>
    <t>Ent_531</t>
  </si>
  <si>
    <t>Ent_505</t>
  </si>
  <si>
    <t>Ent_570</t>
  </si>
  <si>
    <t>Ent_583</t>
  </si>
  <si>
    <t>Ent_622</t>
  </si>
  <si>
    <t>Ent_609</t>
  </si>
  <si>
    <t>Ent_557</t>
  </si>
  <si>
    <t>Date/Initial DO</t>
  </si>
  <si>
    <t>Time Initial DO measure</t>
  </si>
  <si>
    <t>Initial DO  mg/L</t>
  </si>
  <si>
    <t>Initial Temperature</t>
  </si>
  <si>
    <t>Time Final DO</t>
  </si>
  <si>
    <t>Final DOr mg/L</t>
  </si>
  <si>
    <t>Final Temperature</t>
  </si>
  <si>
    <t>BOD in mg/L</t>
  </si>
  <si>
    <t>CALIBRATION</t>
  </si>
  <si>
    <t>MG/MR</t>
  </si>
  <si>
    <t>BOD_3+GGAn_surface</t>
  </si>
  <si>
    <t>BOD_3n_surface</t>
  </si>
  <si>
    <t>BOD_3_surface</t>
  </si>
  <si>
    <t>BOD_4_bottom</t>
  </si>
  <si>
    <t>BOD_120_surface</t>
  </si>
  <si>
    <t>BOD_121_bottom</t>
  </si>
  <si>
    <t>BOD_107_surface</t>
  </si>
  <si>
    <t>BOD_108_bottom</t>
  </si>
  <si>
    <t>BOD_16_surface</t>
  </si>
  <si>
    <t>BOD_17_bottom</t>
  </si>
  <si>
    <t>BOD_81_surface</t>
  </si>
  <si>
    <t>BOD_82_bottom</t>
  </si>
  <si>
    <t>BOD_68+GGAn_surface</t>
  </si>
  <si>
    <t>BOD_68n_surface</t>
  </si>
  <si>
    <t>BOD_68_surface</t>
  </si>
  <si>
    <t>BOD_69_bottom</t>
  </si>
  <si>
    <t>BOD_94_surface</t>
  </si>
  <si>
    <t>BOD_95_bottom</t>
  </si>
  <si>
    <t>BOD_55_surface</t>
  </si>
  <si>
    <t>BOD_56_bottom</t>
  </si>
  <si>
    <t>BOD_42_surface</t>
  </si>
  <si>
    <t>BOD_43_bottom</t>
  </si>
  <si>
    <t>BOD_146_surface</t>
  </si>
  <si>
    <t>BOD_147_bottom</t>
  </si>
  <si>
    <t>BOD_159+GGAn_surface</t>
  </si>
  <si>
    <t>BOD_159n_surface</t>
  </si>
  <si>
    <t>BOD_159_surface</t>
  </si>
  <si>
    <t>BOD_160_bottom</t>
  </si>
  <si>
    <t>BOD_133_surface</t>
  </si>
  <si>
    <t>BOD_134_bottom</t>
  </si>
  <si>
    <t>BOD_29_surface</t>
  </si>
  <si>
    <t>BOD_30__bottom</t>
  </si>
  <si>
    <t>BOD_172_surface</t>
  </si>
  <si>
    <t>BOD_173_bottom</t>
  </si>
  <si>
    <t>BOD_289_surface</t>
  </si>
  <si>
    <t>BOD_290_bottom</t>
  </si>
  <si>
    <t>BOD_212+GGAn_bottom</t>
  </si>
  <si>
    <t>BOD_212n_bottom</t>
  </si>
  <si>
    <t>BOD_212_bottom</t>
  </si>
  <si>
    <t>BOD_211_surface</t>
  </si>
  <si>
    <t>BOD_185_surface</t>
  </si>
  <si>
    <t>BOD_186_bottom</t>
  </si>
  <si>
    <t>BOD_276_surface</t>
  </si>
  <si>
    <t>BOD_277_bottom</t>
  </si>
  <si>
    <t>BOD_237_surface</t>
  </si>
  <si>
    <t>BOD_238_bottom</t>
  </si>
  <si>
    <t>BOD_224_surface</t>
  </si>
  <si>
    <t>BOD_225_bottom</t>
  </si>
  <si>
    <t>BOD_264+GGAn_bottom</t>
  </si>
  <si>
    <t>BOD_264n_bottom</t>
  </si>
  <si>
    <t>BOD_263_surface</t>
  </si>
  <si>
    <t>BOD_264_bottom</t>
  </si>
  <si>
    <t>BOD_302_surface</t>
  </si>
  <si>
    <t>BOD_303_bottom</t>
  </si>
  <si>
    <t>BOD_198_surface</t>
  </si>
  <si>
    <t>BOD_199_bottom</t>
  </si>
  <si>
    <t>BOD_341_surface</t>
  </si>
  <si>
    <t>BOD_342_bottom</t>
  </si>
  <si>
    <t>BOD_250_surface</t>
  </si>
  <si>
    <t>BOD_251_bottom</t>
  </si>
  <si>
    <t>BOD_315+GGAn_surface</t>
  </si>
  <si>
    <t>BOD_315n_surface</t>
  </si>
  <si>
    <t>BOD_315_surface</t>
  </si>
  <si>
    <t>BOD_316_bottom</t>
  </si>
  <si>
    <t>BOD_328_surface</t>
  </si>
  <si>
    <t>The holding time was exceeded by 3 hrs and 18 min. The sample took time to reach room temperature. Probems with the BOD</t>
  </si>
  <si>
    <t>BOD_329_bottom</t>
  </si>
  <si>
    <t>BOD_393_surface</t>
  </si>
  <si>
    <t>The holding time was exceeded by 2 hrs and 14 min. The sample took time to reach room temperature.</t>
  </si>
  <si>
    <t>BOD_394_bottom</t>
  </si>
  <si>
    <t>BOD_354_surface</t>
  </si>
  <si>
    <t>BOD_355_bottom</t>
  </si>
  <si>
    <t>BOD_367_surface</t>
  </si>
  <si>
    <t>BOD_368_bottom</t>
  </si>
  <si>
    <t>BOD_445+GGAn_surface</t>
  </si>
  <si>
    <t>Paddle in the probe dont' move. The Stirrer mixed the sample in the BOD bottle</t>
  </si>
  <si>
    <t>BOD_445n_surface</t>
  </si>
  <si>
    <t>BOD_445_surface</t>
  </si>
  <si>
    <t>BOD_446_bottom</t>
  </si>
  <si>
    <t>BOD_419_surface</t>
  </si>
  <si>
    <t>BOD_420_bottom</t>
  </si>
  <si>
    <t>BOD_406_surface</t>
  </si>
  <si>
    <t>BOD_407_bottom</t>
  </si>
  <si>
    <t>BOD_458_surface</t>
  </si>
  <si>
    <t>BOD_459_bottom</t>
  </si>
  <si>
    <t>BOD_484_surface</t>
  </si>
  <si>
    <t>BOD_485_bottom</t>
  </si>
  <si>
    <t>BOD_380+GGAn_surface</t>
  </si>
  <si>
    <t>BOD_380n_surface</t>
  </si>
  <si>
    <t>BOD_380_surface</t>
  </si>
  <si>
    <t>BOD_381_bottom</t>
  </si>
  <si>
    <t>BOD_432_surface</t>
  </si>
  <si>
    <t>MR/JC</t>
  </si>
  <si>
    <t>BOD_433_bottom</t>
  </si>
  <si>
    <t>BOD_536_surface</t>
  </si>
  <si>
    <t>BOD_537_bottom</t>
  </si>
  <si>
    <t>Hydrolab calibration</t>
  </si>
  <si>
    <t>The calibration with the hydrolab was only for the final DO</t>
  </si>
  <si>
    <t>BOD_510_surface</t>
  </si>
  <si>
    <t>BOD_511_bottom</t>
  </si>
  <si>
    <t>BOD_471_surface</t>
  </si>
  <si>
    <t>BOD_472_bottom</t>
  </si>
  <si>
    <t>BOD_523+GGAn_surface</t>
  </si>
  <si>
    <t>BOD_523n_surface</t>
  </si>
  <si>
    <t>BOD_523_surface</t>
  </si>
  <si>
    <t>BOD_524_bottom</t>
  </si>
  <si>
    <t>BOD_497_surface</t>
  </si>
  <si>
    <t>BOD_498_bottom</t>
  </si>
  <si>
    <t>BOD_562_surface</t>
  </si>
  <si>
    <t>BOD_563_bottom</t>
  </si>
  <si>
    <t>BOD_575_surface</t>
  </si>
  <si>
    <t>BOD_576_bottom</t>
  </si>
  <si>
    <t>BOD_614_surface</t>
  </si>
  <si>
    <t>BOD_615_bottom</t>
  </si>
  <si>
    <t>The Hydrolab was used for initial and final DO</t>
  </si>
  <si>
    <t>Start MT, End TAC, JM</t>
  </si>
  <si>
    <t>BOD_601+GGAn_surface</t>
  </si>
  <si>
    <t>BOD_601n_surface</t>
  </si>
  <si>
    <t>BOD_601_surface</t>
  </si>
  <si>
    <t>BOD_602_bottom</t>
  </si>
  <si>
    <t>BOD_549+GGAn_surface</t>
  </si>
  <si>
    <t>BOD_549n_surface</t>
  </si>
  <si>
    <t>BOD_549_surface</t>
  </si>
  <si>
    <t>BOD_550_bottom</t>
  </si>
  <si>
    <t>Cellulose weight (mg)</t>
  </si>
  <si>
    <t>Date  collected</t>
  </si>
  <si>
    <t>Date analyzed</t>
  </si>
  <si>
    <t>Oven time</t>
  </si>
  <si>
    <t>RTU initial weight (mg)</t>
  </si>
  <si>
    <t>Volume sample (L)</t>
  </si>
  <si>
    <t>Filter weight 1 (mg)</t>
  </si>
  <si>
    <t>Filter weight 2 (mg)</t>
  </si>
  <si>
    <t>Filter weight 3 (mg)</t>
  </si>
  <si>
    <t>Filter ID</t>
  </si>
  <si>
    <t>Result (mg/L)</t>
  </si>
  <si>
    <t>Note</t>
  </si>
  <si>
    <t>F0021145</t>
  </si>
  <si>
    <t>R</t>
  </si>
  <si>
    <t xml:space="preserve">Cellulose </t>
  </si>
  <si>
    <t>F0021265</t>
  </si>
  <si>
    <t>TSS_8</t>
  </si>
  <si>
    <t>F0021263</t>
  </si>
  <si>
    <t>TSS_125</t>
  </si>
  <si>
    <t>F0021160</t>
  </si>
  <si>
    <t>TSS_112</t>
  </si>
  <si>
    <t>F0021147</t>
  </si>
  <si>
    <t>TSS_21</t>
  </si>
  <si>
    <t>F0021268</t>
  </si>
  <si>
    <t>TSS_86</t>
  </si>
  <si>
    <t>F0021153</t>
  </si>
  <si>
    <t>TSS_73</t>
  </si>
  <si>
    <t>F0021158</t>
  </si>
  <si>
    <t>TSS_99</t>
  </si>
  <si>
    <t>F0021159</t>
  </si>
  <si>
    <t>TSS_60</t>
  </si>
  <si>
    <t>F0021155</t>
  </si>
  <si>
    <t>TSS_47</t>
  </si>
  <si>
    <t>F0021254</t>
  </si>
  <si>
    <t>TSS_151</t>
  </si>
  <si>
    <t>F0021255</t>
  </si>
  <si>
    <t>F0021260</t>
  </si>
  <si>
    <t>F0021469</t>
  </si>
  <si>
    <t>TSS_164</t>
  </si>
  <si>
    <t>TSS_138</t>
  </si>
  <si>
    <t>F0021264</t>
  </si>
  <si>
    <t>TSS_34</t>
  </si>
  <si>
    <t>F0021259</t>
  </si>
  <si>
    <t>TSS_177</t>
  </si>
  <si>
    <t>F0021415</t>
  </si>
  <si>
    <t>TSS_294</t>
  </si>
  <si>
    <t>F0021470</t>
  </si>
  <si>
    <t>TSS_216</t>
  </si>
  <si>
    <t>20:02 pm</t>
  </si>
  <si>
    <t>F0021410</t>
  </si>
  <si>
    <t>TSS_190</t>
  </si>
  <si>
    <t>F0021465</t>
  </si>
  <si>
    <t>TSS_281</t>
  </si>
  <si>
    <t>F0021408</t>
  </si>
  <si>
    <t>TSS_242</t>
  </si>
  <si>
    <t>F0021405</t>
  </si>
  <si>
    <t>TSS_229</t>
  </si>
  <si>
    <t>F0021414</t>
  </si>
  <si>
    <t>F0021416</t>
  </si>
  <si>
    <t>F0021411</t>
  </si>
  <si>
    <t>TSS_268</t>
  </si>
  <si>
    <t>F0021409</t>
  </si>
  <si>
    <t>TSS_307</t>
  </si>
  <si>
    <t>F0021247</t>
  </si>
  <si>
    <t>TSS_203</t>
  </si>
  <si>
    <t>F0021420</t>
  </si>
  <si>
    <t>TSS_346</t>
  </si>
  <si>
    <t>F0021250</t>
  </si>
  <si>
    <t>TSS_255</t>
  </si>
  <si>
    <t>F0021417</t>
  </si>
  <si>
    <t>TSS_320</t>
  </si>
  <si>
    <t>F0021423</t>
  </si>
  <si>
    <t>TSS_333</t>
  </si>
  <si>
    <t>F0021406</t>
  </si>
  <si>
    <t>The holding time was exceeded by 2 hrs. 20 min. The sample took time to reach room temperature.</t>
  </si>
  <si>
    <t>TSS_398</t>
  </si>
  <si>
    <t>F0021471</t>
  </si>
  <si>
    <t>The holding time was exceeded by 1 hrs. 25 min. The sample took time to reach room temperature.</t>
  </si>
  <si>
    <t>TSS_359</t>
  </si>
  <si>
    <t>F0021245</t>
  </si>
  <si>
    <t>TSS_372</t>
  </si>
  <si>
    <t>F0021249</t>
  </si>
  <si>
    <t>TSS_450</t>
  </si>
  <si>
    <t>F0021466</t>
  </si>
  <si>
    <t>TSS_424</t>
  </si>
  <si>
    <t>F0021246</t>
  </si>
  <si>
    <t>TSS_411</t>
  </si>
  <si>
    <t>H0015140</t>
  </si>
  <si>
    <t>TSS_463</t>
  </si>
  <si>
    <t>H0015095</t>
  </si>
  <si>
    <t>TSS_489</t>
  </si>
  <si>
    <t>H0015141</t>
  </si>
  <si>
    <t>TSS_385</t>
  </si>
  <si>
    <t>H0015094</t>
  </si>
  <si>
    <t>TSS_437</t>
  </si>
  <si>
    <t>H0015260</t>
  </si>
  <si>
    <t>TSS_541</t>
  </si>
  <si>
    <t>H0015211</t>
  </si>
  <si>
    <t>TSS_515</t>
  </si>
  <si>
    <t>H0015160</t>
  </si>
  <si>
    <t>TSS_476</t>
  </si>
  <si>
    <t>H0015155</t>
  </si>
  <si>
    <t>F0021418</t>
  </si>
  <si>
    <t>F0021412</t>
  </si>
  <si>
    <t>TSS_528</t>
  </si>
  <si>
    <t>H0015153</t>
  </si>
  <si>
    <t>TSS_502</t>
  </si>
  <si>
    <t>H0015148</t>
  </si>
  <si>
    <t>TSS_567</t>
  </si>
  <si>
    <t>H0015154</t>
  </si>
  <si>
    <t>TSS_619</t>
  </si>
  <si>
    <t>H0015143</t>
  </si>
  <si>
    <t>TSS_580</t>
  </si>
  <si>
    <t>H0015159</t>
  </si>
  <si>
    <t>TSS_606</t>
  </si>
  <si>
    <t>H0015138</t>
  </si>
  <si>
    <t>TSS_554</t>
  </si>
  <si>
    <t>H0015142</t>
  </si>
  <si>
    <t>Date Collected</t>
  </si>
  <si>
    <t>Time Collected</t>
  </si>
  <si>
    <t>Date Filtered</t>
  </si>
  <si>
    <t>Time Filtered</t>
  </si>
  <si>
    <t>Volume Filtered (mL)</t>
  </si>
  <si>
    <t>Date Extract</t>
  </si>
  <si>
    <t>Time Extract</t>
  </si>
  <si>
    <t>Volume Extract (mL)</t>
  </si>
  <si>
    <t>Cuvette Width (cm)</t>
  </si>
  <si>
    <t>664nm_b</t>
  </si>
  <si>
    <t>665nm_b</t>
  </si>
  <si>
    <t>750nm_b</t>
  </si>
  <si>
    <t>664nm_a</t>
  </si>
  <si>
    <t>665nm_a</t>
  </si>
  <si>
    <t>750nm_a</t>
  </si>
  <si>
    <t>Chl-a (µg/L)</t>
  </si>
  <si>
    <t>Chl_standard (243ug/L)</t>
  </si>
  <si>
    <t>Chl_a_5</t>
  </si>
  <si>
    <t>310 pm</t>
  </si>
  <si>
    <t>Chl_a_122</t>
  </si>
  <si>
    <t>Chl_a_109</t>
  </si>
  <si>
    <t>Chl_a_18</t>
  </si>
  <si>
    <t>Chl_a_83</t>
  </si>
  <si>
    <t>Chl_a_70</t>
  </si>
  <si>
    <t>Chl_a_96</t>
  </si>
  <si>
    <t>Chl_a_57</t>
  </si>
  <si>
    <t>Chl_a_44</t>
  </si>
  <si>
    <t>Chl_a_148</t>
  </si>
  <si>
    <t>Chl_a_161</t>
  </si>
  <si>
    <t>Chl_a_135</t>
  </si>
  <si>
    <t>Chl_a_31</t>
  </si>
  <si>
    <t>duplicado del 135</t>
  </si>
  <si>
    <t>Chl_a_174</t>
  </si>
  <si>
    <t>Chl_a_291</t>
  </si>
  <si>
    <t>Chl_a_213</t>
  </si>
  <si>
    <t>Chl_a_187</t>
  </si>
  <si>
    <t>Chl_a_278</t>
  </si>
  <si>
    <t>Chl_a_239</t>
  </si>
  <si>
    <t>Chl_a_226</t>
  </si>
  <si>
    <t>duplicado del 239</t>
  </si>
  <si>
    <t>Chl_a_265</t>
  </si>
  <si>
    <t>Chl_a_304</t>
  </si>
  <si>
    <t>Chl_a_200</t>
  </si>
  <si>
    <t>Chl_a_343</t>
  </si>
  <si>
    <t>Chl_a_252</t>
  </si>
  <si>
    <t>Chl_a_317</t>
  </si>
  <si>
    <t>Chl_standard (243 ug/L)</t>
  </si>
  <si>
    <t>Chl_a_330</t>
  </si>
  <si>
    <t>Chl_a_395</t>
  </si>
  <si>
    <t>Chl_a_356</t>
  </si>
  <si>
    <t>Chl_a_369</t>
  </si>
  <si>
    <t>Chl_a_447</t>
  </si>
  <si>
    <t>Chl_a_421</t>
  </si>
  <si>
    <t>Chl_a_408</t>
  </si>
  <si>
    <t>Chl_a_460</t>
  </si>
  <si>
    <t>Chl_a_486</t>
  </si>
  <si>
    <t>Chl_a_382</t>
  </si>
  <si>
    <t>Chl_a_434</t>
  </si>
  <si>
    <t>Chl_a_538</t>
  </si>
  <si>
    <t>Chl_standard (201 ug/L)</t>
  </si>
  <si>
    <t>Chl_a_512</t>
  </si>
  <si>
    <t>Chl_a_473</t>
  </si>
  <si>
    <t>Chl_a_525</t>
  </si>
  <si>
    <t>Chl_a_499</t>
  </si>
  <si>
    <t>Chl_a_564</t>
  </si>
  <si>
    <t>Chl_a_577</t>
  </si>
  <si>
    <t>Chl_a_616</t>
  </si>
  <si>
    <t>Chl_standard(22.6ug/L)</t>
  </si>
  <si>
    <t>Chl_a_603</t>
  </si>
  <si>
    <t>Chl_a_551</t>
  </si>
  <si>
    <t xml:space="preserve">Date Collected </t>
  </si>
  <si>
    <t xml:space="preserve">Time Collected </t>
  </si>
  <si>
    <t>Date Analyzed</t>
  </si>
  <si>
    <t>Time Analyzed</t>
  </si>
  <si>
    <t>NTU</t>
  </si>
  <si>
    <t>Turb_6</t>
  </si>
  <si>
    <t>Turb_123</t>
  </si>
  <si>
    <t>Turb_110</t>
  </si>
  <si>
    <t>Turb_19</t>
  </si>
  <si>
    <t>Turb_84</t>
  </si>
  <si>
    <t>Turb_71</t>
  </si>
  <si>
    <t>Turb_97</t>
  </si>
  <si>
    <t>Turb_58</t>
  </si>
  <si>
    <t>Turb_45</t>
  </si>
  <si>
    <t>Turb_149</t>
  </si>
  <si>
    <t>Turb_162</t>
  </si>
  <si>
    <t>Turb_136</t>
  </si>
  <si>
    <t>Turb_32</t>
  </si>
  <si>
    <t>Turb_175</t>
  </si>
  <si>
    <t>CH</t>
  </si>
  <si>
    <t>Turb_292</t>
  </si>
  <si>
    <t>Turb_214</t>
  </si>
  <si>
    <t>Turb_188</t>
  </si>
  <si>
    <t>Turb_279</t>
  </si>
  <si>
    <t>Turb_240</t>
  </si>
  <si>
    <t>Turb_227</t>
  </si>
  <si>
    <t>Turb_266</t>
  </si>
  <si>
    <t>Turb_305</t>
  </si>
  <si>
    <t>Turb_201</t>
  </si>
  <si>
    <t>Turb_344</t>
  </si>
  <si>
    <t>Turb_253</t>
  </si>
  <si>
    <t>Turb_318</t>
  </si>
  <si>
    <t>Turb_331</t>
  </si>
  <si>
    <t>Turb_396</t>
  </si>
  <si>
    <t>Turb_357</t>
  </si>
  <si>
    <t>Turb_370</t>
  </si>
  <si>
    <t>Turb_448</t>
  </si>
  <si>
    <t>Turb_422</t>
  </si>
  <si>
    <t>Turb_409</t>
  </si>
  <si>
    <t>Turb_461</t>
  </si>
  <si>
    <t>Turb_4350</t>
  </si>
  <si>
    <t>Turb_383</t>
  </si>
  <si>
    <t>Turb_4351</t>
  </si>
  <si>
    <t>Turb_539</t>
  </si>
  <si>
    <t>Turb_513</t>
  </si>
  <si>
    <t>Turb_474</t>
  </si>
  <si>
    <t>Turb_526</t>
  </si>
  <si>
    <t>Turb_500</t>
  </si>
  <si>
    <t>Turb_565</t>
  </si>
  <si>
    <t>Turb_578</t>
  </si>
  <si>
    <t>Turb_617</t>
  </si>
  <si>
    <t>Turb_604</t>
  </si>
  <si>
    <t>Turb_552</t>
  </si>
  <si>
    <t>Sample # In Batch</t>
  </si>
  <si>
    <t>Sample Name</t>
  </si>
  <si>
    <t>Port</t>
  </si>
  <si>
    <t>Volume (ml)</t>
  </si>
  <si>
    <t>Start Time</t>
  </si>
  <si>
    <t>Attempt #</t>
  </si>
  <si>
    <t>Cell Temp (C)</t>
  </si>
  <si>
    <t>H2O (‰)</t>
  </si>
  <si>
    <t>Initial Baseline (ppm)</t>
  </si>
  <si>
    <t>Final Baseline (ppm)</t>
  </si>
  <si>
    <t>Peak (ppm)</t>
  </si>
  <si>
    <t>Integration Time (sec)</t>
  </si>
  <si>
    <t>Area (net)</t>
  </si>
  <si>
    <t>Area (net avg)</t>
  </si>
  <si>
    <t>DIC (uM)</t>
  </si>
  <si>
    <t>QA</t>
  </si>
  <si>
    <t>Status</t>
  </si>
  <si>
    <t>Wait Btwn Repeat (s)</t>
  </si>
  <si>
    <t>Wait Btwn Sample (s)</t>
  </si>
  <si>
    <t>Flush Volume (ml)</t>
  </si>
  <si>
    <t>Pre-Acid Volume (ml)</t>
  </si>
  <si>
    <t>Acid Volume (ml)</t>
  </si>
  <si>
    <t>Injection Speed (sps)</t>
  </si>
  <si>
    <t>End Analysis - Criteria</t>
  </si>
  <si>
    <t>End Analysis - Value</t>
  </si>
  <si>
    <t>Precision</t>
  </si>
  <si>
    <t>Standard Curve</t>
  </si>
  <si>
    <t>Gas Flowrate</t>
  </si>
  <si>
    <t>0001S-1-1</t>
  </si>
  <si>
    <t>Single</t>
  </si>
  <si>
    <t>C (STD)</t>
  </si>
  <si>
    <t>Valid</t>
  </si>
  <si>
    <t>Deviation</t>
  </si>
  <si>
    <t>0.00100+0.00000</t>
  </si>
  <si>
    <t>Linear Fit</t>
  </si>
  <si>
    <t>0002S-1-1</t>
  </si>
  <si>
    <t>0003S-1-1</t>
  </si>
  <si>
    <t>0004S-1-1</t>
  </si>
  <si>
    <t>0005S-1-1</t>
  </si>
  <si>
    <t>0006S-1-1</t>
  </si>
  <si>
    <t>0007S-1-1</t>
  </si>
  <si>
    <t>0008S-1-1</t>
  </si>
  <si>
    <t>0009A-1-1</t>
  </si>
  <si>
    <t>1A</t>
  </si>
  <si>
    <t>CRM_213_0553</t>
  </si>
  <si>
    <t>Excluded</t>
  </si>
  <si>
    <t>0009A-1-2</t>
  </si>
  <si>
    <t>0009A-1-3</t>
  </si>
  <si>
    <t>0009A-1-4</t>
  </si>
  <si>
    <t>0009B-1-1</t>
  </si>
  <si>
    <t>1B</t>
  </si>
  <si>
    <t>0009B-1-2</t>
  </si>
  <si>
    <t>0009C-1-1</t>
  </si>
  <si>
    <t>1C</t>
  </si>
  <si>
    <t>0009C-1-2</t>
  </si>
  <si>
    <t>0010S-1-1</t>
  </si>
  <si>
    <t>D</t>
  </si>
  <si>
    <t>0010S-1-2</t>
  </si>
  <si>
    <t>0010S-1-3</t>
  </si>
  <si>
    <t>0011S-1-1</t>
  </si>
  <si>
    <t>E</t>
  </si>
  <si>
    <t>0011S-1-2</t>
  </si>
  <si>
    <t>0012S-1-1</t>
  </si>
  <si>
    <t>F</t>
  </si>
  <si>
    <t>0012S-1-2</t>
  </si>
  <si>
    <t>0012S-1-3</t>
  </si>
  <si>
    <t>0013S-1-1</t>
  </si>
  <si>
    <t>G</t>
  </si>
  <si>
    <t>0013S-1-2</t>
  </si>
  <si>
    <t>0013S-1-3</t>
  </si>
  <si>
    <t>0014S-1-1</t>
  </si>
  <si>
    <t>H</t>
  </si>
  <si>
    <t>0014S-1-2</t>
  </si>
  <si>
    <t>0015S-1-1</t>
  </si>
  <si>
    <t>I</t>
  </si>
  <si>
    <t>0015S-1-2</t>
  </si>
  <si>
    <t>0016S-1-1</t>
  </si>
  <si>
    <t>J</t>
  </si>
  <si>
    <t>0016S-1-2</t>
  </si>
  <si>
    <t>0016S-1-3</t>
  </si>
  <si>
    <t>0017S-1-1</t>
  </si>
  <si>
    <t>K</t>
  </si>
  <si>
    <t>0017S-1-2</t>
  </si>
  <si>
    <t>0018A-1-1</t>
  </si>
  <si>
    <t>0018A-1-2</t>
  </si>
  <si>
    <t>0018B-1-1</t>
  </si>
  <si>
    <t>0018B-1-2</t>
  </si>
  <si>
    <t>0018C-1-1</t>
  </si>
  <si>
    <t>0018C-1-2</t>
  </si>
  <si>
    <t>0019S-1-1</t>
  </si>
  <si>
    <t>0019S-1-2</t>
  </si>
  <si>
    <t>0020S-1-1</t>
  </si>
  <si>
    <t>0020S-1-2</t>
  </si>
  <si>
    <t>0021S-1-1</t>
  </si>
  <si>
    <t>0021S-1-2</t>
  </si>
  <si>
    <t>NO VALID, the samples were repeated in the same port</t>
  </si>
  <si>
    <t>0021S-1-3</t>
  </si>
  <si>
    <t>0021S-1-4</t>
  </si>
  <si>
    <t>0022S-1-1</t>
  </si>
  <si>
    <t>Failed</t>
  </si>
  <si>
    <t>0022S-1-2</t>
  </si>
  <si>
    <t>0022S-1-3</t>
  </si>
  <si>
    <t>0022S-1-4</t>
  </si>
  <si>
    <t>0022S-1-5</t>
  </si>
  <si>
    <t>BL Diff</t>
  </si>
  <si>
    <t>0022S-2-1</t>
  </si>
  <si>
    <t>0022S-2-2</t>
  </si>
  <si>
    <t>0022S-2-3</t>
  </si>
  <si>
    <t>0022S-2-4</t>
  </si>
  <si>
    <t>0022S-2-5</t>
  </si>
  <si>
    <t>0023S-1-1</t>
  </si>
  <si>
    <t>Not Used</t>
  </si>
  <si>
    <t>0023S-1-2</t>
  </si>
  <si>
    <t>0023S-1-3</t>
  </si>
  <si>
    <t>0023S-1-4</t>
  </si>
  <si>
    <t>Halted</t>
  </si>
  <si>
    <t>0023S-1-5</t>
  </si>
  <si>
    <t>0023S-1-6</t>
  </si>
  <si>
    <t>0023S-1-7</t>
  </si>
  <si>
    <t>0024S-1-1</t>
  </si>
  <si>
    <t>0024S-1-2</t>
  </si>
  <si>
    <t>0025S-1-1</t>
  </si>
  <si>
    <t>0025S-1-2</t>
  </si>
  <si>
    <t>0025S-1-3</t>
  </si>
  <si>
    <t>0026S-1-1</t>
  </si>
  <si>
    <t>0026S-1-2</t>
  </si>
  <si>
    <t>0027A-1-1</t>
  </si>
  <si>
    <t>0027A-1-2</t>
  </si>
  <si>
    <t>0027B-1-1</t>
  </si>
  <si>
    <t>0027B-1-2</t>
  </si>
  <si>
    <t>0027C-1-1</t>
  </si>
  <si>
    <t>0027C-1-2</t>
  </si>
  <si>
    <t>0028S-1-1</t>
  </si>
  <si>
    <t>0028S-1-2</t>
  </si>
  <si>
    <t>0028S-1-3</t>
  </si>
  <si>
    <t>0029S-1-1</t>
  </si>
  <si>
    <t>0029S-1-2</t>
  </si>
  <si>
    <t>0029S-1-3</t>
  </si>
  <si>
    <t>0029S-1-4</t>
  </si>
  <si>
    <t>0029S-1-5</t>
  </si>
  <si>
    <t>0030S-1-1</t>
  </si>
  <si>
    <t>Samples repetead because failed before. Valid samples.</t>
  </si>
  <si>
    <t>0030S-1-2</t>
  </si>
  <si>
    <t>0031S-1-1</t>
  </si>
  <si>
    <t>0031S-1-2</t>
  </si>
  <si>
    <t>0031S-1-3</t>
  </si>
  <si>
    <t>0032S-1-1</t>
  </si>
  <si>
    <t>0032S-1-2</t>
  </si>
  <si>
    <t>0032S-1-3</t>
  </si>
  <si>
    <t>0033S-1-1</t>
  </si>
  <si>
    <t>0033S-1-2</t>
  </si>
  <si>
    <t>0034S-1-1</t>
  </si>
  <si>
    <t>0034S-1-2</t>
  </si>
  <si>
    <t>0034S-1-3</t>
  </si>
  <si>
    <t>0034S-1-4</t>
  </si>
  <si>
    <t>0034S-1-5</t>
  </si>
  <si>
    <t>0035S-1-1</t>
  </si>
  <si>
    <t>0035S-1-2</t>
  </si>
  <si>
    <t>0036A-1-1</t>
  </si>
  <si>
    <t>0036A-1-2</t>
  </si>
  <si>
    <t>0036A-1-3</t>
  </si>
  <si>
    <t>0036A-1-4</t>
  </si>
  <si>
    <t>0036B-1-1</t>
  </si>
  <si>
    <t>0036B-1-2</t>
  </si>
  <si>
    <t>0036C-1-1</t>
  </si>
  <si>
    <t>0036C-1-2</t>
  </si>
  <si>
    <t>0036C-1-3</t>
  </si>
  <si>
    <t>NaHCO3</t>
  </si>
  <si>
    <t>0009S-1-1</t>
  </si>
  <si>
    <t>0012A-1-1</t>
  </si>
  <si>
    <t>CRM_213_0776</t>
  </si>
  <si>
    <t>0012A-1-2</t>
  </si>
  <si>
    <t>0012A-1-3</t>
  </si>
  <si>
    <t>0012B-1-1</t>
  </si>
  <si>
    <t>0012B-1-2</t>
  </si>
  <si>
    <t>0012C-1-1</t>
  </si>
  <si>
    <t>0012C-1-2</t>
  </si>
  <si>
    <t>0017S-1-3</t>
  </si>
  <si>
    <t>0017S-1-4</t>
  </si>
  <si>
    <t>0017S-1-5</t>
  </si>
  <si>
    <t>0018S-1-1</t>
  </si>
  <si>
    <t>0018S-1-2</t>
  </si>
  <si>
    <t>0018S-1-3</t>
  </si>
  <si>
    <t>0020S-1-3</t>
  </si>
  <si>
    <t>0021A-1-1</t>
  </si>
  <si>
    <t>0021A-1-2</t>
  </si>
  <si>
    <t>0021B-1-1</t>
  </si>
  <si>
    <t>0021B-1-2</t>
  </si>
  <si>
    <t>0021B-1-3</t>
  </si>
  <si>
    <t>0021B-1-4</t>
  </si>
  <si>
    <t>0021C-1-1</t>
  </si>
  <si>
    <t>0021C-1-2</t>
  </si>
  <si>
    <t>0025S-1-4</t>
  </si>
  <si>
    <t>0025S-1-5</t>
  </si>
  <si>
    <t>0025S-2-1</t>
  </si>
  <si>
    <t>0025S-2-2</t>
  </si>
  <si>
    <t>0027S-1-1</t>
  </si>
  <si>
    <t>0027S-1-2</t>
  </si>
  <si>
    <t>0027S-1-3</t>
  </si>
  <si>
    <t>0030A-1-1</t>
  </si>
  <si>
    <t>0030A-1-2</t>
  </si>
  <si>
    <t>0030B-1-1</t>
  </si>
  <si>
    <t>0030B-1-2</t>
  </si>
  <si>
    <t>0030C-1-1</t>
  </si>
  <si>
    <t>0030C-1-2</t>
  </si>
  <si>
    <t>0030C-1-3</t>
  </si>
  <si>
    <t>0030C-1-4</t>
  </si>
  <si>
    <t>0033S-1-3</t>
  </si>
  <si>
    <t>0035S-1-3</t>
  </si>
  <si>
    <t>0035S-1-4</t>
  </si>
  <si>
    <t>0035S-1-5</t>
  </si>
  <si>
    <t>0035S-2-1</t>
  </si>
  <si>
    <t>0035S-2-2</t>
  </si>
  <si>
    <t>0035S-2-3</t>
  </si>
  <si>
    <t>0036S-1-1</t>
  </si>
  <si>
    <t>0037S-1-1</t>
  </si>
  <si>
    <t>0038S-1-1</t>
  </si>
  <si>
    <t>0011A-1-1</t>
  </si>
  <si>
    <t>CRM_213_0842</t>
  </si>
  <si>
    <t>0011A-1-2</t>
  </si>
  <si>
    <t>0011A-1-3</t>
  </si>
  <si>
    <t>0011A-1-4</t>
  </si>
  <si>
    <t>0011A-1-5</t>
  </si>
  <si>
    <t>0011B-1-1</t>
  </si>
  <si>
    <t>0011B-1-2</t>
  </si>
  <si>
    <t>0011C-1-1</t>
  </si>
  <si>
    <t>0011C-1-2</t>
  </si>
  <si>
    <t>0016S-1-4</t>
  </si>
  <si>
    <t>0016S-1-5</t>
  </si>
  <si>
    <t>0016S-2-1</t>
  </si>
  <si>
    <t>0016S-2-2</t>
  </si>
  <si>
    <t>0019S-1-3</t>
  </si>
  <si>
    <t>0019S-1-4</t>
  </si>
  <si>
    <t>0020A-1-1</t>
  </si>
  <si>
    <t>0020A-1-2</t>
  </si>
  <si>
    <t>0020B-1-1</t>
  </si>
  <si>
    <t>0020B-1-2</t>
  </si>
  <si>
    <t>0020C-1-1</t>
  </si>
  <si>
    <t>0020C-1-2</t>
  </si>
  <si>
    <t>0028S-1-4</t>
  </si>
  <si>
    <t>0028S-1-5</t>
  </si>
  <si>
    <t>0029A-1-1</t>
  </si>
  <si>
    <t>0029A-1-2</t>
  </si>
  <si>
    <t>0029A-1-3</t>
  </si>
  <si>
    <t>0029A-1-4</t>
  </si>
  <si>
    <t>0029A-1-5</t>
  </si>
  <si>
    <t>0029B-1-1</t>
  </si>
  <si>
    <t>0029B-1-2</t>
  </si>
  <si>
    <t>0029B-1-3</t>
  </si>
  <si>
    <t>0029B-1-4</t>
  </si>
  <si>
    <t>0029B-1-5</t>
  </si>
  <si>
    <t>0029C-1-1</t>
  </si>
  <si>
    <t>0029C-1-2</t>
  </si>
  <si>
    <t>0032S-1-4</t>
  </si>
  <si>
    <t>0033S-1-4</t>
  </si>
  <si>
    <t>0033S-1-5</t>
  </si>
  <si>
    <t>0034S-2-1</t>
  </si>
  <si>
    <t>0034S-2-2</t>
  </si>
  <si>
    <t>0036S-1-2</t>
  </si>
  <si>
    <t>0037S-1-2</t>
  </si>
  <si>
    <t>0037S-1-3</t>
  </si>
  <si>
    <t>0037S-1-4</t>
  </si>
  <si>
    <t>0037S-1-5</t>
  </si>
  <si>
    <t>0039S-1-1</t>
  </si>
  <si>
    <t>0040S-1-1</t>
  </si>
  <si>
    <t>0041S-1-1</t>
  </si>
  <si>
    <t>0042S-1-1</t>
  </si>
  <si>
    <t>0005A-1-1</t>
  </si>
  <si>
    <t>CRM_213_0903</t>
  </si>
  <si>
    <t>0005A-1-2</t>
  </si>
  <si>
    <t>0005A-1-3</t>
  </si>
  <si>
    <t>0005B-1-1</t>
  </si>
  <si>
    <t>0005B-1-2</t>
  </si>
  <si>
    <t>0005C-1-1</t>
  </si>
  <si>
    <t>0005C-1-2</t>
  </si>
  <si>
    <t>0006S-1-2</t>
  </si>
  <si>
    <t>0006S-1-3</t>
  </si>
  <si>
    <t>0006S-1-4</t>
  </si>
  <si>
    <t>0007S-1-2</t>
  </si>
  <si>
    <t>0008S-1-2</t>
  </si>
  <si>
    <t>0009S-1-2</t>
  </si>
  <si>
    <t>0011S-1-3</t>
  </si>
  <si>
    <t>0011S-1-4</t>
  </si>
  <si>
    <t>0011S-1-5</t>
  </si>
  <si>
    <t>0011S-2-1</t>
  </si>
  <si>
    <t>0011S-2-2</t>
  </si>
  <si>
    <t>0011S-2-3</t>
  </si>
  <si>
    <t>0013S-1-4</t>
  </si>
  <si>
    <t>0014A-1-1</t>
  </si>
  <si>
    <t>0014A-1-2</t>
  </si>
  <si>
    <t>0014B-1-1</t>
  </si>
  <si>
    <t>0014B-1-2</t>
  </si>
  <si>
    <t>0014B-1-3</t>
  </si>
  <si>
    <t>0014C-1-1</t>
  </si>
  <si>
    <t>0014C-1-2</t>
  </si>
  <si>
    <t>0014C-1-3</t>
  </si>
  <si>
    <t>0018S-1-4</t>
  </si>
  <si>
    <t>0019S-1-5</t>
  </si>
  <si>
    <t>0020S-1-4</t>
  </si>
  <si>
    <t>0020S-1-5</t>
  </si>
  <si>
    <t>0020S-2-1</t>
  </si>
  <si>
    <t>0020S-2-2</t>
  </si>
  <si>
    <t>0023A-1-1</t>
  </si>
  <si>
    <t>0023A-1-2</t>
  </si>
  <si>
    <t>0023A-1-3</t>
  </si>
  <si>
    <t>0023B-1-1</t>
  </si>
  <si>
    <t>0023B-1-2</t>
  </si>
  <si>
    <t>0023B-1-3</t>
  </si>
  <si>
    <t>0023C-1-1</t>
  </si>
  <si>
    <t>0023C-1-2</t>
  </si>
  <si>
    <t>0023C-1-3</t>
  </si>
  <si>
    <t>0023C-1-4</t>
  </si>
  <si>
    <t>0030S-1-3</t>
  </si>
  <si>
    <t>CRM_213_0965</t>
  </si>
  <si>
    <t>0010S-1-4</t>
  </si>
  <si>
    <t>0010S-1-5</t>
  </si>
  <si>
    <t>0012S-1-4</t>
  </si>
  <si>
    <t>0014S-1-3</t>
  </si>
  <si>
    <t>0014S-1-4</t>
  </si>
  <si>
    <t>0014S-1-5</t>
  </si>
  <si>
    <t>0014S-2-1</t>
  </si>
  <si>
    <t>0014S-2-2</t>
  </si>
  <si>
    <t>0014S-2-3</t>
  </si>
  <si>
    <t>0014S-2-4</t>
  </si>
  <si>
    <t>0014S-2-5</t>
  </si>
  <si>
    <t>0015A-1-1</t>
  </si>
  <si>
    <t>0015A-1-2</t>
  </si>
  <si>
    <t>0015A-1-3</t>
  </si>
  <si>
    <t>0015B-1-1</t>
  </si>
  <si>
    <t>0015B-1-2</t>
  </si>
  <si>
    <t>0015B-1-3</t>
  </si>
  <si>
    <t>0015B-1-4</t>
  </si>
  <si>
    <t>0015B-1-5</t>
  </si>
  <si>
    <t>0015B-2-1</t>
  </si>
  <si>
    <t>0015B-2-2</t>
  </si>
  <si>
    <t>0015C-1-1</t>
  </si>
  <si>
    <t>0015C-1-2</t>
  </si>
  <si>
    <t>Date</t>
  </si>
  <si>
    <t>Sample</t>
  </si>
  <si>
    <t>Temperature (C)</t>
  </si>
  <si>
    <t>not done</t>
  </si>
  <si>
    <t>Time</t>
  </si>
  <si>
    <t>Sample Volume (ml)</t>
  </si>
  <si>
    <t>HCl Concentration (M)</t>
  </si>
  <si>
    <t>Salinity</t>
  </si>
  <si>
    <t>Slope</t>
  </si>
  <si>
    <t>R^2</t>
  </si>
  <si>
    <t>End Volume (ml)</t>
  </si>
  <si>
    <t>Total Alkalinity (uM)</t>
  </si>
  <si>
    <t>Standard Deviation</t>
  </si>
  <si>
    <t>Density_kgL</t>
  </si>
  <si>
    <t>TA_umolkg</t>
  </si>
  <si>
    <t>TA_umolkg_corr</t>
  </si>
  <si>
    <t>User</t>
  </si>
  <si>
    <t>0001S-1</t>
  </si>
  <si>
    <t>Na2CO3</t>
  </si>
  <si>
    <t>&gt;30</t>
  </si>
  <si>
    <t>CPHR</t>
  </si>
  <si>
    <t>0001S-2</t>
  </si>
  <si>
    <t>0001S-3</t>
  </si>
  <si>
    <t>0002C-1</t>
  </si>
  <si>
    <t>HCl Calibration</t>
  </si>
  <si>
    <t>0002C-2</t>
  </si>
  <si>
    <t>0002C-3</t>
  </si>
  <si>
    <t>0003S-1</t>
  </si>
  <si>
    <t>0004S-1</t>
  </si>
  <si>
    <t>0005S-1</t>
  </si>
  <si>
    <t>0006S-1</t>
  </si>
  <si>
    <t>0007S-1</t>
  </si>
  <si>
    <t>0008S-1</t>
  </si>
  <si>
    <t>0009S-1</t>
  </si>
  <si>
    <t>0010S-1</t>
  </si>
  <si>
    <t>0011S-1</t>
  </si>
  <si>
    <t>0012S-1</t>
  </si>
  <si>
    <t>0013S-1</t>
  </si>
  <si>
    <t>0014S-1</t>
  </si>
  <si>
    <t>0015S-1</t>
  </si>
  <si>
    <t>0016S-1</t>
  </si>
  <si>
    <t>0017S-1</t>
  </si>
  <si>
    <t>0018S-1</t>
  </si>
  <si>
    <t>0019S-1</t>
  </si>
  <si>
    <t>0020S-1</t>
  </si>
  <si>
    <t>0021S-1</t>
  </si>
  <si>
    <t>0022S-1</t>
  </si>
  <si>
    <t>0023S-1</t>
  </si>
  <si>
    <t>0024S-1</t>
  </si>
  <si>
    <t>0025S-1</t>
  </si>
  <si>
    <t>CRM_2130553</t>
  </si>
  <si>
    <t>0002S-1</t>
  </si>
  <si>
    <t>0002S-2</t>
  </si>
  <si>
    <t>0002S-3</t>
  </si>
  <si>
    <t>0003S-2</t>
  </si>
  <si>
    <t>0026S-1</t>
  </si>
  <si>
    <t>0027S-1</t>
  </si>
  <si>
    <t>0028S-1</t>
  </si>
  <si>
    <t>excluded</t>
  </si>
  <si>
    <t>It was repeated without reason</t>
  </si>
  <si>
    <t>0029S-1</t>
  </si>
  <si>
    <t>0029S-2</t>
  </si>
  <si>
    <t>0029S-3</t>
  </si>
  <si>
    <t>0001S-4</t>
  </si>
  <si>
    <t>0001S-5</t>
  </si>
  <si>
    <t>0001S-6</t>
  </si>
  <si>
    <t>CRM_213-0776</t>
  </si>
  <si>
    <t>CRM_213_0370</t>
  </si>
  <si>
    <t>CRM_2130370</t>
  </si>
  <si>
    <t>Canceled</t>
  </si>
  <si>
    <t>CRM_213_0615</t>
  </si>
  <si>
    <t>CRM_213_0718</t>
  </si>
  <si>
    <t>0010S-2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</si>
  <si>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</si>
  <si>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</si>
  <si>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</si>
  <si>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</si>
  <si>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</si>
  <si>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</si>
  <si>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</si>
  <si>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2</t>
  </si>
  <si>
    <t>TKN_mg/L</t>
  </si>
  <si>
    <t>TKN_LOD</t>
  </si>
  <si>
    <t>Primer</t>
  </si>
  <si>
    <t>PRIM</t>
  </si>
  <si>
    <t>Drift</t>
  </si>
  <si>
    <t>DRIF</t>
  </si>
  <si>
    <t>CALB</t>
  </si>
  <si>
    <t>NULLCALB</t>
  </si>
  <si>
    <t>&lt;0.011</t>
  </si>
  <si>
    <t>Baseline</t>
  </si>
  <si>
    <t>BASL</t>
  </si>
  <si>
    <t>High</t>
  </si>
  <si>
    <t>HIGH</t>
  </si>
  <si>
    <t>Low</t>
  </si>
  <si>
    <t>LOW</t>
  </si>
  <si>
    <t>SAMP</t>
  </si>
  <si>
    <t>Blank Spike</t>
  </si>
  <si>
    <t>SPIK</t>
  </si>
  <si>
    <t>CRM [1.5 mg/L]</t>
  </si>
  <si>
    <t>QUAL</t>
  </si>
  <si>
    <t>439 spiked</t>
  </si>
  <si>
    <t>569 spiked</t>
  </si>
  <si>
    <t>582 spiked</t>
  </si>
  <si>
    <t>361 spiked</t>
  </si>
  <si>
    <r>
      <rPr>
        <rFont val="Arial"/>
        <color theme="1"/>
        <sz val="11.0"/>
      </rPr>
      <t xml:space="preserve">335 </t>
    </r>
    <r>
      <rPr>
        <rFont val="Arial"/>
        <color theme="1"/>
        <sz val="11.0"/>
      </rPr>
      <t>spiked</t>
    </r>
  </si>
  <si>
    <t>465 spiked</t>
  </si>
  <si>
    <t>348 spiked IW</t>
  </si>
  <si>
    <t>23 spiked IW</t>
  </si>
  <si>
    <t>270 spiked IW</t>
  </si>
  <si>
    <t>296 spiked CW</t>
  </si>
  <si>
    <t>244 spiked CW</t>
  </si>
  <si>
    <t>49 spiked CW</t>
  </si>
  <si>
    <t>Blank spiked</t>
  </si>
  <si>
    <t>End</t>
  </si>
  <si>
    <t>END</t>
  </si>
  <si>
    <t>Results 3</t>
  </si>
  <si>
    <t>NOx_mg/L</t>
  </si>
  <si>
    <t>PO4_mg/L</t>
  </si>
  <si>
    <t>NOx_LOD</t>
  </si>
  <si>
    <t>PO4_LOD</t>
  </si>
  <si>
    <t>Null-Cal.</t>
  </si>
  <si>
    <t>&lt;0.002</t>
  </si>
  <si>
    <t>CRM [0.15/0.03]</t>
  </si>
  <si>
    <t>CRM 4/30</t>
  </si>
  <si>
    <t>165 spiked</t>
  </si>
  <si>
    <t>178 spiked</t>
  </si>
  <si>
    <t>256 spiked</t>
  </si>
  <si>
    <t>&lt;0.003</t>
  </si>
  <si>
    <t>CRM 7/15 [0.15/0.03]</t>
  </si>
  <si>
    <t>425 spiked</t>
  </si>
  <si>
    <t>503 spiked</t>
  </si>
  <si>
    <t>438 spiked</t>
  </si>
  <si>
    <t>607 spiked</t>
  </si>
  <si>
    <t>620 spiked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</si>
</sst>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1">
    <numFmt numFmtId="164" formatCode="m&quot;/&quot;d&quot;/&quot;yy"/>
    <numFmt numFmtId="165" formatCode="h:mm:ss am/pm"/>
    <numFmt numFmtId="166" formatCode="h&quot;:&quot;mm&quot; &quot;AM/PM"/>
    <numFmt numFmtId="167" formatCode="00000"/>
    <numFmt numFmtId="168" formatCode="m/d/yy"/>
    <numFmt numFmtId="169" formatCode="#,##0.0"/>
    <numFmt numFmtId="170" formatCode="h:mm am/pm"/>
    <numFmt numFmtId="171" formatCode="0.0"/>
    <numFmt numFmtId="172" formatCode="#,##0.0000"/>
    <numFmt numFmtId="173" formatCode="00000.0"/>
    <numFmt numFmtId="174" formatCode="00000.00"/>
    <numFmt numFmtId="175" formatCode="0.0000"/>
    <numFmt numFmtId="176" formatCode="0.000"/>
    <numFmt numFmtId="177" formatCode="m/d/yyyy h:mm"/>
    <numFmt numFmtId="178" formatCode="m/d/yyyy\ h:mm:ss"/>
    <numFmt numFmtId="179" formatCode="m/d/yy h:mm"/>
    <numFmt numFmtId="180" formatCode="m/d/yy\ h:mm"/>
    <numFmt numFmtId="181" formatCode="0.000000"/>
    <numFmt numFmtId="182" formatCode="m/d/yyyy"/>
    <numFmt numFmtId="183" formatCode="m/d/yyyy h:mm:ss am/pm"/>
    <numFmt numFmtId="184" formatCode="m/d/yyyy\ h:mm:ss\ AM/PM"/>
  </numFmts>
  <fonts count="30">
    <font>
      <sz val="12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2.0"/>
      <color theme="1"/>
      <name val="Calibri"/>
    </font>
    <font>
      <sz val="11.0"/>
      <color theme="1"/>
      <name val="Calibri"/>
      <scheme val="minor"/>
    </font>
    <font>
      <color theme="1"/>
      <name val="Calibri"/>
    </font>
    <font>
      <b/>
      <sz val="12.0"/>
      <color theme="1"/>
      <name val="Calibri"/>
    </font>
    <font>
      <i/>
      <sz val="12.0"/>
      <color theme="1"/>
      <name val="Calibri"/>
    </font>
    <font/>
    <font>
      <sz val="12.0"/>
      <color rgb="FF000000"/>
      <name val="Calibri"/>
    </font>
    <font>
      <b/>
      <sz val="10.0"/>
      <color theme="1"/>
      <name val="Calibri"/>
    </font>
    <font>
      <b/>
      <sz val="10.0"/>
      <color rgb="FF000000"/>
      <name val="Calibri"/>
    </font>
    <font>
      <sz val="10.0"/>
      <color theme="1"/>
      <name val="Calibri"/>
    </font>
    <font>
      <sz val="10.0"/>
      <color rgb="FF000000"/>
      <name val="Calibri"/>
    </font>
    <font>
      <sz val="10.0"/>
      <color rgb="FF1F1F1F"/>
      <name val="Calibri"/>
    </font>
    <font>
      <sz val="9.0"/>
      <color theme="1"/>
      <name val="Calibri"/>
    </font>
    <font>
      <sz val="9.0"/>
      <color theme="1"/>
      <name val="Calibri"/>
      <scheme val="minor"/>
    </font>
    <font>
      <sz val="9.0"/>
      <color rgb="FF4285F4"/>
      <name val="Calibri"/>
    </font>
    <font>
      <sz val="9.0"/>
      <color rgb="FF000000"/>
      <name val="Times New Roman"/>
    </font>
    <font>
      <b/>
      <sz val="12.0"/>
      <color rgb="FF000000"/>
      <name val="Calibri"/>
    </font>
    <font>
      <sz val="9.0"/>
      <color rgb="FF1F1F1F"/>
      <name val="Arial"/>
    </font>
    <font>
      <b/>
      <sz val="11.0"/>
      <color rgb="FF000000"/>
      <name val="Calibri"/>
    </font>
    <font>
      <sz val="10.0"/>
      <color rgb="FF000000"/>
      <name val="&quot;Aptos Narrow&quot;"/>
    </font>
    <font>
      <sz val="10.0"/>
      <color rgb="FF000000"/>
      <name val="Arial"/>
    </font>
    <font>
      <color theme="1"/>
      <name val="Arial"/>
    </font>
    <font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B7E1CD"/>
        <bgColor rgb="FFB7E1CD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5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165" xfId="0" applyAlignment="1" applyBorder="1" applyFont="1" applyNumberFormat="1">
      <alignment horizontal="center" shrinkToFit="0" vertical="center" wrapText="1"/>
    </xf>
    <xf borderId="1" fillId="0" fontId="2" numFmtId="166" xfId="0" applyAlignment="1" applyBorder="1" applyFont="1" applyNumberFormat="1">
      <alignment horizontal="center" shrinkToFit="0" vertical="center" wrapText="1"/>
    </xf>
    <xf borderId="2" fillId="0" fontId="2" numFmtId="167" xfId="0" applyAlignment="1" applyBorder="1" applyFont="1" applyNumberFormat="1">
      <alignment horizontal="center" shrinkToFit="0" vertical="center" wrapText="1"/>
    </xf>
    <xf borderId="1" fillId="0" fontId="2" numFmtId="167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165" xfId="0" applyAlignment="1" applyBorder="1" applyFont="1" applyNumberFormat="1">
      <alignment horizontal="center" readingOrder="0" shrinkToFit="0" vertical="center" wrapText="1"/>
    </xf>
    <xf borderId="1" fillId="2" fontId="4" numFmtId="167" xfId="0" applyAlignment="1" applyBorder="1" applyFill="1" applyFont="1" applyNumberFormat="1">
      <alignment horizontal="center" readingOrder="0" vertical="center"/>
    </xf>
    <xf borderId="1" fillId="0" fontId="3" numFmtId="167" xfId="0" applyAlignment="1" applyBorder="1" applyFont="1" applyNumberFormat="1">
      <alignment horizontal="center" readingOrder="0" shrinkToFit="0" vertical="center" wrapText="1"/>
    </xf>
    <xf borderId="1" fillId="0" fontId="3" numFmtId="167" xfId="0" applyAlignment="1" applyBorder="1" applyFont="1" applyNumberFormat="1">
      <alignment shrinkToFit="0" vertical="center" wrapText="1"/>
    </xf>
    <xf borderId="0" fillId="0" fontId="5" numFmtId="167" xfId="0" applyAlignment="1" applyFont="1" applyNumberFormat="1">
      <alignment shrinkToFit="0" wrapText="1"/>
    </xf>
    <xf borderId="1" fillId="2" fontId="4" numFmtId="0" xfId="0" applyAlignment="1" applyBorder="1" applyFont="1">
      <alignment horizontal="center" readingOrder="0" vertical="center"/>
    </xf>
    <xf borderId="0" fillId="0" fontId="3" numFmtId="165" xfId="0" applyAlignment="1" applyFont="1" applyNumberFormat="1">
      <alignment horizontal="center" readingOrder="0" vertical="center"/>
    </xf>
    <xf borderId="1" fillId="0" fontId="3" numFmtId="165" xfId="0" applyAlignment="1" applyBorder="1" applyFont="1" applyNumberFormat="1">
      <alignment horizontal="center" readingOrder="0" vertical="center"/>
    </xf>
    <xf borderId="1" fillId="3" fontId="3" numFmtId="0" xfId="0" applyAlignment="1" applyBorder="1" applyFill="1" applyFont="1">
      <alignment horizontal="center" readingOrder="0" shrinkToFit="0" vertical="center" wrapText="1"/>
    </xf>
    <xf borderId="0" fillId="0" fontId="6" numFmtId="165" xfId="0" applyAlignment="1" applyFont="1" applyNumberFormat="1">
      <alignment horizontal="center" readingOrder="0" vertical="center"/>
    </xf>
    <xf borderId="1" fillId="0" fontId="3" numFmtId="168" xfId="0" applyAlignment="1" applyBorder="1" applyFont="1" applyNumberFormat="1">
      <alignment horizontal="center" readingOrder="0" shrinkToFit="0" vertical="center" wrapText="1"/>
    </xf>
    <xf borderId="1" fillId="2" fontId="3" numFmtId="165" xfId="0" applyAlignment="1" applyBorder="1" applyFont="1" applyNumberFormat="1">
      <alignment horizontal="center" readingOrder="0" vertical="center"/>
    </xf>
    <xf borderId="1" fillId="2" fontId="4" numFmtId="165" xfId="0" applyAlignment="1" applyBorder="1" applyFont="1" applyNumberFormat="1">
      <alignment horizontal="center" readingOrder="0" shrinkToFit="0" vertical="center" wrapText="1"/>
    </xf>
    <xf borderId="1" fillId="2" fontId="3" numFmtId="167" xfId="0" applyAlignment="1" applyBorder="1" applyFont="1" applyNumberFormat="1">
      <alignment readingOrder="0" shrinkToFit="0" vertical="center" wrapText="1"/>
    </xf>
    <xf borderId="3" fillId="2" fontId="5" numFmtId="0" xfId="0" applyBorder="1" applyFont="1"/>
    <xf borderId="1" fillId="2" fontId="3" numFmtId="167" xfId="0" applyAlignment="1" applyBorder="1" applyFont="1" applyNumberFormat="1">
      <alignment shrinkToFit="0" vertical="center" wrapText="1"/>
    </xf>
    <xf borderId="1" fillId="2" fontId="4" numFmtId="0" xfId="0" applyAlignment="1" applyBorder="1" applyFont="1">
      <alignment horizontal="center" readingOrder="0"/>
    </xf>
    <xf borderId="1" fillId="0" fontId="3" numFmtId="165" xfId="0" applyAlignment="1" applyBorder="1" applyFont="1" applyNumberFormat="1">
      <alignment horizontal="center" readingOrder="0" shrinkToFit="0" wrapText="1"/>
    </xf>
    <xf borderId="1" fillId="0" fontId="5" numFmtId="167" xfId="0" applyAlignment="1" applyBorder="1" applyFont="1" applyNumberFormat="1">
      <alignment shrinkToFit="0" vertical="center" wrapText="1"/>
    </xf>
    <xf borderId="1" fillId="0" fontId="4" numFmtId="165" xfId="0" applyAlignment="1" applyBorder="1" applyFont="1" applyNumberFormat="1">
      <alignment horizontal="center" readingOrder="0" shrinkToFit="0" vertical="center" wrapText="1"/>
    </xf>
    <xf borderId="1" fillId="0" fontId="4" numFmtId="164" xfId="0" applyAlignment="1" applyBorder="1" applyFont="1" applyNumberFormat="1">
      <alignment horizontal="center" readingOrder="0" shrinkToFit="0" vertical="center" wrapText="1"/>
    </xf>
    <xf borderId="1" fillId="0" fontId="3" numFmtId="19" xfId="0" applyAlignment="1" applyBorder="1" applyFont="1" applyNumberFormat="1">
      <alignment horizontal="center" readingOrder="0" shrinkToFit="0" vertical="center" wrapText="1"/>
    </xf>
    <xf borderId="0" fillId="0" fontId="5" numFmtId="164" xfId="0" applyAlignment="1" applyFont="1" applyNumberFormat="1">
      <alignment shrinkToFit="0" wrapText="1"/>
    </xf>
    <xf borderId="0" fillId="0" fontId="7" numFmtId="165" xfId="0" applyAlignment="1" applyFont="1" applyNumberFormat="1">
      <alignment horizontal="center"/>
    </xf>
    <xf borderId="0" fillId="0" fontId="5" numFmtId="164" xfId="0" applyAlignment="1" applyFont="1" applyNumberFormat="1">
      <alignment horizontal="center" shrinkToFit="0" wrapText="1"/>
    </xf>
    <xf borderId="0" fillId="0" fontId="5" numFmtId="165" xfId="0" applyAlignment="1" applyFont="1" applyNumberFormat="1">
      <alignment horizontal="center" shrinkToFit="0" wrapText="1"/>
    </xf>
    <xf borderId="0" fillId="0" fontId="5" numFmtId="166" xfId="0" applyAlignment="1" applyFont="1" applyNumberFormat="1">
      <alignment horizontal="center" shrinkToFit="0" wrapText="1"/>
    </xf>
    <xf borderId="0" fillId="0" fontId="5" numFmtId="167" xfId="0" applyAlignment="1" applyFont="1" applyNumberFormat="1">
      <alignment horizontal="center" shrinkToFit="0" wrapText="1"/>
    </xf>
    <xf borderId="0" fillId="0" fontId="5" numFmtId="167" xfId="0" applyAlignment="1" applyFont="1" applyNumberFormat="1">
      <alignment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2" fillId="0" fontId="8" numFmtId="164" xfId="0" applyAlignment="1" applyBorder="1" applyFont="1" applyNumberFormat="1">
      <alignment horizontal="center" shrinkToFit="0" vertical="center" wrapText="1"/>
    </xf>
    <xf borderId="2" fillId="0" fontId="8" numFmtId="165" xfId="0" applyAlignment="1" applyBorder="1" applyFont="1" applyNumberFormat="1">
      <alignment horizontal="center" shrinkToFit="0" vertical="center" wrapText="1"/>
    </xf>
    <xf borderId="2" fillId="0" fontId="8" numFmtId="19" xfId="0" applyAlignment="1" applyBorder="1" applyFont="1" applyNumberFormat="1">
      <alignment horizontal="center" shrinkToFit="0" vertical="center" wrapText="1"/>
    </xf>
    <xf borderId="2" fillId="0" fontId="8" numFmtId="4" xfId="0" applyAlignment="1" applyBorder="1" applyFont="1" applyNumberFormat="1">
      <alignment horizontal="center" shrinkToFit="0" vertical="center" wrapText="1"/>
    </xf>
    <xf borderId="2" fillId="0" fontId="8" numFmtId="167" xfId="0" applyAlignment="1" applyBorder="1" applyFont="1" applyNumberFormat="1">
      <alignment horizontal="center" shrinkToFit="0" vertical="center" wrapText="1"/>
    </xf>
    <xf borderId="2" fillId="0" fontId="8" numFmtId="2" xfId="0" applyAlignment="1" applyBorder="1" applyFont="1" applyNumberFormat="1">
      <alignment horizontal="center" shrinkToFit="0" vertical="center" wrapText="1"/>
    </xf>
    <xf borderId="1" fillId="0" fontId="8" numFmtId="167" xfId="0" applyAlignment="1" applyBorder="1" applyFont="1" applyNumberFormat="1">
      <alignment horizontal="center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1" fillId="2" fontId="5" numFmtId="164" xfId="0" applyAlignment="1" applyBorder="1" applyFont="1" applyNumberFormat="1">
      <alignment horizontal="center" shrinkToFit="0" vertical="center" wrapText="1"/>
    </xf>
    <xf borderId="1" fillId="2" fontId="5" numFmtId="165" xfId="0" applyAlignment="1" applyBorder="1" applyFont="1" applyNumberFormat="1">
      <alignment horizontal="center" shrinkToFit="0" vertical="center" wrapText="1"/>
    </xf>
    <xf borderId="1" fillId="2" fontId="5" numFmtId="164" xfId="0" applyAlignment="1" applyBorder="1" applyFont="1" applyNumberFormat="1">
      <alignment horizontal="center" readingOrder="0" shrinkToFit="0" vertical="center" wrapText="1"/>
    </xf>
    <xf borderId="1" fillId="2" fontId="5" numFmtId="19" xfId="0" applyAlignment="1" applyBorder="1" applyFont="1" applyNumberFormat="1">
      <alignment horizontal="center" readingOrder="0" shrinkToFit="0" vertical="center" wrapText="1"/>
    </xf>
    <xf borderId="1" fillId="2" fontId="5" numFmtId="4" xfId="0" applyAlignment="1" applyBorder="1" applyFont="1" applyNumberFormat="1">
      <alignment horizontal="center" shrinkToFit="0" vertical="center" wrapText="1"/>
    </xf>
    <xf borderId="1" fillId="2" fontId="5" numFmtId="19" xfId="0" applyAlignment="1" applyBorder="1" applyFont="1" applyNumberFormat="1">
      <alignment horizontal="center" shrinkToFit="0" vertical="center" wrapText="1"/>
    </xf>
    <xf borderId="1" fillId="2" fontId="5" numFmtId="169" xfId="0" applyAlignment="1" applyBorder="1" applyFont="1" applyNumberFormat="1">
      <alignment horizontal="center" shrinkToFit="0" vertical="center" wrapText="1"/>
    </xf>
    <xf borderId="1" fillId="2" fontId="5" numFmtId="3" xfId="0" applyAlignment="1" applyBorder="1" applyFont="1" applyNumberFormat="1">
      <alignment horizontal="center" shrinkToFit="0" vertical="center" wrapText="1"/>
    </xf>
    <xf borderId="1" fillId="2" fontId="5" numFmtId="2" xfId="0" applyAlignment="1" applyBorder="1" applyFont="1" applyNumberFormat="1">
      <alignment horizontal="center" shrinkToFit="0" vertical="center" wrapText="1"/>
    </xf>
    <xf borderId="1" fillId="2" fontId="5" numFmtId="167" xfId="0" applyAlignment="1" applyBorder="1" applyFont="1" applyNumberFormat="1">
      <alignment horizontal="center" shrinkToFit="0" vertical="center" wrapText="1"/>
    </xf>
    <xf borderId="2" fillId="2" fontId="5" numFmtId="167" xfId="0" applyAlignment="1" applyBorder="1" applyFont="1" applyNumberFormat="1">
      <alignment horizontal="center" shrinkToFit="0" vertical="center" wrapText="1"/>
    </xf>
    <xf borderId="0" fillId="2" fontId="7" numFmtId="0" xfId="0" applyFont="1"/>
    <xf borderId="4" fillId="0" fontId="10" numFmtId="0" xfId="0" applyBorder="1" applyFont="1"/>
    <xf borderId="1" fillId="2" fontId="9" numFmtId="0" xfId="0" applyAlignment="1" applyBorder="1" applyFont="1">
      <alignment horizontal="left" shrinkToFit="0" vertical="center" wrapText="1"/>
    </xf>
    <xf borderId="1" fillId="2" fontId="5" numFmtId="3" xfId="0" applyAlignment="1" applyBorder="1" applyFont="1" applyNumberFormat="1">
      <alignment horizontal="center" readingOrder="0" shrinkToFit="0" vertical="center" wrapText="1"/>
    </xf>
    <xf borderId="1" fillId="2" fontId="5" numFmtId="4" xfId="0" applyAlignment="1" applyBorder="1" applyFont="1" applyNumberFormat="1">
      <alignment horizontal="center" readingOrder="0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5" fillId="0" fontId="10" numFmtId="0" xfId="0" applyBorder="1" applyFont="1"/>
    <xf borderId="1" fillId="2" fontId="5" numFmtId="0" xfId="0" applyAlignment="1" applyBorder="1" applyFont="1">
      <alignment horizontal="center" readingOrder="0" shrinkToFit="0" vertical="center" wrapText="1"/>
    </xf>
    <xf borderId="1" fillId="2" fontId="5" numFmtId="165" xfId="0" applyAlignment="1" applyBorder="1" applyFont="1" applyNumberFormat="1">
      <alignment horizontal="center" readingOrder="0" shrinkToFit="0" vertical="center" wrapText="1"/>
    </xf>
    <xf borderId="1" fillId="2" fontId="5" numFmtId="2" xfId="0" applyAlignment="1" applyBorder="1" applyFont="1" applyNumberFormat="1">
      <alignment horizontal="center" readingOrder="0" shrinkToFit="0" vertical="center" wrapText="1"/>
    </xf>
    <xf borderId="1" fillId="2" fontId="5" numFmtId="167" xfId="0" applyAlignment="1" applyBorder="1" applyFont="1" applyNumberFormat="1">
      <alignment horizontal="center" readingOrder="0" shrinkToFit="0" vertical="center" wrapText="1"/>
    </xf>
    <xf borderId="0" fillId="2" fontId="11" numFmtId="0" xfId="0" applyAlignment="1" applyFont="1">
      <alignment horizontal="center" readingOrder="0"/>
    </xf>
    <xf borderId="1" fillId="2" fontId="11" numFmtId="0" xfId="0" applyAlignment="1" applyBorder="1" applyFont="1">
      <alignment horizontal="center" readingOrder="0"/>
    </xf>
    <xf borderId="1" fillId="3" fontId="11" numFmtId="0" xfId="0" applyAlignment="1" applyBorder="1" applyFont="1">
      <alignment horizontal="center" readingOrder="0"/>
    </xf>
    <xf borderId="1" fillId="0" fontId="5" numFmtId="164" xfId="0" applyAlignment="1" applyBorder="1" applyFont="1" applyNumberFormat="1">
      <alignment horizontal="center" readingOrder="0" shrinkToFit="0" vertical="center" wrapText="1"/>
    </xf>
    <xf borderId="1" fillId="0" fontId="5" numFmtId="165" xfId="0" applyAlignment="1" applyBorder="1" applyFont="1" applyNumberFormat="1">
      <alignment horizontal="center" readingOrder="0" shrinkToFit="0" vertical="center" wrapText="1"/>
    </xf>
    <xf borderId="0" fillId="0" fontId="5" numFmtId="165" xfId="0" applyAlignment="1" applyFont="1" applyNumberFormat="1">
      <alignment readingOrder="0"/>
    </xf>
    <xf borderId="0" fillId="2" fontId="5" numFmtId="165" xfId="0" applyAlignment="1" applyFont="1" applyNumberFormat="1">
      <alignment readingOrder="0"/>
    </xf>
    <xf borderId="1" fillId="2" fontId="5" numFmtId="165" xfId="0" applyAlignment="1" applyBorder="1" applyFont="1" applyNumberFormat="1">
      <alignment readingOrder="0"/>
    </xf>
    <xf borderId="6" fillId="2" fontId="5" numFmtId="19" xfId="0" applyAlignment="1" applyBorder="1" applyFont="1" applyNumberFormat="1">
      <alignment horizontal="center" readingOrder="0" shrinkToFit="0" wrapText="1"/>
    </xf>
    <xf borderId="7" fillId="2" fontId="5" numFmtId="19" xfId="0" applyAlignment="1" applyBorder="1" applyFont="1" applyNumberFormat="1">
      <alignment horizontal="center" readingOrder="0" shrinkToFit="0" wrapText="1"/>
    </xf>
    <xf borderId="0" fillId="0" fontId="1" numFmtId="165" xfId="0" applyAlignment="1" applyFont="1" applyNumberFormat="1">
      <alignment horizontal="center" readingOrder="0"/>
    </xf>
    <xf borderId="1" fillId="0" fontId="5" numFmtId="165" xfId="0" applyAlignment="1" applyBorder="1" applyFont="1" applyNumberFormat="1">
      <alignment horizontal="center" readingOrder="0"/>
    </xf>
    <xf borderId="8" fillId="2" fontId="5" numFmtId="19" xfId="0" applyAlignment="1" applyBorder="1" applyFont="1" applyNumberFormat="1">
      <alignment horizontal="center" readingOrder="0" shrinkToFit="0" wrapText="1"/>
    </xf>
    <xf borderId="9" fillId="2" fontId="5" numFmtId="0" xfId="0" applyBorder="1" applyFont="1"/>
    <xf borderId="1" fillId="2" fontId="5" numFmtId="19" xfId="0" applyAlignment="1" applyBorder="1" applyFont="1" applyNumberFormat="1">
      <alignment horizontal="center" readingOrder="0"/>
    </xf>
    <xf borderId="1" fillId="2" fontId="5" numFmtId="165" xfId="0" applyAlignment="1" applyBorder="1" applyFont="1" applyNumberFormat="1">
      <alignment horizontal="center" readingOrder="0" shrinkToFit="0" wrapText="1"/>
    </xf>
    <xf borderId="0" fillId="2" fontId="5" numFmtId="0" xfId="0" applyFont="1"/>
    <xf borderId="0" fillId="0" fontId="5" numFmtId="0" xfId="0" applyFont="1"/>
    <xf borderId="2" fillId="2" fontId="5" numFmtId="167" xfId="0" applyAlignment="1" applyBorder="1" applyFont="1" applyNumberForma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/>
    </xf>
    <xf borderId="1" fillId="2" fontId="11" numFmtId="164" xfId="0" applyAlignment="1" applyBorder="1" applyFont="1" applyNumberFormat="1">
      <alignment horizontal="center" readingOrder="0"/>
    </xf>
    <xf borderId="1" fillId="2" fontId="11" numFmtId="19" xfId="0" applyAlignment="1" applyBorder="1" applyFont="1" applyNumberFormat="1">
      <alignment horizontal="center" readingOrder="0"/>
    </xf>
    <xf borderId="1" fillId="2" fontId="5" numFmtId="164" xfId="0" applyAlignment="1" applyBorder="1" applyFont="1" applyNumberFormat="1">
      <alignment horizontal="center" readingOrder="0" shrinkToFit="0" wrapText="1"/>
    </xf>
    <xf borderId="1" fillId="2" fontId="5" numFmtId="167" xfId="0" applyAlignment="1" applyBorder="1" applyFont="1" applyNumberFormat="1">
      <alignment horizontal="center" vertical="bottom"/>
    </xf>
    <xf borderId="1" fillId="2" fontId="5" numFmtId="0" xfId="0" applyAlignment="1" applyBorder="1" applyFont="1">
      <alignment horizontal="center" readingOrder="0" shrinkToFit="0" wrapText="1"/>
    </xf>
    <xf borderId="1" fillId="2" fontId="5" numFmtId="164" xfId="0" applyAlignment="1" applyBorder="1" applyFont="1" applyNumberFormat="1">
      <alignment horizontal="center" shrinkToFit="0" vertical="bottom" wrapText="1"/>
    </xf>
    <xf borderId="1" fillId="2" fontId="11" numFmtId="170" xfId="0" applyAlignment="1" applyBorder="1" applyFont="1" applyNumberFormat="1">
      <alignment horizontal="center" readingOrder="0"/>
    </xf>
    <xf borderId="1" fillId="2" fontId="11" numFmtId="165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164" xfId="0" applyAlignment="1" applyFont="1" applyNumberFormat="1">
      <alignment horizontal="center" shrinkToFit="0" vertical="center" wrapText="1"/>
    </xf>
    <xf borderId="0" fillId="0" fontId="5" numFmtId="165" xfId="0" applyAlignment="1" applyFont="1" applyNumberFormat="1">
      <alignment horizontal="center" shrinkToFit="0" vertical="center" wrapText="1"/>
    </xf>
    <xf borderId="0" fillId="0" fontId="5" numFmtId="19" xfId="0" applyAlignment="1" applyFont="1" applyNumberFormat="1">
      <alignment horizontal="center" shrinkToFit="0" vertical="center" wrapText="1"/>
    </xf>
    <xf borderId="0" fillId="0" fontId="5" numFmtId="4" xfId="0" applyAlignment="1" applyFont="1" applyNumberFormat="1">
      <alignment horizontal="center" shrinkToFit="0" vertical="center" wrapText="1"/>
    </xf>
    <xf borderId="0" fillId="0" fontId="5" numFmtId="167" xfId="0" applyAlignment="1" applyFont="1" applyNumberFormat="1">
      <alignment horizontal="center" shrinkToFit="0" vertical="center" wrapText="1"/>
    </xf>
    <xf borderId="0" fillId="0" fontId="5" numFmtId="2" xfId="0" applyAlignment="1" applyFont="1" applyNumberForma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12" numFmtId="164" xfId="0" applyAlignment="1" applyBorder="1" applyFont="1" applyNumberFormat="1">
      <alignment horizontal="center" shrinkToFit="0" vertical="center" wrapText="1"/>
    </xf>
    <xf borderId="1" fillId="0" fontId="12" numFmtId="19" xfId="0" applyAlignment="1" applyBorder="1" applyFont="1" applyNumberFormat="1">
      <alignment horizontal="center" shrinkToFit="0" vertical="center" wrapText="1"/>
    </xf>
    <xf borderId="1" fillId="0" fontId="12" numFmtId="165" xfId="0" applyAlignment="1" applyBorder="1" applyFont="1" applyNumberFormat="1">
      <alignment horizontal="center" shrinkToFit="0" vertical="center" wrapText="1"/>
    </xf>
    <xf borderId="1" fillId="0" fontId="12" numFmtId="4" xfId="0" applyAlignment="1" applyBorder="1" applyFont="1" applyNumberFormat="1">
      <alignment horizontal="center" shrinkToFit="0" vertical="center" wrapText="1"/>
    </xf>
    <xf borderId="10" fillId="0" fontId="12" numFmtId="4" xfId="0" applyAlignment="1" applyBorder="1" applyFont="1" applyNumberFormat="1">
      <alignment horizontal="center" shrinkToFit="0" vertical="center" wrapText="1"/>
    </xf>
    <xf borderId="0" fillId="0" fontId="13" numFmtId="4" xfId="0" applyAlignment="1" applyFont="1" applyNumberFormat="1">
      <alignment horizontal="center" shrinkToFit="0" vertical="center" wrapText="1"/>
    </xf>
    <xf borderId="6" fillId="0" fontId="13" numFmtId="4" xfId="0" applyAlignment="1" applyBorder="1" applyFont="1" applyNumberFormat="1">
      <alignment horizontal="center" shrinkToFit="0" vertical="center" wrapText="1"/>
    </xf>
    <xf borderId="1" fillId="0" fontId="13" numFmtId="4" xfId="0" applyAlignment="1" applyBorder="1" applyFont="1" applyNumberFormat="1">
      <alignment horizontal="center" shrinkToFit="0" vertical="center" wrapText="1"/>
    </xf>
    <xf borderId="10" fillId="0" fontId="13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0" fillId="0" fontId="14" numFmtId="167" xfId="0" applyAlignment="1" applyFont="1" applyNumberFormat="1">
      <alignment shrinkToFit="0" vertical="center" wrapText="1"/>
    </xf>
    <xf borderId="1" fillId="0" fontId="14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shrinkToFit="0" vertical="center" wrapText="1"/>
    </xf>
    <xf borderId="1" fillId="0" fontId="14" numFmtId="19" xfId="0" applyAlignment="1" applyBorder="1" applyFont="1" applyNumberFormat="1">
      <alignment horizontal="center" shrinkToFit="0" vertical="center" wrapText="1"/>
    </xf>
    <xf borderId="1" fillId="0" fontId="14" numFmtId="164" xfId="0" applyAlignment="1" applyBorder="1" applyFont="1" applyNumberFormat="1">
      <alignment horizontal="center" readingOrder="0" shrinkToFit="0" vertical="center" wrapText="1"/>
    </xf>
    <xf borderId="1" fillId="0" fontId="14" numFmtId="165" xfId="0" applyAlignment="1" applyBorder="1" applyFont="1" applyNumberFormat="1">
      <alignment horizontal="center" readingOrder="0" shrinkToFit="0" vertical="center" wrapText="1"/>
    </xf>
    <xf borderId="1" fillId="0" fontId="14" numFmtId="4" xfId="0" applyAlignment="1" applyBorder="1" applyFont="1" applyNumberFormat="1">
      <alignment horizontal="center" readingOrder="0" shrinkToFit="0" vertical="center" wrapText="1"/>
    </xf>
    <xf borderId="1" fillId="0" fontId="14" numFmtId="4" xfId="0" applyAlignment="1" applyBorder="1" applyFont="1" applyNumberFormat="1">
      <alignment horizontal="center" shrinkToFit="0" vertical="center" wrapText="1"/>
    </xf>
    <xf borderId="1" fillId="0" fontId="14" numFmtId="168" xfId="0" applyAlignment="1" applyBorder="1" applyFont="1" applyNumberFormat="1">
      <alignment horizontal="center" readingOrder="0" shrinkToFit="0" vertical="center" wrapText="1"/>
    </xf>
    <xf borderId="10" fillId="0" fontId="14" numFmtId="4" xfId="0" applyAlignment="1" applyBorder="1" applyFont="1" applyNumberForma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0" fillId="0" fontId="14" numFmtId="167" xfId="0" applyAlignment="1" applyBorder="1" applyFont="1" applyNumberFormat="1">
      <alignment horizontal="center" readingOrder="0" shrinkToFit="0" vertical="center" wrapText="1"/>
    </xf>
    <xf borderId="1" fillId="0" fontId="14" numFmtId="167" xfId="0" applyAlignment="1" applyBorder="1" applyFont="1" applyNumberFormat="1">
      <alignment horizontal="center" shrinkToFit="0" vertical="center" wrapText="1"/>
    </xf>
    <xf borderId="1" fillId="4" fontId="14" numFmtId="0" xfId="0" applyAlignment="1" applyBorder="1" applyFill="1" applyFont="1">
      <alignment horizontal="center" readingOrder="0" vertical="center"/>
    </xf>
    <xf borderId="1" fillId="4" fontId="14" numFmtId="164" xfId="0" applyAlignment="1" applyBorder="1" applyFont="1" applyNumberFormat="1">
      <alignment horizontal="center" readingOrder="0" shrinkToFit="0" vertical="center" wrapText="1"/>
    </xf>
    <xf borderId="1" fillId="4" fontId="14" numFmtId="19" xfId="0" applyAlignment="1" applyBorder="1" applyFont="1" applyNumberFormat="1">
      <alignment horizontal="center" readingOrder="0" shrinkToFit="0" vertical="center" wrapText="1"/>
    </xf>
    <xf borderId="1" fillId="4" fontId="14" numFmtId="165" xfId="0" applyAlignment="1" applyBorder="1" applyFont="1" applyNumberFormat="1">
      <alignment horizontal="center" readingOrder="0" shrinkToFit="0" vertical="center" wrapText="1"/>
    </xf>
    <xf borderId="1" fillId="4" fontId="14" numFmtId="4" xfId="0" applyAlignment="1" applyBorder="1" applyFont="1" applyNumberFormat="1">
      <alignment horizontal="center" readingOrder="0" shrinkToFit="0" vertical="center" wrapText="1"/>
    </xf>
    <xf borderId="1" fillId="4" fontId="14" numFmtId="168" xfId="0" applyAlignment="1" applyBorder="1" applyFont="1" applyNumberFormat="1">
      <alignment horizontal="center" readingOrder="0" shrinkToFit="0" vertical="center" wrapText="1"/>
    </xf>
    <xf borderId="10" fillId="4" fontId="14" numFmtId="4" xfId="0" applyAlignment="1" applyBorder="1" applyFont="1" applyNumberFormat="1">
      <alignment horizontal="center" readingOrder="0" shrinkToFit="0" vertical="center" wrapText="1"/>
    </xf>
    <xf borderId="1" fillId="4" fontId="15" numFmtId="4" xfId="0" applyAlignment="1" applyBorder="1" applyFont="1" applyNumberFormat="1">
      <alignment horizontal="center" readingOrder="0" vertical="center"/>
    </xf>
    <xf borderId="6" fillId="4" fontId="15" numFmtId="4" xfId="0" applyAlignment="1" applyBorder="1" applyFont="1" applyNumberFormat="1">
      <alignment horizontal="center" vertical="center"/>
    </xf>
    <xf borderId="1" fillId="0" fontId="14" numFmtId="0" xfId="0" applyAlignment="1" applyBorder="1" applyFont="1">
      <alignment horizontal="center" readingOrder="0" vertical="center"/>
    </xf>
    <xf borderId="1" fillId="2" fontId="14" numFmtId="164" xfId="0" applyAlignment="1" applyBorder="1" applyFont="1" applyNumberFormat="1">
      <alignment horizontal="center" readingOrder="0" shrinkToFit="0" vertical="center" wrapText="1"/>
    </xf>
    <xf borderId="1" fillId="0" fontId="14" numFmtId="19" xfId="0" applyAlignment="1" applyBorder="1" applyFont="1" applyNumberFormat="1">
      <alignment horizontal="center" readingOrder="0" shrinkToFit="0" vertical="center" wrapText="1"/>
    </xf>
    <xf borderId="1" fillId="0" fontId="15" numFmtId="4" xfId="0" applyAlignment="1" applyBorder="1" applyFont="1" applyNumberFormat="1">
      <alignment horizontal="center" readingOrder="0" vertical="center"/>
    </xf>
    <xf borderId="1" fillId="2" fontId="14" numFmtId="4" xfId="0" applyAlignment="1" applyBorder="1" applyFont="1" applyNumberFormat="1">
      <alignment horizontal="center"/>
    </xf>
    <xf borderId="1" fillId="0" fontId="14" numFmtId="4" xfId="0" applyAlignment="1" applyBorder="1" applyFont="1" applyNumberFormat="1">
      <alignment horizontal="center" readingOrder="0" vertical="center"/>
    </xf>
    <xf borderId="0" fillId="0" fontId="14" numFmtId="165" xfId="0" applyAlignment="1" applyFont="1" applyNumberFormat="1">
      <alignment readingOrder="0"/>
    </xf>
    <xf borderId="1" fillId="0" fontId="14" numFmtId="19" xfId="0" applyAlignment="1" applyBorder="1" applyFont="1" applyNumberFormat="1">
      <alignment horizontal="center" readingOrder="0" vertical="center"/>
    </xf>
    <xf borderId="1" fillId="0" fontId="15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2" fontId="14" numFmtId="4" xfId="0" applyAlignment="1" applyBorder="1" applyFont="1" applyNumberFormat="1">
      <alignment horizontal="center" readingOrder="0"/>
    </xf>
    <xf borderId="1" fillId="2" fontId="14" numFmtId="0" xfId="0" applyAlignment="1" applyBorder="1" applyFont="1">
      <alignment horizontal="center" readingOrder="0" vertical="center"/>
    </xf>
    <xf borderId="1" fillId="2" fontId="14" numFmtId="19" xfId="0" applyAlignment="1" applyBorder="1" applyFont="1" applyNumberFormat="1">
      <alignment horizontal="center" readingOrder="0" shrinkToFit="0" vertical="center" wrapText="1"/>
    </xf>
    <xf borderId="1" fillId="2" fontId="14" numFmtId="165" xfId="0" applyAlignment="1" applyBorder="1" applyFont="1" applyNumberFormat="1">
      <alignment horizontal="center" readingOrder="0" shrinkToFit="0" vertical="center" wrapText="1"/>
    </xf>
    <xf borderId="1" fillId="2" fontId="14" numFmtId="4" xfId="0" applyAlignment="1" applyBorder="1" applyFont="1" applyNumberFormat="1">
      <alignment horizontal="center" readingOrder="0" shrinkToFit="0" vertical="center" wrapText="1"/>
    </xf>
    <xf borderId="10" fillId="2" fontId="14" numFmtId="4" xfId="0" applyAlignment="1" applyBorder="1" applyFont="1" applyNumberFormat="1">
      <alignment horizontal="center" readingOrder="0" shrinkToFit="0" vertical="center" wrapText="1"/>
    </xf>
    <xf borderId="1" fillId="2" fontId="15" numFmtId="4" xfId="0" applyAlignment="1" applyBorder="1" applyFont="1" applyNumberFormat="1">
      <alignment horizontal="center" readingOrder="0" vertical="center"/>
    </xf>
    <xf borderId="1" fillId="4" fontId="14" numFmtId="4" xfId="0" applyAlignment="1" applyBorder="1" applyFont="1" applyNumberFormat="1">
      <alignment horizontal="center"/>
    </xf>
    <xf borderId="10" fillId="2" fontId="14" numFmtId="167" xfId="0" applyAlignment="1" applyBorder="1" applyFont="1" applyNumberFormat="1">
      <alignment horizontal="center" readingOrder="0" shrinkToFit="0" vertical="center" wrapText="1"/>
    </xf>
    <xf borderId="1" fillId="2" fontId="14" numFmtId="0" xfId="0" applyAlignment="1" applyBorder="1" applyFont="1">
      <alignment horizontal="center" shrinkToFit="0" vertical="center" wrapText="1"/>
    </xf>
    <xf borderId="0" fillId="2" fontId="1" numFmtId="0" xfId="0" applyFont="1"/>
    <xf borderId="1" fillId="2" fontId="14" numFmtId="4" xfId="0" applyAlignment="1" applyBorder="1" applyFont="1" applyNumberFormat="1">
      <alignment horizontal="center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14" numFmtId="170" xfId="0" applyAlignment="1" applyBorder="1" applyFont="1" applyNumberFormat="1">
      <alignment horizontal="center" readingOrder="0" shrinkToFit="0" vertical="center" wrapText="1"/>
    </xf>
    <xf borderId="1" fillId="4" fontId="14" numFmtId="19" xfId="0" applyAlignment="1" applyBorder="1" applyFont="1" applyNumberFormat="1">
      <alignment horizontal="center" readingOrder="0" vertical="center"/>
    </xf>
    <xf borderId="1" fillId="0" fontId="17" numFmtId="168" xfId="0" applyAlignment="1" applyBorder="1" applyFont="1" applyNumberFormat="1">
      <alignment horizontal="center" readingOrder="0" shrinkToFit="0" vertical="center" wrapText="1"/>
    </xf>
    <xf borderId="1" fillId="0" fontId="18" numFmtId="165" xfId="0" applyAlignment="1" applyBorder="1" applyFont="1" applyNumberFormat="1">
      <alignment horizontal="center" readingOrder="0"/>
    </xf>
    <xf borderId="1" fillId="0" fontId="18" numFmtId="4" xfId="0" applyAlignment="1" applyBorder="1" applyFont="1" applyNumberFormat="1">
      <alignment horizontal="center" readingOrder="0"/>
    </xf>
    <xf borderId="1" fillId="0" fontId="18" numFmtId="0" xfId="0" applyAlignment="1" applyBorder="1" applyFont="1">
      <alignment horizontal="center" readingOrder="0"/>
    </xf>
    <xf borderId="1" fillId="2" fontId="17" numFmtId="4" xfId="0" applyAlignment="1" applyBorder="1" applyFont="1" applyNumberFormat="1">
      <alignment horizontal="center"/>
    </xf>
    <xf borderId="2" fillId="2" fontId="3" numFmtId="167" xfId="0" applyAlignment="1" applyBorder="1" applyFont="1" applyNumberFormat="1">
      <alignment readingOrder="0" shrinkToFit="0" vertical="center" wrapText="1"/>
    </xf>
    <xf borderId="1" fillId="0" fontId="14" numFmtId="0" xfId="0" applyAlignment="1" applyBorder="1" applyFont="1">
      <alignment horizontal="center" readingOrder="0"/>
    </xf>
    <xf borderId="1" fillId="0" fontId="14" numFmtId="4" xfId="0" applyAlignment="1" applyBorder="1" applyFont="1" applyNumberFormat="1">
      <alignment horizontal="center" readingOrder="0"/>
    </xf>
    <xf borderId="1" fillId="0" fontId="14" numFmtId="165" xfId="0" applyAlignment="1" applyBorder="1" applyFont="1" applyNumberFormat="1">
      <alignment horizontal="center" readingOrder="0"/>
    </xf>
    <xf borderId="1" fillId="0" fontId="14" numFmtId="0" xfId="0" applyAlignment="1" applyBorder="1" applyFont="1">
      <alignment horizontal="center"/>
    </xf>
    <xf borderId="0" fillId="0" fontId="14" numFmtId="0" xfId="0" applyAlignment="1" applyFont="1">
      <alignment horizontal="center"/>
    </xf>
    <xf borderId="6" fillId="0" fontId="14" numFmtId="0" xfId="0" applyAlignment="1" applyBorder="1" applyFont="1">
      <alignment horizontal="center"/>
    </xf>
    <xf borderId="1" fillId="0" fontId="14" numFmtId="167" xfId="0" applyAlignment="1" applyBorder="1" applyFont="1" applyNumberFormat="1">
      <alignment horizontal="center" readingOrder="0" shrinkToFit="0" vertical="center" wrapText="1"/>
    </xf>
    <xf borderId="1" fillId="2" fontId="14" numFmtId="0" xfId="0" applyAlignment="1" applyBorder="1" applyFont="1">
      <alignment horizontal="center"/>
    </xf>
    <xf borderId="6" fillId="2" fontId="14" numFmtId="0" xfId="0" applyAlignment="1" applyBorder="1" applyFont="1">
      <alignment horizontal="center"/>
    </xf>
    <xf borderId="1" fillId="0" fontId="14" numFmtId="168" xfId="0" applyAlignment="1" applyBorder="1" applyFont="1" applyNumberFormat="1">
      <alignment horizontal="center" readingOrder="0"/>
    </xf>
    <xf borderId="10" fillId="0" fontId="14" numFmtId="0" xfId="0" applyAlignment="1" applyBorder="1" applyFont="1">
      <alignment horizontal="center" readingOrder="0"/>
    </xf>
    <xf borderId="1" fillId="0" fontId="14" numFmtId="168" xfId="0" applyAlignment="1" applyBorder="1" applyFont="1" applyNumberFormat="1">
      <alignment horizontal="center" vertical="bottom"/>
    </xf>
    <xf borderId="2" fillId="0" fontId="15" numFmtId="0" xfId="0" applyAlignment="1" applyBorder="1" applyFont="1">
      <alignment horizontal="left" readingOrder="0" shrinkToFit="0" vertical="center" wrapText="1"/>
    </xf>
    <xf borderId="1" fillId="4" fontId="14" numFmtId="168" xfId="0" applyAlignment="1" applyBorder="1" applyFont="1" applyNumberFormat="1">
      <alignment horizontal="center" readingOrder="0"/>
    </xf>
    <xf borderId="2" fillId="0" fontId="14" numFmtId="0" xfId="0" applyAlignment="1" applyBorder="1" applyFont="1">
      <alignment horizontal="left" readingOrder="0" shrinkToFit="0" vertical="center" wrapText="1"/>
    </xf>
    <xf borderId="1" fillId="2" fontId="15" numFmtId="164" xfId="0" applyAlignment="1" applyBorder="1" applyFont="1" applyNumberFormat="1">
      <alignment horizontal="center" readingOrder="0" shrinkToFit="0" vertical="center" wrapText="1"/>
    </xf>
    <xf borderId="1" fillId="4" fontId="15" numFmtId="164" xfId="0" applyAlignment="1" applyBorder="1" applyFont="1" applyNumberFormat="1">
      <alignment horizontal="center" readingOrder="0" shrinkToFit="0" vertical="center" wrapText="1"/>
    </xf>
    <xf borderId="1" fillId="0" fontId="15" numFmtId="19" xfId="0" applyAlignment="1" applyBorder="1" applyFont="1" applyNumberFormat="1">
      <alignment horizontal="center" readingOrder="0" vertical="center"/>
    </xf>
    <xf borderId="0" fillId="0" fontId="14" numFmtId="0" xfId="0" applyAlignment="1" applyFont="1">
      <alignment horizontal="center" vertical="center"/>
    </xf>
    <xf borderId="0" fillId="0" fontId="14" numFmtId="4" xfId="0" applyAlignment="1" applyFont="1" applyNumberFormat="1">
      <alignment horizontal="center" shrinkToFit="0" vertical="center" wrapText="1"/>
    </xf>
    <xf borderId="0" fillId="0" fontId="14" numFmtId="165" xfId="0" applyAlignment="1" applyFont="1" applyNumberFormat="1">
      <alignment horizontal="center" shrinkToFit="0" vertical="center" wrapText="1"/>
    </xf>
    <xf borderId="0" fillId="0" fontId="15" numFmtId="4" xfId="0" applyAlignment="1" applyFont="1" applyNumberFormat="1">
      <alignment horizontal="center" shrinkToFit="0" vertical="center" wrapText="1"/>
    </xf>
    <xf borderId="0" fillId="0" fontId="14" numFmtId="167" xfId="0" applyAlignment="1" applyFont="1" applyNumberForma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4" numFmtId="0" xfId="0" applyAlignment="1" applyFont="1">
      <alignment vertical="center"/>
    </xf>
    <xf borderId="0" fillId="0" fontId="15" numFmtId="0" xfId="0" applyAlignment="1" applyFont="1">
      <alignment horizontal="center" vertical="center"/>
    </xf>
    <xf borderId="0" fillId="2" fontId="16" numFmtId="0" xfId="0" applyAlignment="1" applyFont="1">
      <alignment horizontal="center" shrinkToFit="0" vertical="center" wrapText="1"/>
    </xf>
    <xf borderId="9" fillId="2" fontId="16" numFmtId="0" xfId="0" applyAlignment="1" applyBorder="1" applyFont="1">
      <alignment vertical="center"/>
    </xf>
    <xf borderId="0" fillId="0" fontId="13" numFmtId="0" xfId="0" applyAlignment="1" applyFont="1">
      <alignment horizontal="center" shrinkToFit="0" vertical="center" wrapText="1"/>
    </xf>
    <xf borderId="0" fillId="0" fontId="14" numFmtId="164" xfId="0" applyAlignment="1" applyFont="1" applyNumberFormat="1">
      <alignment horizontal="center" shrinkToFit="0" vertical="center" wrapText="1"/>
    </xf>
    <xf borderId="3" fillId="2" fontId="14" numFmtId="19" xfId="0" applyAlignment="1" applyBorder="1" applyFont="1" applyNumberFormat="1">
      <alignment horizontal="center" shrinkToFit="0" vertical="center" wrapText="1"/>
    </xf>
    <xf borderId="3" fillId="2" fontId="14" numFmtId="164" xfId="0" applyAlignment="1" applyBorder="1" applyFont="1" applyNumberFormat="1">
      <alignment horizontal="center" shrinkToFit="0" vertical="center" wrapText="1"/>
    </xf>
    <xf borderId="3" fillId="2" fontId="14" numFmtId="165" xfId="0" applyAlignment="1" applyBorder="1" applyFont="1" applyNumberFormat="1">
      <alignment horizontal="center" shrinkToFit="0" vertical="center" wrapText="1"/>
    </xf>
    <xf borderId="3" fillId="2" fontId="14" numFmtId="4" xfId="0" applyAlignment="1" applyBorder="1" applyFont="1" applyNumberFormat="1">
      <alignment horizontal="center" shrinkToFit="0" vertical="center" wrapText="1"/>
    </xf>
    <xf borderId="11" fillId="2" fontId="2" numFmtId="0" xfId="0" applyAlignment="1" applyBorder="1" applyFont="1">
      <alignment horizontal="center" shrinkToFit="0" vertical="center" wrapText="1"/>
    </xf>
    <xf borderId="2" fillId="5" fontId="2" numFmtId="4" xfId="0" applyAlignment="1" applyBorder="1" applyFill="1" applyFont="1" applyNumberFormat="1">
      <alignment horizontal="center" readingOrder="0" shrinkToFit="0" vertical="center" wrapText="1"/>
    </xf>
    <xf borderId="2" fillId="0" fontId="2" numFmtId="164" xfId="0" applyAlignment="1" applyBorder="1" applyFont="1" applyNumberFormat="1">
      <alignment horizontal="center" shrinkToFit="0" vertical="center" wrapText="1"/>
    </xf>
    <xf borderId="2" fillId="0" fontId="2" numFmtId="19" xfId="0" applyAlignment="1" applyBorder="1" applyFont="1" applyNumberFormat="1">
      <alignment horizontal="center" shrinkToFit="0" vertical="center" wrapText="1"/>
    </xf>
    <xf borderId="2" fillId="0" fontId="2" numFmtId="165" xfId="0" applyAlignment="1" applyBorder="1" applyFont="1" applyNumberFormat="1">
      <alignment horizontal="center" shrinkToFit="0" vertical="center" wrapText="1"/>
    </xf>
    <xf borderId="2" fillId="0" fontId="2" numFmtId="4" xfId="0" applyAlignment="1" applyBorder="1" applyFont="1" applyNumberFormat="1">
      <alignment horizontal="center" shrinkToFit="0" vertical="center" wrapText="1"/>
    </xf>
    <xf borderId="2" fillId="0" fontId="2" numFmtId="171" xfId="0" applyAlignment="1" applyBorder="1" applyFont="1" applyNumberFormat="1">
      <alignment horizontal="center" shrinkToFit="0" vertical="center" wrapText="1"/>
    </xf>
    <xf borderId="2" fillId="0" fontId="2" numFmtId="172" xfId="0" applyAlignment="1" applyBorder="1" applyFont="1" applyNumberFormat="1">
      <alignment horizontal="center" shrinkToFit="0" vertical="center" wrapText="1"/>
    </xf>
    <xf borderId="1" fillId="0" fontId="2" numFmtId="172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1" fillId="0" fontId="3" numFmtId="4" xfId="0" applyAlignment="1" applyBorder="1" applyFont="1" applyNumberFormat="1">
      <alignment horizontal="center" shrinkToFit="0" vertical="center" wrapText="1"/>
    </xf>
    <xf borderId="1" fillId="0" fontId="3" numFmtId="19" xfId="0" applyAlignment="1" applyBorder="1" applyFont="1" applyNumberFormat="1">
      <alignment horizontal="center" shrinkToFit="0" vertical="center" wrapText="1"/>
    </xf>
    <xf borderId="1" fillId="0" fontId="3" numFmtId="4" xfId="0" applyAlignment="1" applyBorder="1" applyFont="1" applyNumberFormat="1">
      <alignment horizontal="center" readingOrder="0" shrinkToFit="0" vertical="center" wrapText="1"/>
    </xf>
    <xf borderId="1" fillId="0" fontId="3" numFmtId="171" xfId="0" applyAlignment="1" applyBorder="1" applyFont="1" applyNumberFormat="1">
      <alignment horizontal="center" readingOrder="0" shrinkToFit="0" vertical="center" wrapText="1"/>
    </xf>
    <xf borderId="1" fillId="2" fontId="4" numFmtId="4" xfId="0" applyAlignment="1" applyBorder="1" applyFont="1" applyNumberFormat="1">
      <alignment horizontal="center" vertical="center"/>
    </xf>
    <xf borderId="1" fillId="0" fontId="3" numFmtId="172" xfId="0" applyAlignment="1" applyBorder="1" applyFont="1" applyNumberFormat="1">
      <alignment horizontal="center" readingOrder="0" shrinkToFit="0" vertical="center" wrapText="1"/>
    </xf>
    <xf borderId="0" fillId="0" fontId="5" numFmtId="4" xfId="0" applyAlignment="1" applyFont="1" applyNumberFormat="1">
      <alignment shrinkToFit="0" vertical="center" wrapText="1"/>
    </xf>
    <xf borderId="0" fillId="0" fontId="19" numFmtId="0" xfId="0" applyAlignment="1" applyFont="1">
      <alignment vertical="center"/>
    </xf>
    <xf borderId="0" fillId="0" fontId="5" numFmtId="173" xfId="0" applyAlignment="1" applyFont="1" applyNumberFormat="1">
      <alignment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1" fillId="0" fontId="3" numFmtId="172" xfId="0" applyAlignment="1" applyBorder="1" applyFont="1" applyNumberFormat="1">
      <alignment horizontal="center" shrinkToFit="0" vertical="center" wrapText="1"/>
    </xf>
    <xf borderId="0" fillId="0" fontId="5" numFmtId="174" xfId="0" applyAlignment="1" applyFont="1" applyNumberFormat="1">
      <alignment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0" fillId="2" fontId="4" numFmtId="0" xfId="0" applyAlignment="1" applyFont="1">
      <alignment horizontal="center" readingOrder="0" vertical="center"/>
    </xf>
    <xf borderId="1" fillId="0" fontId="3" numFmtId="175" xfId="0" applyAlignment="1" applyBorder="1" applyFont="1" applyNumberFormat="1">
      <alignment horizontal="center" readingOrder="0" shrinkToFit="0" vertical="center" wrapText="1"/>
    </xf>
    <xf borderId="0" fillId="0" fontId="19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3" numFmtId="19" xfId="0" applyAlignment="1" applyFont="1" applyNumberFormat="1">
      <alignment horizontal="center" readingOrder="0" vertical="center"/>
    </xf>
    <xf borderId="1" fillId="0" fontId="3" numFmtId="19" xfId="0" applyAlignment="1" applyBorder="1" applyFont="1" applyNumberFormat="1">
      <alignment horizontal="center" readingOrder="0" vertical="center"/>
    </xf>
    <xf borderId="1" fillId="6" fontId="3" numFmtId="4" xfId="0" applyAlignment="1" applyBorder="1" applyFont="1" applyNumberFormat="1">
      <alignment horizontal="center" readingOrder="0" shrinkToFit="0" vertical="center" wrapText="1"/>
    </xf>
    <xf borderId="1" fillId="6" fontId="3" numFmtId="0" xfId="0" applyAlignment="1" applyBorder="1" applyFont="1">
      <alignment vertical="center"/>
    </xf>
    <xf borderId="3" fillId="6" fontId="5" numFmtId="0" xfId="0" applyAlignment="1" applyBorder="1" applyFont="1">
      <alignment vertical="center"/>
    </xf>
    <xf borderId="0" fillId="0" fontId="3" numFmtId="4" xfId="0" applyAlignment="1" applyFont="1" applyNumberFormat="1">
      <alignment horizontal="center" readingOrder="0" vertical="center"/>
    </xf>
    <xf borderId="1" fillId="0" fontId="3" numFmtId="4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1" numFmtId="0" xfId="0" applyAlignment="1" applyFont="1">
      <alignment vertical="center"/>
    </xf>
    <xf borderId="1" fillId="2" fontId="4" numFmtId="4" xfId="0" applyAlignment="1" applyBorder="1" applyFont="1" applyNumberFormat="1">
      <alignment horizontal="center" readingOrder="0" vertical="center"/>
    </xf>
    <xf borderId="10" fillId="0" fontId="3" numFmtId="0" xfId="0" applyAlignment="1" applyBorder="1" applyFont="1">
      <alignment vertical="center"/>
    </xf>
    <xf borderId="10" fillId="0" fontId="3" numFmtId="167" xfId="0" applyAlignment="1" applyBorder="1" applyFont="1" applyNumberFormat="1">
      <alignment shrinkToFit="0" vertical="center" wrapText="1"/>
    </xf>
    <xf borderId="1" fillId="7" fontId="3" numFmtId="0" xfId="0" applyAlignment="1" applyBorder="1" applyFill="1" applyFont="1">
      <alignment horizontal="center" readingOrder="0" shrinkToFit="0" vertical="center" wrapText="1"/>
    </xf>
    <xf borderId="10" fillId="6" fontId="3" numFmtId="0" xfId="0" applyAlignment="1" applyBorder="1" applyFont="1">
      <alignment vertical="center"/>
    </xf>
    <xf borderId="0" fillId="6" fontId="5" numFmtId="0" xfId="0" applyAlignment="1" applyFont="1">
      <alignment vertical="center"/>
    </xf>
    <xf borderId="1" fillId="2" fontId="3" numFmtId="4" xfId="0" applyAlignment="1" applyBorder="1" applyFont="1" applyNumberForma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1" fillId="2" fontId="3" numFmtId="175" xfId="0" applyAlignment="1" applyBorder="1" applyFont="1" applyNumberFormat="1">
      <alignment horizontal="center" readingOrder="0" shrinkToFit="0" vertical="center" wrapText="1"/>
    </xf>
    <xf borderId="10" fillId="2" fontId="3" numFmtId="0" xfId="0" applyAlignment="1" applyBorder="1" applyFont="1">
      <alignment vertical="center"/>
    </xf>
    <xf borderId="0" fillId="2" fontId="5" numFmtId="0" xfId="0" applyAlignment="1" applyFont="1">
      <alignment vertical="center"/>
    </xf>
    <xf borderId="1" fillId="0" fontId="3" numFmtId="0" xfId="0" applyAlignment="1" applyBorder="1" applyFont="1">
      <alignment horizontal="center" readingOrder="0" vertical="center"/>
    </xf>
    <xf borderId="1" fillId="2" fontId="5" numFmtId="167" xfId="0" applyAlignment="1" applyBorder="1" applyFont="1" applyNumberFormat="1">
      <alignment readingOrder="0" shrinkToFit="0" vertical="center" wrapText="1"/>
    </xf>
    <xf borderId="1" fillId="2" fontId="5" numFmtId="167" xfId="0" applyAlignment="1" applyBorder="1" applyFont="1" applyNumberFormat="1">
      <alignment readingOrder="0" shrinkToFit="0" wrapText="1"/>
    </xf>
    <xf borderId="1" fillId="0" fontId="4" numFmtId="4" xfId="0" applyAlignment="1" applyBorder="1" applyFont="1" applyNumberFormat="1">
      <alignment horizontal="center" readingOrder="0" shrinkToFit="0" vertical="center" wrapText="1"/>
    </xf>
    <xf borderId="1" fillId="6" fontId="4" numFmtId="165" xfId="0" applyAlignment="1" applyBorder="1" applyFont="1" applyNumberFormat="1">
      <alignment horizontal="center" readingOrder="0" shrinkToFit="0" vertical="center" wrapText="1"/>
    </xf>
    <xf borderId="1" fillId="6" fontId="4" numFmtId="4" xfId="0" applyAlignment="1" applyBorder="1" applyFont="1" applyNumberFormat="1">
      <alignment horizontal="center" readingOrder="0" shrinkToFit="0" vertical="center" wrapText="1"/>
    </xf>
    <xf borderId="1" fillId="6" fontId="3" numFmtId="165" xfId="0" applyAlignment="1" applyBorder="1" applyFont="1" applyNumberFormat="1">
      <alignment horizontal="center" readingOrder="0" shrinkToFit="0" vertical="center" wrapText="1"/>
    </xf>
    <xf borderId="0" fillId="2" fontId="4" numFmtId="175" xfId="0" applyAlignment="1" applyFont="1" applyNumberFormat="1">
      <alignment horizontal="center" readingOrder="0"/>
    </xf>
    <xf borderId="1" fillId="0" fontId="3" numFmtId="0" xfId="0" applyAlignment="1" applyBorder="1" applyFont="1">
      <alignment horizontal="center" shrinkToFit="0" vertical="center" wrapText="1"/>
    </xf>
    <xf borderId="1" fillId="0" fontId="3" numFmtId="170" xfId="0" applyAlignment="1" applyBorder="1" applyFont="1" applyNumberFormat="1">
      <alignment horizontal="center" readingOrder="0" shrinkToFit="0" vertical="center" wrapText="1"/>
    </xf>
    <xf borderId="1" fillId="0" fontId="4" numFmtId="4" xfId="0" applyAlignment="1" applyBorder="1" applyFont="1" applyNumberFormat="1">
      <alignment horizontal="center" vertical="center"/>
    </xf>
    <xf borderId="1" fillId="2" fontId="4" numFmtId="175" xfId="0" applyAlignment="1" applyBorder="1" applyFont="1" applyNumberFormat="1">
      <alignment horizontal="center" readingOrder="0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3" numFmtId="165" xfId="0" applyAlignment="1" applyBorder="1" applyFont="1" applyNumberFormat="1">
      <alignment horizontal="center" shrinkToFit="0" vertical="center" wrapText="1"/>
    </xf>
    <xf borderId="1" fillId="0" fontId="3" numFmtId="171" xfId="0" applyAlignment="1" applyBorder="1" applyFont="1" applyNumberFormat="1">
      <alignment horizontal="center" shrinkToFit="0" vertical="center" wrapText="1"/>
    </xf>
    <xf borderId="1" fillId="0" fontId="4" numFmtId="4" xfId="0" applyAlignment="1" applyBorder="1" applyFont="1" applyNumberFormat="1">
      <alignment horizontal="center" shrinkToFit="0" vertical="center" wrapText="1"/>
    </xf>
    <xf borderId="1" fillId="0" fontId="3" numFmtId="175" xfId="0" applyAlignment="1" applyBorder="1" applyFont="1" applyNumberFormat="1">
      <alignment horizontal="center" shrinkToFit="0" vertical="center" wrapText="1"/>
    </xf>
    <xf borderId="1" fillId="0" fontId="3" numFmtId="167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center" vertical="center"/>
    </xf>
    <xf borderId="1" fillId="0" fontId="4" numFmtId="19" xfId="0" applyAlignment="1" applyBorder="1" applyFont="1" applyNumberFormat="1">
      <alignment horizontal="center" vertical="center"/>
    </xf>
    <xf borderId="1" fillId="2" fontId="3" numFmtId="19" xfId="0" applyAlignment="1" applyBorder="1" applyFont="1" applyNumberFormat="1">
      <alignment horizontal="center" vertical="center"/>
    </xf>
    <xf borderId="1" fillId="6" fontId="3" numFmtId="4" xfId="0" applyAlignment="1" applyBorder="1" applyFont="1" applyNumberFormat="1">
      <alignment horizontal="center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0" fillId="0" fontId="5" numFmtId="164" xfId="0" applyAlignment="1" applyFont="1" applyNumberFormat="1">
      <alignment vertical="center"/>
    </xf>
    <xf borderId="0" fillId="0" fontId="5" numFmtId="171" xfId="0" applyAlignment="1" applyFont="1" applyNumberFormat="1">
      <alignment horizontal="center" shrinkToFit="0" vertical="center" wrapText="1"/>
    </xf>
    <xf borderId="0" fillId="0" fontId="5" numFmtId="172" xfId="0" applyAlignment="1" applyFont="1" applyNumberFormat="1">
      <alignment horizontal="center" shrinkToFit="0" vertical="center" wrapText="1"/>
    </xf>
    <xf borderId="0" fillId="0" fontId="20" numFmtId="14" xfId="0" applyAlignment="1" applyFont="1" applyNumberFormat="1">
      <alignment horizontal="center" vertical="center"/>
    </xf>
    <xf borderId="3" fillId="2" fontId="17" numFmtId="164" xfId="0" applyAlignment="1" applyBorder="1" applyFont="1" applyNumberFormat="1">
      <alignment horizontal="center" shrinkToFit="0" vertical="center" wrapText="1"/>
    </xf>
    <xf borderId="3" fillId="2" fontId="20" numFmtId="164" xfId="0" applyAlignment="1" applyBorder="1" applyFont="1" applyNumberFormat="1">
      <alignment horizontal="center" vertical="center"/>
    </xf>
    <xf borderId="0" fillId="0" fontId="20" numFmtId="164" xfId="0" applyAlignment="1" applyFont="1" applyNumberFormat="1">
      <alignment horizontal="center" vertical="center"/>
    </xf>
    <xf borderId="1" fillId="0" fontId="21" numFmtId="0" xfId="0" applyAlignment="1" applyBorder="1" applyFont="1">
      <alignment horizontal="center" shrinkToFit="0" vertical="center" wrapText="1"/>
    </xf>
    <xf borderId="1" fillId="0" fontId="21" numFmtId="164" xfId="0" applyAlignment="1" applyBorder="1" applyFont="1" applyNumberFormat="1">
      <alignment horizontal="center" shrinkToFit="0" vertical="center" wrapText="1"/>
    </xf>
    <xf borderId="1" fillId="0" fontId="21" numFmtId="165" xfId="0" applyAlignment="1" applyBorder="1" applyFont="1" applyNumberFormat="1">
      <alignment horizontal="center" shrinkToFit="0" vertical="center" wrapText="1"/>
    </xf>
    <xf borderId="1" fillId="0" fontId="21" numFmtId="4" xfId="0" applyAlignment="1" applyBorder="1" applyFont="1" applyNumberFormat="1">
      <alignment horizontal="center" shrinkToFit="0" vertical="center" wrapText="1"/>
    </xf>
    <xf borderId="1" fillId="0" fontId="21" numFmtId="176" xfId="0" applyAlignment="1" applyBorder="1" applyFont="1" applyNumberFormat="1">
      <alignment horizontal="center" shrinkToFit="0" vertical="center" wrapText="1"/>
    </xf>
    <xf borderId="1" fillId="0" fontId="11" numFmtId="0" xfId="0" applyAlignment="1" applyBorder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6" fillId="0" fontId="5" numFmtId="4" xfId="0" applyAlignment="1" applyBorder="1" applyFont="1" applyNumberFormat="1">
      <alignment horizontal="center" shrinkToFit="0" vertical="center" wrapText="1"/>
    </xf>
    <xf borderId="6" fillId="0" fontId="5" numFmtId="165" xfId="0" applyAlignment="1" applyBorder="1" applyFont="1" applyNumberFormat="1">
      <alignment horizontal="center" shrinkToFit="0" vertical="center" wrapText="1"/>
    </xf>
    <xf borderId="1" fillId="0" fontId="5" numFmtId="164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11" numFmtId="176" xfId="0" applyAlignment="1" applyBorder="1" applyFont="1" applyNumberFormat="1">
      <alignment horizontal="center" readingOrder="0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6" fillId="0" fontId="1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2" fontId="11" numFmtId="0" xfId="0" applyAlignment="1" applyBorder="1" applyFont="1">
      <alignment horizontal="center" readingOrder="0" vertical="center"/>
    </xf>
    <xf borderId="1" fillId="0" fontId="11" numFmtId="165" xfId="0" applyAlignment="1" applyBorder="1" applyFont="1" applyNumberFormat="1">
      <alignment horizontal="center" readingOrder="0" vertical="center"/>
    </xf>
    <xf borderId="1" fillId="0" fontId="11" numFmtId="4" xfId="0" applyAlignment="1" applyBorder="1" applyFont="1" applyNumberFormat="1">
      <alignment horizontal="center" readingOrder="0" vertical="center"/>
    </xf>
    <xf borderId="1" fillId="0" fontId="11" numFmtId="176" xfId="0" applyAlignment="1" applyBorder="1" applyFont="1" applyNumberFormat="1">
      <alignment horizontal="center" readingOrder="0" vertical="center"/>
    </xf>
    <xf borderId="5" fillId="2" fontId="5" numFmtId="4" xfId="0" applyAlignment="1" applyBorder="1" applyFont="1" applyNumberFormat="1">
      <alignment horizontal="center" vertical="center"/>
    </xf>
    <xf borderId="1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1" fillId="2" fontId="11" numFmtId="0" xfId="0" applyAlignment="1" applyBorder="1" applyFont="1">
      <alignment horizontal="left" shrinkToFit="0" vertical="center" wrapText="1"/>
    </xf>
    <xf borderId="1" fillId="2" fontId="22" numFmtId="0" xfId="0" applyBorder="1" applyFont="1"/>
    <xf borderId="1" fillId="0" fontId="5" numFmtId="4" xfId="0" applyAlignment="1" applyBorder="1" applyFont="1" applyNumberFormat="1">
      <alignment horizontal="center" readingOrder="0" vertical="center"/>
    </xf>
    <xf borderId="0" fillId="0" fontId="5" numFmtId="165" xfId="0" applyAlignment="1" applyFont="1" applyNumberFormat="1">
      <alignment horizontal="center" readingOrder="0"/>
    </xf>
    <xf borderId="1" fillId="0" fontId="11" numFmtId="0" xfId="0" applyAlignment="1" applyBorder="1" applyFont="1">
      <alignment horizontal="left" readingOrder="0" shrinkToFit="0" vertical="center" wrapText="1"/>
    </xf>
    <xf borderId="6" fillId="0" fontId="5" numFmtId="165" xfId="0" applyAlignment="1" applyBorder="1" applyFont="1" applyNumberFormat="1">
      <alignment horizontal="center" readingOrder="0" vertical="center"/>
    </xf>
    <xf borderId="6" fillId="0" fontId="5" numFmtId="4" xfId="0" applyAlignment="1" applyBorder="1" applyFont="1" applyNumberFormat="1">
      <alignment horizontal="center" readingOrder="0" vertical="center"/>
    </xf>
    <xf borderId="2" fillId="0" fontId="5" numFmtId="167" xfId="0" applyAlignment="1" applyBorder="1" applyFont="1" applyNumberFormat="1">
      <alignment shrinkToFit="0" vertical="center" wrapText="1"/>
    </xf>
    <xf borderId="6" fillId="0" fontId="5" numFmtId="165" xfId="0" applyAlignment="1" applyBorder="1" applyFont="1" applyNumberFormat="1">
      <alignment horizontal="center" readingOrder="0" shrinkToFit="0" vertical="center" wrapText="1"/>
    </xf>
    <xf borderId="6" fillId="0" fontId="5" numFmtId="4" xfId="0" applyAlignment="1" applyBorder="1" applyFont="1" applyNumberFormat="1">
      <alignment horizontal="center" readingOrder="0" shrinkToFit="0" vertical="center" wrapText="1"/>
    </xf>
    <xf borderId="1" fillId="0" fontId="5" numFmtId="176" xfId="0" applyAlignment="1" applyBorder="1" applyFont="1" applyNumberFormat="1">
      <alignment horizontal="center" readingOrder="0" vertical="center"/>
    </xf>
    <xf borderId="1" fillId="0" fontId="5" numFmtId="167" xfId="0" applyAlignment="1" applyBorder="1" applyFont="1" applyNumberFormat="1">
      <alignment readingOrder="0" shrinkToFit="0" vertical="center" wrapText="1"/>
    </xf>
    <xf borderId="1" fillId="0" fontId="5" numFmtId="165" xfId="0" applyAlignment="1" applyBorder="1" applyFont="1" applyNumberFormat="1">
      <alignment horizontal="center" readingOrder="0" vertical="center"/>
    </xf>
    <xf borderId="1" fillId="0" fontId="11" numFmtId="170" xfId="0" applyAlignment="1" applyBorder="1" applyFont="1" applyNumberFormat="1">
      <alignment horizontal="center" readingOrder="0" vertical="center"/>
    </xf>
    <xf borderId="1" fillId="0" fontId="5" numFmtId="168" xfId="0" applyAlignment="1" applyBorder="1" applyFont="1" applyNumberFormat="1">
      <alignment horizontal="center" readingOrder="0" shrinkToFit="0" vertical="center" wrapText="1"/>
    </xf>
    <xf borderId="1" fillId="2" fontId="5" numFmtId="165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0" numFmtId="4" xfId="0" applyAlignment="1" applyFont="1" applyNumberFormat="1">
      <alignment horizontal="center" readingOrder="0"/>
    </xf>
    <xf borderId="1" fillId="2" fontId="5" numFmtId="4" xfId="0" applyAlignment="1" applyBorder="1" applyFont="1" applyNumberFormat="1">
      <alignment horizontal="center" readingOrder="0" vertical="center"/>
    </xf>
    <xf borderId="1" fillId="2" fontId="11" numFmtId="176" xfId="0" applyAlignment="1" applyBorder="1" applyFont="1" applyNumberFormat="1">
      <alignment horizontal="center" readingOrder="0" vertical="center"/>
    </xf>
    <xf borderId="1" fillId="2" fontId="5" numFmtId="176" xfId="0" applyAlignment="1" applyBorder="1" applyFont="1" applyNumberFormat="1">
      <alignment horizontal="center" readingOrder="0" vertical="center"/>
    </xf>
    <xf borderId="1" fillId="0" fontId="11" numFmtId="165" xfId="0" applyAlignment="1" applyBorder="1" applyFont="1" applyNumberFormat="1">
      <alignment horizontal="center" readingOrder="0" shrinkToFit="0" vertical="center" wrapText="1"/>
    </xf>
    <xf borderId="1" fillId="0" fontId="11" numFmtId="176" xfId="0" applyAlignment="1" applyBorder="1" applyFont="1" applyNumberFormat="1">
      <alignment horizontal="center" vertical="center"/>
    </xf>
    <xf borderId="0" fillId="0" fontId="5" numFmtId="165" xfId="0" applyAlignment="1" applyFont="1" applyNumberFormat="1">
      <alignment readingOrder="0" vertical="center"/>
    </xf>
    <xf borderId="1" fillId="0" fontId="11" numFmtId="164" xfId="0" applyAlignment="1" applyBorder="1" applyFont="1" applyNumberForma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readingOrder="0" vertical="center"/>
    </xf>
    <xf borderId="0" fillId="0" fontId="5" numFmtId="164" xfId="0" applyAlignment="1" applyFont="1" applyNumberFormat="1">
      <alignment horizontal="center" vertical="center"/>
    </xf>
    <xf borderId="0" fillId="0" fontId="5" numFmtId="165" xfId="0" applyAlignment="1" applyFont="1" applyNumberFormat="1">
      <alignment horizontal="center" vertical="center"/>
    </xf>
    <xf borderId="0" fillId="0" fontId="5" numFmtId="4" xfId="0" applyAlignment="1" applyFont="1" applyNumberFormat="1">
      <alignment horizontal="center" vertical="center"/>
    </xf>
    <xf borderId="0" fillId="0" fontId="5" numFmtId="176" xfId="0" applyAlignment="1" applyFont="1" applyNumberFormat="1">
      <alignment horizontal="center" vertical="center"/>
    </xf>
    <xf borderId="0" fillId="0" fontId="11" numFmtId="4" xfId="0" applyAlignment="1" applyFont="1" applyNumberForma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8" numFmtId="165" xfId="0" applyAlignment="1" applyBorder="1" applyFont="1" applyNumberFormat="1">
      <alignment horizontal="center" vertical="center"/>
    </xf>
    <xf borderId="1" fillId="0" fontId="8" numFmtId="4" xfId="0" applyAlignment="1" applyBorder="1" applyFont="1" applyNumberFormat="1">
      <alignment horizontal="center" vertical="center"/>
    </xf>
    <xf borderId="1" fillId="0" fontId="21" numFmtId="0" xfId="0" applyAlignment="1" applyBorder="1" applyFont="1">
      <alignment horizontal="center"/>
    </xf>
    <xf borderId="1" fillId="0" fontId="13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0" fontId="14" numFmtId="0" xfId="0" applyAlignment="1" applyBorder="1" applyFont="1">
      <alignment horizontal="left" shrinkToFit="0" vertical="center" wrapText="1"/>
    </xf>
    <xf borderId="1" fillId="2" fontId="5" numFmtId="4" xfId="0" applyAlignment="1" applyBorder="1" applyFont="1" applyNumberFormat="1">
      <alignment horizontal="center" readingOrder="0"/>
    </xf>
    <xf borderId="0" fillId="0" fontId="5" numFmtId="19" xfId="0" applyAlignment="1" applyFont="1" applyNumberFormat="1">
      <alignment horizontal="center" readingOrder="0"/>
    </xf>
    <xf borderId="1" fillId="0" fontId="5" numFmtId="4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5" numFmtId="19" xfId="0" applyAlignment="1" applyBorder="1" applyFont="1" applyNumberFormat="1">
      <alignment horizontal="center" readingOrder="0" shrinkToFit="0" vertical="center" wrapText="1"/>
    </xf>
    <xf borderId="1" fillId="0" fontId="5" numFmtId="19" xfId="0" applyAlignment="1" applyBorder="1" applyFont="1" applyNumberFormat="1">
      <alignment horizontal="center" readingOrder="0"/>
    </xf>
    <xf borderId="1" fillId="2" fontId="11" numFmtId="165" xfId="0" applyAlignment="1" applyBorder="1" applyFont="1" applyNumberFormat="1">
      <alignment horizontal="center" readingOrder="0" shrinkToFit="0" vertical="center" wrapText="1"/>
    </xf>
    <xf borderId="1" fillId="2" fontId="11" numFmtId="165" xfId="0" applyAlignment="1" applyBorder="1" applyFont="1" applyNumberFormat="1">
      <alignment horizontal="center" readingOrder="0" shrinkToFit="0" wrapText="1"/>
    </xf>
    <xf borderId="1" fillId="2" fontId="11" numFmtId="4" xfId="0" applyAlignment="1" applyBorder="1" applyFont="1" applyNumberFormat="1">
      <alignment horizontal="center" readingOrder="0"/>
    </xf>
    <xf borderId="1" fillId="0" fontId="15" numFmtId="0" xfId="0" applyAlignment="1" applyBorder="1" applyFont="1">
      <alignment horizontal="left" shrinkToFit="0" vertical="center" wrapText="1"/>
    </xf>
    <xf borderId="0" fillId="0" fontId="11" numFmtId="0" xfId="0" applyFont="1"/>
    <xf borderId="1" fillId="2" fontId="11" numFmtId="165" xfId="0" applyAlignment="1" applyBorder="1" applyFont="1" applyNumberFormat="1">
      <alignment horizontal="center" readingOrder="0"/>
    </xf>
    <xf borderId="1" fillId="2" fontId="5" numFmtId="165" xfId="0" applyAlignment="1" applyBorder="1" applyFont="1" applyNumberFormat="1">
      <alignment horizontal="center" readingOrder="0"/>
    </xf>
    <xf borderId="1" fillId="0" fontId="11" numFmtId="0" xfId="0" applyBorder="1" applyFont="1"/>
    <xf borderId="1" fillId="0" fontId="5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horizontal="center"/>
    </xf>
    <xf borderId="0" fillId="0" fontId="7" numFmtId="165" xfId="0" applyFont="1" applyNumberFormat="1"/>
    <xf borderId="0" fillId="0" fontId="1" numFmtId="165" xfId="0" applyFont="1" applyNumberFormat="1"/>
    <xf borderId="0" fillId="0" fontId="5" numFmtId="4" xfId="0" applyFont="1" applyNumberFormat="1"/>
    <xf borderId="0" fillId="0" fontId="14" numFmtId="0" xfId="0" applyFont="1"/>
    <xf borderId="0" fillId="0" fontId="13" numFmtId="1" xfId="0" applyAlignment="1" applyFont="1" applyNumberFormat="1">
      <alignment horizontal="center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2" fontId="2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shrinkToFit="0" wrapText="0"/>
    </xf>
    <xf borderId="0" fillId="0" fontId="4" numFmtId="22" xfId="0" applyAlignment="1" applyFont="1" applyNumberFormat="1">
      <alignment horizontal="center" readingOrder="0" shrinkToFit="0" wrapText="0"/>
    </xf>
    <xf borderId="0" fillId="0" fontId="4" numFmtId="1" xfId="0" applyAlignment="1" applyFont="1" applyNumberFormat="1">
      <alignment horizontal="center" readingOrder="0" shrinkToFit="0" wrapText="0"/>
    </xf>
    <xf borderId="0" fillId="2" fontId="4" numFmtId="0" xfId="0" applyAlignment="1" applyFont="1">
      <alignment horizontal="center" vertical="center"/>
    </xf>
    <xf borderId="0" fillId="8" fontId="4" numFmtId="0" xfId="0" applyAlignment="1" applyFill="1" applyFont="1">
      <alignment horizontal="center" readingOrder="0" shrinkToFit="0" wrapText="0"/>
    </xf>
    <xf borderId="0" fillId="8" fontId="4" numFmtId="22" xfId="0" applyAlignment="1" applyFont="1" applyNumberFormat="1">
      <alignment horizontal="center" readingOrder="0" shrinkToFit="0" wrapText="0"/>
    </xf>
    <xf borderId="0" fillId="8" fontId="4" numFmtId="1" xfId="0" applyAlignment="1" applyFont="1" applyNumberFormat="1">
      <alignment horizontal="center" readingOrder="0" shrinkToFit="0" wrapText="0"/>
    </xf>
    <xf borderId="0" fillId="0" fontId="4" numFmtId="171" xfId="0" applyAlignment="1" applyFont="1" applyNumberFormat="1">
      <alignment horizontal="center" readingOrder="0" shrinkToFit="0" wrapText="0"/>
    </xf>
    <xf borderId="0" fillId="8" fontId="4" numFmtId="171" xfId="0" applyAlignment="1" applyFont="1" applyNumberFormat="1">
      <alignment horizontal="center" readingOrder="0" shrinkToFit="0" wrapText="0"/>
    </xf>
    <xf borderId="0" fillId="0" fontId="15" numFmtId="0" xfId="0" applyAlignment="1" applyFont="1">
      <alignment horizontal="left" readingOrder="0" vertical="center"/>
    </xf>
    <xf borderId="0" fillId="0" fontId="4" numFmtId="22" xfId="0" applyAlignment="1" applyFont="1" applyNumberFormat="1">
      <alignment horizontal="center" shrinkToFit="0" wrapText="0"/>
    </xf>
    <xf borderId="0" fillId="0" fontId="15" numFmtId="0" xfId="0" applyAlignment="1" applyFont="1">
      <alignment horizontal="center" readingOrder="0" vertical="center"/>
    </xf>
    <xf borderId="0" fillId="2" fontId="4" numFmtId="1" xfId="0" applyAlignment="1" applyFont="1" applyNumberFormat="1">
      <alignment horizontal="center" readingOrder="0" shrinkToFit="0" wrapText="0"/>
    </xf>
    <xf borderId="0" fillId="2" fontId="4" numFmtId="171" xfId="0" applyAlignment="1" applyFont="1" applyNumberFormat="1">
      <alignment horizontal="center" readingOrder="0" shrinkToFit="0" wrapText="0"/>
    </xf>
    <xf borderId="0" fillId="2" fontId="4" numFmtId="0" xfId="0" applyAlignment="1" applyFont="1">
      <alignment horizontal="center" readingOrder="0" shrinkToFit="0" wrapText="0"/>
    </xf>
    <xf borderId="0" fillId="0" fontId="4" numFmtId="177" xfId="0" applyAlignment="1" applyFont="1" applyNumberFormat="1">
      <alignment horizontal="center" readingOrder="0" shrinkToFit="0" wrapText="0"/>
    </xf>
    <xf borderId="0" fillId="8" fontId="4" numFmtId="177" xfId="0" applyAlignment="1" applyFont="1" applyNumberFormat="1">
      <alignment horizontal="center" readingOrder="0" shrinkToFit="0" wrapText="0"/>
    </xf>
    <xf borderId="0" fillId="0" fontId="24" numFmtId="0" xfId="0" applyAlignment="1" applyFont="1">
      <alignment horizontal="center" readingOrder="0" shrinkToFit="0" vertical="bottom" wrapText="0"/>
    </xf>
    <xf borderId="0" fillId="0" fontId="24" numFmtId="0" xfId="0" applyAlignment="1" applyFont="1">
      <alignment horizontal="center" shrinkToFit="0" vertical="bottom" wrapText="0"/>
    </xf>
    <xf borderId="0" fillId="0" fontId="24" numFmtId="22" xfId="0" applyAlignment="1" applyFont="1" applyNumberFormat="1">
      <alignment horizontal="center" readingOrder="0" shrinkToFit="0" vertical="bottom" wrapText="0"/>
    </xf>
    <xf borderId="0" fillId="0" fontId="24" numFmtId="1" xfId="0" applyAlignment="1" applyFont="1" applyNumberFormat="1">
      <alignment horizontal="center" readingOrder="0" shrinkToFit="0" vertical="bottom" wrapText="0"/>
    </xf>
    <xf borderId="0" fillId="8" fontId="24" numFmtId="0" xfId="0" applyAlignment="1" applyFont="1">
      <alignment horizontal="center" readingOrder="0" shrinkToFit="0" vertical="bottom" wrapText="0"/>
    </xf>
    <xf borderId="0" fillId="8" fontId="24" numFmtId="22" xfId="0" applyAlignment="1" applyFont="1" applyNumberFormat="1">
      <alignment horizontal="center" readingOrder="0" shrinkToFit="0" vertical="bottom" wrapText="0"/>
    </xf>
    <xf borderId="0" fillId="8" fontId="24" numFmtId="1" xfId="0" applyAlignment="1" applyFont="1" applyNumberFormat="1">
      <alignment horizontal="center" readingOrder="0" shrinkToFit="0" vertical="bottom" wrapText="0"/>
    </xf>
    <xf borderId="0" fillId="8" fontId="25" numFmtId="0" xfId="0" applyAlignment="1" applyFont="1">
      <alignment horizontal="center" readingOrder="0" shrinkToFit="0" vertical="bottom" wrapText="0"/>
    </xf>
    <xf borderId="0" fillId="0" fontId="25" numFmtId="1" xfId="0" applyAlignment="1" applyFont="1" applyNumberFormat="1">
      <alignment horizontal="center" readingOrder="0" shrinkToFit="0" vertical="bottom" wrapText="0"/>
    </xf>
    <xf borderId="0" fillId="9" fontId="25" numFmtId="0" xfId="0" applyAlignment="1" applyFill="1" applyFont="1">
      <alignment horizontal="center" readingOrder="0" shrinkToFit="0" vertical="bottom" wrapText="0"/>
    </xf>
    <xf borderId="0" fillId="8" fontId="24" numFmtId="0" xfId="0" applyAlignment="1" applyFont="1">
      <alignment horizontal="center" shrinkToFit="0" vertical="bottom" wrapText="0"/>
    </xf>
    <xf borderId="0" fillId="0" fontId="24" numFmtId="178" xfId="0" applyAlignment="1" applyFont="1" applyNumberFormat="1">
      <alignment horizontal="center" readingOrder="0" shrinkToFit="0" vertical="bottom" wrapText="0"/>
    </xf>
    <xf borderId="0" fillId="8" fontId="24" numFmtId="178" xfId="0" applyAlignment="1" applyFont="1" applyNumberFormat="1">
      <alignment horizontal="center" readingOrder="0" shrinkToFit="0" vertical="bottom" wrapText="0"/>
    </xf>
    <xf borderId="0" fillId="0" fontId="24" numFmtId="179" xfId="0" applyAlignment="1" applyFont="1" applyNumberFormat="1">
      <alignment horizontal="center" readingOrder="0" shrinkToFit="0" vertical="bottom" wrapText="0"/>
    </xf>
    <xf borderId="0" fillId="8" fontId="15" numFmtId="0" xfId="0" applyAlignment="1" applyFont="1">
      <alignment horizontal="center" shrinkToFit="0" wrapText="0"/>
    </xf>
    <xf borderId="0" fillId="8" fontId="14" numFmtId="0" xfId="0" applyAlignment="1" applyFont="1">
      <alignment horizontal="center" vertical="center"/>
    </xf>
    <xf borderId="0" fillId="8" fontId="5" numFmtId="0" xfId="0" applyAlignment="1" applyFont="1">
      <alignment vertical="center"/>
    </xf>
    <xf borderId="0" fillId="0" fontId="15" numFmtId="0" xfId="0" applyAlignment="1" applyFont="1">
      <alignment horizontal="center" shrinkToFit="0" wrapText="0"/>
    </xf>
    <xf borderId="0" fillId="2" fontId="15" numFmtId="0" xfId="0" applyAlignment="1" applyFont="1">
      <alignment horizontal="center" shrinkToFit="0" wrapText="0"/>
    </xf>
    <xf borderId="0" fillId="2" fontId="15" numFmtId="22" xfId="0" applyAlignment="1" applyFont="1" applyNumberFormat="1">
      <alignment horizontal="center" shrinkToFit="0" wrapText="0"/>
    </xf>
    <xf borderId="0" fillId="2" fontId="15" numFmtId="1" xfId="0" applyAlignment="1" applyFont="1" applyNumberFormat="1">
      <alignment horizontal="center" shrinkToFit="0" wrapText="0"/>
    </xf>
    <xf borderId="0" fillId="2" fontId="7" numFmtId="1" xfId="0" applyAlignment="1" applyFont="1" applyNumberFormat="1">
      <alignment horizontal="center"/>
    </xf>
    <xf borderId="0" fillId="0" fontId="15" numFmtId="1" xfId="0" applyAlignment="1" applyFont="1" applyNumberFormat="1">
      <alignment horizontal="center" shrinkToFit="0" wrapText="0"/>
    </xf>
    <xf borderId="0" fillId="2" fontId="5" numFmtId="0" xfId="0" applyAlignment="1" applyFont="1">
      <alignment shrinkToFit="0" vertical="center" wrapText="1"/>
    </xf>
    <xf borderId="0" fillId="2" fontId="7" numFmtId="0" xfId="0" applyAlignment="1" applyFont="1">
      <alignment horizontal="center"/>
    </xf>
    <xf borderId="0" fillId="0" fontId="5" numFmtId="4" xfId="0" applyAlignment="1" applyFont="1" applyNumberFormat="1">
      <alignment horizontal="center"/>
    </xf>
    <xf borderId="0" fillId="0" fontId="7" numFmtId="0" xfId="0" applyAlignment="1" applyFont="1">
      <alignment horizontal="center"/>
    </xf>
    <xf borderId="0" fillId="0" fontId="5" numFmtId="168" xfId="0" applyAlignment="1" applyFont="1" applyNumberFormat="1">
      <alignment horizontal="center" readingOrder="0"/>
    </xf>
    <xf borderId="0" fillId="0" fontId="5" numFmtId="4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7" numFmtId="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21" numFmtId="0" xfId="0" applyAlignment="1" applyFont="1">
      <alignment horizontal="center" shrinkToFit="0" vertical="center" wrapText="1"/>
    </xf>
    <xf borderId="0" fillId="0" fontId="21" numFmtId="175" xfId="0" applyAlignment="1" applyFont="1" applyNumberFormat="1">
      <alignment horizontal="center" shrinkToFit="0" vertical="center" wrapText="1"/>
    </xf>
    <xf borderId="0" fillId="0" fontId="21" numFmtId="1" xfId="0" applyAlignment="1" applyFont="1" applyNumberFormat="1">
      <alignment horizontal="center" shrinkToFit="0" vertical="center" wrapText="1"/>
    </xf>
    <xf borderId="0" fillId="0" fontId="21" numFmtId="1" xfId="0" applyAlignment="1" applyFont="1" applyNumberFormat="1">
      <alignment horizontal="center" readingOrder="0" shrinkToFit="0" vertical="center" wrapText="1"/>
    </xf>
    <xf borderId="0" fillId="0" fontId="11" numFmtId="0" xfId="0" applyAlignment="1" applyFont="1">
      <alignment shrinkToFit="0" wrapText="1"/>
    </xf>
    <xf borderId="0" fillId="2" fontId="11" numFmtId="0" xfId="0" applyAlignment="1" applyFont="1">
      <alignment shrinkToFit="0" wrapText="1"/>
    </xf>
    <xf borderId="0" fillId="2" fontId="5" numFmtId="0" xfId="0" applyAlignment="1" applyFont="1">
      <alignment shrinkToFit="0" wrapText="1"/>
    </xf>
    <xf borderId="0" fillId="0" fontId="11" numFmtId="0" xfId="0" applyAlignment="1" applyFont="1">
      <alignment horizontal="center" readingOrder="0" shrinkToFit="0" wrapText="0"/>
    </xf>
    <xf borderId="0" fillId="0" fontId="11" numFmtId="177" xfId="0" applyAlignment="1" applyFont="1" applyNumberFormat="1">
      <alignment horizontal="center" readingOrder="0" shrinkToFit="0" wrapText="0"/>
    </xf>
    <xf borderId="0" fillId="0" fontId="11" numFmtId="0" xfId="0" applyAlignment="1" applyFont="1">
      <alignment horizontal="center" shrinkToFit="0" wrapText="0"/>
    </xf>
    <xf borderId="0" fillId="0" fontId="5" numFmtId="175" xfId="0" applyFont="1" applyNumberFormat="1"/>
    <xf borderId="0" fillId="0" fontId="5" numFmtId="1" xfId="0" applyFont="1" applyNumberFormat="1"/>
    <xf borderId="0" fillId="0" fontId="11" numFmtId="1" xfId="0" applyAlignment="1" applyFont="1" applyNumberFormat="1">
      <alignment horizontal="center" readingOrder="0" shrinkToFit="0" wrapText="0"/>
    </xf>
    <xf borderId="0" fillId="0" fontId="11" numFmtId="175" xfId="0" applyAlignment="1" applyFont="1" applyNumberFormat="1">
      <alignment horizontal="center" readingOrder="0" shrinkToFit="0" wrapText="0"/>
    </xf>
    <xf borderId="0" fillId="0" fontId="11" numFmtId="175" xfId="0" applyAlignment="1" applyFont="1" applyNumberFormat="1">
      <alignment horizontal="center" shrinkToFit="0" wrapText="0"/>
    </xf>
    <xf borderId="0" fillId="2" fontId="11" numFmtId="0" xfId="0" applyFont="1"/>
    <xf borderId="0" fillId="0" fontId="11" numFmtId="10" xfId="0" applyAlignment="1" applyFont="1" applyNumberFormat="1">
      <alignment horizontal="center" readingOrder="0" shrinkToFit="0" wrapText="0"/>
    </xf>
    <xf borderId="0" fillId="8" fontId="11" numFmtId="0" xfId="0" applyAlignment="1" applyFont="1">
      <alignment horizontal="center" readingOrder="0" shrinkToFit="0" wrapText="0"/>
    </xf>
    <xf borderId="0" fillId="8" fontId="11" numFmtId="177" xfId="0" applyAlignment="1" applyFont="1" applyNumberFormat="1">
      <alignment horizontal="center" readingOrder="0" shrinkToFit="0" wrapText="0"/>
    </xf>
    <xf borderId="0" fillId="8" fontId="11" numFmtId="0" xfId="0" applyAlignment="1" applyFont="1">
      <alignment horizontal="center" shrinkToFit="0" wrapText="0"/>
    </xf>
    <xf borderId="0" fillId="8" fontId="11" numFmtId="175" xfId="0" applyAlignment="1" applyFont="1" applyNumberFormat="1">
      <alignment horizontal="center" readingOrder="0" shrinkToFit="0" wrapText="0"/>
    </xf>
    <xf borderId="0" fillId="8" fontId="11" numFmtId="175" xfId="0" applyAlignment="1" applyFont="1" applyNumberFormat="1">
      <alignment horizontal="center" shrinkToFit="0" wrapText="0"/>
    </xf>
    <xf borderId="0" fillId="0" fontId="11" numFmtId="10" xfId="0" applyAlignment="1" applyFont="1" applyNumberFormat="1">
      <alignment horizontal="center" shrinkToFit="0" wrapText="0"/>
    </xf>
    <xf borderId="0" fillId="0" fontId="11" numFmtId="1" xfId="0" applyAlignment="1" applyFont="1" applyNumberFormat="1">
      <alignment horizontal="center" shrinkToFit="0" wrapText="0"/>
    </xf>
    <xf borderId="0" fillId="8" fontId="11" numFmtId="1" xfId="0" applyAlignment="1" applyFont="1" applyNumberFormat="1">
      <alignment horizontal="center" shrinkToFit="0" wrapText="0"/>
    </xf>
    <xf borderId="0" fillId="0" fontId="0" numFmtId="0" xfId="0" applyFont="1"/>
    <xf borderId="0" fillId="0" fontId="5" numFmtId="0" xfId="0" applyFont="1"/>
    <xf borderId="0" fillId="0" fontId="11" numFmtId="0" xfId="0" applyAlignment="1" applyFont="1">
      <alignment horizontal="center" readingOrder="0" shrinkToFit="0" vertical="bottom" wrapText="0"/>
    </xf>
    <xf borderId="0" fillId="0" fontId="11" numFmtId="177" xfId="0" applyAlignment="1" applyFont="1" applyNumberFormat="1">
      <alignment horizontal="center" readingOrder="0" shrinkToFit="0" vertical="bottom" wrapText="0"/>
    </xf>
    <xf borderId="0" fillId="0" fontId="11" numFmtId="0" xfId="0" applyAlignment="1" applyFont="1">
      <alignment horizontal="center" shrinkToFit="0" vertical="bottom" wrapText="0"/>
    </xf>
    <xf borderId="0" fillId="0" fontId="11" numFmtId="175" xfId="0" applyAlignment="1" applyFont="1" applyNumberFormat="1">
      <alignment horizontal="center" readingOrder="0" shrinkToFit="0" vertical="bottom" wrapText="0"/>
    </xf>
    <xf borderId="0" fillId="0" fontId="11" numFmtId="1" xfId="0" applyAlignment="1" applyFont="1" applyNumberFormat="1">
      <alignment shrinkToFit="0" vertical="bottom" wrapText="0"/>
    </xf>
    <xf borderId="0" fillId="8" fontId="11" numFmtId="0" xfId="0" applyAlignment="1" applyFont="1">
      <alignment horizontal="center" readingOrder="0" shrinkToFit="0" vertical="bottom" wrapText="0"/>
    </xf>
    <xf borderId="0" fillId="8" fontId="11" numFmtId="177" xfId="0" applyAlignment="1" applyFont="1" applyNumberFormat="1">
      <alignment horizontal="center" readingOrder="0" shrinkToFit="0" vertical="bottom" wrapText="0"/>
    </xf>
    <xf borderId="0" fillId="2" fontId="11" numFmtId="1" xfId="0" applyAlignment="1" applyFont="1" applyNumberFormat="1">
      <alignment horizontal="center"/>
    </xf>
    <xf borderId="0" fillId="2" fontId="11" numFmtId="0" xfId="0" applyAlignment="1" applyFont="1">
      <alignment horizontal="center"/>
    </xf>
    <xf borderId="0" fillId="2" fontId="11" numFmtId="0" xfId="0" applyAlignment="1" applyFont="1">
      <alignment horizontal="left"/>
    </xf>
    <xf borderId="0" fillId="2" fontId="11" numFmtId="175" xfId="0" applyAlignment="1" applyFont="1" applyNumberFormat="1">
      <alignment horizontal="center"/>
    </xf>
    <xf borderId="0" fillId="2" fontId="11" numFmtId="1" xfId="0" applyAlignment="1" applyFont="1" applyNumberFormat="1">
      <alignment horizontal="center" shrinkToFit="0" vertical="bottom" wrapText="0"/>
    </xf>
    <xf borderId="0" fillId="8" fontId="11" numFmtId="0" xfId="0" applyAlignment="1" applyFont="1">
      <alignment horizontal="center" shrinkToFit="0" vertical="bottom" wrapText="0"/>
    </xf>
    <xf borderId="0" fillId="8" fontId="11" numFmtId="175" xfId="0" applyAlignment="1" applyFont="1" applyNumberFormat="1">
      <alignment horizontal="center" readingOrder="0" shrinkToFit="0" vertical="bottom" wrapText="0"/>
    </xf>
    <xf borderId="0" fillId="0" fontId="11" numFmtId="10" xfId="0" applyAlignment="1" applyFont="1" applyNumberFormat="1">
      <alignment horizontal="center" shrinkToFit="0" vertical="bottom" wrapText="0"/>
    </xf>
    <xf borderId="0" fillId="8" fontId="11" numFmtId="10" xfId="0" applyAlignment="1" applyFont="1" applyNumberFormat="1">
      <alignment horizontal="center" shrinkToFit="0" vertical="bottom" wrapText="0"/>
    </xf>
    <xf borderId="0" fillId="0" fontId="11" numFmtId="1" xfId="0" applyAlignment="1" applyFont="1" applyNumberFormat="1">
      <alignment horizontal="center" readingOrder="0" shrinkToFit="0" vertical="bottom" wrapText="0"/>
    </xf>
    <xf borderId="0" fillId="0" fontId="11" numFmtId="1" xfId="0" applyAlignment="1" applyFont="1" applyNumberFormat="1">
      <alignment horizontal="center" readingOrder="0"/>
    </xf>
    <xf borderId="0" fillId="0" fontId="11" numFmtId="179" xfId="0" applyAlignment="1" applyFont="1" applyNumberFormat="1">
      <alignment horizontal="center" readingOrder="0" shrinkToFit="0" vertical="bottom" wrapText="0"/>
    </xf>
    <xf borderId="0" fillId="2" fontId="11" numFmtId="1" xfId="0" applyAlignment="1" applyFont="1" applyNumberFormat="1">
      <alignment horizontal="center" vertical="center"/>
    </xf>
    <xf borderId="0" fillId="8" fontId="11" numFmtId="179" xfId="0" applyAlignment="1" applyFont="1" applyNumberFormat="1">
      <alignment horizontal="center" readingOrder="0" shrinkToFit="0" vertical="bottom" wrapText="0"/>
    </xf>
    <xf borderId="0" fillId="2" fontId="11" numFmtId="180" xfId="0" applyAlignment="1" applyFont="1" applyNumberFormat="1">
      <alignment horizontal="center"/>
    </xf>
    <xf borderId="0" fillId="2" fontId="11" numFmtId="0" xfId="0" applyAlignment="1" applyFont="1">
      <alignment horizontal="center" vertical="center"/>
    </xf>
    <xf borderId="0" fillId="2" fontId="11" numFmtId="175" xfId="0" applyAlignment="1" applyFont="1" applyNumberFormat="1">
      <alignment horizontal="center" vertical="center"/>
    </xf>
    <xf borderId="0" fillId="2" fontId="11" numFmtId="10" xfId="0" applyAlignment="1" applyFont="1" applyNumberFormat="1">
      <alignment horizontal="center"/>
    </xf>
    <xf borderId="0" fillId="2" fontId="11" numFmtId="22" xfId="0" applyAlignment="1" applyFont="1" applyNumberFormat="1">
      <alignment horizontal="center"/>
    </xf>
    <xf borderId="0" fillId="2" fontId="11" numFmtId="181" xfId="0" applyAlignment="1" applyFont="1" applyNumberFormat="1">
      <alignment horizontal="center"/>
    </xf>
    <xf borderId="0" fillId="2" fontId="5" numFmtId="0" xfId="0" applyAlignment="1" applyFont="1">
      <alignment horizontal="center"/>
    </xf>
    <xf borderId="0" fillId="2" fontId="5" numFmtId="0" xfId="0" applyAlignment="1" applyFont="1">
      <alignment horizontal="center" vertical="center"/>
    </xf>
    <xf borderId="0" fillId="2" fontId="5" numFmtId="0" xfId="0" applyAlignment="1" applyFont="1">
      <alignment horizontal="center" shrinkToFit="0" vertical="center" wrapText="1"/>
    </xf>
    <xf borderId="0" fillId="2" fontId="5" numFmtId="175" xfId="0" applyAlignment="1" applyFont="1" applyNumberFormat="1">
      <alignment horizontal="center" shrinkToFit="0" vertical="center" wrapText="1"/>
    </xf>
    <xf borderId="0" fillId="2" fontId="5" numFmtId="1" xfId="0" applyAlignment="1" applyFont="1" applyNumberFormat="1">
      <alignment horizontal="center" shrinkToFit="0" vertical="center" wrapText="1"/>
    </xf>
    <xf borderId="0" fillId="0" fontId="5" numFmtId="175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center" wrapText="1"/>
    </xf>
    <xf borderId="0" fillId="0" fontId="26" numFmtId="0" xfId="0" applyAlignment="1" applyFont="1">
      <alignment horizontal="center" vertical="bottom"/>
    </xf>
    <xf borderId="0" fillId="0" fontId="27" numFmtId="0" xfId="0" applyAlignment="1" applyFont="1">
      <alignment horizontal="center" vertical="bottom"/>
    </xf>
    <xf borderId="0" fillId="0" fontId="26" numFmtId="0" xfId="0" applyAlignment="1" applyFont="1">
      <alignment vertical="bottom"/>
    </xf>
    <xf borderId="0" fillId="0" fontId="27" numFmtId="176" xfId="0" applyAlignment="1" applyFont="1" applyNumberFormat="1">
      <alignment horizontal="center" vertical="bottom"/>
    </xf>
    <xf borderId="0" fillId="0" fontId="26" numFmtId="0" xfId="0" applyAlignment="1" applyFont="1">
      <alignment horizontal="center" vertical="bottom"/>
    </xf>
    <xf borderId="0" fillId="0" fontId="28" numFmtId="182" xfId="0" applyAlignment="1" applyFont="1" applyNumberFormat="1">
      <alignment horizontal="center" vertical="bottom"/>
    </xf>
    <xf borderId="0" fillId="0" fontId="28" numFmtId="0" xfId="0" applyAlignment="1" applyFont="1">
      <alignment horizontal="center" vertical="bottom"/>
    </xf>
    <xf borderId="0" fillId="0" fontId="28" numFmtId="22" xfId="0" applyAlignment="1" applyFont="1" applyNumberFormat="1">
      <alignment horizontal="center" vertical="bottom"/>
    </xf>
    <xf borderId="0" fillId="0" fontId="28" numFmtId="183" xfId="0" applyAlignment="1" applyFont="1" applyNumberFormat="1">
      <alignment horizontal="center" vertical="bottom"/>
    </xf>
    <xf borderId="0" fillId="0" fontId="28" numFmtId="2" xfId="0" applyAlignment="1" applyFont="1" applyNumberFormat="1">
      <alignment horizontal="center" vertical="bottom"/>
    </xf>
    <xf borderId="0" fillId="0" fontId="26" numFmtId="2" xfId="0" applyAlignment="1" applyFont="1" applyNumberFormat="1">
      <alignment horizontal="center" vertical="bottom"/>
    </xf>
    <xf borderId="0" fillId="10" fontId="28" numFmtId="2" xfId="0" applyAlignment="1" applyFill="1" applyFont="1" applyNumberFormat="1">
      <alignment horizontal="center" vertical="bottom"/>
    </xf>
    <xf borderId="0" fillId="0" fontId="28" numFmtId="184" xfId="0" applyAlignment="1" applyFont="1" applyNumberFormat="1">
      <alignment horizontal="center" vertical="bottom"/>
    </xf>
    <xf borderId="0" fillId="0" fontId="29" numFmtId="0" xfId="0" applyAlignment="1" applyFont="1">
      <alignment horizontal="center" readingOrder="0" vertical="bottom"/>
    </xf>
    <xf borderId="0" fillId="0" fontId="7" numFmtId="0" xfId="0" applyFont="1"/>
    <xf borderId="0" fillId="0" fontId="7" numFmtId="22" xfId="0" applyFont="1" applyNumberFormat="1"/>
    <xf borderId="0" fillId="0" fontId="7" numFmtId="2" xfId="0" applyFont="1" applyNumberFormat="1"/>
    <xf borderId="0" fillId="0" fontId="29" numFmtId="0" xfId="0" applyAlignment="1" applyFont="1">
      <alignment horizontal="center" vertical="bottom"/>
    </xf>
    <xf borderId="0" fillId="0" fontId="29" numFmtId="176" xfId="0" applyAlignment="1" applyFont="1" applyNumberFormat="1">
      <alignment horizontal="center" vertical="bottom"/>
    </xf>
    <xf borderId="0" fillId="0" fontId="26" numFmtId="176" xfId="0" applyAlignment="1" applyFont="1" applyNumberFormat="1">
      <alignment horizontal="center" vertical="bottom"/>
    </xf>
    <xf borderId="0" fillId="10" fontId="28" numFmtId="0" xfId="0" applyAlignment="1" applyFont="1">
      <alignment horizontal="center" vertical="bottom"/>
    </xf>
    <xf borderId="0" fillId="10" fontId="26" numFmtId="176" xfId="0" applyAlignment="1" applyFont="1" applyNumberFormat="1">
      <alignment horizontal="center" vertical="bottom"/>
    </xf>
    <xf borderId="0" fillId="10" fontId="26" numFmtId="0" xfId="0" applyAlignment="1" applyFont="1">
      <alignment horizontal="center" vertical="bottom"/>
    </xf>
    <xf borderId="0" fillId="0" fontId="28" numFmtId="0" xfId="0" applyAlignment="1" applyFont="1">
      <alignment horizontal="center" vertical="bottom"/>
    </xf>
    <xf borderId="0" fillId="10" fontId="26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78"/>
    <col customWidth="1" min="2" max="5" width="10.78"/>
    <col customWidth="1" min="6" max="6" width="11.11"/>
    <col customWidth="1" min="7" max="9" width="10.78"/>
    <col customWidth="1" min="10" max="10" width="42.33"/>
    <col customWidth="1" min="11" max="27" width="10.44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ht="15.75" customHeight="1">
      <c r="A2" s="7" t="s">
        <v>10</v>
      </c>
      <c r="B2" s="8">
        <v>45461.0</v>
      </c>
      <c r="C2" s="9">
        <v>0.3229166666666667</v>
      </c>
      <c r="D2" s="8">
        <v>45461.0</v>
      </c>
      <c r="E2" s="9">
        <v>0.6041666666666666</v>
      </c>
      <c r="F2" s="9">
        <v>0.6458333333333334</v>
      </c>
      <c r="G2" s="10" t="s">
        <v>11</v>
      </c>
      <c r="H2" s="11" t="s">
        <v>12</v>
      </c>
      <c r="I2" s="11" t="s">
        <v>13</v>
      </c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ht="15.75" customHeight="1">
      <c r="A3" s="7" t="s">
        <v>14</v>
      </c>
      <c r="B3" s="8">
        <v>45461.0</v>
      </c>
      <c r="C3" s="9">
        <v>0.3402777777777778</v>
      </c>
      <c r="D3" s="8">
        <v>45461.0</v>
      </c>
      <c r="E3" s="9">
        <v>0.6048611111111111</v>
      </c>
      <c r="F3" s="9">
        <v>0.6465277777777778</v>
      </c>
      <c r="G3" s="10" t="s">
        <v>11</v>
      </c>
      <c r="H3" s="11" t="s">
        <v>12</v>
      </c>
      <c r="I3" s="11" t="s">
        <v>13</v>
      </c>
      <c r="J3" s="12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ht="15.75" customHeight="1">
      <c r="A4" s="14" t="s">
        <v>15</v>
      </c>
      <c r="B4" s="8">
        <v>45461.0</v>
      </c>
      <c r="C4" s="9">
        <v>0.3680555555555556</v>
      </c>
      <c r="D4" s="8">
        <v>45461.0</v>
      </c>
      <c r="E4" s="9">
        <v>0.6055555555555555</v>
      </c>
      <c r="F4" s="9">
        <v>0.6472222222222223</v>
      </c>
      <c r="G4" s="10" t="s">
        <v>11</v>
      </c>
      <c r="H4" s="11" t="s">
        <v>12</v>
      </c>
      <c r="I4" s="11" t="s">
        <v>13</v>
      </c>
      <c r="J4" s="12"/>
    </row>
    <row r="5" ht="15.75" customHeight="1">
      <c r="A5" s="14" t="s">
        <v>16</v>
      </c>
      <c r="B5" s="8">
        <v>45461.0</v>
      </c>
      <c r="C5" s="9">
        <v>0.40902777777777777</v>
      </c>
      <c r="D5" s="8">
        <v>45461.0</v>
      </c>
      <c r="E5" s="9">
        <v>0.6076388888888888</v>
      </c>
      <c r="F5" s="9">
        <v>0.6493055555555556</v>
      </c>
      <c r="G5" s="10" t="s">
        <v>11</v>
      </c>
      <c r="H5" s="11" t="s">
        <v>12</v>
      </c>
      <c r="I5" s="11" t="s">
        <v>13</v>
      </c>
      <c r="J5" s="12"/>
    </row>
    <row r="6" ht="15.75" customHeight="1">
      <c r="A6" s="14" t="s">
        <v>17</v>
      </c>
      <c r="B6" s="8">
        <v>45461.0</v>
      </c>
      <c r="C6" s="9">
        <v>0.4270833333333333</v>
      </c>
      <c r="D6" s="8">
        <v>45461.0</v>
      </c>
      <c r="E6" s="9">
        <v>0.6097222222222223</v>
      </c>
      <c r="F6" s="9">
        <v>0.6930555555555555</v>
      </c>
      <c r="G6" s="10" t="s">
        <v>11</v>
      </c>
      <c r="H6" s="11" t="s">
        <v>12</v>
      </c>
      <c r="I6" s="11" t="s">
        <v>13</v>
      </c>
      <c r="J6" s="12"/>
    </row>
    <row r="7" ht="15.75" customHeight="1">
      <c r="A7" s="14" t="s">
        <v>18</v>
      </c>
      <c r="B7" s="8">
        <v>45461.0</v>
      </c>
      <c r="C7" s="9">
        <v>0.44305555555555554</v>
      </c>
      <c r="D7" s="8">
        <v>45461.0</v>
      </c>
      <c r="E7" s="9">
        <v>0.65</v>
      </c>
      <c r="F7" s="9">
        <v>0.6916666666666667</v>
      </c>
      <c r="G7" s="10" t="s">
        <v>11</v>
      </c>
      <c r="H7" s="11" t="s">
        <v>12</v>
      </c>
      <c r="I7" s="11" t="s">
        <v>13</v>
      </c>
      <c r="J7" s="12"/>
    </row>
    <row r="8" ht="15.75" customHeight="1">
      <c r="A8" s="14" t="s">
        <v>19</v>
      </c>
      <c r="B8" s="8">
        <v>45461.0</v>
      </c>
      <c r="C8" s="9">
        <v>0.4722222222222222</v>
      </c>
      <c r="D8" s="8">
        <v>45461.0</v>
      </c>
      <c r="E8" s="9">
        <v>0.6506944444444445</v>
      </c>
      <c r="F8" s="9">
        <v>0.6923611111111111</v>
      </c>
      <c r="G8" s="10" t="s">
        <v>11</v>
      </c>
      <c r="H8" s="11" t="s">
        <v>12</v>
      </c>
      <c r="I8" s="11" t="s">
        <v>13</v>
      </c>
      <c r="J8" s="12"/>
    </row>
    <row r="9" ht="15.75" customHeight="1">
      <c r="A9" s="14" t="s">
        <v>20</v>
      </c>
      <c r="B9" s="8">
        <v>45461.0</v>
      </c>
      <c r="C9" s="9">
        <v>0.48819444444444443</v>
      </c>
      <c r="D9" s="8">
        <v>45461.0</v>
      </c>
      <c r="E9" s="9">
        <v>0.6513888888888889</v>
      </c>
      <c r="F9" s="9">
        <v>0.6930555555555555</v>
      </c>
      <c r="G9" s="10" t="s">
        <v>11</v>
      </c>
      <c r="H9" s="11" t="s">
        <v>12</v>
      </c>
      <c r="I9" s="11" t="s">
        <v>13</v>
      </c>
      <c r="J9" s="12"/>
    </row>
    <row r="10" ht="15.75" customHeight="1">
      <c r="A10" s="7" t="s">
        <v>21</v>
      </c>
      <c r="B10" s="8">
        <v>45464.0</v>
      </c>
      <c r="C10" s="9">
        <v>0.3055555555555556</v>
      </c>
      <c r="D10" s="8">
        <v>45464.0</v>
      </c>
      <c r="E10" s="9">
        <v>0.5729166666666666</v>
      </c>
      <c r="F10" s="9">
        <v>0.6145833333333334</v>
      </c>
      <c r="G10" s="10" t="s">
        <v>11</v>
      </c>
      <c r="H10" s="11" t="s">
        <v>12</v>
      </c>
      <c r="I10" s="11" t="s">
        <v>13</v>
      </c>
      <c r="J10" s="12"/>
    </row>
    <row r="11" ht="15.75" customHeight="1">
      <c r="A11" s="7" t="s">
        <v>22</v>
      </c>
      <c r="B11" s="8">
        <v>45464.0</v>
      </c>
      <c r="C11" s="9">
        <v>0.34652777777777777</v>
      </c>
      <c r="D11" s="8">
        <v>45464.0</v>
      </c>
      <c r="E11" s="9">
        <v>0.5729166666666666</v>
      </c>
      <c r="F11" s="9">
        <v>0.6145833333333334</v>
      </c>
      <c r="G11" s="10" t="s">
        <v>11</v>
      </c>
      <c r="H11" s="11" t="s">
        <v>12</v>
      </c>
      <c r="I11" s="11" t="s">
        <v>13</v>
      </c>
      <c r="J11" s="12"/>
    </row>
    <row r="12" ht="15.75" customHeight="1">
      <c r="A12" s="7" t="s">
        <v>23</v>
      </c>
      <c r="B12" s="8">
        <v>45464.0</v>
      </c>
      <c r="C12" s="9">
        <v>0.3638888888888889</v>
      </c>
      <c r="D12" s="8">
        <v>45464.0</v>
      </c>
      <c r="E12" s="9">
        <v>0.5722222222222222</v>
      </c>
      <c r="F12" s="9">
        <v>0.6138888888888889</v>
      </c>
      <c r="G12" s="10" t="s">
        <v>11</v>
      </c>
      <c r="H12" s="11" t="s">
        <v>12</v>
      </c>
      <c r="I12" s="11" t="s">
        <v>13</v>
      </c>
      <c r="J12" s="12"/>
    </row>
    <row r="13" ht="15.75" customHeight="1">
      <c r="A13" s="7" t="s">
        <v>24</v>
      </c>
      <c r="B13" s="8">
        <v>45464.0</v>
      </c>
      <c r="C13" s="15">
        <v>0.41944444444444445</v>
      </c>
      <c r="D13" s="8">
        <v>45464.0</v>
      </c>
      <c r="E13" s="9">
        <v>0.5715277777777777</v>
      </c>
      <c r="F13" s="9">
        <v>0.6131944444444445</v>
      </c>
      <c r="G13" s="10" t="s">
        <v>11</v>
      </c>
      <c r="H13" s="11" t="s">
        <v>12</v>
      </c>
      <c r="I13" s="11" t="s">
        <v>13</v>
      </c>
      <c r="J13" s="12"/>
    </row>
    <row r="14" ht="15.75" customHeight="1">
      <c r="A14" s="14" t="s">
        <v>25</v>
      </c>
      <c r="B14" s="8">
        <v>45464.0</v>
      </c>
      <c r="C14" s="9">
        <v>0.4361111111111111</v>
      </c>
      <c r="D14" s="8">
        <v>45464.0</v>
      </c>
      <c r="E14" s="9">
        <v>0.5701388888888889</v>
      </c>
      <c r="F14" s="9">
        <v>0.6118055555555556</v>
      </c>
      <c r="G14" s="10" t="s">
        <v>11</v>
      </c>
      <c r="H14" s="11" t="s">
        <v>12</v>
      </c>
      <c r="I14" s="11" t="s">
        <v>13</v>
      </c>
      <c r="J14" s="12"/>
    </row>
    <row r="15" ht="15.75" customHeight="1">
      <c r="A15" s="14" t="s">
        <v>26</v>
      </c>
      <c r="B15" s="8">
        <v>45468.0</v>
      </c>
      <c r="C15" s="15">
        <v>0.2833333333333333</v>
      </c>
      <c r="D15" s="8">
        <v>45468.0</v>
      </c>
      <c r="E15" s="9">
        <v>0.59375</v>
      </c>
      <c r="F15" s="9">
        <v>0.6354166666666666</v>
      </c>
      <c r="G15" s="10" t="s">
        <v>11</v>
      </c>
      <c r="H15" s="11" t="s">
        <v>12</v>
      </c>
      <c r="I15" s="11" t="s">
        <v>13</v>
      </c>
      <c r="J15" s="12"/>
    </row>
    <row r="16" ht="15.75" customHeight="1">
      <c r="A16" s="14" t="s">
        <v>27</v>
      </c>
      <c r="B16" s="8">
        <v>45468.0</v>
      </c>
      <c r="C16" s="9">
        <v>0.30833333333333335</v>
      </c>
      <c r="D16" s="8">
        <v>45468.0</v>
      </c>
      <c r="E16" s="9">
        <v>0.5944444444444444</v>
      </c>
      <c r="F16" s="9">
        <v>0.6361111111111111</v>
      </c>
      <c r="G16" s="10" t="s">
        <v>11</v>
      </c>
      <c r="H16" s="11" t="s">
        <v>12</v>
      </c>
      <c r="I16" s="11" t="s">
        <v>13</v>
      </c>
      <c r="J16" s="12"/>
    </row>
    <row r="17" ht="15.75" customHeight="1">
      <c r="A17" s="14" t="s">
        <v>28</v>
      </c>
      <c r="B17" s="8">
        <v>45468.0</v>
      </c>
      <c r="C17" s="9">
        <v>0.3229166666666667</v>
      </c>
      <c r="D17" s="8">
        <v>45468.0</v>
      </c>
      <c r="E17" s="9">
        <v>0.5944444444444444</v>
      </c>
      <c r="F17" s="9">
        <v>0.6361111111111111</v>
      </c>
      <c r="G17" s="10" t="s">
        <v>11</v>
      </c>
      <c r="H17" s="11" t="s">
        <v>12</v>
      </c>
      <c r="I17" s="11" t="s">
        <v>13</v>
      </c>
      <c r="J17" s="12"/>
    </row>
    <row r="18" ht="15.75" customHeight="1">
      <c r="A18" s="14" t="s">
        <v>29</v>
      </c>
      <c r="B18" s="8">
        <v>45468.0</v>
      </c>
      <c r="C18" s="9">
        <v>0.34375</v>
      </c>
      <c r="D18" s="8">
        <v>45468.0</v>
      </c>
      <c r="E18" s="9">
        <v>0.5965277777777778</v>
      </c>
      <c r="F18" s="9">
        <v>0.6381944444444444</v>
      </c>
      <c r="G18" s="10" t="s">
        <v>11</v>
      </c>
      <c r="H18" s="11" t="s">
        <v>12</v>
      </c>
      <c r="I18" s="11" t="s">
        <v>13</v>
      </c>
      <c r="J18" s="12"/>
    </row>
    <row r="19" ht="15.75" customHeight="1">
      <c r="A19" s="14" t="s">
        <v>30</v>
      </c>
      <c r="B19" s="8">
        <v>45468.0</v>
      </c>
      <c r="C19" s="16">
        <v>0.36736111111111114</v>
      </c>
      <c r="D19" s="8">
        <v>45468.0</v>
      </c>
      <c r="E19" s="9">
        <v>0.5979166666666667</v>
      </c>
      <c r="F19" s="9">
        <v>0.6395833333333333</v>
      </c>
      <c r="G19" s="10" t="s">
        <v>11</v>
      </c>
      <c r="H19" s="11" t="s">
        <v>12</v>
      </c>
      <c r="I19" s="11" t="s">
        <v>13</v>
      </c>
      <c r="J19" s="12"/>
    </row>
    <row r="20" ht="15.75" customHeight="1">
      <c r="A20" s="14" t="s">
        <v>31</v>
      </c>
      <c r="B20" s="8">
        <v>45468.0</v>
      </c>
      <c r="C20" s="16">
        <v>0.3861111111111111</v>
      </c>
      <c r="D20" s="8">
        <v>45468.0</v>
      </c>
      <c r="E20" s="9">
        <v>0.6423611111111112</v>
      </c>
      <c r="F20" s="9">
        <v>0.6840277777777778</v>
      </c>
      <c r="G20" s="10" t="s">
        <v>11</v>
      </c>
      <c r="H20" s="11" t="s">
        <v>12</v>
      </c>
      <c r="I20" s="11" t="s">
        <v>13</v>
      </c>
      <c r="J20" s="12"/>
    </row>
    <row r="21" ht="15.75" customHeight="1">
      <c r="A21" s="14" t="s">
        <v>32</v>
      </c>
      <c r="B21" s="8">
        <v>45468.0</v>
      </c>
      <c r="C21" s="16">
        <v>0.4013888888888889</v>
      </c>
      <c r="D21" s="8">
        <v>45468.0</v>
      </c>
      <c r="E21" s="9">
        <v>0.6430555555555556</v>
      </c>
      <c r="F21" s="9">
        <v>0.6847222222222222</v>
      </c>
      <c r="G21" s="10" t="s">
        <v>11</v>
      </c>
      <c r="H21" s="11" t="s">
        <v>12</v>
      </c>
      <c r="I21" s="11" t="s">
        <v>13</v>
      </c>
      <c r="J21" s="12"/>
    </row>
    <row r="22" ht="15.75" customHeight="1">
      <c r="A22" s="14" t="s">
        <v>33</v>
      </c>
      <c r="B22" s="8">
        <v>45468.0</v>
      </c>
      <c r="C22" s="9">
        <v>0.4236111111111111</v>
      </c>
      <c r="D22" s="8">
        <v>45468.0</v>
      </c>
      <c r="E22" s="9">
        <v>0.6451388888888889</v>
      </c>
      <c r="F22" s="9">
        <v>0.6868055555555556</v>
      </c>
      <c r="G22" s="10" t="s">
        <v>11</v>
      </c>
      <c r="H22" s="11" t="s">
        <v>12</v>
      </c>
      <c r="I22" s="11" t="s">
        <v>13</v>
      </c>
      <c r="J22" s="12"/>
    </row>
    <row r="23" ht="15.75" customHeight="1">
      <c r="A23" s="14" t="s">
        <v>34</v>
      </c>
      <c r="B23" s="8">
        <v>45471.0</v>
      </c>
      <c r="C23" s="9">
        <v>0.26805555555555555</v>
      </c>
      <c r="D23" s="8">
        <v>45471.0</v>
      </c>
      <c r="E23" s="9">
        <v>0.59375</v>
      </c>
      <c r="F23" s="9">
        <v>0.6354166666666666</v>
      </c>
      <c r="G23" s="10" t="s">
        <v>11</v>
      </c>
      <c r="H23" s="11" t="s">
        <v>12</v>
      </c>
      <c r="I23" s="11" t="s">
        <v>13</v>
      </c>
      <c r="J23" s="12"/>
    </row>
    <row r="24">
      <c r="A24" s="17" t="s">
        <v>35</v>
      </c>
      <c r="B24" s="8">
        <v>45471.0</v>
      </c>
      <c r="C24" s="18">
        <v>0.29375</v>
      </c>
      <c r="D24" s="8">
        <v>45471.0</v>
      </c>
      <c r="E24" s="9">
        <v>0.5944444444444444</v>
      </c>
      <c r="F24" s="9">
        <v>0.6361111111111111</v>
      </c>
      <c r="G24" s="10" t="s">
        <v>11</v>
      </c>
      <c r="H24" s="11" t="s">
        <v>12</v>
      </c>
      <c r="I24" s="11" t="s">
        <v>13</v>
      </c>
      <c r="J24" s="12"/>
    </row>
    <row r="25" ht="15.75" customHeight="1">
      <c r="A25" s="14" t="s">
        <v>36</v>
      </c>
      <c r="B25" s="8">
        <v>45471.0</v>
      </c>
      <c r="C25" s="9">
        <v>0.3375</v>
      </c>
      <c r="D25" s="8">
        <v>45471.0</v>
      </c>
      <c r="E25" s="9">
        <v>0.5965277777777778</v>
      </c>
      <c r="F25" s="9">
        <v>0.6381944444444444</v>
      </c>
      <c r="G25" s="10" t="s">
        <v>11</v>
      </c>
      <c r="H25" s="11" t="s">
        <v>12</v>
      </c>
      <c r="I25" s="11" t="s">
        <v>13</v>
      </c>
      <c r="J25" s="12"/>
    </row>
    <row r="26" ht="15.75" customHeight="1">
      <c r="A26" s="14" t="s">
        <v>37</v>
      </c>
      <c r="B26" s="8">
        <v>45471.0</v>
      </c>
      <c r="C26" s="16">
        <v>0.36180555555555555</v>
      </c>
      <c r="D26" s="8">
        <v>45471.0</v>
      </c>
      <c r="E26" s="9">
        <v>0.5979166666666667</v>
      </c>
      <c r="F26" s="9">
        <v>0.6395833333333333</v>
      </c>
      <c r="G26" s="10" t="s">
        <v>11</v>
      </c>
      <c r="H26" s="11" t="s">
        <v>12</v>
      </c>
      <c r="I26" s="11" t="s">
        <v>13</v>
      </c>
      <c r="J26" s="12"/>
    </row>
    <row r="27" ht="15.75" customHeight="1">
      <c r="A27" s="14" t="s">
        <v>38</v>
      </c>
      <c r="B27" s="8">
        <v>45471.0</v>
      </c>
      <c r="C27" s="16">
        <v>0.38819444444444445</v>
      </c>
      <c r="D27" s="8">
        <v>45471.0</v>
      </c>
      <c r="E27" s="9">
        <v>0.5986111111111111</v>
      </c>
      <c r="F27" s="9">
        <v>0.6402777777777777</v>
      </c>
      <c r="G27" s="10" t="s">
        <v>11</v>
      </c>
      <c r="H27" s="11" t="s">
        <v>12</v>
      </c>
      <c r="I27" s="11" t="s">
        <v>13</v>
      </c>
      <c r="J27" s="12"/>
    </row>
    <row r="28">
      <c r="A28" s="14" t="s">
        <v>39</v>
      </c>
      <c r="B28" s="19">
        <v>45483.0</v>
      </c>
      <c r="C28" s="20">
        <v>0.3125</v>
      </c>
      <c r="D28" s="19">
        <v>45485.0</v>
      </c>
      <c r="E28" s="21">
        <v>0.3541666666666667</v>
      </c>
      <c r="F28" s="21">
        <v>0.3958333333333333</v>
      </c>
      <c r="G28" s="10" t="s">
        <v>11</v>
      </c>
      <c r="H28" s="11" t="s">
        <v>12</v>
      </c>
      <c r="I28" s="11" t="s">
        <v>13</v>
      </c>
      <c r="J28" s="22" t="s">
        <v>40</v>
      </c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>
      <c r="A29" s="14" t="s">
        <v>41</v>
      </c>
      <c r="B29" s="19">
        <v>45483.0</v>
      </c>
      <c r="C29" s="20">
        <v>0.35138888888888886</v>
      </c>
      <c r="D29" s="19">
        <v>45485.0</v>
      </c>
      <c r="E29" s="21">
        <v>0.3548611111111111</v>
      </c>
      <c r="F29" s="21">
        <v>0.39652777777777776</v>
      </c>
      <c r="G29" s="10" t="s">
        <v>11</v>
      </c>
      <c r="H29" s="11" t="s">
        <v>12</v>
      </c>
      <c r="I29" s="11" t="s">
        <v>13</v>
      </c>
      <c r="J29" s="22" t="s">
        <v>42</v>
      </c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ht="15.75" customHeight="1">
      <c r="A30" s="14" t="s">
        <v>43</v>
      </c>
      <c r="B30" s="19">
        <v>45483.0</v>
      </c>
      <c r="C30" s="20">
        <v>0.47847222222222224</v>
      </c>
      <c r="D30" s="19">
        <v>45485.0</v>
      </c>
      <c r="E30" s="21">
        <v>0.3548611111111111</v>
      </c>
      <c r="F30" s="21">
        <v>0.39652777777777776</v>
      </c>
      <c r="G30" s="10" t="s">
        <v>11</v>
      </c>
      <c r="H30" s="11" t="s">
        <v>12</v>
      </c>
      <c r="I30" s="11" t="s">
        <v>13</v>
      </c>
      <c r="J30" s="24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ht="15.75" customHeight="1">
      <c r="A31" s="14" t="s">
        <v>44</v>
      </c>
      <c r="B31" s="19">
        <v>45483.0</v>
      </c>
      <c r="C31" s="20">
        <v>0.5708333333333333</v>
      </c>
      <c r="D31" s="19">
        <v>45485.0</v>
      </c>
      <c r="E31" s="21">
        <v>0.35555555555555557</v>
      </c>
      <c r="F31" s="21">
        <v>0.3972222222222222</v>
      </c>
      <c r="G31" s="10" t="s">
        <v>11</v>
      </c>
      <c r="H31" s="11" t="s">
        <v>12</v>
      </c>
      <c r="I31" s="11" t="s">
        <v>13</v>
      </c>
      <c r="J31" s="24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ht="15.75" customHeight="1">
      <c r="A32" s="14" t="s">
        <v>45</v>
      </c>
      <c r="B32" s="19">
        <v>45484.0</v>
      </c>
      <c r="C32" s="9">
        <v>0.2951388888888889</v>
      </c>
      <c r="D32" s="19">
        <v>45485.0</v>
      </c>
      <c r="E32" s="9">
        <v>0.35555555555555557</v>
      </c>
      <c r="F32" s="7" t="s">
        <v>46</v>
      </c>
      <c r="G32" s="10" t="s">
        <v>11</v>
      </c>
      <c r="H32" s="11" t="s">
        <v>12</v>
      </c>
      <c r="I32" s="11" t="s">
        <v>13</v>
      </c>
      <c r="J32" s="12"/>
    </row>
    <row r="33" ht="15.75" customHeight="1">
      <c r="A33" s="14" t="s">
        <v>47</v>
      </c>
      <c r="B33" s="19">
        <v>45484.0</v>
      </c>
      <c r="C33" s="9">
        <v>0.32708333333333334</v>
      </c>
      <c r="D33" s="19">
        <v>45485.0</v>
      </c>
      <c r="E33" s="9">
        <v>0.3972222222222222</v>
      </c>
      <c r="F33" s="9">
        <v>0.4388888888888889</v>
      </c>
      <c r="G33" s="10" t="s">
        <v>11</v>
      </c>
      <c r="H33" s="11" t="s">
        <v>12</v>
      </c>
      <c r="I33" s="11" t="s">
        <v>13</v>
      </c>
      <c r="J33" s="12"/>
    </row>
    <row r="34" ht="15.75" customHeight="1">
      <c r="A34" s="14" t="s">
        <v>48</v>
      </c>
      <c r="B34" s="19">
        <v>45484.0</v>
      </c>
      <c r="C34" s="9">
        <v>0.34791666666666665</v>
      </c>
      <c r="D34" s="19">
        <v>45485.0</v>
      </c>
      <c r="E34" s="9">
        <v>0.3972222222222222</v>
      </c>
      <c r="F34" s="9">
        <v>0.4388888888888889</v>
      </c>
      <c r="G34" s="10" t="s">
        <v>11</v>
      </c>
      <c r="H34" s="11" t="s">
        <v>12</v>
      </c>
      <c r="I34" s="11" t="s">
        <v>13</v>
      </c>
      <c r="J34" s="12"/>
    </row>
    <row r="35" ht="15.75" customHeight="1">
      <c r="A35" s="14" t="s">
        <v>49</v>
      </c>
      <c r="B35" s="19">
        <v>45484.0</v>
      </c>
      <c r="C35" s="9">
        <v>0.3923611111111111</v>
      </c>
      <c r="D35" s="19">
        <v>45485.0</v>
      </c>
      <c r="E35" s="9">
        <v>0.39791666666666664</v>
      </c>
      <c r="F35" s="9">
        <v>0.4395833333333333</v>
      </c>
      <c r="G35" s="10" t="s">
        <v>11</v>
      </c>
      <c r="H35" s="11" t="s">
        <v>12</v>
      </c>
      <c r="I35" s="11" t="s">
        <v>13</v>
      </c>
      <c r="J35" s="12"/>
    </row>
    <row r="36" ht="15.75" customHeight="1">
      <c r="A36" s="14" t="s">
        <v>50</v>
      </c>
      <c r="B36" s="19">
        <v>45484.0</v>
      </c>
      <c r="C36" s="9">
        <v>0.41388888888888886</v>
      </c>
      <c r="D36" s="19">
        <v>45485.0</v>
      </c>
      <c r="E36" s="9">
        <v>0.39861111111111114</v>
      </c>
      <c r="F36" s="9">
        <v>0.44027777777777777</v>
      </c>
      <c r="G36" s="10" t="s">
        <v>11</v>
      </c>
      <c r="H36" s="11" t="s">
        <v>12</v>
      </c>
      <c r="I36" s="11" t="s">
        <v>13</v>
      </c>
      <c r="J36" s="12"/>
    </row>
    <row r="37" ht="15.75" customHeight="1">
      <c r="A37" s="14" t="s">
        <v>51</v>
      </c>
      <c r="B37" s="19">
        <v>45484.0</v>
      </c>
      <c r="C37" s="9">
        <v>0.44930555555555557</v>
      </c>
      <c r="D37" s="19">
        <v>45485.0</v>
      </c>
      <c r="E37" s="9">
        <v>0.3993055555555556</v>
      </c>
      <c r="F37" s="9">
        <v>0.4409722222222222</v>
      </c>
      <c r="G37" s="10" t="s">
        <v>11</v>
      </c>
      <c r="H37" s="11" t="s">
        <v>12</v>
      </c>
      <c r="I37" s="11" t="s">
        <v>13</v>
      </c>
      <c r="J37" s="12"/>
    </row>
    <row r="38" ht="15.75" customHeight="1">
      <c r="A38" s="25" t="s">
        <v>52</v>
      </c>
      <c r="B38" s="8">
        <v>45489.0</v>
      </c>
      <c r="C38" s="9">
        <v>0.3402777777777778</v>
      </c>
      <c r="D38" s="8">
        <v>45489.0</v>
      </c>
      <c r="E38" s="26">
        <v>0.6375</v>
      </c>
      <c r="F38" s="26">
        <v>0.6791666666666667</v>
      </c>
      <c r="G38" s="10" t="s">
        <v>11</v>
      </c>
      <c r="H38" s="11" t="s">
        <v>12</v>
      </c>
      <c r="I38" s="11" t="s">
        <v>13</v>
      </c>
      <c r="J38" s="12"/>
    </row>
    <row r="39" ht="15.75" customHeight="1">
      <c r="A39" s="7" t="s">
        <v>53</v>
      </c>
      <c r="B39" s="8">
        <v>45489.0</v>
      </c>
      <c r="C39" s="9">
        <v>0.3770833333333333</v>
      </c>
      <c r="D39" s="8">
        <v>45489.0</v>
      </c>
      <c r="E39" s="26">
        <v>0.6381944444444444</v>
      </c>
      <c r="F39" s="26">
        <v>0.6798611111111111</v>
      </c>
      <c r="G39" s="10" t="s">
        <v>11</v>
      </c>
      <c r="H39" s="11" t="s">
        <v>12</v>
      </c>
      <c r="I39" s="11" t="s">
        <v>13</v>
      </c>
      <c r="J39" s="27"/>
    </row>
    <row r="40" ht="15.75" customHeight="1">
      <c r="A40" s="7" t="s">
        <v>54</v>
      </c>
      <c r="B40" s="8">
        <v>45489.0</v>
      </c>
      <c r="C40" s="9">
        <v>0.41597222222222224</v>
      </c>
      <c r="D40" s="8">
        <v>45489.0</v>
      </c>
      <c r="E40" s="26">
        <v>0.6388888888888888</v>
      </c>
      <c r="F40" s="26">
        <v>0.6805555555555556</v>
      </c>
      <c r="G40" s="10" t="s">
        <v>11</v>
      </c>
      <c r="H40" s="11" t="s">
        <v>12</v>
      </c>
      <c r="I40" s="11" t="s">
        <v>13</v>
      </c>
      <c r="J40" s="27"/>
    </row>
    <row r="41" ht="15.75" customHeight="1">
      <c r="A41" s="7" t="s">
        <v>55</v>
      </c>
      <c r="B41" s="8">
        <v>45489.0</v>
      </c>
      <c r="C41" s="9">
        <v>0.4395833333333333</v>
      </c>
      <c r="D41" s="8">
        <v>45489.0</v>
      </c>
      <c r="E41" s="26">
        <v>0.6395833333333333</v>
      </c>
      <c r="F41" s="26">
        <v>0.68125</v>
      </c>
      <c r="G41" s="10" t="s">
        <v>11</v>
      </c>
      <c r="H41" s="11" t="s">
        <v>12</v>
      </c>
      <c r="I41" s="11" t="s">
        <v>13</v>
      </c>
      <c r="J41" s="27"/>
    </row>
    <row r="42" ht="15.75" customHeight="1">
      <c r="A42" s="7" t="s">
        <v>56</v>
      </c>
      <c r="B42" s="8">
        <v>45489.0</v>
      </c>
      <c r="C42" s="28">
        <v>0.4708333333333333</v>
      </c>
      <c r="D42" s="8">
        <v>45489.0</v>
      </c>
      <c r="E42" s="26">
        <v>0.6409722222222223</v>
      </c>
      <c r="F42" s="26">
        <v>0.6826388888888889</v>
      </c>
      <c r="G42" s="10" t="s">
        <v>11</v>
      </c>
      <c r="H42" s="11" t="s">
        <v>12</v>
      </c>
      <c r="I42" s="11" t="s">
        <v>13</v>
      </c>
      <c r="J42" s="27"/>
    </row>
    <row r="43" ht="15.75" customHeight="1">
      <c r="A43" s="7" t="s">
        <v>57</v>
      </c>
      <c r="B43" s="8">
        <v>45489.0</v>
      </c>
      <c r="C43" s="9">
        <v>0.4847222222222222</v>
      </c>
      <c r="D43" s="8">
        <v>45489.0</v>
      </c>
      <c r="E43" s="26">
        <v>0.6805555555555556</v>
      </c>
      <c r="F43" s="26">
        <v>0.7222222222222222</v>
      </c>
      <c r="G43" s="10" t="s">
        <v>11</v>
      </c>
      <c r="H43" s="11" t="s">
        <v>12</v>
      </c>
      <c r="I43" s="11" t="s">
        <v>13</v>
      </c>
      <c r="J43" s="27"/>
    </row>
    <row r="44" ht="15.75" customHeight="1">
      <c r="A44" s="7" t="s">
        <v>58</v>
      </c>
      <c r="B44" s="8">
        <v>45489.0</v>
      </c>
      <c r="C44" s="9">
        <v>0.5</v>
      </c>
      <c r="D44" s="8">
        <v>45489.0</v>
      </c>
      <c r="E44" s="26">
        <v>0.68125</v>
      </c>
      <c r="F44" s="26">
        <v>0.7229166666666667</v>
      </c>
      <c r="G44" s="10" t="s">
        <v>11</v>
      </c>
      <c r="H44" s="11" t="s">
        <v>12</v>
      </c>
      <c r="I44" s="11" t="s">
        <v>13</v>
      </c>
      <c r="J44" s="27"/>
    </row>
    <row r="45" ht="15.75" customHeight="1">
      <c r="A45" s="7" t="s">
        <v>59</v>
      </c>
      <c r="B45" s="29">
        <v>45491.0</v>
      </c>
      <c r="C45" s="9">
        <v>0.31319444444444444</v>
      </c>
      <c r="D45" s="29">
        <v>45491.0</v>
      </c>
      <c r="E45" s="26">
        <v>0.5784722222222223</v>
      </c>
      <c r="F45" s="26">
        <v>0.6201388888888889</v>
      </c>
      <c r="G45" s="10" t="s">
        <v>11</v>
      </c>
      <c r="H45" s="11" t="s">
        <v>12</v>
      </c>
      <c r="I45" s="11" t="s">
        <v>13</v>
      </c>
      <c r="J45" s="27"/>
    </row>
    <row r="46" ht="15.75" customHeight="1">
      <c r="A46" s="7" t="s">
        <v>60</v>
      </c>
      <c r="B46" s="29">
        <v>45491.0</v>
      </c>
      <c r="C46" s="9">
        <v>0.3277777777777778</v>
      </c>
      <c r="D46" s="29">
        <v>45491.0</v>
      </c>
      <c r="E46" s="26">
        <v>0.5777777777777777</v>
      </c>
      <c r="F46" s="26">
        <v>0.6194444444444445</v>
      </c>
      <c r="G46" s="10" t="s">
        <v>11</v>
      </c>
      <c r="H46" s="11" t="s">
        <v>12</v>
      </c>
      <c r="I46" s="11" t="s">
        <v>13</v>
      </c>
      <c r="J46" s="27"/>
    </row>
    <row r="47" ht="15.75" customHeight="1">
      <c r="A47" s="7" t="s">
        <v>61</v>
      </c>
      <c r="B47" s="8">
        <v>45504.0</v>
      </c>
      <c r="C47" s="30">
        <v>0.2673611111111111</v>
      </c>
      <c r="D47" s="8">
        <v>45504.0</v>
      </c>
      <c r="E47" s="26">
        <v>0.5833333333333334</v>
      </c>
      <c r="F47" s="26">
        <v>0.625</v>
      </c>
      <c r="G47" s="10" t="s">
        <v>11</v>
      </c>
      <c r="H47" s="11" t="s">
        <v>12</v>
      </c>
      <c r="I47" s="11" t="s">
        <v>13</v>
      </c>
      <c r="J47" s="27"/>
    </row>
    <row r="48" ht="15.75" customHeight="1">
      <c r="A48" s="7" t="s">
        <v>62</v>
      </c>
      <c r="B48" s="8">
        <v>45504.0</v>
      </c>
      <c r="C48" s="30">
        <v>0.28680555555555554</v>
      </c>
      <c r="D48" s="8">
        <v>45504.0</v>
      </c>
      <c r="E48" s="26">
        <v>0.5854166666666667</v>
      </c>
      <c r="F48" s="26">
        <v>0.6270833333333333</v>
      </c>
      <c r="G48" s="10" t="s">
        <v>11</v>
      </c>
      <c r="H48" s="11" t="s">
        <v>12</v>
      </c>
      <c r="I48" s="11" t="s">
        <v>13</v>
      </c>
      <c r="J48" s="27"/>
    </row>
    <row r="49" ht="15.75" customHeight="1">
      <c r="A49" s="31"/>
      <c r="C49" s="32"/>
      <c r="D49" s="33"/>
      <c r="E49" s="34"/>
      <c r="F49" s="35"/>
      <c r="G49" s="36"/>
      <c r="H49" s="36"/>
      <c r="I49" s="36"/>
      <c r="J49" s="37"/>
    </row>
    <row r="50" ht="15.75" customHeight="1">
      <c r="C50" s="32"/>
      <c r="D50" s="33"/>
      <c r="E50" s="34"/>
      <c r="F50" s="35"/>
      <c r="G50" s="36"/>
      <c r="H50" s="36"/>
      <c r="I50" s="36"/>
      <c r="J50" s="37"/>
    </row>
    <row r="51" ht="15.75" customHeight="1">
      <c r="B51" s="31"/>
      <c r="C51" s="34"/>
      <c r="D51" s="33"/>
      <c r="E51" s="34"/>
      <c r="F51" s="35"/>
      <c r="G51" s="36"/>
      <c r="H51" s="36"/>
      <c r="I51" s="36"/>
      <c r="J51" s="37"/>
    </row>
    <row r="52" ht="15.75" customHeight="1">
      <c r="B52" s="31"/>
      <c r="C52" s="34"/>
      <c r="D52" s="33"/>
      <c r="E52" s="34"/>
      <c r="F52" s="35"/>
      <c r="G52" s="36"/>
      <c r="H52" s="36"/>
      <c r="I52" s="36"/>
      <c r="J52" s="13"/>
    </row>
    <row r="53" ht="15.75" customHeight="1">
      <c r="B53" s="31"/>
      <c r="C53" s="34"/>
      <c r="D53" s="33"/>
      <c r="E53" s="34"/>
      <c r="F53" s="35"/>
      <c r="G53" s="36"/>
      <c r="H53" s="36"/>
      <c r="I53" s="36"/>
      <c r="J53" s="13"/>
    </row>
    <row r="54" ht="15.75" customHeight="1">
      <c r="B54" s="31"/>
      <c r="C54" s="34"/>
      <c r="D54" s="33"/>
      <c r="E54" s="34"/>
      <c r="F54" s="35"/>
      <c r="G54" s="36"/>
      <c r="H54" s="36"/>
      <c r="I54" s="36"/>
      <c r="J54" s="13"/>
    </row>
    <row r="55" ht="15.75" customHeight="1">
      <c r="B55" s="31"/>
      <c r="C55" s="34"/>
      <c r="D55" s="33"/>
      <c r="E55" s="34"/>
      <c r="F55" s="35"/>
      <c r="G55" s="36"/>
      <c r="H55" s="36"/>
      <c r="I55" s="36"/>
      <c r="J55" s="13"/>
    </row>
    <row r="56" ht="15.75" customHeight="1">
      <c r="B56" s="31"/>
      <c r="C56" s="34"/>
      <c r="D56" s="33"/>
      <c r="E56" s="34"/>
      <c r="F56" s="35"/>
      <c r="G56" s="36"/>
      <c r="H56" s="36"/>
      <c r="I56" s="36"/>
      <c r="J56" s="13"/>
    </row>
    <row r="57" ht="15.75" customHeight="1">
      <c r="B57" s="31"/>
      <c r="C57" s="34"/>
      <c r="D57" s="33"/>
      <c r="E57" s="34"/>
      <c r="F57" s="35"/>
      <c r="G57" s="36"/>
      <c r="H57" s="36"/>
      <c r="I57" s="36"/>
      <c r="J57" s="13"/>
    </row>
    <row r="58" ht="15.75" customHeight="1">
      <c r="B58" s="31"/>
      <c r="C58" s="34"/>
      <c r="D58" s="33"/>
      <c r="E58" s="34"/>
      <c r="F58" s="35"/>
      <c r="G58" s="36"/>
      <c r="H58" s="36"/>
      <c r="I58" s="36"/>
      <c r="J58" s="13"/>
    </row>
    <row r="59" ht="15.75" customHeight="1">
      <c r="B59" s="31"/>
      <c r="C59" s="34"/>
      <c r="D59" s="33"/>
      <c r="E59" s="34"/>
      <c r="F59" s="35"/>
      <c r="G59" s="36"/>
      <c r="H59" s="36"/>
      <c r="I59" s="36"/>
      <c r="J59" s="13"/>
    </row>
    <row r="60" ht="15.75" customHeight="1">
      <c r="B60" s="31"/>
      <c r="C60" s="34"/>
      <c r="D60" s="33"/>
      <c r="E60" s="34"/>
      <c r="F60" s="35"/>
      <c r="G60" s="36"/>
      <c r="H60" s="36"/>
      <c r="I60" s="36"/>
      <c r="J60" s="13"/>
    </row>
    <row r="61" ht="15.75" customHeight="1">
      <c r="B61" s="31"/>
      <c r="C61" s="34"/>
      <c r="D61" s="33"/>
      <c r="E61" s="34"/>
      <c r="F61" s="35"/>
      <c r="G61" s="36"/>
      <c r="H61" s="36"/>
      <c r="I61" s="36"/>
      <c r="J61" s="13"/>
    </row>
    <row r="62" ht="15.75" customHeight="1">
      <c r="B62" s="31"/>
      <c r="C62" s="34"/>
      <c r="D62" s="33"/>
      <c r="E62" s="34"/>
      <c r="F62" s="35"/>
      <c r="G62" s="36"/>
      <c r="H62" s="36"/>
      <c r="I62" s="36"/>
      <c r="J62" s="13"/>
    </row>
    <row r="63" ht="15.75" customHeight="1">
      <c r="B63" s="31"/>
      <c r="C63" s="34"/>
      <c r="D63" s="33"/>
      <c r="E63" s="34"/>
      <c r="F63" s="35"/>
      <c r="G63" s="36"/>
      <c r="H63" s="36"/>
      <c r="I63" s="36"/>
      <c r="J63" s="13"/>
    </row>
    <row r="64" ht="15.75" customHeight="1">
      <c r="B64" s="31"/>
      <c r="C64" s="34"/>
      <c r="D64" s="33"/>
      <c r="E64" s="34"/>
      <c r="F64" s="35"/>
      <c r="G64" s="36"/>
      <c r="H64" s="36"/>
      <c r="I64" s="36"/>
      <c r="J64" s="13"/>
    </row>
    <row r="65" ht="15.75" customHeight="1">
      <c r="B65" s="31"/>
      <c r="C65" s="34"/>
      <c r="D65" s="33"/>
      <c r="E65" s="34"/>
      <c r="F65" s="35"/>
      <c r="G65" s="36"/>
      <c r="H65" s="36"/>
      <c r="I65" s="36"/>
      <c r="J65" s="13"/>
    </row>
    <row r="66" ht="15.75" customHeight="1">
      <c r="B66" s="31"/>
      <c r="C66" s="34"/>
      <c r="D66" s="33"/>
      <c r="E66" s="34"/>
      <c r="F66" s="35"/>
      <c r="G66" s="36"/>
      <c r="H66" s="36"/>
      <c r="I66" s="36"/>
      <c r="J66" s="13"/>
    </row>
    <row r="67" ht="15.75" customHeight="1">
      <c r="B67" s="31"/>
      <c r="C67" s="34"/>
      <c r="D67" s="33"/>
      <c r="E67" s="34"/>
      <c r="F67" s="35"/>
      <c r="G67" s="36"/>
      <c r="H67" s="36"/>
      <c r="I67" s="36"/>
      <c r="J67" s="13"/>
    </row>
    <row r="68" ht="15.75" customHeight="1">
      <c r="B68" s="31"/>
      <c r="C68" s="34"/>
      <c r="D68" s="33"/>
      <c r="E68" s="34"/>
      <c r="F68" s="35"/>
      <c r="G68" s="36"/>
      <c r="H68" s="36"/>
      <c r="I68" s="36"/>
      <c r="J68" s="13"/>
    </row>
    <row r="69" ht="15.75" customHeight="1">
      <c r="B69" s="31"/>
      <c r="C69" s="34"/>
      <c r="D69" s="33"/>
      <c r="E69" s="34"/>
      <c r="F69" s="35"/>
      <c r="G69" s="36"/>
      <c r="H69" s="36"/>
      <c r="I69" s="36"/>
      <c r="J69" s="13"/>
    </row>
    <row r="70" ht="15.75" customHeight="1">
      <c r="B70" s="31"/>
      <c r="C70" s="34"/>
      <c r="D70" s="33"/>
      <c r="E70" s="34"/>
      <c r="F70" s="35"/>
      <c r="G70" s="36"/>
      <c r="H70" s="36"/>
      <c r="I70" s="36"/>
      <c r="J70" s="13"/>
    </row>
    <row r="71" ht="15.75" customHeight="1">
      <c r="B71" s="31"/>
      <c r="C71" s="34"/>
      <c r="D71" s="33"/>
      <c r="E71" s="34"/>
      <c r="F71" s="35"/>
      <c r="G71" s="36"/>
      <c r="H71" s="36"/>
      <c r="I71" s="36"/>
      <c r="J71" s="13"/>
    </row>
    <row r="72" ht="15.75" customHeight="1">
      <c r="B72" s="31"/>
      <c r="C72" s="34"/>
      <c r="D72" s="33"/>
      <c r="E72" s="34"/>
      <c r="F72" s="35"/>
      <c r="G72" s="36"/>
      <c r="H72" s="36"/>
      <c r="I72" s="36"/>
      <c r="J72" s="13"/>
    </row>
    <row r="73" ht="15.75" customHeight="1">
      <c r="B73" s="31"/>
      <c r="C73" s="34"/>
      <c r="D73" s="33"/>
      <c r="E73" s="34"/>
      <c r="F73" s="35"/>
      <c r="G73" s="36"/>
      <c r="H73" s="36"/>
      <c r="I73" s="36"/>
      <c r="J73" s="13"/>
    </row>
    <row r="74" ht="15.75" customHeight="1">
      <c r="B74" s="31"/>
      <c r="C74" s="34"/>
      <c r="D74" s="33"/>
      <c r="E74" s="34"/>
      <c r="F74" s="35"/>
      <c r="G74" s="36"/>
      <c r="H74" s="36"/>
      <c r="I74" s="36"/>
      <c r="J74" s="13"/>
    </row>
    <row r="75" ht="15.75" customHeight="1">
      <c r="B75" s="31"/>
      <c r="C75" s="34"/>
      <c r="D75" s="33"/>
      <c r="E75" s="34"/>
      <c r="F75" s="35"/>
      <c r="G75" s="36"/>
      <c r="H75" s="36"/>
      <c r="I75" s="36"/>
      <c r="J75" s="13"/>
    </row>
    <row r="76" ht="15.75" customHeight="1">
      <c r="B76" s="31"/>
      <c r="C76" s="34"/>
      <c r="D76" s="33"/>
      <c r="E76" s="34"/>
      <c r="F76" s="35"/>
      <c r="G76" s="36"/>
      <c r="H76" s="36"/>
      <c r="I76" s="36"/>
      <c r="J76" s="13"/>
    </row>
    <row r="77" ht="15.75" customHeight="1">
      <c r="B77" s="31"/>
      <c r="C77" s="34"/>
      <c r="D77" s="33"/>
      <c r="E77" s="34"/>
      <c r="F77" s="35"/>
      <c r="G77" s="36"/>
      <c r="H77" s="36"/>
      <c r="I77" s="36"/>
      <c r="J77" s="13"/>
    </row>
    <row r="78" ht="15.75" customHeight="1">
      <c r="B78" s="31"/>
      <c r="C78" s="34"/>
      <c r="D78" s="33"/>
      <c r="E78" s="34"/>
      <c r="F78" s="35"/>
      <c r="G78" s="36"/>
      <c r="H78" s="36"/>
      <c r="I78" s="36"/>
      <c r="J78" s="13"/>
    </row>
    <row r="79" ht="15.75" customHeight="1">
      <c r="B79" s="31"/>
      <c r="C79" s="34"/>
      <c r="D79" s="33"/>
      <c r="E79" s="34"/>
      <c r="F79" s="35"/>
      <c r="G79" s="36"/>
      <c r="H79" s="36"/>
      <c r="I79" s="36"/>
      <c r="J79" s="13"/>
    </row>
    <row r="80" ht="15.75" customHeight="1">
      <c r="B80" s="31"/>
      <c r="C80" s="34"/>
      <c r="D80" s="33"/>
      <c r="E80" s="34"/>
      <c r="F80" s="35"/>
      <c r="G80" s="36"/>
      <c r="H80" s="36"/>
      <c r="I80" s="36"/>
      <c r="J80" s="13"/>
    </row>
    <row r="81" ht="15.75" customHeight="1">
      <c r="B81" s="31"/>
      <c r="C81" s="34"/>
      <c r="D81" s="33"/>
      <c r="E81" s="34"/>
      <c r="F81" s="35"/>
      <c r="G81" s="36"/>
      <c r="H81" s="36"/>
      <c r="I81" s="36"/>
      <c r="J81" s="13"/>
    </row>
    <row r="82" ht="15.75" customHeight="1">
      <c r="B82" s="31"/>
      <c r="C82" s="34"/>
      <c r="D82" s="33"/>
      <c r="E82" s="34"/>
      <c r="F82" s="35"/>
      <c r="G82" s="36"/>
      <c r="H82" s="36"/>
      <c r="I82" s="36"/>
      <c r="J82" s="13"/>
    </row>
    <row r="83" ht="15.75" customHeight="1">
      <c r="B83" s="31"/>
      <c r="C83" s="34"/>
      <c r="D83" s="33"/>
      <c r="E83" s="34"/>
      <c r="F83" s="35"/>
      <c r="G83" s="36"/>
      <c r="H83" s="36"/>
      <c r="I83" s="36"/>
      <c r="J83" s="13"/>
    </row>
    <row r="84" ht="15.75" customHeight="1">
      <c r="B84" s="31"/>
      <c r="C84" s="34"/>
      <c r="D84" s="33"/>
      <c r="E84" s="34"/>
      <c r="F84" s="35"/>
      <c r="G84" s="36"/>
      <c r="H84" s="36"/>
      <c r="I84" s="36"/>
      <c r="J84" s="13"/>
    </row>
    <row r="85" ht="15.75" customHeight="1">
      <c r="B85" s="31"/>
      <c r="C85" s="34"/>
      <c r="D85" s="33"/>
      <c r="E85" s="34"/>
      <c r="F85" s="35"/>
      <c r="G85" s="36"/>
      <c r="H85" s="36"/>
      <c r="I85" s="36"/>
      <c r="J85" s="13"/>
    </row>
    <row r="86" ht="15.75" customHeight="1">
      <c r="B86" s="31"/>
      <c r="C86" s="34"/>
      <c r="D86" s="33"/>
      <c r="E86" s="34"/>
      <c r="F86" s="35"/>
      <c r="G86" s="36"/>
      <c r="H86" s="36"/>
      <c r="I86" s="36"/>
      <c r="J86" s="13"/>
    </row>
    <row r="87" ht="15.75" customHeight="1">
      <c r="B87" s="31"/>
      <c r="C87" s="34"/>
      <c r="D87" s="33"/>
      <c r="E87" s="34"/>
      <c r="F87" s="35"/>
      <c r="G87" s="36"/>
      <c r="H87" s="36"/>
      <c r="I87" s="36"/>
      <c r="J87" s="13"/>
    </row>
    <row r="88" ht="15.75" customHeight="1">
      <c r="B88" s="31"/>
      <c r="C88" s="34"/>
      <c r="D88" s="33"/>
      <c r="E88" s="34"/>
      <c r="F88" s="35"/>
      <c r="G88" s="36"/>
      <c r="H88" s="36"/>
      <c r="I88" s="36"/>
      <c r="J88" s="13"/>
    </row>
    <row r="89" ht="15.75" customHeight="1">
      <c r="B89" s="31"/>
      <c r="C89" s="34"/>
      <c r="D89" s="33"/>
      <c r="E89" s="34"/>
      <c r="F89" s="35"/>
      <c r="G89" s="36"/>
      <c r="H89" s="36"/>
      <c r="I89" s="36"/>
      <c r="J89" s="13"/>
    </row>
    <row r="90" ht="15.75" customHeight="1">
      <c r="B90" s="31"/>
      <c r="C90" s="34"/>
      <c r="D90" s="33"/>
      <c r="E90" s="34"/>
      <c r="F90" s="35"/>
      <c r="G90" s="36"/>
      <c r="H90" s="36"/>
      <c r="I90" s="36"/>
      <c r="J90" s="13"/>
    </row>
    <row r="91" ht="15.75" customHeight="1">
      <c r="B91" s="31"/>
      <c r="C91" s="34"/>
      <c r="D91" s="33"/>
      <c r="E91" s="34"/>
      <c r="F91" s="35"/>
      <c r="G91" s="36"/>
      <c r="H91" s="36"/>
      <c r="I91" s="36"/>
      <c r="J91" s="13"/>
    </row>
    <row r="92" ht="15.75" customHeight="1">
      <c r="B92" s="31"/>
      <c r="C92" s="34"/>
      <c r="D92" s="33"/>
      <c r="E92" s="34"/>
      <c r="F92" s="35"/>
      <c r="G92" s="36"/>
      <c r="H92" s="36"/>
      <c r="I92" s="36"/>
      <c r="J92" s="13"/>
    </row>
    <row r="93" ht="15.75" customHeight="1">
      <c r="B93" s="31"/>
      <c r="C93" s="34"/>
      <c r="D93" s="33"/>
      <c r="E93" s="34"/>
      <c r="F93" s="35"/>
      <c r="G93" s="36"/>
      <c r="H93" s="36"/>
      <c r="I93" s="36"/>
      <c r="J93" s="13"/>
    </row>
    <row r="94" ht="15.75" customHeight="1">
      <c r="B94" s="31"/>
      <c r="C94" s="34"/>
      <c r="D94" s="33"/>
      <c r="E94" s="34"/>
      <c r="F94" s="35"/>
      <c r="G94" s="36"/>
      <c r="H94" s="36"/>
      <c r="I94" s="36"/>
      <c r="J94" s="13"/>
    </row>
    <row r="95" ht="15.75" customHeight="1">
      <c r="B95" s="31"/>
      <c r="C95" s="34"/>
      <c r="D95" s="33"/>
      <c r="E95" s="34"/>
      <c r="F95" s="35"/>
      <c r="G95" s="36"/>
      <c r="H95" s="36"/>
      <c r="I95" s="36"/>
      <c r="J95" s="13"/>
    </row>
    <row r="96" ht="15.75" customHeight="1">
      <c r="B96" s="31"/>
      <c r="C96" s="34"/>
      <c r="D96" s="33"/>
      <c r="E96" s="34"/>
      <c r="F96" s="35"/>
      <c r="G96" s="36"/>
      <c r="H96" s="36"/>
      <c r="I96" s="36"/>
      <c r="J96" s="13"/>
    </row>
    <row r="97" ht="15.75" customHeight="1">
      <c r="B97" s="31"/>
      <c r="C97" s="34"/>
      <c r="D97" s="33"/>
      <c r="E97" s="34"/>
      <c r="F97" s="35"/>
      <c r="G97" s="36"/>
      <c r="H97" s="36"/>
      <c r="I97" s="36"/>
      <c r="J97" s="13"/>
    </row>
    <row r="98" ht="15.75" customHeight="1">
      <c r="B98" s="31"/>
      <c r="C98" s="34"/>
      <c r="D98" s="33"/>
      <c r="E98" s="34"/>
      <c r="F98" s="35"/>
      <c r="G98" s="36"/>
      <c r="H98" s="36"/>
      <c r="I98" s="36"/>
      <c r="J98" s="13"/>
    </row>
    <row r="99" ht="15.75" customHeight="1">
      <c r="B99" s="31"/>
      <c r="C99" s="34"/>
      <c r="D99" s="33"/>
      <c r="E99" s="34"/>
      <c r="F99" s="35"/>
      <c r="G99" s="36"/>
      <c r="H99" s="36"/>
      <c r="I99" s="36"/>
      <c r="J99" s="13"/>
    </row>
    <row r="100" ht="15.75" customHeight="1">
      <c r="B100" s="31"/>
      <c r="C100" s="34"/>
      <c r="D100" s="33"/>
      <c r="E100" s="34"/>
      <c r="F100" s="35"/>
      <c r="G100" s="36"/>
      <c r="H100" s="36"/>
      <c r="I100" s="36"/>
      <c r="J100" s="13"/>
    </row>
    <row r="101" ht="15.75" customHeight="1">
      <c r="B101" s="31"/>
      <c r="C101" s="34"/>
      <c r="D101" s="33"/>
      <c r="E101" s="34"/>
      <c r="F101" s="35"/>
      <c r="G101" s="36"/>
      <c r="H101" s="36"/>
      <c r="I101" s="36"/>
      <c r="J101" s="13"/>
    </row>
    <row r="102" ht="15.75" customHeight="1">
      <c r="B102" s="31"/>
      <c r="C102" s="34"/>
      <c r="D102" s="33"/>
      <c r="E102" s="34"/>
      <c r="F102" s="35"/>
      <c r="G102" s="36"/>
      <c r="H102" s="36"/>
      <c r="I102" s="36"/>
      <c r="J102" s="13"/>
    </row>
    <row r="103" ht="15.75" customHeight="1">
      <c r="B103" s="31"/>
      <c r="C103" s="34"/>
      <c r="D103" s="33"/>
      <c r="E103" s="34"/>
      <c r="F103" s="35"/>
      <c r="G103" s="36"/>
      <c r="H103" s="36"/>
      <c r="I103" s="36"/>
      <c r="J103" s="13"/>
    </row>
    <row r="104" ht="15.75" customHeight="1">
      <c r="B104" s="31"/>
      <c r="C104" s="34"/>
      <c r="D104" s="33"/>
      <c r="E104" s="34"/>
      <c r="F104" s="35"/>
      <c r="G104" s="36"/>
      <c r="H104" s="36"/>
      <c r="I104" s="36"/>
      <c r="J104" s="13"/>
    </row>
    <row r="105" ht="15.75" customHeight="1">
      <c r="B105" s="31"/>
      <c r="C105" s="34"/>
      <c r="D105" s="33"/>
      <c r="E105" s="34"/>
      <c r="F105" s="35"/>
      <c r="G105" s="36"/>
      <c r="H105" s="36"/>
      <c r="I105" s="36"/>
      <c r="J105" s="13"/>
    </row>
    <row r="106" ht="15.75" customHeight="1">
      <c r="B106" s="31"/>
      <c r="C106" s="34"/>
      <c r="D106" s="33"/>
      <c r="E106" s="34"/>
      <c r="F106" s="35"/>
      <c r="G106" s="36"/>
      <c r="H106" s="36"/>
      <c r="I106" s="36"/>
      <c r="J106" s="13"/>
    </row>
    <row r="107" ht="15.75" customHeight="1">
      <c r="B107" s="31"/>
      <c r="C107" s="34"/>
      <c r="D107" s="33"/>
      <c r="E107" s="34"/>
      <c r="F107" s="35"/>
      <c r="G107" s="36"/>
      <c r="H107" s="36"/>
      <c r="I107" s="36"/>
      <c r="J107" s="13"/>
    </row>
    <row r="108" ht="15.75" customHeight="1">
      <c r="B108" s="31"/>
      <c r="C108" s="34"/>
      <c r="D108" s="33"/>
      <c r="E108" s="34"/>
      <c r="F108" s="35"/>
      <c r="G108" s="36"/>
      <c r="H108" s="36"/>
      <c r="I108" s="36"/>
      <c r="J108" s="13"/>
    </row>
    <row r="109" ht="15.75" customHeight="1">
      <c r="B109" s="31"/>
      <c r="C109" s="34"/>
      <c r="D109" s="33"/>
      <c r="E109" s="34"/>
      <c r="F109" s="35"/>
      <c r="G109" s="36"/>
      <c r="H109" s="36"/>
      <c r="I109" s="36"/>
      <c r="J109" s="13"/>
    </row>
    <row r="110" ht="15.75" customHeight="1">
      <c r="B110" s="31"/>
      <c r="C110" s="34"/>
      <c r="D110" s="33"/>
      <c r="E110" s="34"/>
      <c r="F110" s="35"/>
      <c r="G110" s="36"/>
      <c r="H110" s="36"/>
      <c r="I110" s="36"/>
      <c r="J110" s="13"/>
    </row>
    <row r="111" ht="15.75" customHeight="1">
      <c r="B111" s="31"/>
      <c r="C111" s="34"/>
      <c r="D111" s="33"/>
      <c r="E111" s="34"/>
      <c r="F111" s="35"/>
      <c r="G111" s="36"/>
      <c r="H111" s="36"/>
      <c r="I111" s="36"/>
      <c r="J111" s="13"/>
    </row>
    <row r="112" ht="15.75" customHeight="1">
      <c r="B112" s="31"/>
      <c r="C112" s="34"/>
      <c r="D112" s="33"/>
      <c r="E112" s="34"/>
      <c r="F112" s="35"/>
      <c r="G112" s="36"/>
      <c r="H112" s="36"/>
      <c r="I112" s="36"/>
      <c r="J112" s="13"/>
    </row>
    <row r="113" ht="15.75" customHeight="1">
      <c r="B113" s="31"/>
      <c r="C113" s="34"/>
      <c r="D113" s="33"/>
      <c r="E113" s="34"/>
      <c r="F113" s="35"/>
      <c r="G113" s="36"/>
      <c r="H113" s="36"/>
      <c r="I113" s="36"/>
      <c r="J113" s="13"/>
    </row>
    <row r="114" ht="15.75" customHeight="1">
      <c r="B114" s="31"/>
      <c r="C114" s="34"/>
      <c r="D114" s="33"/>
      <c r="E114" s="34"/>
      <c r="F114" s="35"/>
      <c r="G114" s="36"/>
      <c r="H114" s="36"/>
      <c r="I114" s="36"/>
      <c r="J114" s="13"/>
    </row>
    <row r="115" ht="15.75" customHeight="1">
      <c r="B115" s="31"/>
      <c r="C115" s="34"/>
      <c r="D115" s="33"/>
      <c r="E115" s="34"/>
      <c r="F115" s="35"/>
      <c r="G115" s="36"/>
      <c r="H115" s="36"/>
      <c r="I115" s="36"/>
      <c r="J115" s="13"/>
    </row>
    <row r="116" ht="15.75" customHeight="1">
      <c r="B116" s="31"/>
      <c r="C116" s="34"/>
      <c r="D116" s="33"/>
      <c r="E116" s="34"/>
      <c r="F116" s="35"/>
      <c r="G116" s="36"/>
      <c r="H116" s="36"/>
      <c r="I116" s="36"/>
      <c r="J116" s="13"/>
    </row>
    <row r="117" ht="15.75" customHeight="1">
      <c r="B117" s="31"/>
      <c r="C117" s="34"/>
      <c r="D117" s="33"/>
      <c r="E117" s="34"/>
      <c r="F117" s="35"/>
      <c r="G117" s="36"/>
      <c r="H117" s="36"/>
      <c r="I117" s="36"/>
      <c r="J117" s="13"/>
    </row>
    <row r="118" ht="15.75" customHeight="1">
      <c r="B118" s="31"/>
      <c r="C118" s="34"/>
      <c r="D118" s="33"/>
      <c r="E118" s="34"/>
      <c r="F118" s="35"/>
      <c r="G118" s="36"/>
      <c r="H118" s="36"/>
      <c r="I118" s="36"/>
      <c r="J118" s="13"/>
    </row>
    <row r="119" ht="15.75" customHeight="1">
      <c r="B119" s="31"/>
      <c r="C119" s="34"/>
      <c r="D119" s="33"/>
      <c r="E119" s="34"/>
      <c r="F119" s="35"/>
      <c r="G119" s="36"/>
      <c r="H119" s="36"/>
      <c r="I119" s="36"/>
      <c r="J119" s="13"/>
    </row>
    <row r="120" ht="15.75" customHeight="1">
      <c r="B120" s="31"/>
      <c r="C120" s="34"/>
      <c r="D120" s="33"/>
      <c r="E120" s="34"/>
      <c r="F120" s="35"/>
      <c r="G120" s="36"/>
      <c r="H120" s="36"/>
      <c r="I120" s="36"/>
      <c r="J120" s="13"/>
    </row>
    <row r="121" ht="15.75" customHeight="1">
      <c r="B121" s="31"/>
      <c r="C121" s="34"/>
      <c r="D121" s="33"/>
      <c r="E121" s="34"/>
      <c r="F121" s="35"/>
      <c r="G121" s="36"/>
      <c r="H121" s="36"/>
      <c r="I121" s="36"/>
      <c r="J121" s="13"/>
    </row>
    <row r="122" ht="15.75" customHeight="1">
      <c r="B122" s="31"/>
      <c r="C122" s="34"/>
      <c r="D122" s="33"/>
      <c r="E122" s="34"/>
      <c r="F122" s="35"/>
      <c r="G122" s="36"/>
      <c r="H122" s="36"/>
      <c r="I122" s="36"/>
      <c r="J122" s="13"/>
    </row>
    <row r="123" ht="15.75" customHeight="1">
      <c r="B123" s="31"/>
      <c r="C123" s="34"/>
      <c r="D123" s="33"/>
      <c r="E123" s="34"/>
      <c r="F123" s="35"/>
      <c r="G123" s="36"/>
      <c r="H123" s="36"/>
      <c r="I123" s="36"/>
      <c r="J123" s="13"/>
    </row>
    <row r="124" ht="15.75" customHeight="1">
      <c r="B124" s="31"/>
      <c r="C124" s="34"/>
      <c r="D124" s="33"/>
      <c r="E124" s="34"/>
      <c r="F124" s="35"/>
      <c r="G124" s="36"/>
      <c r="H124" s="36"/>
      <c r="I124" s="36"/>
      <c r="J124" s="13"/>
    </row>
    <row r="125" ht="15.75" customHeight="1">
      <c r="B125" s="31"/>
      <c r="C125" s="34"/>
      <c r="D125" s="33"/>
      <c r="E125" s="34"/>
      <c r="F125" s="35"/>
      <c r="G125" s="36"/>
      <c r="H125" s="36"/>
      <c r="I125" s="36"/>
      <c r="J125" s="13"/>
    </row>
    <row r="126" ht="15.75" customHeight="1">
      <c r="B126" s="31"/>
      <c r="C126" s="34"/>
      <c r="D126" s="33"/>
      <c r="E126" s="34"/>
      <c r="F126" s="35"/>
      <c r="G126" s="36"/>
      <c r="H126" s="36"/>
      <c r="I126" s="36"/>
      <c r="J126" s="13"/>
    </row>
    <row r="127" ht="15.75" customHeight="1">
      <c r="B127" s="31"/>
      <c r="C127" s="34"/>
      <c r="D127" s="33"/>
      <c r="E127" s="34"/>
      <c r="F127" s="35"/>
      <c r="G127" s="36"/>
      <c r="H127" s="36"/>
      <c r="I127" s="36"/>
      <c r="J127" s="13"/>
    </row>
    <row r="128" ht="15.75" customHeight="1">
      <c r="B128" s="31"/>
      <c r="C128" s="34"/>
      <c r="D128" s="33"/>
      <c r="E128" s="34"/>
      <c r="F128" s="35"/>
      <c r="G128" s="36"/>
      <c r="H128" s="36"/>
      <c r="I128" s="36"/>
      <c r="J128" s="13"/>
    </row>
    <row r="129" ht="15.75" customHeight="1">
      <c r="B129" s="31"/>
      <c r="C129" s="34"/>
      <c r="D129" s="33"/>
      <c r="E129" s="34"/>
      <c r="F129" s="35"/>
      <c r="G129" s="36"/>
      <c r="H129" s="36"/>
      <c r="I129" s="36"/>
      <c r="J129" s="13"/>
    </row>
    <row r="130" ht="15.75" customHeight="1">
      <c r="B130" s="31"/>
      <c r="C130" s="34"/>
      <c r="D130" s="33"/>
      <c r="E130" s="34"/>
      <c r="F130" s="35"/>
      <c r="G130" s="36"/>
      <c r="H130" s="36"/>
      <c r="I130" s="36"/>
      <c r="J130" s="13"/>
    </row>
    <row r="131" ht="15.75" customHeight="1">
      <c r="B131" s="31"/>
      <c r="C131" s="34"/>
      <c r="D131" s="33"/>
      <c r="E131" s="34"/>
      <c r="F131" s="35"/>
      <c r="G131" s="36"/>
      <c r="H131" s="36"/>
      <c r="I131" s="36"/>
      <c r="J131" s="13"/>
    </row>
    <row r="132" ht="15.75" customHeight="1">
      <c r="B132" s="31"/>
      <c r="C132" s="34"/>
      <c r="D132" s="33"/>
      <c r="E132" s="34"/>
      <c r="F132" s="35"/>
      <c r="G132" s="36"/>
      <c r="H132" s="36"/>
      <c r="I132" s="36"/>
      <c r="J132" s="13"/>
    </row>
    <row r="133" ht="15.75" customHeight="1">
      <c r="B133" s="31"/>
      <c r="C133" s="34"/>
      <c r="D133" s="33"/>
      <c r="E133" s="34"/>
      <c r="F133" s="35"/>
      <c r="G133" s="36"/>
      <c r="H133" s="36"/>
      <c r="I133" s="36"/>
      <c r="J133" s="13"/>
    </row>
    <row r="134" ht="15.75" customHeight="1">
      <c r="B134" s="31"/>
      <c r="C134" s="34"/>
      <c r="D134" s="33"/>
      <c r="E134" s="34"/>
      <c r="F134" s="35"/>
      <c r="G134" s="36"/>
      <c r="H134" s="36"/>
      <c r="I134" s="36"/>
      <c r="J134" s="13"/>
    </row>
    <row r="135" ht="15.75" customHeight="1">
      <c r="B135" s="31"/>
      <c r="C135" s="34"/>
      <c r="D135" s="33"/>
      <c r="E135" s="34"/>
      <c r="F135" s="35"/>
      <c r="G135" s="36"/>
      <c r="H135" s="36"/>
      <c r="I135" s="36"/>
      <c r="J135" s="13"/>
    </row>
    <row r="136" ht="15.75" customHeight="1">
      <c r="B136" s="31"/>
      <c r="C136" s="34"/>
      <c r="D136" s="33"/>
      <c r="E136" s="34"/>
      <c r="F136" s="35"/>
      <c r="G136" s="36"/>
      <c r="H136" s="36"/>
      <c r="I136" s="36"/>
      <c r="J136" s="13"/>
    </row>
    <row r="137" ht="15.75" customHeight="1">
      <c r="B137" s="31"/>
      <c r="C137" s="34"/>
      <c r="D137" s="33"/>
      <c r="E137" s="34"/>
      <c r="F137" s="35"/>
      <c r="G137" s="36"/>
      <c r="H137" s="36"/>
      <c r="I137" s="36"/>
      <c r="J137" s="13"/>
    </row>
    <row r="138" ht="15.75" customHeight="1">
      <c r="B138" s="31"/>
      <c r="C138" s="34"/>
      <c r="D138" s="33"/>
      <c r="E138" s="34"/>
      <c r="F138" s="35"/>
      <c r="G138" s="36"/>
      <c r="H138" s="36"/>
      <c r="I138" s="36"/>
      <c r="J138" s="13"/>
    </row>
    <row r="139" ht="15.75" customHeight="1">
      <c r="B139" s="31"/>
      <c r="C139" s="34"/>
      <c r="D139" s="33"/>
      <c r="E139" s="34"/>
      <c r="F139" s="35"/>
      <c r="G139" s="36"/>
      <c r="H139" s="36"/>
      <c r="I139" s="36"/>
      <c r="J139" s="13"/>
    </row>
    <row r="140" ht="15.75" customHeight="1">
      <c r="B140" s="31"/>
      <c r="C140" s="34"/>
      <c r="D140" s="33"/>
      <c r="E140" s="34"/>
      <c r="F140" s="35"/>
      <c r="G140" s="36"/>
      <c r="H140" s="36"/>
      <c r="I140" s="36"/>
      <c r="J140" s="13"/>
    </row>
    <row r="141" ht="15.75" customHeight="1">
      <c r="B141" s="31"/>
      <c r="C141" s="34"/>
      <c r="D141" s="33"/>
      <c r="E141" s="34"/>
      <c r="F141" s="35"/>
      <c r="G141" s="36"/>
      <c r="H141" s="36"/>
      <c r="I141" s="36"/>
      <c r="J141" s="13"/>
    </row>
    <row r="142" ht="15.75" customHeight="1">
      <c r="B142" s="31"/>
      <c r="C142" s="34"/>
      <c r="D142" s="33"/>
      <c r="E142" s="34"/>
      <c r="F142" s="35"/>
      <c r="G142" s="36"/>
      <c r="H142" s="36"/>
      <c r="I142" s="36"/>
      <c r="J142" s="13"/>
    </row>
    <row r="143" ht="15.75" customHeight="1">
      <c r="B143" s="31"/>
      <c r="C143" s="34"/>
      <c r="D143" s="33"/>
      <c r="E143" s="34"/>
      <c r="F143" s="35"/>
      <c r="G143" s="36"/>
      <c r="H143" s="36"/>
      <c r="I143" s="36"/>
      <c r="J143" s="13"/>
    </row>
    <row r="144" ht="15.75" customHeight="1">
      <c r="B144" s="31"/>
      <c r="C144" s="34"/>
      <c r="D144" s="33"/>
      <c r="E144" s="34"/>
      <c r="F144" s="35"/>
      <c r="G144" s="36"/>
      <c r="H144" s="36"/>
      <c r="I144" s="36"/>
      <c r="J144" s="13"/>
    </row>
    <row r="145" ht="15.75" customHeight="1">
      <c r="B145" s="31"/>
      <c r="C145" s="34"/>
      <c r="D145" s="33"/>
      <c r="E145" s="34"/>
      <c r="F145" s="35"/>
      <c r="G145" s="36"/>
      <c r="H145" s="36"/>
      <c r="I145" s="36"/>
      <c r="J145" s="13"/>
    </row>
    <row r="146" ht="15.75" customHeight="1">
      <c r="B146" s="31"/>
      <c r="C146" s="34"/>
      <c r="D146" s="33"/>
      <c r="E146" s="34"/>
      <c r="F146" s="35"/>
      <c r="G146" s="36"/>
      <c r="H146" s="36"/>
      <c r="I146" s="36"/>
      <c r="J146" s="13"/>
    </row>
    <row r="147" ht="15.75" customHeight="1">
      <c r="B147" s="31"/>
      <c r="C147" s="34"/>
      <c r="D147" s="33"/>
      <c r="E147" s="34"/>
      <c r="F147" s="35"/>
      <c r="G147" s="36"/>
      <c r="H147" s="36"/>
      <c r="I147" s="36"/>
      <c r="J147" s="13"/>
    </row>
    <row r="148" ht="15.75" customHeight="1">
      <c r="B148" s="31"/>
      <c r="C148" s="34"/>
      <c r="D148" s="33"/>
      <c r="E148" s="34"/>
      <c r="F148" s="35"/>
      <c r="G148" s="36"/>
      <c r="H148" s="36"/>
      <c r="I148" s="36"/>
      <c r="J148" s="13"/>
    </row>
    <row r="149" ht="15.75" customHeight="1">
      <c r="B149" s="31"/>
      <c r="C149" s="34"/>
      <c r="D149" s="33"/>
      <c r="E149" s="34"/>
      <c r="F149" s="35"/>
      <c r="G149" s="36"/>
      <c r="H149" s="36"/>
      <c r="I149" s="36"/>
      <c r="J149" s="13"/>
    </row>
    <row r="150" ht="15.75" customHeight="1">
      <c r="B150" s="31"/>
      <c r="C150" s="34"/>
      <c r="D150" s="33"/>
      <c r="E150" s="34"/>
      <c r="F150" s="35"/>
      <c r="G150" s="36"/>
      <c r="H150" s="36"/>
      <c r="I150" s="36"/>
      <c r="J150" s="13"/>
    </row>
    <row r="151" ht="15.75" customHeight="1">
      <c r="B151" s="31"/>
      <c r="C151" s="34"/>
      <c r="D151" s="33"/>
      <c r="E151" s="34"/>
      <c r="F151" s="35"/>
      <c r="G151" s="36"/>
      <c r="H151" s="36"/>
      <c r="I151" s="36"/>
      <c r="J151" s="13"/>
    </row>
    <row r="152" ht="15.75" customHeight="1">
      <c r="B152" s="31"/>
      <c r="C152" s="34"/>
      <c r="D152" s="33"/>
      <c r="E152" s="34"/>
      <c r="F152" s="35"/>
      <c r="G152" s="36"/>
      <c r="H152" s="36"/>
      <c r="I152" s="36"/>
      <c r="J152" s="13"/>
    </row>
    <row r="153" ht="15.75" customHeight="1">
      <c r="B153" s="31"/>
      <c r="C153" s="34"/>
      <c r="D153" s="33"/>
      <c r="E153" s="34"/>
      <c r="F153" s="35"/>
      <c r="G153" s="36"/>
      <c r="H153" s="36"/>
      <c r="I153" s="36"/>
      <c r="J153" s="13"/>
    </row>
    <row r="154" ht="15.75" customHeight="1">
      <c r="B154" s="31"/>
      <c r="C154" s="34"/>
      <c r="D154" s="33"/>
      <c r="E154" s="34"/>
      <c r="F154" s="35"/>
      <c r="G154" s="36"/>
      <c r="H154" s="36"/>
      <c r="I154" s="36"/>
      <c r="J154" s="13"/>
    </row>
    <row r="155" ht="15.75" customHeight="1">
      <c r="B155" s="31"/>
      <c r="C155" s="34"/>
      <c r="D155" s="33"/>
      <c r="E155" s="34"/>
      <c r="F155" s="35"/>
      <c r="G155" s="36"/>
      <c r="H155" s="36"/>
      <c r="I155" s="36"/>
      <c r="J155" s="13"/>
    </row>
    <row r="156" ht="15.75" customHeight="1">
      <c r="B156" s="31"/>
      <c r="C156" s="34"/>
      <c r="D156" s="33"/>
      <c r="E156" s="34"/>
      <c r="F156" s="35"/>
      <c r="G156" s="36"/>
      <c r="H156" s="36"/>
      <c r="I156" s="36"/>
      <c r="J156" s="13"/>
    </row>
    <row r="157" ht="15.75" customHeight="1">
      <c r="B157" s="31"/>
      <c r="C157" s="34"/>
      <c r="D157" s="33"/>
      <c r="E157" s="34"/>
      <c r="F157" s="35"/>
      <c r="G157" s="36"/>
      <c r="H157" s="36"/>
      <c r="I157" s="36"/>
      <c r="J157" s="13"/>
    </row>
    <row r="158" ht="15.75" customHeight="1">
      <c r="B158" s="31"/>
      <c r="C158" s="34"/>
      <c r="D158" s="33"/>
      <c r="E158" s="34"/>
      <c r="F158" s="35"/>
      <c r="G158" s="36"/>
      <c r="H158" s="36"/>
      <c r="I158" s="36"/>
      <c r="J158" s="13"/>
    </row>
    <row r="159" ht="15.75" customHeight="1">
      <c r="B159" s="31"/>
      <c r="C159" s="34"/>
      <c r="D159" s="33"/>
      <c r="E159" s="34"/>
      <c r="F159" s="35"/>
      <c r="G159" s="36"/>
      <c r="H159" s="36"/>
      <c r="I159" s="36"/>
      <c r="J159" s="13"/>
    </row>
    <row r="160" ht="15.75" customHeight="1">
      <c r="B160" s="31"/>
      <c r="C160" s="34"/>
      <c r="D160" s="33"/>
      <c r="E160" s="34"/>
      <c r="F160" s="35"/>
      <c r="G160" s="36"/>
      <c r="H160" s="36"/>
      <c r="I160" s="36"/>
      <c r="J160" s="13"/>
    </row>
    <row r="161" ht="15.75" customHeight="1">
      <c r="B161" s="31"/>
      <c r="C161" s="34"/>
      <c r="D161" s="33"/>
      <c r="E161" s="34"/>
      <c r="F161" s="35"/>
      <c r="G161" s="36"/>
      <c r="H161" s="36"/>
      <c r="I161" s="36"/>
      <c r="J161" s="13"/>
    </row>
    <row r="162" ht="15.75" customHeight="1">
      <c r="B162" s="31"/>
      <c r="C162" s="34"/>
      <c r="D162" s="33"/>
      <c r="E162" s="34"/>
      <c r="F162" s="35"/>
      <c r="G162" s="36"/>
      <c r="H162" s="36"/>
      <c r="I162" s="36"/>
      <c r="J162" s="13"/>
    </row>
    <row r="163" ht="15.75" customHeight="1">
      <c r="B163" s="31"/>
      <c r="C163" s="34"/>
      <c r="D163" s="33"/>
      <c r="E163" s="34"/>
      <c r="F163" s="35"/>
      <c r="G163" s="36"/>
      <c r="H163" s="36"/>
      <c r="I163" s="36"/>
      <c r="J163" s="13"/>
    </row>
    <row r="164" ht="15.75" customHeight="1">
      <c r="B164" s="31"/>
      <c r="C164" s="34"/>
      <c r="D164" s="33"/>
      <c r="E164" s="34"/>
      <c r="F164" s="35"/>
      <c r="G164" s="36"/>
      <c r="H164" s="36"/>
      <c r="I164" s="36"/>
      <c r="J164" s="13"/>
    </row>
    <row r="165" ht="15.75" customHeight="1">
      <c r="B165" s="31"/>
      <c r="C165" s="34"/>
      <c r="D165" s="33"/>
      <c r="E165" s="34"/>
      <c r="F165" s="35"/>
      <c r="G165" s="36"/>
      <c r="H165" s="36"/>
      <c r="I165" s="36"/>
      <c r="J165" s="13"/>
    </row>
    <row r="166" ht="15.75" customHeight="1">
      <c r="B166" s="31"/>
      <c r="C166" s="34"/>
      <c r="D166" s="33"/>
      <c r="E166" s="34"/>
      <c r="F166" s="35"/>
      <c r="G166" s="36"/>
      <c r="H166" s="36"/>
      <c r="I166" s="36"/>
      <c r="J166" s="13"/>
    </row>
    <row r="167" ht="15.75" customHeight="1">
      <c r="B167" s="31"/>
      <c r="C167" s="34"/>
      <c r="D167" s="33"/>
      <c r="E167" s="34"/>
      <c r="F167" s="35"/>
      <c r="G167" s="36"/>
      <c r="H167" s="36"/>
      <c r="I167" s="36"/>
      <c r="J167" s="13"/>
    </row>
    <row r="168" ht="15.75" customHeight="1">
      <c r="B168" s="31"/>
      <c r="C168" s="34"/>
      <c r="D168" s="33"/>
      <c r="E168" s="34"/>
      <c r="F168" s="35"/>
      <c r="G168" s="36"/>
      <c r="H168" s="36"/>
      <c r="I168" s="36"/>
      <c r="J168" s="13"/>
    </row>
    <row r="169" ht="15.75" customHeight="1">
      <c r="B169" s="31"/>
      <c r="C169" s="34"/>
      <c r="D169" s="33"/>
      <c r="E169" s="34"/>
      <c r="F169" s="35"/>
      <c r="G169" s="36"/>
      <c r="H169" s="36"/>
      <c r="I169" s="36"/>
      <c r="J169" s="13"/>
    </row>
    <row r="170" ht="15.75" customHeight="1">
      <c r="B170" s="31"/>
      <c r="C170" s="34"/>
      <c r="D170" s="33"/>
      <c r="E170" s="34"/>
      <c r="F170" s="35"/>
      <c r="G170" s="36"/>
      <c r="H170" s="36"/>
      <c r="I170" s="36"/>
      <c r="J170" s="13"/>
    </row>
    <row r="171" ht="15.75" customHeight="1">
      <c r="B171" s="31"/>
      <c r="C171" s="34"/>
      <c r="D171" s="33"/>
      <c r="E171" s="34"/>
      <c r="F171" s="35"/>
      <c r="G171" s="36"/>
      <c r="H171" s="36"/>
      <c r="I171" s="36"/>
      <c r="J171" s="13"/>
    </row>
    <row r="172" ht="15.75" customHeight="1">
      <c r="B172" s="31"/>
      <c r="C172" s="34"/>
      <c r="D172" s="33"/>
      <c r="E172" s="34"/>
      <c r="F172" s="35"/>
      <c r="G172" s="36"/>
      <c r="H172" s="36"/>
      <c r="I172" s="36"/>
      <c r="J172" s="13"/>
    </row>
    <row r="173" ht="15.75" customHeight="1">
      <c r="B173" s="31"/>
      <c r="C173" s="34"/>
      <c r="D173" s="33"/>
      <c r="E173" s="34"/>
      <c r="F173" s="35"/>
      <c r="G173" s="36"/>
      <c r="H173" s="36"/>
      <c r="I173" s="36"/>
      <c r="J173" s="13"/>
    </row>
    <row r="174" ht="15.75" customHeight="1">
      <c r="B174" s="31"/>
      <c r="C174" s="34"/>
      <c r="D174" s="33"/>
      <c r="E174" s="34"/>
      <c r="F174" s="35"/>
      <c r="G174" s="36"/>
      <c r="H174" s="36"/>
      <c r="I174" s="36"/>
      <c r="J174" s="13"/>
    </row>
    <row r="175" ht="15.75" customHeight="1">
      <c r="B175" s="31"/>
      <c r="C175" s="34"/>
      <c r="D175" s="33"/>
      <c r="E175" s="34"/>
      <c r="F175" s="35"/>
      <c r="G175" s="36"/>
      <c r="H175" s="36"/>
      <c r="I175" s="36"/>
      <c r="J175" s="13"/>
    </row>
    <row r="176" ht="15.75" customHeight="1">
      <c r="B176" s="31"/>
      <c r="C176" s="34"/>
      <c r="D176" s="33"/>
      <c r="E176" s="34"/>
      <c r="F176" s="35"/>
      <c r="G176" s="36"/>
      <c r="H176" s="36"/>
      <c r="I176" s="36"/>
      <c r="J176" s="13"/>
    </row>
    <row r="177" ht="15.75" customHeight="1">
      <c r="B177" s="31"/>
      <c r="C177" s="34"/>
      <c r="D177" s="33"/>
      <c r="E177" s="34"/>
      <c r="F177" s="35"/>
      <c r="G177" s="36"/>
      <c r="H177" s="36"/>
      <c r="I177" s="36"/>
      <c r="J177" s="13"/>
    </row>
    <row r="178" ht="15.75" customHeight="1">
      <c r="B178" s="31"/>
      <c r="C178" s="34"/>
      <c r="D178" s="33"/>
      <c r="E178" s="34"/>
      <c r="F178" s="35"/>
      <c r="G178" s="36"/>
      <c r="H178" s="36"/>
      <c r="I178" s="36"/>
      <c r="J178" s="13"/>
    </row>
    <row r="179" ht="15.75" customHeight="1">
      <c r="B179" s="31"/>
      <c r="C179" s="34"/>
      <c r="D179" s="33"/>
      <c r="E179" s="34"/>
      <c r="F179" s="35"/>
      <c r="G179" s="36"/>
      <c r="H179" s="36"/>
      <c r="I179" s="36"/>
      <c r="J179" s="13"/>
    </row>
    <row r="180" ht="15.75" customHeight="1">
      <c r="B180" s="31"/>
      <c r="C180" s="34"/>
      <c r="D180" s="33"/>
      <c r="E180" s="34"/>
      <c r="F180" s="35"/>
      <c r="G180" s="36"/>
      <c r="H180" s="36"/>
      <c r="I180" s="36"/>
      <c r="J180" s="13"/>
    </row>
    <row r="181" ht="15.75" customHeight="1">
      <c r="B181" s="31"/>
      <c r="C181" s="34"/>
      <c r="D181" s="33"/>
      <c r="E181" s="34"/>
      <c r="F181" s="35"/>
      <c r="G181" s="36"/>
      <c r="H181" s="36"/>
      <c r="I181" s="36"/>
      <c r="J181" s="13"/>
    </row>
    <row r="182" ht="15.75" customHeight="1">
      <c r="B182" s="31"/>
      <c r="C182" s="34"/>
      <c r="D182" s="33"/>
      <c r="E182" s="34"/>
      <c r="F182" s="35"/>
      <c r="G182" s="36"/>
      <c r="H182" s="36"/>
      <c r="I182" s="36"/>
      <c r="J182" s="13"/>
    </row>
    <row r="183" ht="15.75" customHeight="1">
      <c r="B183" s="31"/>
      <c r="C183" s="34"/>
      <c r="D183" s="33"/>
      <c r="E183" s="34"/>
      <c r="F183" s="35"/>
      <c r="G183" s="36"/>
      <c r="H183" s="36"/>
      <c r="I183" s="36"/>
      <c r="J183" s="13"/>
    </row>
    <row r="184" ht="15.75" customHeight="1">
      <c r="B184" s="31"/>
      <c r="C184" s="34"/>
      <c r="D184" s="33"/>
      <c r="E184" s="34"/>
      <c r="F184" s="35"/>
      <c r="G184" s="36"/>
      <c r="H184" s="36"/>
      <c r="I184" s="36"/>
      <c r="J184" s="13"/>
    </row>
    <row r="185" ht="15.75" customHeight="1">
      <c r="B185" s="31"/>
      <c r="C185" s="34"/>
      <c r="D185" s="33"/>
      <c r="E185" s="34"/>
      <c r="F185" s="35"/>
      <c r="G185" s="36"/>
      <c r="H185" s="36"/>
      <c r="I185" s="36"/>
      <c r="J185" s="13"/>
    </row>
    <row r="186" ht="15.75" customHeight="1">
      <c r="B186" s="31"/>
      <c r="C186" s="34"/>
      <c r="D186" s="33"/>
      <c r="E186" s="34"/>
      <c r="F186" s="35"/>
      <c r="G186" s="36"/>
      <c r="H186" s="36"/>
      <c r="I186" s="36"/>
      <c r="J186" s="13"/>
    </row>
    <row r="187" ht="15.75" customHeight="1">
      <c r="B187" s="31"/>
      <c r="C187" s="34"/>
      <c r="D187" s="33"/>
      <c r="E187" s="34"/>
      <c r="F187" s="35"/>
      <c r="G187" s="36"/>
      <c r="H187" s="36"/>
      <c r="I187" s="36"/>
      <c r="J187" s="13"/>
    </row>
    <row r="188" ht="15.75" customHeight="1">
      <c r="B188" s="31"/>
      <c r="C188" s="34"/>
      <c r="D188" s="33"/>
      <c r="E188" s="34"/>
      <c r="F188" s="35"/>
      <c r="G188" s="36"/>
      <c r="H188" s="36"/>
      <c r="I188" s="36"/>
      <c r="J188" s="13"/>
    </row>
    <row r="189" ht="15.75" customHeight="1">
      <c r="B189" s="31"/>
      <c r="C189" s="34"/>
      <c r="D189" s="33"/>
      <c r="E189" s="34"/>
      <c r="F189" s="35"/>
      <c r="G189" s="36"/>
      <c r="H189" s="36"/>
      <c r="I189" s="36"/>
      <c r="J189" s="13"/>
    </row>
    <row r="190" ht="15.75" customHeight="1">
      <c r="B190" s="31"/>
      <c r="C190" s="34"/>
      <c r="D190" s="33"/>
      <c r="E190" s="34"/>
      <c r="F190" s="35"/>
      <c r="G190" s="36"/>
      <c r="H190" s="36"/>
      <c r="I190" s="36"/>
      <c r="J190" s="13"/>
    </row>
    <row r="191" ht="15.75" customHeight="1">
      <c r="B191" s="31"/>
      <c r="C191" s="34"/>
      <c r="D191" s="33"/>
      <c r="E191" s="34"/>
      <c r="F191" s="35"/>
      <c r="G191" s="36"/>
      <c r="H191" s="36"/>
      <c r="I191" s="36"/>
      <c r="J191" s="13"/>
    </row>
    <row r="192" ht="15.75" customHeight="1">
      <c r="B192" s="31"/>
      <c r="C192" s="34"/>
      <c r="D192" s="33"/>
      <c r="E192" s="34"/>
      <c r="F192" s="35"/>
      <c r="G192" s="36"/>
      <c r="H192" s="36"/>
      <c r="I192" s="36"/>
      <c r="J192" s="13"/>
    </row>
    <row r="193" ht="15.75" customHeight="1">
      <c r="B193" s="31"/>
      <c r="C193" s="34"/>
      <c r="D193" s="33"/>
      <c r="E193" s="34"/>
      <c r="F193" s="35"/>
      <c r="G193" s="36"/>
      <c r="H193" s="36"/>
      <c r="I193" s="36"/>
      <c r="J193" s="13"/>
    </row>
    <row r="194" ht="15.75" customHeight="1">
      <c r="B194" s="31"/>
      <c r="C194" s="34"/>
      <c r="D194" s="33"/>
      <c r="E194" s="34"/>
      <c r="F194" s="35"/>
      <c r="G194" s="36"/>
      <c r="H194" s="36"/>
      <c r="I194" s="36"/>
      <c r="J194" s="13"/>
    </row>
    <row r="195" ht="15.75" customHeight="1">
      <c r="B195" s="31"/>
      <c r="C195" s="34"/>
      <c r="D195" s="33"/>
      <c r="E195" s="34"/>
      <c r="F195" s="35"/>
      <c r="G195" s="36"/>
      <c r="H195" s="36"/>
      <c r="I195" s="36"/>
      <c r="J195" s="13"/>
    </row>
    <row r="196" ht="15.75" customHeight="1">
      <c r="B196" s="31"/>
      <c r="C196" s="34"/>
      <c r="D196" s="33"/>
      <c r="E196" s="34"/>
      <c r="F196" s="35"/>
      <c r="G196" s="36"/>
      <c r="H196" s="36"/>
      <c r="I196" s="36"/>
      <c r="J196" s="13"/>
    </row>
    <row r="197" ht="15.75" customHeight="1">
      <c r="B197" s="31"/>
      <c r="C197" s="34"/>
      <c r="D197" s="33"/>
      <c r="E197" s="34"/>
      <c r="F197" s="35"/>
      <c r="G197" s="36"/>
      <c r="H197" s="36"/>
      <c r="I197" s="36"/>
      <c r="J197" s="13"/>
    </row>
    <row r="198" ht="15.75" customHeight="1">
      <c r="B198" s="31"/>
      <c r="C198" s="34"/>
      <c r="D198" s="33"/>
      <c r="E198" s="34"/>
      <c r="F198" s="35"/>
      <c r="G198" s="36"/>
      <c r="H198" s="36"/>
      <c r="I198" s="36"/>
      <c r="J198" s="13"/>
    </row>
    <row r="199" ht="15.75" customHeight="1">
      <c r="B199" s="31"/>
      <c r="C199" s="34"/>
      <c r="D199" s="33"/>
      <c r="E199" s="34"/>
      <c r="F199" s="35"/>
      <c r="G199" s="36"/>
      <c r="H199" s="36"/>
      <c r="I199" s="36"/>
      <c r="J199" s="13"/>
    </row>
    <row r="200" ht="15.75" customHeight="1">
      <c r="B200" s="31"/>
      <c r="C200" s="34"/>
      <c r="D200" s="33"/>
      <c r="E200" s="34"/>
      <c r="F200" s="35"/>
      <c r="G200" s="36"/>
      <c r="H200" s="36"/>
      <c r="I200" s="36"/>
      <c r="J200" s="13"/>
    </row>
    <row r="201" ht="15.75" customHeight="1">
      <c r="B201" s="31"/>
      <c r="C201" s="34"/>
      <c r="D201" s="33"/>
      <c r="E201" s="34"/>
      <c r="F201" s="35"/>
      <c r="G201" s="36"/>
      <c r="H201" s="36"/>
      <c r="I201" s="36"/>
      <c r="J201" s="13"/>
    </row>
    <row r="202" ht="15.75" customHeight="1">
      <c r="B202" s="31"/>
      <c r="C202" s="34"/>
      <c r="D202" s="33"/>
      <c r="E202" s="34"/>
      <c r="F202" s="35"/>
      <c r="G202" s="36"/>
      <c r="H202" s="36"/>
      <c r="I202" s="36"/>
      <c r="J202" s="13"/>
    </row>
    <row r="203" ht="15.75" customHeight="1">
      <c r="B203" s="31"/>
      <c r="C203" s="34"/>
      <c r="D203" s="33"/>
      <c r="E203" s="34"/>
      <c r="F203" s="35"/>
      <c r="G203" s="36"/>
      <c r="H203" s="36"/>
      <c r="I203" s="36"/>
      <c r="J203" s="13"/>
    </row>
    <row r="204" ht="15.75" customHeight="1">
      <c r="B204" s="31"/>
      <c r="C204" s="34"/>
      <c r="D204" s="33"/>
      <c r="E204" s="34"/>
      <c r="F204" s="35"/>
      <c r="G204" s="36"/>
      <c r="H204" s="36"/>
      <c r="I204" s="36"/>
      <c r="J204" s="13"/>
    </row>
    <row r="205" ht="15.75" customHeight="1">
      <c r="B205" s="31"/>
      <c r="C205" s="34"/>
      <c r="D205" s="33"/>
      <c r="E205" s="34"/>
      <c r="F205" s="35"/>
      <c r="G205" s="36"/>
      <c r="H205" s="36"/>
      <c r="I205" s="36"/>
      <c r="J205" s="13"/>
    </row>
    <row r="206" ht="15.75" customHeight="1">
      <c r="B206" s="31"/>
      <c r="C206" s="34"/>
      <c r="D206" s="33"/>
      <c r="E206" s="34"/>
      <c r="F206" s="35"/>
      <c r="G206" s="36"/>
      <c r="H206" s="36"/>
      <c r="I206" s="36"/>
      <c r="J206" s="13"/>
    </row>
    <row r="207" ht="15.75" customHeight="1">
      <c r="B207" s="31"/>
      <c r="C207" s="34"/>
      <c r="D207" s="33"/>
      <c r="E207" s="34"/>
      <c r="F207" s="35"/>
      <c r="G207" s="36"/>
      <c r="H207" s="36"/>
      <c r="I207" s="36"/>
      <c r="J207" s="13"/>
    </row>
    <row r="208" ht="15.75" customHeight="1">
      <c r="B208" s="31"/>
      <c r="C208" s="34"/>
      <c r="D208" s="33"/>
      <c r="E208" s="34"/>
      <c r="F208" s="35"/>
      <c r="G208" s="36"/>
      <c r="H208" s="36"/>
      <c r="I208" s="36"/>
      <c r="J208" s="13"/>
    </row>
    <row r="209" ht="15.75" customHeight="1">
      <c r="B209" s="31"/>
      <c r="C209" s="34"/>
      <c r="D209" s="33"/>
      <c r="E209" s="34"/>
      <c r="F209" s="35"/>
      <c r="G209" s="36"/>
      <c r="H209" s="36"/>
      <c r="I209" s="36"/>
      <c r="J209" s="13"/>
    </row>
    <row r="210" ht="15.75" customHeight="1">
      <c r="B210" s="31"/>
      <c r="C210" s="34"/>
      <c r="D210" s="33"/>
      <c r="E210" s="34"/>
      <c r="F210" s="35"/>
      <c r="G210" s="36"/>
      <c r="H210" s="36"/>
      <c r="I210" s="36"/>
      <c r="J210" s="13"/>
    </row>
    <row r="211" ht="15.75" customHeight="1">
      <c r="B211" s="31"/>
      <c r="C211" s="34"/>
      <c r="D211" s="33"/>
      <c r="E211" s="34"/>
      <c r="F211" s="35"/>
      <c r="G211" s="36"/>
      <c r="H211" s="36"/>
      <c r="I211" s="36"/>
      <c r="J211" s="13"/>
    </row>
    <row r="212" ht="15.75" customHeight="1">
      <c r="B212" s="31"/>
      <c r="C212" s="34"/>
      <c r="D212" s="33"/>
      <c r="E212" s="34"/>
      <c r="F212" s="35"/>
      <c r="G212" s="36"/>
      <c r="H212" s="36"/>
      <c r="I212" s="36"/>
      <c r="J212" s="13"/>
    </row>
    <row r="213" ht="15.75" customHeight="1">
      <c r="B213" s="31"/>
      <c r="C213" s="34"/>
      <c r="D213" s="33"/>
      <c r="E213" s="34"/>
      <c r="F213" s="35"/>
      <c r="G213" s="36"/>
      <c r="H213" s="36"/>
      <c r="I213" s="36"/>
      <c r="J213" s="13"/>
    </row>
    <row r="214" ht="15.75" customHeight="1">
      <c r="B214" s="31"/>
      <c r="C214" s="34"/>
      <c r="D214" s="33"/>
      <c r="E214" s="34"/>
      <c r="F214" s="35"/>
      <c r="G214" s="36"/>
      <c r="H214" s="36"/>
      <c r="I214" s="36"/>
      <c r="J214" s="13"/>
    </row>
    <row r="215" ht="15.75" customHeight="1">
      <c r="B215" s="31"/>
      <c r="C215" s="34"/>
      <c r="D215" s="33"/>
      <c r="E215" s="34"/>
      <c r="F215" s="35"/>
      <c r="G215" s="36"/>
      <c r="H215" s="36"/>
      <c r="I215" s="36"/>
      <c r="J215" s="13"/>
    </row>
    <row r="216" ht="15.75" customHeight="1">
      <c r="B216" s="31"/>
      <c r="C216" s="34"/>
      <c r="D216" s="33"/>
      <c r="E216" s="34"/>
      <c r="F216" s="35"/>
      <c r="G216" s="36"/>
      <c r="H216" s="36"/>
      <c r="I216" s="36"/>
      <c r="J216" s="13"/>
    </row>
    <row r="217" ht="15.75" customHeight="1">
      <c r="B217" s="31"/>
      <c r="C217" s="34"/>
      <c r="D217" s="33"/>
      <c r="E217" s="34"/>
      <c r="F217" s="35"/>
      <c r="G217" s="36"/>
      <c r="H217" s="36"/>
      <c r="I217" s="36"/>
      <c r="J217" s="13"/>
    </row>
    <row r="218" ht="15.75" customHeight="1">
      <c r="B218" s="31"/>
      <c r="C218" s="34"/>
      <c r="D218" s="33"/>
      <c r="E218" s="34"/>
      <c r="F218" s="35"/>
      <c r="G218" s="36"/>
      <c r="H218" s="36"/>
      <c r="I218" s="36"/>
      <c r="J218" s="13"/>
    </row>
    <row r="219" ht="15.75" customHeight="1">
      <c r="B219" s="31"/>
      <c r="C219" s="34"/>
      <c r="D219" s="33"/>
      <c r="E219" s="34"/>
      <c r="F219" s="35"/>
      <c r="G219" s="36"/>
      <c r="H219" s="36"/>
      <c r="I219" s="36"/>
      <c r="J219" s="13"/>
    </row>
    <row r="220" ht="15.75" customHeight="1">
      <c r="B220" s="31"/>
      <c r="C220" s="34"/>
      <c r="D220" s="33"/>
      <c r="E220" s="34"/>
      <c r="F220" s="35"/>
      <c r="G220" s="36"/>
      <c r="H220" s="36"/>
      <c r="I220" s="36"/>
      <c r="J220" s="13"/>
    </row>
    <row r="221" ht="15.75" customHeight="1">
      <c r="B221" s="31"/>
      <c r="C221" s="34"/>
      <c r="D221" s="33"/>
      <c r="E221" s="34"/>
      <c r="F221" s="35"/>
      <c r="G221" s="36"/>
      <c r="H221" s="36"/>
      <c r="I221" s="36"/>
      <c r="J221" s="13"/>
    </row>
    <row r="222" ht="15.75" customHeight="1">
      <c r="B222" s="31"/>
      <c r="C222" s="34"/>
      <c r="D222" s="33"/>
      <c r="E222" s="34"/>
      <c r="F222" s="35"/>
      <c r="G222" s="36"/>
      <c r="H222" s="36"/>
      <c r="I222" s="36"/>
      <c r="J222" s="13"/>
    </row>
    <row r="223" ht="15.75" customHeight="1">
      <c r="B223" s="31"/>
      <c r="C223" s="34"/>
      <c r="D223" s="33"/>
      <c r="E223" s="34"/>
      <c r="F223" s="35"/>
      <c r="G223" s="36"/>
      <c r="H223" s="36"/>
      <c r="I223" s="36"/>
      <c r="J223" s="13"/>
    </row>
    <row r="224" ht="15.75" customHeight="1">
      <c r="B224" s="31"/>
      <c r="C224" s="34"/>
      <c r="D224" s="33"/>
      <c r="E224" s="34"/>
      <c r="F224" s="35"/>
      <c r="G224" s="36"/>
      <c r="H224" s="36"/>
      <c r="I224" s="36"/>
      <c r="J224" s="13"/>
    </row>
    <row r="225" ht="15.75" customHeight="1">
      <c r="B225" s="31"/>
      <c r="C225" s="34"/>
      <c r="D225" s="33"/>
      <c r="E225" s="34"/>
      <c r="F225" s="35"/>
      <c r="G225" s="36"/>
      <c r="H225" s="36"/>
      <c r="I225" s="36"/>
      <c r="J225" s="13"/>
    </row>
    <row r="226" ht="15.75" customHeight="1">
      <c r="B226" s="31"/>
      <c r="C226" s="34"/>
      <c r="D226" s="33"/>
      <c r="E226" s="34"/>
      <c r="F226" s="35"/>
      <c r="G226" s="36"/>
      <c r="H226" s="36"/>
      <c r="I226" s="36"/>
      <c r="J226" s="13"/>
    </row>
    <row r="227" ht="15.75" customHeight="1">
      <c r="B227" s="31"/>
      <c r="C227" s="34"/>
      <c r="D227" s="33"/>
      <c r="E227" s="34"/>
      <c r="F227" s="35"/>
      <c r="G227" s="36"/>
      <c r="H227" s="36"/>
      <c r="I227" s="36"/>
      <c r="J227" s="13"/>
    </row>
    <row r="228" ht="15.75" customHeight="1">
      <c r="B228" s="31"/>
      <c r="C228" s="34"/>
      <c r="D228" s="33"/>
      <c r="E228" s="34"/>
      <c r="F228" s="35"/>
      <c r="G228" s="36"/>
      <c r="H228" s="36"/>
      <c r="I228" s="36"/>
      <c r="J228" s="13"/>
    </row>
    <row r="229" ht="15.75" customHeight="1">
      <c r="B229" s="31"/>
      <c r="C229" s="34"/>
      <c r="D229" s="33"/>
      <c r="E229" s="34"/>
      <c r="F229" s="35"/>
      <c r="G229" s="36"/>
      <c r="H229" s="36"/>
      <c r="I229" s="36"/>
      <c r="J229" s="13"/>
    </row>
    <row r="230" ht="15.75" customHeight="1">
      <c r="B230" s="31"/>
      <c r="C230" s="34"/>
      <c r="D230" s="33"/>
      <c r="E230" s="34"/>
      <c r="F230" s="35"/>
      <c r="G230" s="36"/>
      <c r="H230" s="36"/>
      <c r="I230" s="36"/>
      <c r="J230" s="13"/>
    </row>
    <row r="231" ht="15.75" customHeight="1">
      <c r="B231" s="31"/>
      <c r="C231" s="34"/>
      <c r="D231" s="33"/>
      <c r="E231" s="34"/>
      <c r="F231" s="35"/>
      <c r="G231" s="36"/>
      <c r="H231" s="36"/>
      <c r="I231" s="36"/>
      <c r="J231" s="13"/>
    </row>
    <row r="232" ht="15.75" customHeight="1">
      <c r="B232" s="31"/>
      <c r="C232" s="34"/>
      <c r="D232" s="33"/>
      <c r="E232" s="34"/>
      <c r="F232" s="35"/>
      <c r="G232" s="36"/>
      <c r="H232" s="36"/>
      <c r="I232" s="36"/>
      <c r="J232" s="13"/>
    </row>
    <row r="233" ht="15.75" customHeight="1">
      <c r="B233" s="31"/>
      <c r="C233" s="34"/>
      <c r="D233" s="33"/>
      <c r="E233" s="34"/>
      <c r="F233" s="35"/>
      <c r="G233" s="36"/>
      <c r="H233" s="36"/>
      <c r="I233" s="36"/>
      <c r="J233" s="13"/>
    </row>
    <row r="234" ht="15.75" customHeight="1">
      <c r="B234" s="31"/>
      <c r="C234" s="34"/>
      <c r="D234" s="33"/>
      <c r="E234" s="34"/>
      <c r="F234" s="35"/>
      <c r="G234" s="36"/>
      <c r="H234" s="36"/>
      <c r="I234" s="36"/>
      <c r="J234" s="13"/>
    </row>
    <row r="235" ht="15.75" customHeight="1">
      <c r="B235" s="31"/>
      <c r="C235" s="34"/>
      <c r="D235" s="33"/>
      <c r="E235" s="34"/>
      <c r="F235" s="35"/>
      <c r="G235" s="36"/>
      <c r="H235" s="36"/>
      <c r="I235" s="36"/>
      <c r="J235" s="13"/>
    </row>
    <row r="236" ht="15.75" customHeight="1">
      <c r="B236" s="31"/>
      <c r="C236" s="34"/>
      <c r="D236" s="33"/>
      <c r="E236" s="34"/>
      <c r="F236" s="35"/>
      <c r="G236" s="36"/>
      <c r="H236" s="36"/>
      <c r="I236" s="36"/>
      <c r="J236" s="13"/>
    </row>
    <row r="237" ht="15.75" customHeight="1">
      <c r="B237" s="31"/>
      <c r="C237" s="34"/>
      <c r="D237" s="33"/>
      <c r="E237" s="34"/>
      <c r="F237" s="35"/>
      <c r="G237" s="36"/>
      <c r="H237" s="36"/>
      <c r="I237" s="36"/>
      <c r="J237" s="13"/>
    </row>
    <row r="238" ht="15.75" customHeight="1">
      <c r="B238" s="31"/>
      <c r="C238" s="34"/>
      <c r="D238" s="33"/>
      <c r="E238" s="34"/>
      <c r="F238" s="35"/>
      <c r="G238" s="36"/>
      <c r="H238" s="36"/>
      <c r="I238" s="36"/>
      <c r="J238" s="13"/>
    </row>
    <row r="239" ht="15.75" customHeight="1">
      <c r="B239" s="31"/>
      <c r="C239" s="34"/>
      <c r="D239" s="33"/>
      <c r="E239" s="34"/>
      <c r="F239" s="35"/>
      <c r="G239" s="36"/>
      <c r="H239" s="36"/>
      <c r="I239" s="36"/>
      <c r="J239" s="13"/>
    </row>
    <row r="240" ht="15.75" customHeight="1">
      <c r="B240" s="31"/>
      <c r="C240" s="34"/>
      <c r="D240" s="33"/>
      <c r="E240" s="34"/>
      <c r="F240" s="35"/>
      <c r="G240" s="36"/>
      <c r="H240" s="36"/>
      <c r="I240" s="36"/>
      <c r="J240" s="13"/>
    </row>
    <row r="241" ht="15.75" customHeight="1">
      <c r="B241" s="31"/>
      <c r="C241" s="34"/>
      <c r="D241" s="33"/>
      <c r="E241" s="34"/>
      <c r="F241" s="35"/>
      <c r="G241" s="36"/>
      <c r="H241" s="36"/>
      <c r="I241" s="36"/>
      <c r="J241" s="13"/>
    </row>
    <row r="242" ht="15.75" customHeight="1">
      <c r="B242" s="31"/>
      <c r="C242" s="34"/>
      <c r="D242" s="33"/>
      <c r="E242" s="34"/>
      <c r="F242" s="35"/>
      <c r="G242" s="36"/>
      <c r="H242" s="36"/>
      <c r="I242" s="36"/>
      <c r="J242" s="13"/>
    </row>
    <row r="243" ht="15.75" customHeight="1">
      <c r="B243" s="31"/>
      <c r="C243" s="34"/>
      <c r="D243" s="33"/>
      <c r="E243" s="34"/>
      <c r="F243" s="35"/>
      <c r="G243" s="36"/>
      <c r="H243" s="36"/>
      <c r="I243" s="36"/>
      <c r="J243" s="13"/>
    </row>
    <row r="244" ht="15.75" customHeight="1">
      <c r="B244" s="31"/>
      <c r="C244" s="34"/>
      <c r="D244" s="33"/>
      <c r="E244" s="34"/>
      <c r="F244" s="35"/>
      <c r="G244" s="36"/>
      <c r="H244" s="36"/>
      <c r="I244" s="36"/>
      <c r="J244" s="13"/>
    </row>
    <row r="245" ht="15.75" customHeight="1">
      <c r="B245" s="31"/>
      <c r="C245" s="34"/>
      <c r="D245" s="33"/>
      <c r="E245" s="34"/>
      <c r="F245" s="35"/>
      <c r="G245" s="36"/>
      <c r="H245" s="36"/>
      <c r="I245" s="36"/>
      <c r="J245" s="13"/>
    </row>
    <row r="246" ht="15.75" customHeight="1">
      <c r="B246" s="31"/>
      <c r="C246" s="34"/>
      <c r="D246" s="33"/>
      <c r="E246" s="34"/>
      <c r="F246" s="35"/>
      <c r="G246" s="36"/>
      <c r="H246" s="36"/>
      <c r="I246" s="36"/>
      <c r="J246" s="13"/>
    </row>
    <row r="247" ht="15.75" customHeight="1">
      <c r="B247" s="31"/>
      <c r="C247" s="34"/>
      <c r="D247" s="33"/>
      <c r="E247" s="34"/>
      <c r="F247" s="35"/>
      <c r="G247" s="36"/>
      <c r="H247" s="36"/>
      <c r="I247" s="36"/>
      <c r="J247" s="13"/>
    </row>
    <row r="248" ht="15.75" customHeight="1">
      <c r="B248" s="31"/>
      <c r="C248" s="34"/>
      <c r="D248" s="33"/>
      <c r="E248" s="34"/>
      <c r="F248" s="35"/>
      <c r="G248" s="36"/>
      <c r="H248" s="36"/>
      <c r="I248" s="36"/>
      <c r="J248" s="13"/>
    </row>
    <row r="249" ht="15.75" customHeight="1">
      <c r="B249" s="31"/>
      <c r="C249" s="34"/>
      <c r="D249" s="33"/>
      <c r="E249" s="34"/>
      <c r="F249" s="35"/>
      <c r="G249" s="36"/>
      <c r="H249" s="36"/>
      <c r="I249" s="36"/>
      <c r="J249" s="13"/>
    </row>
    <row r="250" ht="15.75" customHeight="1">
      <c r="B250" s="31"/>
      <c r="C250" s="34"/>
      <c r="D250" s="33"/>
      <c r="E250" s="34"/>
      <c r="F250" s="35"/>
      <c r="G250" s="36"/>
      <c r="H250" s="36"/>
      <c r="I250" s="36"/>
      <c r="J250" s="13"/>
    </row>
    <row r="251" ht="15.75" customHeight="1">
      <c r="B251" s="31"/>
      <c r="C251" s="34"/>
      <c r="D251" s="33"/>
      <c r="E251" s="34"/>
      <c r="F251" s="35"/>
      <c r="G251" s="36"/>
      <c r="H251" s="36"/>
      <c r="I251" s="36"/>
      <c r="J251" s="13"/>
    </row>
    <row r="252" ht="15.75" customHeight="1">
      <c r="B252" s="31"/>
      <c r="C252" s="34"/>
      <c r="D252" s="33"/>
      <c r="E252" s="34"/>
      <c r="F252" s="35"/>
      <c r="G252" s="36"/>
      <c r="H252" s="36"/>
      <c r="I252" s="36"/>
      <c r="J252" s="13"/>
    </row>
    <row r="253" ht="15.75" customHeight="1">
      <c r="B253" s="31"/>
      <c r="C253" s="34"/>
      <c r="D253" s="33"/>
      <c r="E253" s="34"/>
      <c r="F253" s="35"/>
      <c r="G253" s="36"/>
      <c r="H253" s="36"/>
      <c r="I253" s="36"/>
      <c r="J253" s="13"/>
    </row>
    <row r="254" ht="15.75" customHeight="1">
      <c r="B254" s="31"/>
      <c r="C254" s="34"/>
      <c r="D254" s="33"/>
      <c r="E254" s="34"/>
      <c r="F254" s="35"/>
      <c r="G254" s="36"/>
      <c r="H254" s="36"/>
      <c r="I254" s="36"/>
      <c r="J254" s="13"/>
    </row>
    <row r="255" ht="15.75" customHeight="1">
      <c r="B255" s="31"/>
      <c r="C255" s="34"/>
      <c r="D255" s="33"/>
      <c r="E255" s="34"/>
      <c r="F255" s="35"/>
      <c r="G255" s="36"/>
      <c r="H255" s="36"/>
      <c r="I255" s="36"/>
      <c r="J255" s="13"/>
    </row>
    <row r="256" ht="15.75" customHeight="1">
      <c r="B256" s="31"/>
      <c r="C256" s="34"/>
      <c r="D256" s="33"/>
      <c r="E256" s="34"/>
      <c r="F256" s="35"/>
      <c r="G256" s="36"/>
      <c r="H256" s="36"/>
      <c r="I256" s="36"/>
      <c r="J256" s="13"/>
    </row>
    <row r="257" ht="15.75" customHeight="1">
      <c r="B257" s="31"/>
      <c r="C257" s="34"/>
      <c r="D257" s="33"/>
      <c r="E257" s="34"/>
      <c r="F257" s="35"/>
      <c r="G257" s="36"/>
      <c r="H257" s="36"/>
      <c r="I257" s="36"/>
      <c r="J257" s="13"/>
    </row>
    <row r="258" ht="15.75" customHeight="1">
      <c r="B258" s="31"/>
      <c r="C258" s="34"/>
      <c r="D258" s="33"/>
      <c r="E258" s="34"/>
      <c r="F258" s="35"/>
      <c r="G258" s="36"/>
      <c r="H258" s="36"/>
      <c r="I258" s="36"/>
      <c r="J258" s="13"/>
    </row>
    <row r="259" ht="15.75" customHeight="1">
      <c r="B259" s="31"/>
      <c r="C259" s="34"/>
      <c r="D259" s="33"/>
      <c r="E259" s="34"/>
      <c r="F259" s="35"/>
      <c r="G259" s="36"/>
      <c r="H259" s="36"/>
      <c r="I259" s="36"/>
      <c r="J259" s="13"/>
    </row>
    <row r="260" ht="15.75" customHeight="1">
      <c r="B260" s="31"/>
      <c r="C260" s="34"/>
      <c r="D260" s="33"/>
      <c r="E260" s="34"/>
      <c r="F260" s="35"/>
      <c r="G260" s="36"/>
      <c r="H260" s="36"/>
      <c r="I260" s="36"/>
      <c r="J260" s="13"/>
    </row>
    <row r="261" ht="15.75" customHeight="1">
      <c r="B261" s="31"/>
      <c r="C261" s="34"/>
      <c r="D261" s="33"/>
      <c r="E261" s="34"/>
      <c r="F261" s="35"/>
      <c r="G261" s="36"/>
      <c r="H261" s="36"/>
      <c r="I261" s="36"/>
      <c r="J261" s="13"/>
    </row>
    <row r="262" ht="15.75" customHeight="1">
      <c r="B262" s="31"/>
      <c r="C262" s="34"/>
      <c r="D262" s="33"/>
      <c r="E262" s="34"/>
      <c r="F262" s="35"/>
      <c r="G262" s="36"/>
      <c r="H262" s="36"/>
      <c r="I262" s="36"/>
      <c r="J262" s="13"/>
    </row>
    <row r="263" ht="15.75" customHeight="1">
      <c r="B263" s="31"/>
      <c r="C263" s="34"/>
      <c r="D263" s="33"/>
      <c r="E263" s="34"/>
      <c r="F263" s="35"/>
      <c r="G263" s="36"/>
      <c r="H263" s="36"/>
      <c r="I263" s="36"/>
      <c r="J263" s="13"/>
    </row>
    <row r="264" ht="15.75" customHeight="1">
      <c r="B264" s="31"/>
      <c r="C264" s="34"/>
      <c r="D264" s="33"/>
      <c r="E264" s="34"/>
      <c r="F264" s="35"/>
      <c r="G264" s="36"/>
      <c r="H264" s="36"/>
      <c r="I264" s="36"/>
      <c r="J264" s="13"/>
    </row>
    <row r="265" ht="15.75" customHeight="1">
      <c r="B265" s="31"/>
      <c r="C265" s="34"/>
      <c r="D265" s="33"/>
      <c r="E265" s="34"/>
      <c r="F265" s="35"/>
      <c r="G265" s="36"/>
      <c r="H265" s="36"/>
      <c r="I265" s="36"/>
      <c r="J265" s="13"/>
    </row>
    <row r="266" ht="15.75" customHeight="1">
      <c r="B266" s="31"/>
      <c r="C266" s="34"/>
      <c r="D266" s="33"/>
      <c r="E266" s="34"/>
      <c r="F266" s="35"/>
      <c r="G266" s="36"/>
      <c r="H266" s="36"/>
      <c r="I266" s="36"/>
      <c r="J266" s="13"/>
    </row>
    <row r="267" ht="15.75" customHeight="1">
      <c r="B267" s="31"/>
      <c r="C267" s="34"/>
      <c r="D267" s="33"/>
      <c r="E267" s="34"/>
      <c r="F267" s="35"/>
      <c r="G267" s="36"/>
      <c r="H267" s="36"/>
      <c r="I267" s="36"/>
      <c r="J267" s="13"/>
    </row>
    <row r="268" ht="15.75" customHeight="1">
      <c r="B268" s="31"/>
      <c r="C268" s="34"/>
      <c r="D268" s="33"/>
      <c r="E268" s="34"/>
      <c r="F268" s="35"/>
      <c r="G268" s="36"/>
      <c r="H268" s="36"/>
      <c r="I268" s="36"/>
      <c r="J268" s="13"/>
    </row>
    <row r="269" ht="15.75" customHeight="1">
      <c r="B269" s="31"/>
      <c r="C269" s="34"/>
      <c r="D269" s="33"/>
      <c r="E269" s="34"/>
      <c r="F269" s="35"/>
      <c r="G269" s="36"/>
      <c r="H269" s="36"/>
      <c r="I269" s="36"/>
      <c r="J269" s="13"/>
    </row>
    <row r="270" ht="15.75" customHeight="1">
      <c r="B270" s="31"/>
      <c r="C270" s="34"/>
      <c r="D270" s="33"/>
      <c r="E270" s="34"/>
      <c r="F270" s="35"/>
      <c r="G270" s="36"/>
      <c r="H270" s="36"/>
      <c r="I270" s="36"/>
      <c r="J270" s="13"/>
    </row>
    <row r="271" ht="15.75" customHeight="1">
      <c r="B271" s="31"/>
      <c r="C271" s="34"/>
      <c r="D271" s="33"/>
      <c r="E271" s="34"/>
      <c r="F271" s="35"/>
      <c r="G271" s="36"/>
      <c r="H271" s="36"/>
      <c r="I271" s="36"/>
      <c r="J271" s="13"/>
    </row>
    <row r="272" ht="15.75" customHeight="1">
      <c r="B272" s="31"/>
      <c r="C272" s="34"/>
      <c r="D272" s="33"/>
      <c r="E272" s="34"/>
      <c r="F272" s="35"/>
      <c r="G272" s="36"/>
      <c r="H272" s="36"/>
      <c r="I272" s="36"/>
      <c r="J272" s="13"/>
    </row>
    <row r="273" ht="15.75" customHeight="1">
      <c r="B273" s="31"/>
      <c r="C273" s="34"/>
      <c r="D273" s="33"/>
      <c r="E273" s="34"/>
      <c r="F273" s="35"/>
      <c r="G273" s="36"/>
      <c r="H273" s="36"/>
      <c r="I273" s="36"/>
      <c r="J273" s="13"/>
    </row>
    <row r="274" ht="15.75" customHeight="1">
      <c r="B274" s="31"/>
      <c r="C274" s="34"/>
      <c r="D274" s="33"/>
      <c r="E274" s="34"/>
      <c r="F274" s="35"/>
      <c r="G274" s="36"/>
      <c r="H274" s="36"/>
      <c r="I274" s="36"/>
      <c r="J274" s="13"/>
    </row>
    <row r="275" ht="15.75" customHeight="1">
      <c r="B275" s="31"/>
      <c r="C275" s="34"/>
      <c r="D275" s="33"/>
      <c r="E275" s="34"/>
      <c r="F275" s="35"/>
      <c r="G275" s="36"/>
      <c r="H275" s="36"/>
      <c r="I275" s="36"/>
      <c r="J275" s="13"/>
    </row>
    <row r="276" ht="15.75" customHeight="1">
      <c r="B276" s="31"/>
      <c r="C276" s="34"/>
      <c r="D276" s="33"/>
      <c r="E276" s="34"/>
      <c r="F276" s="35"/>
      <c r="G276" s="36"/>
      <c r="H276" s="36"/>
      <c r="I276" s="36"/>
      <c r="J276" s="13"/>
    </row>
    <row r="277" ht="15.75" customHeight="1">
      <c r="B277" s="31"/>
      <c r="C277" s="34"/>
      <c r="D277" s="33"/>
      <c r="E277" s="34"/>
      <c r="F277" s="35"/>
      <c r="G277" s="36"/>
      <c r="H277" s="36"/>
      <c r="I277" s="36"/>
      <c r="J277" s="13"/>
    </row>
    <row r="278" ht="15.75" customHeight="1">
      <c r="B278" s="31"/>
      <c r="C278" s="34"/>
      <c r="D278" s="33"/>
      <c r="E278" s="34"/>
      <c r="F278" s="35"/>
      <c r="G278" s="36"/>
      <c r="H278" s="36"/>
      <c r="I278" s="36"/>
      <c r="J278" s="13"/>
    </row>
    <row r="279" ht="15.75" customHeight="1">
      <c r="B279" s="31"/>
      <c r="C279" s="34"/>
      <c r="D279" s="33"/>
      <c r="E279" s="34"/>
      <c r="F279" s="35"/>
      <c r="G279" s="36"/>
      <c r="H279" s="36"/>
      <c r="I279" s="36"/>
      <c r="J279" s="13"/>
    </row>
    <row r="280" ht="15.75" customHeight="1">
      <c r="B280" s="31"/>
      <c r="C280" s="34"/>
      <c r="D280" s="33"/>
      <c r="E280" s="34"/>
      <c r="F280" s="35"/>
      <c r="G280" s="36"/>
      <c r="H280" s="36"/>
      <c r="I280" s="36"/>
      <c r="J280" s="13"/>
    </row>
    <row r="281" ht="15.75" customHeight="1">
      <c r="B281" s="31"/>
      <c r="C281" s="34"/>
      <c r="D281" s="33"/>
      <c r="E281" s="34"/>
      <c r="F281" s="35"/>
      <c r="G281" s="36"/>
      <c r="H281" s="36"/>
      <c r="I281" s="36"/>
      <c r="J281" s="13"/>
    </row>
    <row r="282" ht="15.75" customHeight="1">
      <c r="B282" s="31"/>
      <c r="C282" s="34"/>
      <c r="D282" s="33"/>
      <c r="E282" s="34"/>
      <c r="F282" s="35"/>
      <c r="G282" s="36"/>
      <c r="H282" s="36"/>
      <c r="I282" s="36"/>
      <c r="J282" s="13"/>
    </row>
    <row r="283" ht="15.75" customHeight="1">
      <c r="B283" s="31"/>
      <c r="C283" s="34"/>
      <c r="D283" s="33"/>
      <c r="E283" s="34"/>
      <c r="F283" s="35"/>
      <c r="G283" s="36"/>
      <c r="H283" s="36"/>
      <c r="I283" s="36"/>
      <c r="J283" s="13"/>
    </row>
    <row r="284" ht="15.75" customHeight="1">
      <c r="B284" s="31"/>
      <c r="C284" s="34"/>
      <c r="D284" s="33"/>
      <c r="E284" s="34"/>
      <c r="F284" s="35"/>
      <c r="G284" s="36"/>
      <c r="H284" s="36"/>
      <c r="I284" s="36"/>
      <c r="J284" s="13"/>
    </row>
    <row r="285" ht="15.75" customHeight="1">
      <c r="B285" s="31"/>
      <c r="C285" s="34"/>
      <c r="D285" s="33"/>
      <c r="E285" s="34"/>
      <c r="F285" s="35"/>
      <c r="G285" s="36"/>
      <c r="H285" s="36"/>
      <c r="I285" s="36"/>
      <c r="J285" s="13"/>
    </row>
    <row r="286" ht="15.75" customHeight="1">
      <c r="B286" s="31"/>
      <c r="C286" s="34"/>
      <c r="D286" s="33"/>
      <c r="E286" s="34"/>
      <c r="F286" s="35"/>
      <c r="G286" s="36"/>
      <c r="H286" s="36"/>
      <c r="I286" s="36"/>
      <c r="J286" s="13"/>
    </row>
    <row r="287" ht="15.75" customHeight="1">
      <c r="B287" s="31"/>
      <c r="C287" s="34"/>
      <c r="D287" s="33"/>
      <c r="E287" s="34"/>
      <c r="F287" s="35"/>
      <c r="G287" s="36"/>
      <c r="H287" s="36"/>
      <c r="I287" s="36"/>
      <c r="J287" s="13"/>
    </row>
    <row r="288" ht="15.75" customHeight="1">
      <c r="B288" s="31"/>
      <c r="C288" s="34"/>
      <c r="D288" s="33"/>
      <c r="E288" s="34"/>
      <c r="F288" s="35"/>
      <c r="G288" s="36"/>
      <c r="H288" s="36"/>
      <c r="I288" s="36"/>
      <c r="J288" s="13"/>
    </row>
    <row r="289" ht="15.75" customHeight="1">
      <c r="B289" s="31"/>
      <c r="C289" s="34"/>
      <c r="D289" s="33"/>
      <c r="E289" s="34"/>
      <c r="F289" s="35"/>
      <c r="G289" s="36"/>
      <c r="H289" s="36"/>
      <c r="I289" s="36"/>
      <c r="J289" s="13"/>
    </row>
    <row r="290" ht="15.75" customHeight="1">
      <c r="B290" s="31"/>
      <c r="C290" s="34"/>
      <c r="D290" s="33"/>
      <c r="E290" s="34"/>
      <c r="F290" s="35"/>
      <c r="G290" s="36"/>
      <c r="H290" s="36"/>
      <c r="I290" s="36"/>
      <c r="J290" s="13"/>
    </row>
    <row r="291" ht="15.75" customHeight="1">
      <c r="B291" s="31"/>
      <c r="C291" s="34"/>
      <c r="D291" s="33"/>
      <c r="E291" s="34"/>
      <c r="F291" s="35"/>
      <c r="G291" s="36"/>
      <c r="H291" s="36"/>
      <c r="I291" s="36"/>
      <c r="J291" s="13"/>
    </row>
    <row r="292" ht="15.75" customHeight="1">
      <c r="B292" s="31"/>
      <c r="C292" s="34"/>
      <c r="D292" s="33"/>
      <c r="E292" s="34"/>
      <c r="F292" s="35"/>
      <c r="G292" s="36"/>
      <c r="H292" s="36"/>
      <c r="I292" s="36"/>
      <c r="J292" s="13"/>
    </row>
    <row r="293" ht="15.75" customHeight="1">
      <c r="B293" s="31"/>
      <c r="C293" s="34"/>
      <c r="D293" s="33"/>
      <c r="E293" s="34"/>
      <c r="F293" s="35"/>
      <c r="G293" s="36"/>
      <c r="H293" s="36"/>
      <c r="I293" s="36"/>
      <c r="J293" s="13"/>
    </row>
    <row r="294" ht="15.75" customHeight="1">
      <c r="B294" s="31"/>
      <c r="C294" s="34"/>
      <c r="D294" s="33"/>
      <c r="E294" s="34"/>
      <c r="F294" s="35"/>
      <c r="G294" s="36"/>
      <c r="H294" s="36"/>
      <c r="I294" s="36"/>
      <c r="J294" s="13"/>
    </row>
    <row r="295" ht="15.75" customHeight="1">
      <c r="B295" s="31"/>
      <c r="C295" s="34"/>
      <c r="D295" s="33"/>
      <c r="E295" s="34"/>
      <c r="F295" s="35"/>
      <c r="G295" s="36"/>
      <c r="H295" s="36"/>
      <c r="I295" s="36"/>
      <c r="J295" s="13"/>
    </row>
    <row r="296" ht="15.75" customHeight="1">
      <c r="B296" s="31"/>
      <c r="C296" s="34"/>
      <c r="D296" s="33"/>
      <c r="E296" s="34"/>
      <c r="F296" s="35"/>
      <c r="G296" s="36"/>
      <c r="H296" s="36"/>
      <c r="I296" s="36"/>
      <c r="J296" s="13"/>
    </row>
    <row r="297" ht="15.75" customHeight="1">
      <c r="B297" s="31"/>
      <c r="C297" s="34"/>
      <c r="D297" s="33"/>
      <c r="E297" s="34"/>
      <c r="F297" s="35"/>
      <c r="G297" s="36"/>
      <c r="H297" s="36"/>
      <c r="I297" s="36"/>
      <c r="J297" s="13"/>
    </row>
    <row r="298" ht="15.75" customHeight="1">
      <c r="B298" s="31"/>
      <c r="C298" s="34"/>
      <c r="D298" s="33"/>
      <c r="E298" s="34"/>
      <c r="F298" s="35"/>
      <c r="G298" s="36"/>
      <c r="H298" s="36"/>
      <c r="I298" s="36"/>
      <c r="J298" s="13"/>
    </row>
    <row r="299" ht="15.75" customHeight="1">
      <c r="B299" s="31"/>
      <c r="C299" s="34"/>
      <c r="D299" s="33"/>
      <c r="E299" s="34"/>
      <c r="F299" s="35"/>
      <c r="G299" s="36"/>
      <c r="H299" s="36"/>
      <c r="I299" s="36"/>
      <c r="J299" s="13"/>
    </row>
    <row r="300" ht="15.75" customHeight="1">
      <c r="B300" s="31"/>
      <c r="C300" s="34"/>
      <c r="D300" s="33"/>
      <c r="E300" s="34"/>
      <c r="F300" s="35"/>
      <c r="G300" s="36"/>
      <c r="H300" s="36"/>
      <c r="I300" s="36"/>
      <c r="J300" s="13"/>
    </row>
    <row r="301" ht="15.75" customHeight="1">
      <c r="B301" s="31"/>
      <c r="C301" s="34"/>
      <c r="D301" s="33"/>
      <c r="E301" s="34"/>
      <c r="F301" s="35"/>
      <c r="G301" s="36"/>
      <c r="H301" s="36"/>
      <c r="I301" s="36"/>
      <c r="J301" s="13"/>
    </row>
    <row r="302" ht="15.75" customHeight="1">
      <c r="B302" s="31"/>
      <c r="C302" s="34"/>
      <c r="D302" s="33"/>
      <c r="E302" s="34"/>
      <c r="F302" s="35"/>
      <c r="G302" s="36"/>
      <c r="H302" s="36"/>
      <c r="I302" s="36"/>
      <c r="J302" s="13"/>
    </row>
    <row r="303" ht="15.75" customHeight="1">
      <c r="B303" s="31"/>
      <c r="C303" s="34"/>
      <c r="D303" s="33"/>
      <c r="E303" s="34"/>
      <c r="F303" s="35"/>
      <c r="G303" s="36"/>
      <c r="H303" s="36"/>
      <c r="I303" s="36"/>
      <c r="J303" s="13"/>
    </row>
    <row r="304" ht="15.75" customHeight="1">
      <c r="B304" s="31"/>
      <c r="C304" s="34"/>
      <c r="D304" s="33"/>
      <c r="E304" s="34"/>
      <c r="F304" s="35"/>
      <c r="G304" s="36"/>
      <c r="H304" s="36"/>
      <c r="I304" s="36"/>
      <c r="J304" s="13"/>
    </row>
    <row r="305" ht="15.75" customHeight="1">
      <c r="B305" s="31"/>
      <c r="C305" s="34"/>
      <c r="D305" s="33"/>
      <c r="E305" s="34"/>
      <c r="F305" s="35"/>
      <c r="G305" s="36"/>
      <c r="H305" s="36"/>
      <c r="I305" s="36"/>
      <c r="J305" s="13"/>
    </row>
    <row r="306" ht="15.75" customHeight="1">
      <c r="B306" s="31"/>
      <c r="C306" s="34"/>
      <c r="D306" s="33"/>
      <c r="E306" s="34"/>
      <c r="F306" s="35"/>
      <c r="G306" s="36"/>
      <c r="H306" s="36"/>
      <c r="I306" s="36"/>
      <c r="J306" s="13"/>
    </row>
    <row r="307" ht="15.75" customHeight="1">
      <c r="B307" s="31"/>
      <c r="C307" s="34"/>
      <c r="D307" s="33"/>
      <c r="E307" s="34"/>
      <c r="F307" s="35"/>
      <c r="G307" s="36"/>
      <c r="H307" s="36"/>
      <c r="I307" s="36"/>
      <c r="J307" s="13"/>
    </row>
    <row r="308" ht="15.75" customHeight="1">
      <c r="B308" s="31"/>
      <c r="C308" s="34"/>
      <c r="D308" s="33"/>
      <c r="E308" s="34"/>
      <c r="F308" s="35"/>
      <c r="G308" s="36"/>
      <c r="H308" s="36"/>
      <c r="I308" s="36"/>
      <c r="J308" s="13"/>
    </row>
    <row r="309" ht="15.75" customHeight="1">
      <c r="B309" s="31"/>
      <c r="C309" s="34"/>
      <c r="D309" s="33"/>
      <c r="E309" s="34"/>
      <c r="F309" s="35"/>
      <c r="G309" s="36"/>
      <c r="H309" s="36"/>
      <c r="I309" s="36"/>
      <c r="J309" s="13"/>
    </row>
    <row r="310" ht="15.75" customHeight="1">
      <c r="B310" s="31"/>
      <c r="C310" s="34"/>
      <c r="D310" s="33"/>
      <c r="E310" s="34"/>
      <c r="F310" s="35"/>
      <c r="G310" s="36"/>
      <c r="H310" s="36"/>
      <c r="I310" s="36"/>
      <c r="J310" s="13"/>
    </row>
    <row r="311" ht="15.75" customHeight="1">
      <c r="B311" s="31"/>
      <c r="C311" s="34"/>
      <c r="D311" s="33"/>
      <c r="E311" s="34"/>
      <c r="F311" s="35"/>
      <c r="G311" s="36"/>
      <c r="H311" s="36"/>
      <c r="I311" s="36"/>
      <c r="J311" s="13"/>
    </row>
    <row r="312" ht="15.75" customHeight="1">
      <c r="B312" s="31"/>
      <c r="C312" s="34"/>
      <c r="D312" s="33"/>
      <c r="E312" s="34"/>
      <c r="F312" s="35"/>
      <c r="G312" s="36"/>
      <c r="H312" s="36"/>
      <c r="I312" s="36"/>
      <c r="J312" s="13"/>
    </row>
    <row r="313" ht="15.75" customHeight="1">
      <c r="B313" s="31"/>
      <c r="C313" s="34"/>
      <c r="D313" s="33"/>
      <c r="E313" s="34"/>
      <c r="F313" s="35"/>
      <c r="G313" s="36"/>
      <c r="H313" s="36"/>
      <c r="I313" s="36"/>
      <c r="J313" s="13"/>
    </row>
    <row r="314" ht="15.75" customHeight="1">
      <c r="B314" s="31"/>
      <c r="C314" s="34"/>
      <c r="D314" s="33"/>
      <c r="E314" s="34"/>
      <c r="F314" s="35"/>
      <c r="G314" s="36"/>
      <c r="H314" s="36"/>
      <c r="I314" s="36"/>
      <c r="J314" s="13"/>
    </row>
    <row r="315" ht="15.75" customHeight="1">
      <c r="B315" s="31"/>
      <c r="C315" s="34"/>
      <c r="D315" s="33"/>
      <c r="E315" s="34"/>
      <c r="F315" s="35"/>
      <c r="G315" s="36"/>
      <c r="H315" s="36"/>
      <c r="I315" s="36"/>
      <c r="J315" s="13"/>
    </row>
    <row r="316" ht="15.75" customHeight="1">
      <c r="B316" s="31"/>
      <c r="C316" s="34"/>
      <c r="D316" s="33"/>
      <c r="E316" s="34"/>
      <c r="F316" s="35"/>
      <c r="G316" s="36"/>
      <c r="H316" s="36"/>
      <c r="I316" s="36"/>
      <c r="J316" s="13"/>
    </row>
    <row r="317" ht="15.75" customHeight="1">
      <c r="B317" s="31"/>
      <c r="C317" s="34"/>
      <c r="D317" s="33"/>
      <c r="E317" s="34"/>
      <c r="F317" s="35"/>
      <c r="G317" s="36"/>
      <c r="H317" s="36"/>
      <c r="I317" s="36"/>
      <c r="J317" s="13"/>
    </row>
    <row r="318" ht="15.75" customHeight="1">
      <c r="B318" s="31"/>
      <c r="C318" s="34"/>
      <c r="D318" s="33"/>
      <c r="E318" s="34"/>
      <c r="F318" s="35"/>
      <c r="G318" s="36"/>
      <c r="H318" s="36"/>
      <c r="I318" s="36"/>
      <c r="J318" s="13"/>
    </row>
    <row r="319" ht="15.75" customHeight="1">
      <c r="B319" s="31"/>
      <c r="C319" s="34"/>
      <c r="D319" s="33"/>
      <c r="E319" s="34"/>
      <c r="F319" s="35"/>
      <c r="G319" s="36"/>
      <c r="H319" s="36"/>
      <c r="I319" s="36"/>
      <c r="J319" s="13"/>
    </row>
    <row r="320" ht="15.75" customHeight="1">
      <c r="B320" s="31"/>
      <c r="C320" s="34"/>
      <c r="D320" s="33"/>
      <c r="E320" s="34"/>
      <c r="F320" s="35"/>
      <c r="G320" s="36"/>
      <c r="H320" s="36"/>
      <c r="I320" s="36"/>
      <c r="J320" s="13"/>
    </row>
    <row r="321" ht="15.75" customHeight="1">
      <c r="B321" s="31"/>
      <c r="C321" s="34"/>
      <c r="D321" s="33"/>
      <c r="E321" s="34"/>
      <c r="F321" s="35"/>
      <c r="G321" s="36"/>
      <c r="H321" s="36"/>
      <c r="I321" s="36"/>
      <c r="J321" s="13"/>
    </row>
    <row r="322" ht="15.75" customHeight="1">
      <c r="B322" s="31"/>
      <c r="C322" s="34"/>
      <c r="D322" s="33"/>
      <c r="E322" s="34"/>
      <c r="F322" s="35"/>
      <c r="G322" s="36"/>
      <c r="H322" s="36"/>
      <c r="I322" s="36"/>
      <c r="J322" s="13"/>
    </row>
    <row r="323" ht="15.75" customHeight="1">
      <c r="B323" s="31"/>
      <c r="C323" s="34"/>
      <c r="D323" s="33"/>
      <c r="E323" s="34"/>
      <c r="F323" s="35"/>
      <c r="G323" s="36"/>
      <c r="H323" s="36"/>
      <c r="I323" s="36"/>
      <c r="J323" s="13"/>
    </row>
    <row r="324" ht="15.75" customHeight="1">
      <c r="B324" s="31"/>
      <c r="C324" s="34"/>
      <c r="D324" s="33"/>
      <c r="E324" s="34"/>
      <c r="F324" s="35"/>
      <c r="G324" s="36"/>
      <c r="H324" s="36"/>
      <c r="I324" s="36"/>
      <c r="J324" s="13"/>
    </row>
    <row r="325" ht="15.75" customHeight="1">
      <c r="B325" s="31"/>
      <c r="C325" s="34"/>
      <c r="D325" s="33"/>
      <c r="E325" s="34"/>
      <c r="F325" s="35"/>
      <c r="G325" s="36"/>
      <c r="H325" s="36"/>
      <c r="I325" s="36"/>
      <c r="J325" s="13"/>
    </row>
    <row r="326" ht="15.75" customHeight="1">
      <c r="B326" s="31"/>
      <c r="C326" s="34"/>
      <c r="D326" s="33"/>
      <c r="E326" s="34"/>
      <c r="F326" s="35"/>
      <c r="G326" s="36"/>
      <c r="H326" s="36"/>
      <c r="I326" s="36"/>
      <c r="J326" s="13"/>
    </row>
    <row r="327" ht="15.75" customHeight="1">
      <c r="B327" s="31"/>
      <c r="C327" s="34"/>
      <c r="D327" s="33"/>
      <c r="E327" s="34"/>
      <c r="F327" s="35"/>
      <c r="G327" s="36"/>
      <c r="H327" s="36"/>
      <c r="I327" s="36"/>
      <c r="J327" s="13"/>
    </row>
    <row r="328" ht="15.75" customHeight="1">
      <c r="B328" s="31"/>
      <c r="C328" s="34"/>
      <c r="D328" s="33"/>
      <c r="E328" s="34"/>
      <c r="F328" s="35"/>
      <c r="G328" s="36"/>
      <c r="H328" s="36"/>
      <c r="I328" s="36"/>
      <c r="J328" s="13"/>
    </row>
    <row r="329" ht="15.75" customHeight="1">
      <c r="B329" s="31"/>
      <c r="C329" s="34"/>
      <c r="D329" s="33"/>
      <c r="E329" s="34"/>
      <c r="F329" s="35"/>
      <c r="G329" s="36"/>
      <c r="H329" s="36"/>
      <c r="I329" s="36"/>
      <c r="J329" s="13"/>
    </row>
    <row r="330" ht="15.75" customHeight="1">
      <c r="B330" s="31"/>
      <c r="C330" s="34"/>
      <c r="D330" s="33"/>
      <c r="E330" s="34"/>
      <c r="F330" s="35"/>
      <c r="G330" s="36"/>
      <c r="H330" s="36"/>
      <c r="I330" s="36"/>
      <c r="J330" s="13"/>
    </row>
    <row r="331" ht="15.75" customHeight="1">
      <c r="B331" s="31"/>
      <c r="C331" s="34"/>
      <c r="D331" s="33"/>
      <c r="E331" s="34"/>
      <c r="F331" s="35"/>
      <c r="G331" s="36"/>
      <c r="H331" s="36"/>
      <c r="I331" s="36"/>
      <c r="J331" s="13"/>
    </row>
    <row r="332" ht="15.75" customHeight="1">
      <c r="B332" s="31"/>
      <c r="C332" s="34"/>
      <c r="D332" s="33"/>
      <c r="E332" s="34"/>
      <c r="F332" s="35"/>
      <c r="G332" s="36"/>
      <c r="H332" s="36"/>
      <c r="I332" s="36"/>
      <c r="J332" s="13"/>
    </row>
    <row r="333" ht="15.75" customHeight="1">
      <c r="B333" s="31"/>
      <c r="C333" s="34"/>
      <c r="D333" s="33"/>
      <c r="E333" s="34"/>
      <c r="F333" s="35"/>
      <c r="G333" s="36"/>
      <c r="H333" s="36"/>
      <c r="I333" s="36"/>
      <c r="J333" s="13"/>
    </row>
    <row r="334" ht="15.75" customHeight="1">
      <c r="B334" s="31"/>
      <c r="C334" s="34"/>
      <c r="D334" s="33"/>
      <c r="E334" s="34"/>
      <c r="F334" s="35"/>
      <c r="G334" s="36"/>
      <c r="H334" s="36"/>
      <c r="I334" s="36"/>
      <c r="J334" s="13"/>
    </row>
    <row r="335" ht="15.75" customHeight="1">
      <c r="B335" s="31"/>
      <c r="C335" s="34"/>
      <c r="D335" s="33"/>
      <c r="E335" s="34"/>
      <c r="F335" s="35"/>
      <c r="G335" s="36"/>
      <c r="H335" s="36"/>
      <c r="I335" s="36"/>
      <c r="J335" s="13"/>
    </row>
    <row r="336" ht="15.75" customHeight="1">
      <c r="B336" s="31"/>
      <c r="C336" s="34"/>
      <c r="D336" s="33"/>
      <c r="E336" s="34"/>
      <c r="F336" s="35"/>
      <c r="G336" s="36"/>
      <c r="H336" s="36"/>
      <c r="I336" s="36"/>
      <c r="J336" s="13"/>
    </row>
    <row r="337" ht="15.75" customHeight="1">
      <c r="B337" s="31"/>
      <c r="C337" s="34"/>
      <c r="D337" s="33"/>
      <c r="E337" s="34"/>
      <c r="F337" s="35"/>
      <c r="G337" s="36"/>
      <c r="H337" s="36"/>
      <c r="I337" s="36"/>
      <c r="J337" s="13"/>
    </row>
    <row r="338" ht="15.75" customHeight="1">
      <c r="B338" s="31"/>
      <c r="C338" s="34"/>
      <c r="D338" s="33"/>
      <c r="E338" s="34"/>
      <c r="F338" s="35"/>
      <c r="G338" s="36"/>
      <c r="H338" s="36"/>
      <c r="I338" s="36"/>
      <c r="J338" s="13"/>
    </row>
    <row r="339" ht="15.75" customHeight="1">
      <c r="B339" s="31"/>
      <c r="C339" s="34"/>
      <c r="D339" s="33"/>
      <c r="E339" s="34"/>
      <c r="F339" s="35"/>
      <c r="G339" s="36"/>
      <c r="H339" s="36"/>
      <c r="I339" s="36"/>
      <c r="J339" s="13"/>
    </row>
    <row r="340" ht="15.75" customHeight="1">
      <c r="B340" s="31"/>
      <c r="C340" s="34"/>
      <c r="D340" s="33"/>
      <c r="E340" s="34"/>
      <c r="F340" s="35"/>
      <c r="G340" s="36"/>
      <c r="H340" s="36"/>
      <c r="I340" s="36"/>
      <c r="J340" s="13"/>
    </row>
    <row r="341" ht="15.75" customHeight="1">
      <c r="B341" s="31"/>
      <c r="C341" s="34"/>
      <c r="D341" s="33"/>
      <c r="E341" s="34"/>
      <c r="F341" s="35"/>
      <c r="G341" s="36"/>
      <c r="H341" s="36"/>
      <c r="I341" s="36"/>
      <c r="J341" s="13"/>
    </row>
    <row r="342" ht="15.75" customHeight="1">
      <c r="B342" s="31"/>
      <c r="C342" s="34"/>
      <c r="D342" s="33"/>
      <c r="E342" s="34"/>
      <c r="F342" s="35"/>
      <c r="G342" s="36"/>
      <c r="H342" s="36"/>
      <c r="I342" s="36"/>
      <c r="J342" s="13"/>
    </row>
    <row r="343" ht="15.75" customHeight="1">
      <c r="B343" s="31"/>
      <c r="C343" s="34"/>
      <c r="D343" s="33"/>
      <c r="E343" s="34"/>
      <c r="F343" s="35"/>
      <c r="G343" s="36"/>
      <c r="H343" s="36"/>
      <c r="I343" s="36"/>
      <c r="J343" s="13"/>
    </row>
    <row r="344" ht="15.75" customHeight="1">
      <c r="B344" s="31"/>
      <c r="C344" s="34"/>
      <c r="D344" s="33"/>
      <c r="E344" s="34"/>
      <c r="F344" s="35"/>
      <c r="G344" s="36"/>
      <c r="H344" s="36"/>
      <c r="I344" s="36"/>
      <c r="J344" s="13"/>
    </row>
    <row r="345" ht="15.75" customHeight="1">
      <c r="B345" s="31"/>
      <c r="C345" s="34"/>
      <c r="D345" s="33"/>
      <c r="E345" s="34"/>
      <c r="F345" s="35"/>
      <c r="G345" s="36"/>
      <c r="H345" s="36"/>
      <c r="I345" s="36"/>
      <c r="J345" s="13"/>
    </row>
    <row r="346" ht="15.75" customHeight="1">
      <c r="B346" s="31"/>
      <c r="C346" s="34"/>
      <c r="D346" s="33"/>
      <c r="E346" s="34"/>
      <c r="F346" s="35"/>
      <c r="G346" s="36"/>
      <c r="H346" s="36"/>
      <c r="I346" s="36"/>
      <c r="J346" s="13"/>
    </row>
    <row r="347" ht="15.75" customHeight="1">
      <c r="B347" s="31"/>
      <c r="C347" s="34"/>
      <c r="D347" s="33"/>
      <c r="E347" s="34"/>
      <c r="F347" s="35"/>
      <c r="G347" s="36"/>
      <c r="H347" s="36"/>
      <c r="I347" s="36"/>
      <c r="J347" s="13"/>
    </row>
    <row r="348" ht="15.75" customHeight="1">
      <c r="B348" s="31"/>
      <c r="C348" s="34"/>
      <c r="D348" s="33"/>
      <c r="E348" s="34"/>
      <c r="F348" s="35"/>
      <c r="G348" s="36"/>
      <c r="H348" s="36"/>
      <c r="I348" s="36"/>
      <c r="J348" s="13"/>
    </row>
    <row r="349" ht="15.75" customHeight="1">
      <c r="B349" s="31"/>
      <c r="C349" s="34"/>
      <c r="D349" s="33"/>
      <c r="E349" s="34"/>
      <c r="F349" s="35"/>
      <c r="G349" s="36"/>
      <c r="H349" s="36"/>
      <c r="I349" s="36"/>
      <c r="J349" s="13"/>
    </row>
    <row r="350" ht="15.75" customHeight="1">
      <c r="B350" s="31"/>
      <c r="C350" s="34"/>
      <c r="D350" s="33"/>
      <c r="E350" s="34"/>
      <c r="F350" s="35"/>
      <c r="G350" s="36"/>
      <c r="H350" s="36"/>
      <c r="I350" s="36"/>
      <c r="J350" s="13"/>
    </row>
    <row r="351" ht="15.75" customHeight="1">
      <c r="B351" s="31"/>
      <c r="C351" s="34"/>
      <c r="D351" s="33"/>
      <c r="E351" s="34"/>
      <c r="F351" s="35"/>
      <c r="G351" s="36"/>
      <c r="H351" s="36"/>
      <c r="I351" s="36"/>
      <c r="J351" s="13"/>
    </row>
    <row r="352" ht="15.75" customHeight="1">
      <c r="B352" s="31"/>
      <c r="C352" s="34"/>
      <c r="D352" s="33"/>
      <c r="E352" s="34"/>
      <c r="F352" s="35"/>
      <c r="G352" s="36"/>
      <c r="H352" s="36"/>
      <c r="I352" s="36"/>
      <c r="J352" s="13"/>
    </row>
    <row r="353" ht="15.75" customHeight="1">
      <c r="B353" s="31"/>
      <c r="C353" s="34"/>
      <c r="D353" s="33"/>
      <c r="E353" s="34"/>
      <c r="F353" s="35"/>
      <c r="G353" s="36"/>
      <c r="H353" s="36"/>
      <c r="I353" s="36"/>
      <c r="J353" s="13"/>
    </row>
    <row r="354" ht="15.75" customHeight="1">
      <c r="B354" s="31"/>
      <c r="C354" s="34"/>
      <c r="D354" s="33"/>
      <c r="E354" s="34"/>
      <c r="F354" s="35"/>
      <c r="G354" s="36"/>
      <c r="H354" s="36"/>
      <c r="I354" s="36"/>
      <c r="J354" s="13"/>
    </row>
    <row r="355" ht="15.75" customHeight="1">
      <c r="B355" s="31"/>
      <c r="C355" s="34"/>
      <c r="D355" s="33"/>
      <c r="E355" s="34"/>
      <c r="F355" s="35"/>
      <c r="G355" s="36"/>
      <c r="H355" s="36"/>
      <c r="I355" s="36"/>
      <c r="J355" s="13"/>
    </row>
    <row r="356" ht="15.75" customHeight="1">
      <c r="B356" s="31"/>
      <c r="C356" s="34"/>
      <c r="D356" s="33"/>
      <c r="E356" s="34"/>
      <c r="F356" s="35"/>
      <c r="G356" s="36"/>
      <c r="H356" s="36"/>
      <c r="I356" s="36"/>
      <c r="J356" s="13"/>
    </row>
    <row r="357" ht="15.75" customHeight="1">
      <c r="B357" s="31"/>
      <c r="C357" s="34"/>
      <c r="D357" s="33"/>
      <c r="E357" s="34"/>
      <c r="F357" s="35"/>
      <c r="G357" s="36"/>
      <c r="H357" s="36"/>
      <c r="I357" s="36"/>
      <c r="J357" s="13"/>
    </row>
    <row r="358" ht="15.75" customHeight="1">
      <c r="B358" s="31"/>
      <c r="C358" s="34"/>
      <c r="D358" s="33"/>
      <c r="E358" s="34"/>
      <c r="F358" s="35"/>
      <c r="G358" s="36"/>
      <c r="H358" s="36"/>
      <c r="I358" s="36"/>
      <c r="J358" s="13"/>
    </row>
    <row r="359" ht="15.75" customHeight="1">
      <c r="B359" s="31"/>
      <c r="C359" s="34"/>
      <c r="D359" s="33"/>
      <c r="E359" s="34"/>
      <c r="F359" s="35"/>
      <c r="G359" s="36"/>
      <c r="H359" s="36"/>
      <c r="I359" s="36"/>
      <c r="J359" s="13"/>
    </row>
    <row r="360" ht="15.75" customHeight="1">
      <c r="B360" s="31"/>
      <c r="C360" s="34"/>
      <c r="D360" s="33"/>
      <c r="E360" s="34"/>
      <c r="F360" s="35"/>
      <c r="G360" s="36"/>
      <c r="H360" s="36"/>
      <c r="I360" s="36"/>
      <c r="J360" s="13"/>
    </row>
    <row r="361" ht="15.75" customHeight="1">
      <c r="B361" s="31"/>
      <c r="C361" s="34"/>
      <c r="D361" s="33"/>
      <c r="E361" s="34"/>
      <c r="F361" s="35"/>
      <c r="G361" s="36"/>
      <c r="H361" s="36"/>
      <c r="I361" s="36"/>
      <c r="J361" s="13"/>
    </row>
    <row r="362" ht="15.75" customHeight="1">
      <c r="B362" s="31"/>
      <c r="C362" s="34"/>
      <c r="D362" s="33"/>
      <c r="E362" s="34"/>
      <c r="F362" s="35"/>
      <c r="G362" s="36"/>
      <c r="H362" s="36"/>
      <c r="I362" s="36"/>
      <c r="J362" s="13"/>
    </row>
    <row r="363" ht="15.75" customHeight="1">
      <c r="B363" s="31"/>
      <c r="C363" s="34"/>
      <c r="D363" s="33"/>
      <c r="E363" s="34"/>
      <c r="F363" s="35"/>
      <c r="G363" s="36"/>
      <c r="H363" s="36"/>
      <c r="I363" s="36"/>
      <c r="J363" s="13"/>
    </row>
    <row r="364" ht="15.75" customHeight="1">
      <c r="B364" s="31"/>
      <c r="C364" s="34"/>
      <c r="D364" s="33"/>
      <c r="E364" s="34"/>
      <c r="F364" s="35"/>
      <c r="G364" s="36"/>
      <c r="H364" s="36"/>
      <c r="I364" s="36"/>
      <c r="J364" s="13"/>
    </row>
    <row r="365" ht="15.75" customHeight="1">
      <c r="B365" s="31"/>
      <c r="C365" s="34"/>
      <c r="D365" s="33"/>
      <c r="E365" s="34"/>
      <c r="F365" s="35"/>
      <c r="G365" s="36"/>
      <c r="H365" s="36"/>
      <c r="I365" s="36"/>
      <c r="J365" s="13"/>
    </row>
    <row r="366" ht="15.75" customHeight="1">
      <c r="B366" s="31"/>
      <c r="C366" s="34"/>
      <c r="D366" s="33"/>
      <c r="E366" s="34"/>
      <c r="F366" s="35"/>
      <c r="G366" s="36"/>
      <c r="H366" s="36"/>
      <c r="I366" s="36"/>
      <c r="J366" s="13"/>
    </row>
    <row r="367" ht="15.75" customHeight="1">
      <c r="B367" s="31"/>
      <c r="C367" s="34"/>
      <c r="D367" s="33"/>
      <c r="E367" s="34"/>
      <c r="F367" s="35"/>
      <c r="G367" s="36"/>
      <c r="H367" s="36"/>
      <c r="I367" s="36"/>
      <c r="J367" s="13"/>
    </row>
    <row r="368" ht="15.75" customHeight="1">
      <c r="B368" s="31"/>
      <c r="C368" s="34"/>
      <c r="D368" s="33"/>
      <c r="E368" s="34"/>
      <c r="F368" s="35"/>
      <c r="G368" s="36"/>
      <c r="H368" s="36"/>
      <c r="I368" s="36"/>
      <c r="J368" s="13"/>
    </row>
    <row r="369" ht="15.75" customHeight="1">
      <c r="B369" s="31"/>
      <c r="C369" s="34"/>
      <c r="D369" s="33"/>
      <c r="E369" s="34"/>
      <c r="F369" s="35"/>
      <c r="G369" s="36"/>
      <c r="H369" s="36"/>
      <c r="I369" s="36"/>
      <c r="J369" s="13"/>
    </row>
    <row r="370" ht="15.75" customHeight="1">
      <c r="B370" s="31"/>
      <c r="C370" s="34"/>
      <c r="D370" s="33"/>
      <c r="E370" s="34"/>
      <c r="F370" s="35"/>
      <c r="G370" s="36"/>
      <c r="H370" s="36"/>
      <c r="I370" s="36"/>
      <c r="J370" s="13"/>
    </row>
    <row r="371" ht="15.75" customHeight="1">
      <c r="B371" s="31"/>
      <c r="C371" s="34"/>
      <c r="D371" s="33"/>
      <c r="E371" s="34"/>
      <c r="F371" s="35"/>
      <c r="G371" s="36"/>
      <c r="H371" s="36"/>
      <c r="I371" s="36"/>
      <c r="J371" s="13"/>
    </row>
    <row r="372" ht="15.75" customHeight="1">
      <c r="B372" s="31"/>
      <c r="C372" s="34"/>
      <c r="D372" s="33"/>
      <c r="E372" s="34"/>
      <c r="F372" s="35"/>
      <c r="G372" s="36"/>
      <c r="H372" s="36"/>
      <c r="I372" s="36"/>
      <c r="J372" s="13"/>
    </row>
    <row r="373" ht="15.75" customHeight="1">
      <c r="B373" s="31"/>
      <c r="C373" s="34"/>
      <c r="D373" s="33"/>
      <c r="E373" s="34"/>
      <c r="F373" s="35"/>
      <c r="G373" s="36"/>
      <c r="H373" s="36"/>
      <c r="I373" s="36"/>
      <c r="J373" s="13"/>
    </row>
    <row r="374" ht="15.75" customHeight="1">
      <c r="B374" s="31"/>
      <c r="C374" s="34"/>
      <c r="D374" s="33"/>
      <c r="E374" s="34"/>
      <c r="F374" s="35"/>
      <c r="G374" s="36"/>
      <c r="H374" s="36"/>
      <c r="I374" s="36"/>
      <c r="J374" s="13"/>
    </row>
    <row r="375" ht="15.75" customHeight="1">
      <c r="B375" s="31"/>
      <c r="C375" s="34"/>
      <c r="D375" s="33"/>
      <c r="E375" s="34"/>
      <c r="F375" s="35"/>
      <c r="G375" s="36"/>
      <c r="H375" s="36"/>
      <c r="I375" s="36"/>
      <c r="J375" s="13"/>
    </row>
    <row r="376" ht="15.75" customHeight="1">
      <c r="B376" s="31"/>
      <c r="C376" s="34"/>
      <c r="D376" s="33"/>
      <c r="E376" s="34"/>
      <c r="F376" s="35"/>
      <c r="G376" s="36"/>
      <c r="H376" s="36"/>
      <c r="I376" s="36"/>
      <c r="J376" s="13"/>
    </row>
    <row r="377" ht="15.75" customHeight="1">
      <c r="B377" s="31"/>
      <c r="C377" s="34"/>
      <c r="D377" s="33"/>
      <c r="E377" s="34"/>
      <c r="F377" s="35"/>
      <c r="G377" s="36"/>
      <c r="H377" s="36"/>
      <c r="I377" s="36"/>
      <c r="J377" s="13"/>
    </row>
    <row r="378" ht="15.75" customHeight="1">
      <c r="B378" s="31"/>
      <c r="C378" s="34"/>
      <c r="D378" s="33"/>
      <c r="E378" s="34"/>
      <c r="F378" s="35"/>
      <c r="G378" s="36"/>
      <c r="H378" s="36"/>
      <c r="I378" s="36"/>
      <c r="J378" s="13"/>
    </row>
    <row r="379" ht="15.75" customHeight="1">
      <c r="B379" s="31"/>
      <c r="C379" s="34"/>
      <c r="D379" s="33"/>
      <c r="E379" s="34"/>
      <c r="F379" s="35"/>
      <c r="G379" s="36"/>
      <c r="H379" s="36"/>
      <c r="I379" s="36"/>
      <c r="J379" s="13"/>
    </row>
    <row r="380" ht="15.75" customHeight="1">
      <c r="B380" s="31"/>
      <c r="C380" s="34"/>
      <c r="D380" s="33"/>
      <c r="E380" s="34"/>
      <c r="F380" s="35"/>
      <c r="G380" s="36"/>
      <c r="H380" s="36"/>
      <c r="I380" s="36"/>
      <c r="J380" s="13"/>
    </row>
    <row r="381" ht="15.75" customHeight="1">
      <c r="B381" s="31"/>
      <c r="C381" s="34"/>
      <c r="D381" s="33"/>
      <c r="E381" s="34"/>
      <c r="F381" s="35"/>
      <c r="G381" s="36"/>
      <c r="H381" s="36"/>
      <c r="I381" s="36"/>
      <c r="J381" s="13"/>
    </row>
    <row r="382" ht="15.75" customHeight="1">
      <c r="B382" s="31"/>
      <c r="C382" s="34"/>
      <c r="D382" s="33"/>
      <c r="E382" s="34"/>
      <c r="F382" s="35"/>
      <c r="G382" s="36"/>
      <c r="H382" s="36"/>
      <c r="I382" s="36"/>
      <c r="J382" s="13"/>
    </row>
    <row r="383" ht="15.75" customHeight="1">
      <c r="B383" s="31"/>
      <c r="C383" s="34"/>
      <c r="D383" s="33"/>
      <c r="E383" s="34"/>
      <c r="F383" s="35"/>
      <c r="G383" s="36"/>
      <c r="H383" s="36"/>
      <c r="I383" s="36"/>
      <c r="J383" s="13"/>
    </row>
    <row r="384" ht="15.75" customHeight="1">
      <c r="B384" s="31"/>
      <c r="C384" s="34"/>
      <c r="D384" s="33"/>
      <c r="E384" s="34"/>
      <c r="F384" s="35"/>
      <c r="G384" s="36"/>
      <c r="H384" s="36"/>
      <c r="I384" s="36"/>
      <c r="J384" s="13"/>
    </row>
    <row r="385" ht="15.75" customHeight="1">
      <c r="B385" s="31"/>
      <c r="C385" s="34"/>
      <c r="D385" s="33"/>
      <c r="E385" s="34"/>
      <c r="F385" s="35"/>
      <c r="G385" s="36"/>
      <c r="H385" s="36"/>
      <c r="I385" s="36"/>
      <c r="J385" s="13"/>
    </row>
    <row r="386" ht="15.75" customHeight="1">
      <c r="B386" s="31"/>
      <c r="C386" s="34"/>
      <c r="D386" s="33"/>
      <c r="E386" s="34"/>
      <c r="F386" s="35"/>
      <c r="G386" s="36"/>
      <c r="H386" s="36"/>
      <c r="I386" s="36"/>
      <c r="J386" s="13"/>
    </row>
    <row r="387" ht="15.75" customHeight="1">
      <c r="B387" s="31"/>
      <c r="C387" s="34"/>
      <c r="D387" s="33"/>
      <c r="E387" s="34"/>
      <c r="F387" s="35"/>
      <c r="G387" s="36"/>
      <c r="H387" s="36"/>
      <c r="I387" s="36"/>
      <c r="J387" s="13"/>
    </row>
    <row r="388" ht="15.75" customHeight="1">
      <c r="B388" s="31"/>
      <c r="C388" s="34"/>
      <c r="D388" s="33"/>
      <c r="E388" s="34"/>
      <c r="F388" s="35"/>
      <c r="G388" s="36"/>
      <c r="H388" s="36"/>
      <c r="I388" s="36"/>
      <c r="J388" s="13"/>
    </row>
    <row r="389" ht="15.75" customHeight="1">
      <c r="B389" s="31"/>
      <c r="C389" s="34"/>
      <c r="D389" s="33"/>
      <c r="E389" s="34"/>
      <c r="F389" s="35"/>
      <c r="G389" s="36"/>
      <c r="H389" s="36"/>
      <c r="I389" s="36"/>
      <c r="J389" s="13"/>
    </row>
    <row r="390" ht="15.75" customHeight="1">
      <c r="B390" s="31"/>
      <c r="C390" s="34"/>
      <c r="D390" s="33"/>
      <c r="E390" s="34"/>
      <c r="F390" s="35"/>
      <c r="G390" s="36"/>
      <c r="H390" s="36"/>
      <c r="I390" s="36"/>
      <c r="J390" s="13"/>
    </row>
    <row r="391" ht="15.75" customHeight="1">
      <c r="B391" s="31"/>
      <c r="C391" s="34"/>
      <c r="D391" s="33"/>
      <c r="E391" s="34"/>
      <c r="F391" s="35"/>
      <c r="G391" s="36"/>
      <c r="H391" s="36"/>
      <c r="I391" s="36"/>
      <c r="J391" s="13"/>
    </row>
    <row r="392" ht="15.75" customHeight="1">
      <c r="B392" s="31"/>
      <c r="C392" s="34"/>
      <c r="D392" s="33"/>
      <c r="E392" s="34"/>
      <c r="F392" s="35"/>
      <c r="G392" s="36"/>
      <c r="H392" s="36"/>
      <c r="I392" s="36"/>
      <c r="J392" s="13"/>
    </row>
    <row r="393" ht="15.75" customHeight="1">
      <c r="B393" s="31"/>
      <c r="C393" s="34"/>
      <c r="D393" s="33"/>
      <c r="E393" s="34"/>
      <c r="F393" s="35"/>
      <c r="G393" s="36"/>
      <c r="H393" s="36"/>
      <c r="I393" s="36"/>
      <c r="J393" s="13"/>
    </row>
    <row r="394" ht="15.75" customHeight="1">
      <c r="B394" s="31"/>
      <c r="C394" s="34"/>
      <c r="D394" s="33"/>
      <c r="E394" s="34"/>
      <c r="F394" s="35"/>
      <c r="G394" s="36"/>
      <c r="H394" s="36"/>
      <c r="I394" s="36"/>
      <c r="J394" s="13"/>
    </row>
    <row r="395" ht="15.75" customHeight="1">
      <c r="B395" s="31"/>
      <c r="C395" s="34"/>
      <c r="D395" s="33"/>
      <c r="E395" s="34"/>
      <c r="F395" s="35"/>
      <c r="G395" s="36"/>
      <c r="H395" s="36"/>
      <c r="I395" s="36"/>
      <c r="J395" s="13"/>
    </row>
    <row r="396" ht="15.75" customHeight="1">
      <c r="B396" s="31"/>
      <c r="C396" s="34"/>
      <c r="D396" s="33"/>
      <c r="E396" s="34"/>
      <c r="F396" s="35"/>
      <c r="G396" s="36"/>
      <c r="H396" s="36"/>
      <c r="I396" s="36"/>
      <c r="J396" s="13"/>
    </row>
    <row r="397" ht="15.75" customHeight="1">
      <c r="B397" s="31"/>
      <c r="C397" s="34"/>
      <c r="D397" s="33"/>
      <c r="E397" s="34"/>
      <c r="F397" s="35"/>
      <c r="G397" s="36"/>
      <c r="H397" s="36"/>
      <c r="I397" s="36"/>
      <c r="J397" s="13"/>
    </row>
    <row r="398" ht="15.75" customHeight="1">
      <c r="B398" s="31"/>
      <c r="C398" s="34"/>
      <c r="D398" s="33"/>
      <c r="E398" s="34"/>
      <c r="F398" s="35"/>
      <c r="G398" s="36"/>
      <c r="H398" s="36"/>
      <c r="I398" s="36"/>
      <c r="J398" s="13"/>
    </row>
    <row r="399" ht="15.75" customHeight="1">
      <c r="B399" s="31"/>
      <c r="C399" s="34"/>
      <c r="D399" s="33"/>
      <c r="E399" s="34"/>
      <c r="F399" s="35"/>
      <c r="G399" s="36"/>
      <c r="H399" s="36"/>
      <c r="I399" s="36"/>
      <c r="J399" s="13"/>
    </row>
    <row r="400" ht="15.75" customHeight="1">
      <c r="B400" s="31"/>
      <c r="C400" s="34"/>
      <c r="D400" s="33"/>
      <c r="E400" s="34"/>
      <c r="F400" s="35"/>
      <c r="G400" s="36"/>
      <c r="H400" s="36"/>
      <c r="I400" s="36"/>
      <c r="J400" s="13"/>
    </row>
    <row r="401" ht="15.75" customHeight="1">
      <c r="B401" s="31"/>
      <c r="C401" s="34"/>
      <c r="D401" s="33"/>
      <c r="E401" s="34"/>
      <c r="F401" s="35"/>
      <c r="G401" s="36"/>
      <c r="H401" s="36"/>
      <c r="I401" s="36"/>
      <c r="J401" s="13"/>
    </row>
    <row r="402" ht="15.75" customHeight="1">
      <c r="B402" s="31"/>
      <c r="C402" s="34"/>
      <c r="D402" s="33"/>
      <c r="E402" s="34"/>
      <c r="F402" s="35"/>
      <c r="G402" s="36"/>
      <c r="H402" s="36"/>
      <c r="I402" s="36"/>
      <c r="J402" s="13"/>
    </row>
    <row r="403" ht="15.75" customHeight="1">
      <c r="B403" s="31"/>
      <c r="C403" s="34"/>
      <c r="D403" s="33"/>
      <c r="E403" s="34"/>
      <c r="F403" s="35"/>
      <c r="G403" s="36"/>
      <c r="H403" s="36"/>
      <c r="I403" s="36"/>
      <c r="J403" s="13"/>
    </row>
    <row r="404" ht="15.75" customHeight="1">
      <c r="B404" s="31"/>
      <c r="C404" s="34"/>
      <c r="D404" s="33"/>
      <c r="E404" s="34"/>
      <c r="F404" s="35"/>
      <c r="G404" s="36"/>
      <c r="H404" s="36"/>
      <c r="I404" s="36"/>
      <c r="J404" s="13"/>
    </row>
    <row r="405" ht="15.75" customHeight="1">
      <c r="B405" s="31"/>
      <c r="C405" s="34"/>
      <c r="D405" s="33"/>
      <c r="E405" s="34"/>
      <c r="F405" s="35"/>
      <c r="G405" s="36"/>
      <c r="H405" s="36"/>
      <c r="I405" s="36"/>
      <c r="J405" s="13"/>
    </row>
    <row r="406" ht="15.75" customHeight="1">
      <c r="B406" s="31"/>
      <c r="C406" s="34"/>
      <c r="D406" s="33"/>
      <c r="E406" s="34"/>
      <c r="F406" s="35"/>
      <c r="G406" s="36"/>
      <c r="H406" s="36"/>
      <c r="I406" s="36"/>
      <c r="J406" s="13"/>
    </row>
    <row r="407" ht="15.75" customHeight="1">
      <c r="B407" s="31"/>
      <c r="C407" s="34"/>
      <c r="D407" s="33"/>
      <c r="E407" s="34"/>
      <c r="F407" s="35"/>
      <c r="G407" s="36"/>
      <c r="H407" s="36"/>
      <c r="I407" s="36"/>
      <c r="J407" s="13"/>
    </row>
    <row r="408" ht="15.75" customHeight="1">
      <c r="B408" s="31"/>
      <c r="C408" s="34"/>
      <c r="D408" s="33"/>
      <c r="E408" s="34"/>
      <c r="F408" s="35"/>
      <c r="G408" s="36"/>
      <c r="H408" s="36"/>
      <c r="I408" s="36"/>
      <c r="J408" s="13"/>
    </row>
    <row r="409" ht="15.75" customHeight="1">
      <c r="B409" s="31"/>
      <c r="C409" s="34"/>
      <c r="D409" s="33"/>
      <c r="E409" s="34"/>
      <c r="F409" s="35"/>
      <c r="G409" s="36"/>
      <c r="H409" s="36"/>
      <c r="I409" s="36"/>
      <c r="J409" s="13"/>
    </row>
    <row r="410" ht="15.75" customHeight="1">
      <c r="B410" s="31"/>
      <c r="C410" s="34"/>
      <c r="D410" s="33"/>
      <c r="E410" s="34"/>
      <c r="F410" s="35"/>
      <c r="G410" s="36"/>
      <c r="H410" s="36"/>
      <c r="I410" s="36"/>
      <c r="J410" s="13"/>
    </row>
    <row r="411" ht="15.75" customHeight="1">
      <c r="B411" s="31"/>
      <c r="C411" s="34"/>
      <c r="D411" s="33"/>
      <c r="E411" s="34"/>
      <c r="F411" s="35"/>
      <c r="G411" s="36"/>
      <c r="H411" s="36"/>
      <c r="I411" s="36"/>
      <c r="J411" s="13"/>
    </row>
    <row r="412" ht="15.75" customHeight="1">
      <c r="B412" s="31"/>
      <c r="C412" s="34"/>
      <c r="D412" s="33"/>
      <c r="E412" s="34"/>
      <c r="F412" s="35"/>
      <c r="G412" s="36"/>
      <c r="H412" s="36"/>
      <c r="I412" s="36"/>
      <c r="J412" s="13"/>
    </row>
    <row r="413" ht="15.75" customHeight="1">
      <c r="B413" s="31"/>
      <c r="C413" s="34"/>
      <c r="D413" s="33"/>
      <c r="E413" s="34"/>
      <c r="F413" s="35"/>
      <c r="G413" s="36"/>
      <c r="H413" s="36"/>
      <c r="I413" s="36"/>
      <c r="J413" s="13"/>
    </row>
    <row r="414" ht="15.75" customHeight="1">
      <c r="B414" s="31"/>
      <c r="C414" s="34"/>
      <c r="D414" s="33"/>
      <c r="E414" s="34"/>
      <c r="F414" s="35"/>
      <c r="G414" s="36"/>
      <c r="H414" s="36"/>
      <c r="I414" s="36"/>
      <c r="J414" s="13"/>
    </row>
    <row r="415" ht="15.75" customHeight="1">
      <c r="B415" s="31"/>
      <c r="C415" s="34"/>
      <c r="D415" s="33"/>
      <c r="E415" s="34"/>
      <c r="F415" s="35"/>
      <c r="G415" s="36"/>
      <c r="H415" s="36"/>
      <c r="I415" s="36"/>
      <c r="J415" s="13"/>
    </row>
    <row r="416" ht="15.75" customHeight="1">
      <c r="B416" s="31"/>
      <c r="C416" s="34"/>
      <c r="D416" s="33"/>
      <c r="E416" s="34"/>
      <c r="F416" s="35"/>
      <c r="G416" s="36"/>
      <c r="H416" s="36"/>
      <c r="I416" s="36"/>
      <c r="J416" s="13"/>
    </row>
    <row r="417" ht="15.75" customHeight="1">
      <c r="B417" s="31"/>
      <c r="C417" s="34"/>
      <c r="D417" s="33"/>
      <c r="E417" s="34"/>
      <c r="F417" s="35"/>
      <c r="G417" s="36"/>
      <c r="H417" s="36"/>
      <c r="I417" s="36"/>
      <c r="J417" s="13"/>
    </row>
    <row r="418" ht="15.75" customHeight="1">
      <c r="B418" s="31"/>
      <c r="C418" s="34"/>
      <c r="D418" s="33"/>
      <c r="E418" s="34"/>
      <c r="F418" s="35"/>
      <c r="G418" s="36"/>
      <c r="H418" s="36"/>
      <c r="I418" s="36"/>
      <c r="J418" s="13"/>
    </row>
    <row r="419" ht="15.75" customHeight="1">
      <c r="B419" s="31"/>
      <c r="C419" s="34"/>
      <c r="D419" s="33"/>
      <c r="E419" s="34"/>
      <c r="F419" s="35"/>
      <c r="G419" s="36"/>
      <c r="H419" s="36"/>
      <c r="I419" s="36"/>
      <c r="J419" s="13"/>
    </row>
    <row r="420" ht="15.75" customHeight="1">
      <c r="B420" s="31"/>
      <c r="C420" s="34"/>
      <c r="D420" s="33"/>
      <c r="E420" s="34"/>
      <c r="F420" s="35"/>
      <c r="G420" s="36"/>
      <c r="H420" s="36"/>
      <c r="I420" s="36"/>
      <c r="J420" s="13"/>
    </row>
    <row r="421" ht="15.75" customHeight="1">
      <c r="B421" s="31"/>
      <c r="C421" s="34"/>
      <c r="D421" s="33"/>
      <c r="E421" s="34"/>
      <c r="F421" s="35"/>
      <c r="G421" s="36"/>
      <c r="H421" s="36"/>
      <c r="I421" s="36"/>
      <c r="J421" s="13"/>
    </row>
    <row r="422" ht="15.75" customHeight="1">
      <c r="B422" s="31"/>
      <c r="C422" s="34"/>
      <c r="D422" s="33"/>
      <c r="E422" s="34"/>
      <c r="F422" s="35"/>
      <c r="G422" s="36"/>
      <c r="H422" s="36"/>
      <c r="I422" s="36"/>
      <c r="J422" s="13"/>
    </row>
    <row r="423" ht="15.75" customHeight="1">
      <c r="B423" s="31"/>
      <c r="C423" s="34"/>
      <c r="D423" s="33"/>
      <c r="E423" s="34"/>
      <c r="F423" s="35"/>
      <c r="G423" s="36"/>
      <c r="H423" s="36"/>
      <c r="I423" s="36"/>
      <c r="J423" s="13"/>
    </row>
    <row r="424" ht="15.75" customHeight="1">
      <c r="B424" s="31"/>
      <c r="C424" s="34"/>
      <c r="D424" s="33"/>
      <c r="E424" s="34"/>
      <c r="F424" s="35"/>
      <c r="G424" s="36"/>
      <c r="H424" s="36"/>
      <c r="I424" s="36"/>
      <c r="J424" s="13"/>
    </row>
    <row r="425" ht="15.75" customHeight="1">
      <c r="B425" s="31"/>
      <c r="C425" s="34"/>
      <c r="D425" s="33"/>
      <c r="E425" s="34"/>
      <c r="F425" s="35"/>
      <c r="G425" s="36"/>
      <c r="H425" s="36"/>
      <c r="I425" s="36"/>
      <c r="J425" s="13"/>
    </row>
    <row r="426" ht="15.75" customHeight="1">
      <c r="B426" s="31"/>
      <c r="C426" s="34"/>
      <c r="D426" s="33"/>
      <c r="E426" s="34"/>
      <c r="F426" s="35"/>
      <c r="G426" s="36"/>
      <c r="H426" s="36"/>
      <c r="I426" s="36"/>
      <c r="J426" s="13"/>
    </row>
    <row r="427" ht="15.75" customHeight="1">
      <c r="B427" s="31"/>
      <c r="C427" s="34"/>
      <c r="D427" s="33"/>
      <c r="E427" s="34"/>
      <c r="F427" s="35"/>
      <c r="G427" s="36"/>
      <c r="H427" s="36"/>
      <c r="I427" s="36"/>
      <c r="J427" s="13"/>
    </row>
    <row r="428" ht="15.75" customHeight="1">
      <c r="B428" s="31"/>
      <c r="C428" s="34"/>
      <c r="D428" s="33"/>
      <c r="E428" s="34"/>
      <c r="F428" s="35"/>
      <c r="G428" s="36"/>
      <c r="H428" s="36"/>
      <c r="I428" s="36"/>
      <c r="J428" s="13"/>
    </row>
    <row r="429" ht="15.75" customHeight="1">
      <c r="B429" s="31"/>
      <c r="C429" s="34"/>
      <c r="D429" s="33"/>
      <c r="E429" s="34"/>
      <c r="F429" s="35"/>
      <c r="G429" s="36"/>
      <c r="H429" s="36"/>
      <c r="I429" s="36"/>
      <c r="J429" s="13"/>
    </row>
    <row r="430" ht="15.75" customHeight="1">
      <c r="B430" s="31"/>
      <c r="C430" s="34"/>
      <c r="D430" s="33"/>
      <c r="E430" s="34"/>
      <c r="F430" s="35"/>
      <c r="G430" s="36"/>
      <c r="H430" s="36"/>
      <c r="I430" s="36"/>
      <c r="J430" s="13"/>
    </row>
    <row r="431" ht="15.75" customHeight="1">
      <c r="B431" s="31"/>
      <c r="C431" s="34"/>
      <c r="D431" s="33"/>
      <c r="E431" s="34"/>
      <c r="F431" s="35"/>
      <c r="G431" s="36"/>
      <c r="H431" s="36"/>
      <c r="I431" s="36"/>
      <c r="J431" s="13"/>
    </row>
    <row r="432" ht="15.75" customHeight="1">
      <c r="B432" s="31"/>
      <c r="C432" s="34"/>
      <c r="D432" s="33"/>
      <c r="E432" s="34"/>
      <c r="F432" s="35"/>
      <c r="G432" s="36"/>
      <c r="H432" s="36"/>
      <c r="I432" s="36"/>
      <c r="J432" s="13"/>
    </row>
    <row r="433" ht="15.75" customHeight="1">
      <c r="B433" s="31"/>
      <c r="C433" s="34"/>
      <c r="D433" s="33"/>
      <c r="E433" s="34"/>
      <c r="F433" s="35"/>
      <c r="G433" s="36"/>
      <c r="H433" s="36"/>
      <c r="I433" s="36"/>
      <c r="J433" s="13"/>
    </row>
    <row r="434" ht="15.75" customHeight="1">
      <c r="B434" s="31"/>
      <c r="C434" s="34"/>
      <c r="D434" s="33"/>
      <c r="E434" s="34"/>
      <c r="F434" s="35"/>
      <c r="G434" s="36"/>
      <c r="H434" s="36"/>
      <c r="I434" s="36"/>
      <c r="J434" s="13"/>
    </row>
    <row r="435" ht="15.75" customHeight="1">
      <c r="B435" s="31"/>
      <c r="C435" s="34"/>
      <c r="D435" s="33"/>
      <c r="E435" s="34"/>
      <c r="F435" s="35"/>
      <c r="G435" s="36"/>
      <c r="H435" s="36"/>
      <c r="I435" s="36"/>
      <c r="J435" s="13"/>
    </row>
    <row r="436" ht="15.75" customHeight="1">
      <c r="B436" s="31"/>
      <c r="C436" s="34"/>
      <c r="D436" s="33"/>
      <c r="E436" s="34"/>
      <c r="F436" s="35"/>
      <c r="G436" s="36"/>
      <c r="H436" s="36"/>
      <c r="I436" s="36"/>
      <c r="J436" s="13"/>
    </row>
    <row r="437" ht="15.75" customHeight="1">
      <c r="B437" s="31"/>
      <c r="C437" s="34"/>
      <c r="D437" s="33"/>
      <c r="E437" s="34"/>
      <c r="F437" s="35"/>
      <c r="G437" s="36"/>
      <c r="H437" s="36"/>
      <c r="I437" s="36"/>
      <c r="J437" s="13"/>
    </row>
    <row r="438" ht="15.75" customHeight="1">
      <c r="B438" s="31"/>
      <c r="C438" s="34"/>
      <c r="D438" s="33"/>
      <c r="E438" s="34"/>
      <c r="F438" s="35"/>
      <c r="G438" s="36"/>
      <c r="H438" s="36"/>
      <c r="I438" s="36"/>
      <c r="J438" s="13"/>
    </row>
    <row r="439" ht="15.75" customHeight="1">
      <c r="B439" s="31"/>
      <c r="C439" s="34"/>
      <c r="D439" s="33"/>
      <c r="E439" s="34"/>
      <c r="F439" s="35"/>
      <c r="G439" s="36"/>
      <c r="H439" s="36"/>
      <c r="I439" s="36"/>
      <c r="J439" s="13"/>
    </row>
    <row r="440" ht="15.75" customHeight="1">
      <c r="B440" s="31"/>
      <c r="C440" s="34"/>
      <c r="D440" s="33"/>
      <c r="E440" s="34"/>
      <c r="F440" s="35"/>
      <c r="G440" s="36"/>
      <c r="H440" s="36"/>
      <c r="I440" s="36"/>
      <c r="J440" s="13"/>
    </row>
    <row r="441" ht="15.75" customHeight="1">
      <c r="B441" s="31"/>
      <c r="C441" s="34"/>
      <c r="D441" s="33"/>
      <c r="E441" s="34"/>
      <c r="F441" s="35"/>
      <c r="G441" s="36"/>
      <c r="H441" s="36"/>
      <c r="I441" s="36"/>
      <c r="J441" s="13"/>
    </row>
    <row r="442" ht="15.75" customHeight="1">
      <c r="B442" s="31"/>
      <c r="C442" s="34"/>
      <c r="D442" s="33"/>
      <c r="E442" s="34"/>
      <c r="F442" s="35"/>
      <c r="G442" s="36"/>
      <c r="H442" s="36"/>
      <c r="I442" s="36"/>
      <c r="J442" s="13"/>
    </row>
    <row r="443" ht="15.75" customHeight="1">
      <c r="B443" s="31"/>
      <c r="C443" s="34"/>
      <c r="D443" s="33"/>
      <c r="E443" s="34"/>
      <c r="F443" s="35"/>
      <c r="G443" s="36"/>
      <c r="H443" s="36"/>
      <c r="I443" s="36"/>
      <c r="J443" s="13"/>
    </row>
    <row r="444" ht="15.75" customHeight="1">
      <c r="B444" s="31"/>
      <c r="C444" s="34"/>
      <c r="D444" s="33"/>
      <c r="E444" s="34"/>
      <c r="F444" s="35"/>
      <c r="G444" s="36"/>
      <c r="H444" s="36"/>
      <c r="I444" s="36"/>
      <c r="J444" s="13"/>
    </row>
    <row r="445" ht="15.75" customHeight="1">
      <c r="B445" s="31"/>
      <c r="C445" s="34"/>
      <c r="D445" s="33"/>
      <c r="E445" s="34"/>
      <c r="F445" s="35"/>
      <c r="G445" s="36"/>
      <c r="H445" s="36"/>
      <c r="I445" s="36"/>
      <c r="J445" s="13"/>
    </row>
    <row r="446" ht="15.75" customHeight="1">
      <c r="B446" s="31"/>
      <c r="C446" s="34"/>
      <c r="D446" s="33"/>
      <c r="E446" s="34"/>
      <c r="F446" s="35"/>
      <c r="G446" s="36"/>
      <c r="H446" s="36"/>
      <c r="I446" s="36"/>
      <c r="J446" s="13"/>
    </row>
    <row r="447" ht="15.75" customHeight="1">
      <c r="B447" s="31"/>
      <c r="C447" s="34"/>
      <c r="D447" s="33"/>
      <c r="E447" s="34"/>
      <c r="F447" s="35"/>
      <c r="G447" s="36"/>
      <c r="H447" s="36"/>
      <c r="I447" s="36"/>
      <c r="J447" s="13"/>
    </row>
    <row r="448" ht="15.75" customHeight="1">
      <c r="B448" s="31"/>
      <c r="C448" s="34"/>
      <c r="D448" s="33"/>
      <c r="E448" s="34"/>
      <c r="F448" s="35"/>
      <c r="G448" s="36"/>
      <c r="H448" s="36"/>
      <c r="I448" s="36"/>
      <c r="J448" s="13"/>
    </row>
    <row r="449" ht="15.75" customHeight="1">
      <c r="B449" s="31"/>
      <c r="C449" s="34"/>
      <c r="D449" s="33"/>
      <c r="E449" s="34"/>
      <c r="F449" s="35"/>
      <c r="G449" s="36"/>
      <c r="H449" s="36"/>
      <c r="I449" s="36"/>
      <c r="J449" s="13"/>
    </row>
    <row r="450" ht="15.75" customHeight="1">
      <c r="B450" s="31"/>
      <c r="C450" s="34"/>
      <c r="D450" s="33"/>
      <c r="E450" s="34"/>
      <c r="F450" s="35"/>
      <c r="G450" s="36"/>
      <c r="H450" s="36"/>
      <c r="I450" s="36"/>
      <c r="J450" s="13"/>
    </row>
    <row r="451" ht="15.75" customHeight="1">
      <c r="B451" s="31"/>
      <c r="C451" s="34"/>
      <c r="D451" s="33"/>
      <c r="E451" s="34"/>
      <c r="F451" s="35"/>
      <c r="G451" s="36"/>
      <c r="H451" s="36"/>
      <c r="I451" s="36"/>
      <c r="J451" s="13"/>
    </row>
    <row r="452" ht="15.75" customHeight="1">
      <c r="B452" s="31"/>
      <c r="C452" s="34"/>
      <c r="D452" s="33"/>
      <c r="E452" s="34"/>
      <c r="F452" s="35"/>
      <c r="G452" s="36"/>
      <c r="H452" s="36"/>
      <c r="I452" s="36"/>
      <c r="J452" s="13"/>
    </row>
    <row r="453" ht="15.75" customHeight="1">
      <c r="B453" s="31"/>
      <c r="C453" s="34"/>
      <c r="D453" s="33"/>
      <c r="E453" s="34"/>
      <c r="F453" s="35"/>
      <c r="G453" s="36"/>
      <c r="H453" s="36"/>
      <c r="I453" s="36"/>
      <c r="J453" s="13"/>
    </row>
    <row r="454" ht="15.75" customHeight="1">
      <c r="B454" s="31"/>
      <c r="C454" s="34"/>
      <c r="D454" s="33"/>
      <c r="E454" s="34"/>
      <c r="F454" s="35"/>
      <c r="G454" s="36"/>
      <c r="H454" s="36"/>
      <c r="I454" s="36"/>
      <c r="J454" s="13"/>
    </row>
    <row r="455" ht="15.75" customHeight="1">
      <c r="B455" s="31"/>
      <c r="C455" s="34"/>
      <c r="D455" s="33"/>
      <c r="E455" s="34"/>
      <c r="F455" s="35"/>
      <c r="G455" s="36"/>
      <c r="H455" s="36"/>
      <c r="I455" s="36"/>
      <c r="J455" s="13"/>
    </row>
    <row r="456" ht="15.75" customHeight="1">
      <c r="B456" s="31"/>
      <c r="C456" s="34"/>
      <c r="D456" s="33"/>
      <c r="E456" s="34"/>
      <c r="F456" s="35"/>
      <c r="G456" s="36"/>
      <c r="H456" s="36"/>
      <c r="I456" s="36"/>
      <c r="J456" s="13"/>
    </row>
    <row r="457" ht="15.75" customHeight="1">
      <c r="B457" s="31"/>
      <c r="C457" s="34"/>
      <c r="D457" s="33"/>
      <c r="E457" s="34"/>
      <c r="F457" s="35"/>
      <c r="G457" s="36"/>
      <c r="H457" s="36"/>
      <c r="I457" s="36"/>
      <c r="J457" s="13"/>
    </row>
    <row r="458" ht="15.75" customHeight="1">
      <c r="B458" s="31"/>
      <c r="C458" s="34"/>
      <c r="D458" s="33"/>
      <c r="E458" s="34"/>
      <c r="F458" s="35"/>
      <c r="G458" s="36"/>
      <c r="H458" s="36"/>
      <c r="I458" s="36"/>
      <c r="J458" s="13"/>
    </row>
    <row r="459" ht="15.75" customHeight="1">
      <c r="B459" s="31"/>
      <c r="C459" s="34"/>
      <c r="D459" s="33"/>
      <c r="E459" s="34"/>
      <c r="F459" s="35"/>
      <c r="G459" s="36"/>
      <c r="H459" s="36"/>
      <c r="I459" s="36"/>
      <c r="J459" s="13"/>
    </row>
    <row r="460" ht="15.75" customHeight="1">
      <c r="B460" s="31"/>
      <c r="C460" s="34"/>
      <c r="D460" s="33"/>
      <c r="E460" s="34"/>
      <c r="F460" s="35"/>
      <c r="G460" s="36"/>
      <c r="H460" s="36"/>
      <c r="I460" s="36"/>
      <c r="J460" s="13"/>
    </row>
    <row r="461" ht="15.75" customHeight="1">
      <c r="B461" s="31"/>
      <c r="C461" s="34"/>
      <c r="D461" s="33"/>
      <c r="E461" s="34"/>
      <c r="F461" s="35"/>
      <c r="G461" s="36"/>
      <c r="H461" s="36"/>
      <c r="I461" s="36"/>
      <c r="J461" s="13"/>
    </row>
    <row r="462" ht="15.75" customHeight="1">
      <c r="B462" s="31"/>
      <c r="C462" s="34"/>
      <c r="D462" s="33"/>
      <c r="E462" s="34"/>
      <c r="F462" s="35"/>
      <c r="G462" s="36"/>
      <c r="H462" s="36"/>
      <c r="I462" s="36"/>
      <c r="J462" s="13"/>
    </row>
    <row r="463" ht="15.75" customHeight="1">
      <c r="B463" s="31"/>
      <c r="C463" s="34"/>
      <c r="D463" s="33"/>
      <c r="E463" s="34"/>
      <c r="F463" s="35"/>
      <c r="G463" s="36"/>
      <c r="H463" s="36"/>
      <c r="I463" s="36"/>
      <c r="J463" s="13"/>
    </row>
    <row r="464" ht="15.75" customHeight="1">
      <c r="B464" s="31"/>
      <c r="C464" s="34"/>
      <c r="D464" s="33"/>
      <c r="E464" s="34"/>
      <c r="F464" s="35"/>
      <c r="G464" s="36"/>
      <c r="H464" s="36"/>
      <c r="I464" s="36"/>
      <c r="J464" s="13"/>
    </row>
    <row r="465" ht="15.75" customHeight="1">
      <c r="B465" s="31"/>
      <c r="C465" s="34"/>
      <c r="D465" s="33"/>
      <c r="E465" s="34"/>
      <c r="F465" s="35"/>
      <c r="G465" s="36"/>
      <c r="H465" s="36"/>
      <c r="I465" s="36"/>
      <c r="J465" s="13"/>
    </row>
    <row r="466" ht="15.75" customHeight="1">
      <c r="B466" s="31"/>
      <c r="C466" s="34"/>
      <c r="D466" s="33"/>
      <c r="E466" s="34"/>
      <c r="F466" s="35"/>
      <c r="G466" s="36"/>
      <c r="H466" s="36"/>
      <c r="I466" s="36"/>
      <c r="J466" s="13"/>
    </row>
    <row r="467" ht="15.75" customHeight="1">
      <c r="B467" s="31"/>
      <c r="C467" s="34"/>
      <c r="D467" s="33"/>
      <c r="E467" s="34"/>
      <c r="F467" s="35"/>
      <c r="G467" s="36"/>
      <c r="H467" s="36"/>
      <c r="I467" s="36"/>
      <c r="J467" s="13"/>
    </row>
    <row r="468" ht="15.75" customHeight="1">
      <c r="B468" s="31"/>
      <c r="C468" s="34"/>
      <c r="D468" s="33"/>
      <c r="E468" s="34"/>
      <c r="F468" s="35"/>
      <c r="G468" s="36"/>
      <c r="H468" s="36"/>
      <c r="I468" s="36"/>
      <c r="J468" s="13"/>
    </row>
    <row r="469" ht="15.75" customHeight="1">
      <c r="B469" s="31"/>
      <c r="C469" s="34"/>
      <c r="D469" s="33"/>
      <c r="E469" s="34"/>
      <c r="F469" s="35"/>
      <c r="G469" s="36"/>
      <c r="H469" s="36"/>
      <c r="I469" s="36"/>
      <c r="J469" s="13"/>
    </row>
    <row r="470" ht="15.75" customHeight="1">
      <c r="B470" s="31"/>
      <c r="C470" s="34"/>
      <c r="D470" s="33"/>
      <c r="E470" s="34"/>
      <c r="F470" s="35"/>
      <c r="G470" s="36"/>
      <c r="H470" s="36"/>
      <c r="I470" s="36"/>
      <c r="J470" s="13"/>
    </row>
    <row r="471" ht="15.75" customHeight="1">
      <c r="B471" s="31"/>
      <c r="C471" s="34"/>
      <c r="D471" s="33"/>
      <c r="E471" s="34"/>
      <c r="F471" s="35"/>
      <c r="G471" s="36"/>
      <c r="H471" s="36"/>
      <c r="I471" s="36"/>
      <c r="J471" s="13"/>
    </row>
    <row r="472" ht="15.75" customHeight="1">
      <c r="B472" s="31"/>
      <c r="C472" s="34"/>
      <c r="D472" s="33"/>
      <c r="E472" s="34"/>
      <c r="F472" s="35"/>
      <c r="G472" s="36"/>
      <c r="H472" s="36"/>
      <c r="I472" s="36"/>
      <c r="J472" s="13"/>
    </row>
    <row r="473" ht="15.75" customHeight="1">
      <c r="B473" s="31"/>
      <c r="C473" s="34"/>
      <c r="D473" s="33"/>
      <c r="E473" s="34"/>
      <c r="F473" s="35"/>
      <c r="G473" s="36"/>
      <c r="H473" s="36"/>
      <c r="I473" s="36"/>
      <c r="J473" s="13"/>
    </row>
    <row r="474" ht="15.75" customHeight="1">
      <c r="B474" s="31"/>
      <c r="C474" s="34"/>
      <c r="D474" s="33"/>
      <c r="E474" s="34"/>
      <c r="F474" s="35"/>
      <c r="G474" s="36"/>
      <c r="H474" s="36"/>
      <c r="I474" s="36"/>
      <c r="J474" s="13"/>
    </row>
    <row r="475" ht="15.75" customHeight="1">
      <c r="B475" s="31"/>
      <c r="C475" s="34"/>
      <c r="D475" s="33"/>
      <c r="E475" s="34"/>
      <c r="F475" s="35"/>
      <c r="G475" s="36"/>
      <c r="H475" s="36"/>
      <c r="I475" s="36"/>
      <c r="J475" s="13"/>
    </row>
    <row r="476" ht="15.75" customHeight="1">
      <c r="B476" s="31"/>
      <c r="C476" s="34"/>
      <c r="D476" s="33"/>
      <c r="E476" s="34"/>
      <c r="F476" s="35"/>
      <c r="G476" s="36"/>
      <c r="H476" s="36"/>
      <c r="I476" s="36"/>
      <c r="J476" s="13"/>
    </row>
    <row r="477" ht="15.75" customHeight="1">
      <c r="B477" s="31"/>
      <c r="C477" s="34"/>
      <c r="D477" s="33"/>
      <c r="E477" s="34"/>
      <c r="F477" s="35"/>
      <c r="G477" s="36"/>
      <c r="H477" s="36"/>
      <c r="I477" s="36"/>
      <c r="J477" s="13"/>
    </row>
    <row r="478" ht="15.75" customHeight="1">
      <c r="B478" s="31"/>
      <c r="C478" s="34"/>
      <c r="D478" s="33"/>
      <c r="E478" s="34"/>
      <c r="F478" s="35"/>
      <c r="G478" s="36"/>
      <c r="H478" s="36"/>
      <c r="I478" s="36"/>
      <c r="J478" s="13"/>
    </row>
    <row r="479" ht="15.75" customHeight="1">
      <c r="B479" s="31"/>
      <c r="C479" s="34"/>
      <c r="D479" s="33"/>
      <c r="E479" s="34"/>
      <c r="F479" s="35"/>
      <c r="G479" s="36"/>
      <c r="H479" s="36"/>
      <c r="I479" s="36"/>
      <c r="J479" s="13"/>
    </row>
    <row r="480" ht="15.75" customHeight="1">
      <c r="B480" s="31"/>
      <c r="C480" s="34"/>
      <c r="D480" s="33"/>
      <c r="E480" s="34"/>
      <c r="F480" s="35"/>
      <c r="G480" s="36"/>
      <c r="H480" s="36"/>
      <c r="I480" s="36"/>
      <c r="J480" s="13"/>
    </row>
    <row r="481" ht="15.75" customHeight="1">
      <c r="B481" s="31"/>
      <c r="C481" s="34"/>
      <c r="D481" s="33"/>
      <c r="E481" s="34"/>
      <c r="F481" s="35"/>
      <c r="G481" s="36"/>
      <c r="H481" s="36"/>
      <c r="I481" s="36"/>
      <c r="J481" s="13"/>
    </row>
    <row r="482" ht="15.75" customHeight="1">
      <c r="B482" s="31"/>
      <c r="C482" s="34"/>
      <c r="D482" s="33"/>
      <c r="E482" s="34"/>
      <c r="F482" s="35"/>
      <c r="G482" s="36"/>
      <c r="H482" s="36"/>
      <c r="I482" s="36"/>
      <c r="J482" s="13"/>
    </row>
    <row r="483" ht="15.75" customHeight="1">
      <c r="B483" s="31"/>
      <c r="C483" s="34"/>
      <c r="D483" s="33"/>
      <c r="E483" s="34"/>
      <c r="F483" s="35"/>
      <c r="G483" s="36"/>
      <c r="H483" s="36"/>
      <c r="I483" s="36"/>
      <c r="J483" s="13"/>
    </row>
    <row r="484" ht="15.75" customHeight="1">
      <c r="B484" s="31"/>
      <c r="C484" s="34"/>
      <c r="D484" s="33"/>
      <c r="E484" s="34"/>
      <c r="F484" s="35"/>
      <c r="G484" s="36"/>
      <c r="H484" s="36"/>
      <c r="I484" s="36"/>
      <c r="J484" s="13"/>
    </row>
    <row r="485" ht="15.75" customHeight="1">
      <c r="B485" s="31"/>
      <c r="C485" s="34"/>
      <c r="D485" s="33"/>
      <c r="E485" s="34"/>
      <c r="F485" s="35"/>
      <c r="G485" s="36"/>
      <c r="H485" s="36"/>
      <c r="I485" s="36"/>
      <c r="J485" s="13"/>
    </row>
    <row r="486" ht="15.75" customHeight="1">
      <c r="B486" s="31"/>
      <c r="C486" s="34"/>
      <c r="D486" s="33"/>
      <c r="E486" s="34"/>
      <c r="F486" s="35"/>
      <c r="G486" s="36"/>
      <c r="H486" s="36"/>
      <c r="I486" s="36"/>
      <c r="J486" s="13"/>
    </row>
    <row r="487" ht="15.75" customHeight="1">
      <c r="B487" s="31"/>
      <c r="C487" s="34"/>
      <c r="D487" s="33"/>
      <c r="E487" s="34"/>
      <c r="F487" s="35"/>
      <c r="G487" s="36"/>
      <c r="H487" s="36"/>
      <c r="I487" s="36"/>
      <c r="J487" s="13"/>
    </row>
    <row r="488" ht="15.75" customHeight="1">
      <c r="B488" s="31"/>
      <c r="C488" s="34"/>
      <c r="D488" s="33"/>
      <c r="E488" s="34"/>
      <c r="F488" s="35"/>
      <c r="G488" s="36"/>
      <c r="H488" s="36"/>
      <c r="I488" s="36"/>
      <c r="J488" s="13"/>
    </row>
    <row r="489" ht="15.75" customHeight="1">
      <c r="B489" s="31"/>
      <c r="C489" s="34"/>
      <c r="D489" s="33"/>
      <c r="E489" s="34"/>
      <c r="F489" s="35"/>
      <c r="G489" s="36"/>
      <c r="H489" s="36"/>
      <c r="I489" s="36"/>
      <c r="J489" s="13"/>
    </row>
    <row r="490" ht="15.75" customHeight="1">
      <c r="B490" s="31"/>
      <c r="C490" s="34"/>
      <c r="D490" s="33"/>
      <c r="E490" s="34"/>
      <c r="F490" s="35"/>
      <c r="G490" s="36"/>
      <c r="H490" s="36"/>
      <c r="I490" s="36"/>
      <c r="J490" s="13"/>
    </row>
    <row r="491" ht="15.75" customHeight="1">
      <c r="B491" s="31"/>
      <c r="C491" s="34"/>
      <c r="D491" s="33"/>
      <c r="E491" s="34"/>
      <c r="F491" s="35"/>
      <c r="G491" s="36"/>
      <c r="H491" s="36"/>
      <c r="I491" s="36"/>
      <c r="J491" s="13"/>
    </row>
    <row r="492" ht="15.75" customHeight="1">
      <c r="B492" s="31"/>
      <c r="C492" s="34"/>
      <c r="D492" s="33"/>
      <c r="E492" s="34"/>
      <c r="F492" s="35"/>
      <c r="G492" s="36"/>
      <c r="H492" s="36"/>
      <c r="I492" s="36"/>
      <c r="J492" s="13"/>
    </row>
    <row r="493" ht="15.75" customHeight="1">
      <c r="B493" s="31"/>
      <c r="C493" s="34"/>
      <c r="D493" s="33"/>
      <c r="E493" s="34"/>
      <c r="F493" s="35"/>
      <c r="G493" s="36"/>
      <c r="H493" s="36"/>
      <c r="I493" s="36"/>
      <c r="J493" s="13"/>
    </row>
    <row r="494" ht="15.75" customHeight="1">
      <c r="B494" s="31"/>
      <c r="C494" s="34"/>
      <c r="D494" s="33"/>
      <c r="E494" s="34"/>
      <c r="F494" s="35"/>
      <c r="G494" s="36"/>
      <c r="H494" s="36"/>
      <c r="I494" s="36"/>
      <c r="J494" s="13"/>
    </row>
    <row r="495" ht="15.75" customHeight="1">
      <c r="B495" s="31"/>
      <c r="C495" s="34"/>
      <c r="D495" s="33"/>
      <c r="E495" s="34"/>
      <c r="F495" s="35"/>
      <c r="G495" s="36"/>
      <c r="H495" s="36"/>
      <c r="I495" s="36"/>
      <c r="J495" s="13"/>
    </row>
    <row r="496" ht="15.75" customHeight="1">
      <c r="B496" s="31"/>
      <c r="C496" s="34"/>
      <c r="D496" s="33"/>
      <c r="E496" s="34"/>
      <c r="F496" s="35"/>
      <c r="G496" s="36"/>
      <c r="H496" s="36"/>
      <c r="I496" s="36"/>
      <c r="J496" s="13"/>
    </row>
    <row r="497" ht="15.75" customHeight="1">
      <c r="B497" s="31"/>
      <c r="C497" s="34"/>
      <c r="D497" s="33"/>
      <c r="E497" s="34"/>
      <c r="F497" s="35"/>
      <c r="G497" s="36"/>
      <c r="H497" s="36"/>
      <c r="I497" s="36"/>
      <c r="J497" s="13"/>
    </row>
    <row r="498" ht="15.75" customHeight="1">
      <c r="B498" s="31"/>
      <c r="C498" s="34"/>
      <c r="D498" s="33"/>
      <c r="E498" s="34"/>
      <c r="F498" s="35"/>
      <c r="G498" s="36"/>
      <c r="H498" s="36"/>
      <c r="I498" s="36"/>
      <c r="J498" s="13"/>
    </row>
    <row r="499" ht="15.75" customHeight="1">
      <c r="B499" s="31"/>
      <c r="C499" s="34"/>
      <c r="D499" s="33"/>
      <c r="E499" s="34"/>
      <c r="F499" s="35"/>
      <c r="G499" s="36"/>
      <c r="H499" s="36"/>
      <c r="I499" s="36"/>
      <c r="J499" s="13"/>
    </row>
    <row r="500" ht="15.75" customHeight="1">
      <c r="B500" s="31"/>
      <c r="C500" s="34"/>
      <c r="D500" s="33"/>
      <c r="E500" s="34"/>
      <c r="F500" s="35"/>
      <c r="G500" s="36"/>
      <c r="H500" s="36"/>
      <c r="I500" s="36"/>
      <c r="J500" s="13"/>
    </row>
    <row r="501" ht="15.75" customHeight="1">
      <c r="B501" s="31"/>
      <c r="C501" s="34"/>
      <c r="D501" s="33"/>
      <c r="E501" s="34"/>
      <c r="F501" s="35"/>
      <c r="G501" s="36"/>
      <c r="H501" s="36"/>
      <c r="I501" s="36"/>
      <c r="J501" s="13"/>
    </row>
    <row r="502" ht="15.75" customHeight="1">
      <c r="B502" s="31"/>
      <c r="C502" s="34"/>
      <c r="D502" s="33"/>
      <c r="E502" s="34"/>
      <c r="F502" s="35"/>
      <c r="G502" s="36"/>
      <c r="H502" s="36"/>
      <c r="I502" s="36"/>
      <c r="J502" s="13"/>
    </row>
    <row r="503" ht="15.75" customHeight="1">
      <c r="B503" s="31"/>
      <c r="C503" s="34"/>
      <c r="D503" s="33"/>
      <c r="E503" s="34"/>
      <c r="F503" s="35"/>
      <c r="G503" s="36"/>
      <c r="H503" s="36"/>
      <c r="I503" s="36"/>
      <c r="J503" s="13"/>
    </row>
    <row r="504" ht="15.75" customHeight="1">
      <c r="B504" s="31"/>
      <c r="C504" s="34"/>
      <c r="D504" s="33"/>
      <c r="E504" s="34"/>
      <c r="F504" s="35"/>
      <c r="G504" s="36"/>
      <c r="H504" s="36"/>
      <c r="I504" s="36"/>
      <c r="J504" s="13"/>
    </row>
    <row r="505" ht="15.75" customHeight="1">
      <c r="B505" s="31"/>
      <c r="C505" s="34"/>
      <c r="D505" s="33"/>
      <c r="E505" s="34"/>
      <c r="F505" s="35"/>
      <c r="G505" s="36"/>
      <c r="H505" s="36"/>
      <c r="I505" s="36"/>
      <c r="J505" s="13"/>
    </row>
    <row r="506" ht="15.75" customHeight="1">
      <c r="B506" s="31"/>
      <c r="C506" s="34"/>
      <c r="D506" s="33"/>
      <c r="E506" s="34"/>
      <c r="F506" s="35"/>
      <c r="G506" s="36"/>
      <c r="H506" s="36"/>
      <c r="I506" s="36"/>
      <c r="J506" s="13"/>
    </row>
    <row r="507" ht="15.75" customHeight="1">
      <c r="B507" s="31"/>
      <c r="C507" s="34"/>
      <c r="D507" s="33"/>
      <c r="E507" s="34"/>
      <c r="F507" s="35"/>
      <c r="G507" s="36"/>
      <c r="H507" s="36"/>
      <c r="I507" s="36"/>
      <c r="J507" s="13"/>
    </row>
    <row r="508" ht="15.75" customHeight="1">
      <c r="B508" s="31"/>
      <c r="C508" s="34"/>
      <c r="D508" s="33"/>
      <c r="E508" s="34"/>
      <c r="F508" s="35"/>
      <c r="G508" s="36"/>
      <c r="H508" s="36"/>
      <c r="I508" s="36"/>
      <c r="J508" s="13"/>
    </row>
    <row r="509" ht="15.75" customHeight="1">
      <c r="B509" s="31"/>
      <c r="C509" s="34"/>
      <c r="D509" s="33"/>
      <c r="E509" s="34"/>
      <c r="F509" s="35"/>
      <c r="G509" s="36"/>
      <c r="H509" s="36"/>
      <c r="I509" s="36"/>
      <c r="J509" s="13"/>
    </row>
    <row r="510" ht="15.75" customHeight="1">
      <c r="B510" s="31"/>
      <c r="C510" s="34"/>
      <c r="D510" s="33"/>
      <c r="E510" s="34"/>
      <c r="F510" s="35"/>
      <c r="G510" s="36"/>
      <c r="H510" s="36"/>
      <c r="I510" s="36"/>
      <c r="J510" s="13"/>
    </row>
    <row r="511" ht="15.75" customHeight="1">
      <c r="B511" s="31"/>
      <c r="C511" s="34"/>
      <c r="D511" s="33"/>
      <c r="E511" s="34"/>
      <c r="F511" s="35"/>
      <c r="G511" s="36"/>
      <c r="H511" s="36"/>
      <c r="I511" s="36"/>
      <c r="J511" s="13"/>
    </row>
    <row r="512" ht="15.75" customHeight="1">
      <c r="B512" s="31"/>
      <c r="C512" s="34"/>
      <c r="D512" s="33"/>
      <c r="E512" s="34"/>
      <c r="F512" s="35"/>
      <c r="G512" s="36"/>
      <c r="H512" s="36"/>
      <c r="I512" s="36"/>
      <c r="J512" s="13"/>
    </row>
    <row r="513" ht="15.75" customHeight="1">
      <c r="B513" s="31"/>
      <c r="C513" s="34"/>
      <c r="D513" s="33"/>
      <c r="E513" s="34"/>
      <c r="F513" s="35"/>
      <c r="G513" s="36"/>
      <c r="H513" s="36"/>
      <c r="I513" s="36"/>
      <c r="J513" s="13"/>
    </row>
    <row r="514" ht="15.75" customHeight="1">
      <c r="B514" s="31"/>
      <c r="C514" s="34"/>
      <c r="D514" s="33"/>
      <c r="E514" s="34"/>
      <c r="F514" s="35"/>
      <c r="G514" s="36"/>
      <c r="H514" s="36"/>
      <c r="I514" s="36"/>
      <c r="J514" s="13"/>
    </row>
    <row r="515" ht="15.75" customHeight="1">
      <c r="B515" s="31"/>
      <c r="C515" s="34"/>
      <c r="D515" s="33"/>
      <c r="E515" s="34"/>
      <c r="F515" s="35"/>
      <c r="G515" s="36"/>
      <c r="H515" s="36"/>
      <c r="I515" s="36"/>
      <c r="J515" s="13"/>
    </row>
    <row r="516" ht="15.75" customHeight="1">
      <c r="B516" s="31"/>
      <c r="C516" s="34"/>
      <c r="D516" s="33"/>
      <c r="E516" s="34"/>
      <c r="F516" s="35"/>
      <c r="G516" s="36"/>
      <c r="H516" s="36"/>
      <c r="I516" s="36"/>
      <c r="J516" s="13"/>
    </row>
    <row r="517" ht="15.75" customHeight="1">
      <c r="B517" s="31"/>
      <c r="C517" s="34"/>
      <c r="D517" s="33"/>
      <c r="E517" s="34"/>
      <c r="F517" s="35"/>
      <c r="G517" s="36"/>
      <c r="H517" s="36"/>
      <c r="I517" s="36"/>
      <c r="J517" s="13"/>
    </row>
    <row r="518" ht="15.75" customHeight="1">
      <c r="B518" s="31"/>
      <c r="C518" s="34"/>
      <c r="D518" s="33"/>
      <c r="E518" s="34"/>
      <c r="F518" s="35"/>
      <c r="G518" s="36"/>
      <c r="H518" s="36"/>
      <c r="I518" s="36"/>
      <c r="J518" s="13"/>
    </row>
    <row r="519" ht="15.75" customHeight="1">
      <c r="B519" s="31"/>
      <c r="C519" s="34"/>
      <c r="D519" s="33"/>
      <c r="E519" s="34"/>
      <c r="F519" s="35"/>
      <c r="G519" s="36"/>
      <c r="H519" s="36"/>
      <c r="I519" s="36"/>
      <c r="J519" s="13"/>
    </row>
    <row r="520" ht="15.75" customHeight="1">
      <c r="B520" s="31"/>
      <c r="C520" s="34"/>
      <c r="D520" s="33"/>
      <c r="E520" s="34"/>
      <c r="F520" s="35"/>
      <c r="G520" s="36"/>
      <c r="H520" s="36"/>
      <c r="I520" s="36"/>
      <c r="J520" s="13"/>
    </row>
    <row r="521" ht="15.75" customHeight="1">
      <c r="B521" s="31"/>
      <c r="C521" s="34"/>
      <c r="D521" s="33"/>
      <c r="E521" s="34"/>
      <c r="F521" s="35"/>
      <c r="G521" s="36"/>
      <c r="H521" s="36"/>
      <c r="I521" s="36"/>
      <c r="J521" s="13"/>
    </row>
    <row r="522" ht="15.75" customHeight="1">
      <c r="B522" s="31"/>
      <c r="C522" s="34"/>
      <c r="D522" s="33"/>
      <c r="E522" s="34"/>
      <c r="F522" s="35"/>
      <c r="G522" s="36"/>
      <c r="H522" s="36"/>
      <c r="I522" s="36"/>
      <c r="J522" s="13"/>
    </row>
    <row r="523" ht="15.75" customHeight="1">
      <c r="B523" s="31"/>
      <c r="C523" s="34"/>
      <c r="D523" s="33"/>
      <c r="E523" s="34"/>
      <c r="F523" s="35"/>
      <c r="G523" s="36"/>
      <c r="H523" s="36"/>
      <c r="I523" s="36"/>
      <c r="J523" s="13"/>
    </row>
    <row r="524" ht="15.75" customHeight="1">
      <c r="B524" s="31"/>
      <c r="C524" s="34"/>
      <c r="D524" s="33"/>
      <c r="E524" s="34"/>
      <c r="F524" s="35"/>
      <c r="G524" s="36"/>
      <c r="H524" s="36"/>
      <c r="I524" s="36"/>
      <c r="J524" s="13"/>
    </row>
    <row r="525" ht="15.75" customHeight="1">
      <c r="B525" s="31"/>
      <c r="C525" s="34"/>
      <c r="D525" s="33"/>
      <c r="E525" s="34"/>
      <c r="F525" s="35"/>
      <c r="G525" s="36"/>
      <c r="H525" s="36"/>
      <c r="I525" s="36"/>
      <c r="J525" s="13"/>
    </row>
    <row r="526" ht="15.75" customHeight="1">
      <c r="B526" s="31"/>
      <c r="C526" s="34"/>
      <c r="D526" s="33"/>
      <c r="E526" s="34"/>
      <c r="F526" s="35"/>
      <c r="G526" s="36"/>
      <c r="H526" s="36"/>
      <c r="I526" s="36"/>
      <c r="J526" s="13"/>
    </row>
    <row r="527" ht="15.75" customHeight="1">
      <c r="B527" s="31"/>
      <c r="C527" s="34"/>
      <c r="D527" s="33"/>
      <c r="E527" s="34"/>
      <c r="F527" s="35"/>
      <c r="G527" s="36"/>
      <c r="H527" s="36"/>
      <c r="I527" s="36"/>
      <c r="J527" s="13"/>
    </row>
    <row r="528" ht="15.75" customHeight="1">
      <c r="B528" s="31"/>
      <c r="C528" s="34"/>
      <c r="D528" s="33"/>
      <c r="E528" s="34"/>
      <c r="F528" s="35"/>
      <c r="G528" s="36"/>
      <c r="H528" s="36"/>
      <c r="I528" s="36"/>
      <c r="J528" s="13"/>
    </row>
    <row r="529" ht="15.75" customHeight="1">
      <c r="B529" s="31"/>
      <c r="C529" s="34"/>
      <c r="D529" s="33"/>
      <c r="E529" s="34"/>
      <c r="F529" s="35"/>
      <c r="G529" s="36"/>
      <c r="H529" s="36"/>
      <c r="I529" s="36"/>
      <c r="J529" s="13"/>
    </row>
    <row r="530" ht="15.75" customHeight="1">
      <c r="B530" s="31"/>
      <c r="C530" s="34"/>
      <c r="D530" s="33"/>
      <c r="E530" s="34"/>
      <c r="F530" s="35"/>
      <c r="G530" s="36"/>
      <c r="H530" s="36"/>
      <c r="I530" s="36"/>
      <c r="J530" s="13"/>
    </row>
    <row r="531" ht="15.75" customHeight="1">
      <c r="B531" s="31"/>
      <c r="C531" s="34"/>
      <c r="D531" s="33"/>
      <c r="E531" s="34"/>
      <c r="F531" s="35"/>
      <c r="G531" s="36"/>
      <c r="H531" s="36"/>
      <c r="I531" s="36"/>
      <c r="J531" s="13"/>
    </row>
    <row r="532" ht="15.75" customHeight="1">
      <c r="B532" s="31"/>
      <c r="C532" s="34"/>
      <c r="D532" s="33"/>
      <c r="E532" s="34"/>
      <c r="F532" s="35"/>
      <c r="G532" s="36"/>
      <c r="H532" s="36"/>
      <c r="I532" s="36"/>
      <c r="J532" s="13"/>
    </row>
    <row r="533" ht="15.75" customHeight="1">
      <c r="B533" s="31"/>
      <c r="C533" s="34"/>
      <c r="D533" s="33"/>
      <c r="E533" s="34"/>
      <c r="F533" s="35"/>
      <c r="G533" s="36"/>
      <c r="H533" s="36"/>
      <c r="I533" s="36"/>
      <c r="J533" s="13"/>
    </row>
    <row r="534" ht="15.75" customHeight="1">
      <c r="B534" s="31"/>
      <c r="C534" s="34"/>
      <c r="D534" s="33"/>
      <c r="E534" s="34"/>
      <c r="F534" s="35"/>
      <c r="G534" s="36"/>
      <c r="H534" s="36"/>
      <c r="I534" s="36"/>
      <c r="J534" s="13"/>
    </row>
    <row r="535" ht="15.75" customHeight="1">
      <c r="B535" s="31"/>
      <c r="C535" s="34"/>
      <c r="D535" s="33"/>
      <c r="E535" s="34"/>
      <c r="F535" s="35"/>
      <c r="G535" s="36"/>
      <c r="H535" s="36"/>
      <c r="I535" s="36"/>
      <c r="J535" s="13"/>
    </row>
    <row r="536" ht="15.75" customHeight="1">
      <c r="B536" s="31"/>
      <c r="C536" s="34"/>
      <c r="D536" s="33"/>
      <c r="E536" s="34"/>
      <c r="F536" s="35"/>
      <c r="G536" s="36"/>
      <c r="H536" s="36"/>
      <c r="I536" s="36"/>
      <c r="J536" s="13"/>
    </row>
    <row r="537" ht="15.75" customHeight="1">
      <c r="B537" s="31"/>
      <c r="C537" s="34"/>
      <c r="D537" s="33"/>
      <c r="E537" s="34"/>
      <c r="F537" s="35"/>
      <c r="G537" s="36"/>
      <c r="H537" s="36"/>
      <c r="I537" s="36"/>
      <c r="J537" s="13"/>
    </row>
    <row r="538" ht="15.75" customHeight="1">
      <c r="B538" s="31"/>
      <c r="C538" s="34"/>
      <c r="D538" s="33"/>
      <c r="E538" s="34"/>
      <c r="F538" s="35"/>
      <c r="G538" s="36"/>
      <c r="H538" s="36"/>
      <c r="I538" s="36"/>
      <c r="J538" s="13"/>
    </row>
    <row r="539" ht="15.75" customHeight="1">
      <c r="B539" s="31"/>
      <c r="C539" s="34"/>
      <c r="D539" s="33"/>
      <c r="E539" s="34"/>
      <c r="F539" s="35"/>
      <c r="G539" s="36"/>
      <c r="H539" s="36"/>
      <c r="I539" s="36"/>
      <c r="J539" s="13"/>
    </row>
    <row r="540" ht="15.75" customHeight="1">
      <c r="B540" s="31"/>
      <c r="C540" s="34"/>
      <c r="D540" s="33"/>
      <c r="E540" s="34"/>
      <c r="F540" s="35"/>
      <c r="G540" s="36"/>
      <c r="H540" s="36"/>
      <c r="I540" s="36"/>
      <c r="J540" s="13"/>
    </row>
    <row r="541" ht="15.75" customHeight="1">
      <c r="B541" s="31"/>
      <c r="C541" s="34"/>
      <c r="D541" s="33"/>
      <c r="E541" s="34"/>
      <c r="F541" s="35"/>
      <c r="G541" s="36"/>
      <c r="H541" s="36"/>
      <c r="I541" s="36"/>
      <c r="J541" s="13"/>
    </row>
    <row r="542" ht="15.75" customHeight="1">
      <c r="B542" s="31"/>
      <c r="C542" s="34"/>
      <c r="D542" s="33"/>
      <c r="E542" s="34"/>
      <c r="F542" s="35"/>
      <c r="G542" s="36"/>
      <c r="H542" s="36"/>
      <c r="I542" s="36"/>
      <c r="J542" s="13"/>
    </row>
    <row r="543" ht="15.75" customHeight="1">
      <c r="B543" s="31"/>
      <c r="C543" s="34"/>
      <c r="D543" s="33"/>
      <c r="E543" s="34"/>
      <c r="F543" s="35"/>
      <c r="G543" s="36"/>
      <c r="H543" s="36"/>
      <c r="I543" s="36"/>
      <c r="J543" s="13"/>
    </row>
    <row r="544" ht="15.75" customHeight="1">
      <c r="B544" s="31"/>
      <c r="C544" s="34"/>
      <c r="D544" s="33"/>
      <c r="E544" s="34"/>
      <c r="F544" s="35"/>
      <c r="G544" s="36"/>
      <c r="H544" s="36"/>
      <c r="I544" s="36"/>
      <c r="J544" s="13"/>
    </row>
    <row r="545" ht="15.75" customHeight="1">
      <c r="B545" s="31"/>
      <c r="C545" s="34"/>
      <c r="D545" s="33"/>
      <c r="E545" s="34"/>
      <c r="F545" s="35"/>
      <c r="G545" s="36"/>
      <c r="H545" s="36"/>
      <c r="I545" s="36"/>
      <c r="J545" s="13"/>
    </row>
    <row r="546" ht="15.75" customHeight="1">
      <c r="B546" s="31"/>
      <c r="C546" s="34"/>
      <c r="D546" s="33"/>
      <c r="E546" s="34"/>
      <c r="F546" s="35"/>
      <c r="G546" s="36"/>
      <c r="H546" s="36"/>
      <c r="I546" s="36"/>
      <c r="J546" s="13"/>
    </row>
    <row r="547" ht="15.75" customHeight="1">
      <c r="B547" s="31"/>
      <c r="C547" s="34"/>
      <c r="D547" s="33"/>
      <c r="E547" s="34"/>
      <c r="F547" s="35"/>
      <c r="G547" s="36"/>
      <c r="H547" s="36"/>
      <c r="I547" s="36"/>
      <c r="J547" s="13"/>
    </row>
    <row r="548" ht="15.75" customHeight="1">
      <c r="B548" s="31"/>
      <c r="C548" s="34"/>
      <c r="D548" s="33"/>
      <c r="E548" s="34"/>
      <c r="F548" s="35"/>
      <c r="G548" s="36"/>
      <c r="H548" s="36"/>
      <c r="I548" s="36"/>
      <c r="J548" s="13"/>
    </row>
    <row r="549" ht="15.75" customHeight="1">
      <c r="B549" s="31"/>
      <c r="C549" s="34"/>
      <c r="D549" s="33"/>
      <c r="E549" s="34"/>
      <c r="F549" s="35"/>
      <c r="G549" s="36"/>
      <c r="H549" s="36"/>
      <c r="I549" s="36"/>
      <c r="J549" s="13"/>
    </row>
    <row r="550" ht="15.75" customHeight="1">
      <c r="B550" s="31"/>
      <c r="C550" s="34"/>
      <c r="D550" s="33"/>
      <c r="E550" s="34"/>
      <c r="F550" s="35"/>
      <c r="G550" s="36"/>
      <c r="H550" s="36"/>
      <c r="I550" s="36"/>
      <c r="J550" s="13"/>
    </row>
    <row r="551" ht="15.75" customHeight="1">
      <c r="B551" s="31"/>
      <c r="C551" s="34"/>
      <c r="D551" s="33"/>
      <c r="E551" s="34"/>
      <c r="F551" s="35"/>
      <c r="G551" s="36"/>
      <c r="H551" s="36"/>
      <c r="I551" s="36"/>
      <c r="J551" s="13"/>
    </row>
    <row r="552" ht="15.75" customHeight="1">
      <c r="B552" s="31"/>
      <c r="C552" s="34"/>
      <c r="D552" s="33"/>
      <c r="E552" s="34"/>
      <c r="F552" s="35"/>
      <c r="G552" s="36"/>
      <c r="H552" s="36"/>
      <c r="I552" s="36"/>
      <c r="J552" s="13"/>
    </row>
    <row r="553" ht="15.75" customHeight="1">
      <c r="B553" s="31"/>
      <c r="C553" s="34"/>
      <c r="D553" s="33"/>
      <c r="E553" s="34"/>
      <c r="F553" s="35"/>
      <c r="G553" s="36"/>
      <c r="H553" s="36"/>
      <c r="I553" s="36"/>
      <c r="J553" s="13"/>
    </row>
    <row r="554" ht="15.75" customHeight="1">
      <c r="B554" s="31"/>
      <c r="C554" s="34"/>
      <c r="D554" s="33"/>
      <c r="E554" s="34"/>
      <c r="F554" s="35"/>
      <c r="G554" s="36"/>
      <c r="H554" s="36"/>
      <c r="I554" s="36"/>
      <c r="J554" s="13"/>
    </row>
    <row r="555" ht="15.75" customHeight="1">
      <c r="B555" s="31"/>
      <c r="C555" s="34"/>
      <c r="D555" s="33"/>
      <c r="E555" s="34"/>
      <c r="F555" s="35"/>
      <c r="G555" s="36"/>
      <c r="H555" s="36"/>
      <c r="I555" s="36"/>
      <c r="J555" s="13"/>
    </row>
    <row r="556" ht="15.75" customHeight="1">
      <c r="B556" s="31"/>
      <c r="C556" s="34"/>
      <c r="D556" s="33"/>
      <c r="E556" s="34"/>
      <c r="F556" s="35"/>
      <c r="G556" s="36"/>
      <c r="H556" s="36"/>
      <c r="I556" s="36"/>
      <c r="J556" s="13"/>
    </row>
    <row r="557" ht="15.75" customHeight="1">
      <c r="B557" s="31"/>
      <c r="C557" s="34"/>
      <c r="D557" s="33"/>
      <c r="E557" s="34"/>
      <c r="F557" s="35"/>
      <c r="G557" s="36"/>
      <c r="H557" s="36"/>
      <c r="I557" s="36"/>
      <c r="J557" s="13"/>
    </row>
    <row r="558" ht="15.75" customHeight="1">
      <c r="B558" s="31"/>
      <c r="C558" s="34"/>
      <c r="D558" s="33"/>
      <c r="E558" s="34"/>
      <c r="F558" s="35"/>
      <c r="G558" s="36"/>
      <c r="H558" s="36"/>
      <c r="I558" s="36"/>
      <c r="J558" s="13"/>
    </row>
    <row r="559" ht="15.75" customHeight="1">
      <c r="B559" s="31"/>
      <c r="C559" s="34"/>
      <c r="D559" s="33"/>
      <c r="E559" s="34"/>
      <c r="F559" s="35"/>
      <c r="G559" s="36"/>
      <c r="H559" s="36"/>
      <c r="I559" s="36"/>
      <c r="J559" s="13"/>
    </row>
    <row r="560" ht="15.75" customHeight="1">
      <c r="B560" s="31"/>
      <c r="C560" s="34"/>
      <c r="D560" s="33"/>
      <c r="E560" s="34"/>
      <c r="F560" s="35"/>
      <c r="G560" s="36"/>
      <c r="H560" s="36"/>
      <c r="I560" s="36"/>
      <c r="J560" s="13"/>
    </row>
    <row r="561" ht="15.75" customHeight="1">
      <c r="B561" s="31"/>
      <c r="C561" s="34"/>
      <c r="D561" s="33"/>
      <c r="E561" s="34"/>
      <c r="F561" s="35"/>
      <c r="G561" s="36"/>
      <c r="H561" s="36"/>
      <c r="I561" s="36"/>
      <c r="J561" s="13"/>
    </row>
    <row r="562" ht="15.75" customHeight="1">
      <c r="B562" s="31"/>
      <c r="C562" s="34"/>
      <c r="D562" s="33"/>
      <c r="E562" s="34"/>
      <c r="F562" s="35"/>
      <c r="G562" s="36"/>
      <c r="H562" s="36"/>
      <c r="I562" s="36"/>
      <c r="J562" s="13"/>
    </row>
    <row r="563" ht="15.75" customHeight="1">
      <c r="B563" s="31"/>
      <c r="C563" s="34"/>
      <c r="D563" s="33"/>
      <c r="E563" s="34"/>
      <c r="F563" s="35"/>
      <c r="G563" s="36"/>
      <c r="H563" s="36"/>
      <c r="I563" s="36"/>
      <c r="J563" s="13"/>
    </row>
    <row r="564" ht="15.75" customHeight="1">
      <c r="B564" s="31"/>
      <c r="C564" s="34"/>
      <c r="D564" s="33"/>
      <c r="E564" s="34"/>
      <c r="F564" s="35"/>
      <c r="G564" s="36"/>
      <c r="H564" s="36"/>
      <c r="I564" s="36"/>
      <c r="J564" s="13"/>
    </row>
    <row r="565" ht="15.75" customHeight="1">
      <c r="B565" s="31"/>
      <c r="C565" s="34"/>
      <c r="D565" s="33"/>
      <c r="E565" s="34"/>
      <c r="F565" s="35"/>
      <c r="G565" s="36"/>
      <c r="H565" s="36"/>
      <c r="I565" s="36"/>
      <c r="J565" s="13"/>
    </row>
    <row r="566" ht="15.75" customHeight="1">
      <c r="B566" s="31"/>
      <c r="C566" s="34"/>
      <c r="D566" s="33"/>
      <c r="E566" s="34"/>
      <c r="F566" s="35"/>
      <c r="G566" s="36"/>
      <c r="H566" s="36"/>
      <c r="I566" s="36"/>
      <c r="J566" s="13"/>
    </row>
    <row r="567" ht="15.75" customHeight="1">
      <c r="B567" s="31"/>
      <c r="C567" s="34"/>
      <c r="D567" s="33"/>
      <c r="E567" s="34"/>
      <c r="F567" s="35"/>
      <c r="G567" s="36"/>
      <c r="H567" s="36"/>
      <c r="I567" s="36"/>
      <c r="J567" s="13"/>
    </row>
    <row r="568" ht="15.75" customHeight="1">
      <c r="B568" s="31"/>
      <c r="C568" s="34"/>
      <c r="D568" s="33"/>
      <c r="E568" s="34"/>
      <c r="F568" s="35"/>
      <c r="G568" s="36"/>
      <c r="H568" s="36"/>
      <c r="I568" s="36"/>
      <c r="J568" s="13"/>
    </row>
    <row r="569" ht="15.75" customHeight="1">
      <c r="B569" s="31"/>
      <c r="C569" s="34"/>
      <c r="D569" s="33"/>
      <c r="E569" s="34"/>
      <c r="F569" s="35"/>
      <c r="G569" s="36"/>
      <c r="H569" s="36"/>
      <c r="I569" s="36"/>
      <c r="J569" s="13"/>
    </row>
    <row r="570" ht="15.75" customHeight="1">
      <c r="B570" s="31"/>
      <c r="C570" s="34"/>
      <c r="D570" s="33"/>
      <c r="E570" s="34"/>
      <c r="F570" s="35"/>
      <c r="G570" s="36"/>
      <c r="H570" s="36"/>
      <c r="I570" s="36"/>
      <c r="J570" s="13"/>
    </row>
    <row r="571" ht="15.75" customHeight="1">
      <c r="B571" s="31"/>
      <c r="C571" s="34"/>
      <c r="D571" s="33"/>
      <c r="E571" s="34"/>
      <c r="F571" s="35"/>
      <c r="G571" s="36"/>
      <c r="H571" s="36"/>
      <c r="I571" s="36"/>
      <c r="J571" s="13"/>
    </row>
    <row r="572" ht="15.75" customHeight="1">
      <c r="B572" s="31"/>
      <c r="C572" s="34"/>
      <c r="D572" s="33"/>
      <c r="E572" s="34"/>
      <c r="F572" s="35"/>
      <c r="G572" s="36"/>
      <c r="H572" s="36"/>
      <c r="I572" s="36"/>
      <c r="J572" s="13"/>
    </row>
    <row r="573" ht="15.75" customHeight="1">
      <c r="B573" s="31"/>
      <c r="C573" s="34"/>
      <c r="D573" s="33"/>
      <c r="E573" s="34"/>
      <c r="F573" s="35"/>
      <c r="G573" s="36"/>
      <c r="H573" s="36"/>
      <c r="I573" s="36"/>
      <c r="J573" s="13"/>
    </row>
    <row r="574" ht="15.75" customHeight="1">
      <c r="B574" s="31"/>
      <c r="C574" s="34"/>
      <c r="D574" s="33"/>
      <c r="E574" s="34"/>
      <c r="F574" s="35"/>
      <c r="G574" s="36"/>
      <c r="H574" s="36"/>
      <c r="I574" s="36"/>
      <c r="J574" s="13"/>
    </row>
    <row r="575" ht="15.75" customHeight="1">
      <c r="B575" s="31"/>
      <c r="C575" s="34"/>
      <c r="D575" s="33"/>
      <c r="E575" s="34"/>
      <c r="F575" s="35"/>
      <c r="G575" s="36"/>
      <c r="H575" s="36"/>
      <c r="I575" s="36"/>
      <c r="J575" s="13"/>
    </row>
    <row r="576" ht="15.75" customHeight="1">
      <c r="B576" s="31"/>
      <c r="C576" s="34"/>
      <c r="D576" s="33"/>
      <c r="E576" s="34"/>
      <c r="F576" s="35"/>
      <c r="G576" s="36"/>
      <c r="H576" s="36"/>
      <c r="I576" s="36"/>
      <c r="J576" s="13"/>
    </row>
    <row r="577" ht="15.75" customHeight="1">
      <c r="B577" s="31"/>
      <c r="C577" s="34"/>
      <c r="D577" s="33"/>
      <c r="E577" s="34"/>
      <c r="F577" s="35"/>
      <c r="G577" s="36"/>
      <c r="H577" s="36"/>
      <c r="I577" s="36"/>
      <c r="J577" s="13"/>
    </row>
    <row r="578" ht="15.75" customHeight="1">
      <c r="B578" s="31"/>
      <c r="C578" s="34"/>
      <c r="D578" s="33"/>
      <c r="E578" s="34"/>
      <c r="F578" s="35"/>
      <c r="G578" s="36"/>
      <c r="H578" s="36"/>
      <c r="I578" s="36"/>
      <c r="J578" s="13"/>
    </row>
    <row r="579" ht="15.75" customHeight="1">
      <c r="B579" s="31"/>
      <c r="C579" s="34"/>
      <c r="D579" s="33"/>
      <c r="E579" s="34"/>
      <c r="F579" s="35"/>
      <c r="G579" s="36"/>
      <c r="H579" s="36"/>
      <c r="I579" s="36"/>
      <c r="J579" s="13"/>
    </row>
    <row r="580" ht="15.75" customHeight="1">
      <c r="B580" s="31"/>
      <c r="C580" s="34"/>
      <c r="D580" s="33"/>
      <c r="E580" s="34"/>
      <c r="F580" s="35"/>
      <c r="G580" s="36"/>
      <c r="H580" s="36"/>
      <c r="I580" s="36"/>
      <c r="J580" s="13"/>
    </row>
    <row r="581" ht="15.75" customHeight="1">
      <c r="B581" s="31"/>
      <c r="C581" s="34"/>
      <c r="D581" s="33"/>
      <c r="E581" s="34"/>
      <c r="F581" s="35"/>
      <c r="G581" s="36"/>
      <c r="H581" s="36"/>
      <c r="I581" s="36"/>
      <c r="J581" s="13"/>
    </row>
    <row r="582" ht="15.75" customHeight="1">
      <c r="B582" s="31"/>
      <c r="C582" s="34"/>
      <c r="D582" s="33"/>
      <c r="E582" s="34"/>
      <c r="F582" s="35"/>
      <c r="G582" s="36"/>
      <c r="H582" s="36"/>
      <c r="I582" s="36"/>
      <c r="J582" s="13"/>
    </row>
    <row r="583" ht="15.75" customHeight="1">
      <c r="B583" s="31"/>
      <c r="C583" s="34"/>
      <c r="D583" s="33"/>
      <c r="E583" s="34"/>
      <c r="F583" s="35"/>
      <c r="G583" s="36"/>
      <c r="H583" s="36"/>
      <c r="I583" s="36"/>
      <c r="J583" s="13"/>
    </row>
    <row r="584" ht="15.75" customHeight="1">
      <c r="B584" s="31"/>
      <c r="C584" s="34"/>
      <c r="D584" s="33"/>
      <c r="E584" s="34"/>
      <c r="F584" s="35"/>
      <c r="G584" s="36"/>
      <c r="H584" s="36"/>
      <c r="I584" s="36"/>
      <c r="J584" s="13"/>
    </row>
    <row r="585" ht="15.75" customHeight="1">
      <c r="B585" s="31"/>
      <c r="C585" s="34"/>
      <c r="D585" s="33"/>
      <c r="E585" s="34"/>
      <c r="F585" s="35"/>
      <c r="G585" s="36"/>
      <c r="H585" s="36"/>
      <c r="I585" s="36"/>
      <c r="J585" s="13"/>
    </row>
    <row r="586" ht="15.75" customHeight="1">
      <c r="B586" s="31"/>
      <c r="C586" s="34"/>
      <c r="D586" s="33"/>
      <c r="E586" s="34"/>
      <c r="F586" s="35"/>
      <c r="G586" s="36"/>
      <c r="H586" s="36"/>
      <c r="I586" s="36"/>
      <c r="J586" s="13"/>
    </row>
    <row r="587" ht="15.75" customHeight="1">
      <c r="B587" s="31"/>
      <c r="C587" s="34"/>
      <c r="D587" s="33"/>
      <c r="E587" s="34"/>
      <c r="F587" s="35"/>
      <c r="G587" s="36"/>
      <c r="H587" s="36"/>
      <c r="I587" s="36"/>
      <c r="J587" s="13"/>
    </row>
    <row r="588" ht="15.75" customHeight="1">
      <c r="B588" s="31"/>
      <c r="C588" s="34"/>
      <c r="D588" s="33"/>
      <c r="E588" s="34"/>
      <c r="F588" s="35"/>
      <c r="G588" s="36"/>
      <c r="H588" s="36"/>
      <c r="I588" s="36"/>
      <c r="J588" s="13"/>
    </row>
    <row r="589" ht="15.75" customHeight="1">
      <c r="B589" s="31"/>
      <c r="C589" s="34"/>
      <c r="D589" s="33"/>
      <c r="E589" s="34"/>
      <c r="F589" s="35"/>
      <c r="G589" s="36"/>
      <c r="H589" s="36"/>
      <c r="I589" s="36"/>
      <c r="J589" s="13"/>
    </row>
    <row r="590" ht="15.75" customHeight="1">
      <c r="B590" s="31"/>
      <c r="C590" s="34"/>
      <c r="D590" s="33"/>
      <c r="E590" s="34"/>
      <c r="F590" s="35"/>
      <c r="G590" s="36"/>
      <c r="H590" s="36"/>
      <c r="I590" s="36"/>
      <c r="J590" s="13"/>
    </row>
    <row r="591" ht="15.75" customHeight="1">
      <c r="B591" s="31"/>
      <c r="C591" s="34"/>
      <c r="D591" s="33"/>
      <c r="E591" s="34"/>
      <c r="F591" s="35"/>
      <c r="G591" s="36"/>
      <c r="H591" s="36"/>
      <c r="I591" s="36"/>
      <c r="J591" s="13"/>
    </row>
    <row r="592" ht="15.75" customHeight="1">
      <c r="B592" s="31"/>
      <c r="C592" s="34"/>
      <c r="D592" s="33"/>
      <c r="E592" s="34"/>
      <c r="F592" s="35"/>
      <c r="G592" s="36"/>
      <c r="H592" s="36"/>
      <c r="I592" s="36"/>
      <c r="J592" s="13"/>
    </row>
    <row r="593" ht="15.75" customHeight="1">
      <c r="B593" s="31"/>
      <c r="C593" s="34"/>
      <c r="D593" s="33"/>
      <c r="E593" s="34"/>
      <c r="F593" s="35"/>
      <c r="G593" s="36"/>
      <c r="H593" s="36"/>
      <c r="I593" s="36"/>
      <c r="J593" s="13"/>
    </row>
    <row r="594" ht="15.75" customHeight="1">
      <c r="B594" s="31"/>
      <c r="C594" s="34"/>
      <c r="D594" s="33"/>
      <c r="E594" s="34"/>
      <c r="F594" s="35"/>
      <c r="G594" s="36"/>
      <c r="H594" s="36"/>
      <c r="I594" s="36"/>
      <c r="J594" s="13"/>
    </row>
    <row r="595" ht="15.75" customHeight="1">
      <c r="B595" s="31"/>
      <c r="C595" s="34"/>
      <c r="D595" s="33"/>
      <c r="E595" s="34"/>
      <c r="F595" s="35"/>
      <c r="G595" s="36"/>
      <c r="H595" s="36"/>
      <c r="I595" s="36"/>
      <c r="J595" s="13"/>
    </row>
    <row r="596" ht="15.75" customHeight="1">
      <c r="B596" s="31"/>
      <c r="C596" s="34"/>
      <c r="D596" s="33"/>
      <c r="E596" s="34"/>
      <c r="F596" s="35"/>
      <c r="G596" s="36"/>
      <c r="H596" s="36"/>
      <c r="I596" s="36"/>
      <c r="J596" s="13"/>
    </row>
    <row r="597" ht="15.75" customHeight="1">
      <c r="B597" s="31"/>
      <c r="C597" s="34"/>
      <c r="D597" s="33"/>
      <c r="E597" s="34"/>
      <c r="F597" s="35"/>
      <c r="G597" s="36"/>
      <c r="H597" s="36"/>
      <c r="I597" s="36"/>
      <c r="J597" s="13"/>
    </row>
    <row r="598" ht="15.75" customHeight="1">
      <c r="B598" s="31"/>
      <c r="C598" s="34"/>
      <c r="D598" s="33"/>
      <c r="E598" s="34"/>
      <c r="F598" s="35"/>
      <c r="G598" s="36"/>
      <c r="H598" s="36"/>
      <c r="I598" s="36"/>
      <c r="J598" s="13"/>
    </row>
    <row r="599" ht="15.75" customHeight="1">
      <c r="B599" s="31"/>
      <c r="C599" s="34"/>
      <c r="D599" s="33"/>
      <c r="E599" s="34"/>
      <c r="F599" s="35"/>
      <c r="G599" s="36"/>
      <c r="H599" s="36"/>
      <c r="I599" s="36"/>
      <c r="J599" s="13"/>
    </row>
    <row r="600" ht="15.75" customHeight="1">
      <c r="B600" s="31"/>
      <c r="C600" s="34"/>
      <c r="D600" s="33"/>
      <c r="E600" s="34"/>
      <c r="F600" s="35"/>
      <c r="G600" s="36"/>
      <c r="H600" s="36"/>
      <c r="I600" s="36"/>
      <c r="J600" s="13"/>
    </row>
    <row r="601" ht="15.75" customHeight="1">
      <c r="B601" s="31"/>
      <c r="C601" s="34"/>
      <c r="D601" s="33"/>
      <c r="E601" s="34"/>
      <c r="F601" s="35"/>
      <c r="G601" s="36"/>
      <c r="H601" s="36"/>
      <c r="I601" s="36"/>
      <c r="J601" s="13"/>
    </row>
    <row r="602" ht="15.75" customHeight="1">
      <c r="B602" s="31"/>
      <c r="C602" s="34"/>
      <c r="D602" s="33"/>
      <c r="E602" s="34"/>
      <c r="F602" s="35"/>
      <c r="G602" s="36"/>
      <c r="H602" s="36"/>
      <c r="I602" s="36"/>
      <c r="J602" s="13"/>
    </row>
    <row r="603" ht="15.75" customHeight="1">
      <c r="B603" s="31"/>
      <c r="C603" s="34"/>
      <c r="D603" s="33"/>
      <c r="E603" s="34"/>
      <c r="F603" s="35"/>
      <c r="G603" s="36"/>
      <c r="H603" s="36"/>
      <c r="I603" s="36"/>
      <c r="J603" s="13"/>
    </row>
    <row r="604" ht="15.75" customHeight="1">
      <c r="B604" s="31"/>
      <c r="C604" s="34"/>
      <c r="D604" s="33"/>
      <c r="E604" s="34"/>
      <c r="F604" s="35"/>
      <c r="G604" s="36"/>
      <c r="H604" s="36"/>
      <c r="I604" s="36"/>
      <c r="J604" s="13"/>
    </row>
    <row r="605" ht="15.75" customHeight="1">
      <c r="B605" s="31"/>
      <c r="C605" s="34"/>
      <c r="D605" s="33"/>
      <c r="E605" s="34"/>
      <c r="F605" s="35"/>
      <c r="G605" s="36"/>
      <c r="H605" s="36"/>
      <c r="I605" s="36"/>
      <c r="J605" s="13"/>
    </row>
    <row r="606" ht="15.75" customHeight="1">
      <c r="B606" s="31"/>
      <c r="C606" s="34"/>
      <c r="D606" s="33"/>
      <c r="E606" s="34"/>
      <c r="F606" s="35"/>
      <c r="G606" s="36"/>
      <c r="H606" s="36"/>
      <c r="I606" s="36"/>
      <c r="J606" s="13"/>
    </row>
    <row r="607" ht="15.75" customHeight="1">
      <c r="B607" s="31"/>
      <c r="C607" s="34"/>
      <c r="D607" s="33"/>
      <c r="E607" s="34"/>
      <c r="F607" s="35"/>
      <c r="G607" s="36"/>
      <c r="H607" s="36"/>
      <c r="I607" s="36"/>
      <c r="J607" s="13"/>
    </row>
    <row r="608" ht="15.75" customHeight="1">
      <c r="B608" s="31"/>
      <c r="C608" s="34"/>
      <c r="D608" s="33"/>
      <c r="E608" s="34"/>
      <c r="F608" s="35"/>
      <c r="G608" s="36"/>
      <c r="H608" s="36"/>
      <c r="I608" s="36"/>
      <c r="J608" s="13"/>
    </row>
    <row r="609" ht="15.75" customHeight="1">
      <c r="B609" s="31"/>
      <c r="C609" s="34"/>
      <c r="D609" s="33"/>
      <c r="E609" s="34"/>
      <c r="F609" s="35"/>
      <c r="G609" s="36"/>
      <c r="H609" s="36"/>
      <c r="I609" s="36"/>
      <c r="J609" s="13"/>
    </row>
    <row r="610" ht="15.75" customHeight="1">
      <c r="B610" s="31"/>
      <c r="C610" s="34"/>
      <c r="D610" s="33"/>
      <c r="E610" s="34"/>
      <c r="F610" s="35"/>
      <c r="G610" s="36"/>
      <c r="H610" s="36"/>
      <c r="I610" s="36"/>
      <c r="J610" s="13"/>
    </row>
    <row r="611" ht="15.75" customHeight="1">
      <c r="B611" s="31"/>
      <c r="C611" s="34"/>
      <c r="D611" s="33"/>
      <c r="E611" s="34"/>
      <c r="F611" s="35"/>
      <c r="G611" s="36"/>
      <c r="H611" s="36"/>
      <c r="I611" s="36"/>
      <c r="J611" s="13"/>
    </row>
    <row r="612" ht="15.75" customHeight="1">
      <c r="B612" s="31"/>
      <c r="C612" s="34"/>
      <c r="D612" s="33"/>
      <c r="E612" s="34"/>
      <c r="F612" s="35"/>
      <c r="G612" s="36"/>
      <c r="H612" s="36"/>
      <c r="I612" s="36"/>
      <c r="J612" s="13"/>
    </row>
    <row r="613" ht="15.75" customHeight="1">
      <c r="B613" s="31"/>
      <c r="C613" s="34"/>
      <c r="D613" s="33"/>
      <c r="E613" s="34"/>
      <c r="F613" s="35"/>
      <c r="G613" s="36"/>
      <c r="H613" s="36"/>
      <c r="I613" s="36"/>
      <c r="J613" s="13"/>
    </row>
    <row r="614" ht="15.75" customHeight="1">
      <c r="B614" s="31"/>
      <c r="C614" s="34"/>
      <c r="D614" s="33"/>
      <c r="E614" s="34"/>
      <c r="F614" s="35"/>
      <c r="G614" s="36"/>
      <c r="H614" s="36"/>
      <c r="I614" s="36"/>
      <c r="J614" s="13"/>
    </row>
    <row r="615" ht="15.75" customHeight="1">
      <c r="B615" s="31"/>
      <c r="C615" s="34"/>
      <c r="D615" s="33"/>
      <c r="E615" s="34"/>
      <c r="F615" s="35"/>
      <c r="G615" s="36"/>
      <c r="H615" s="36"/>
      <c r="I615" s="36"/>
      <c r="J615" s="13"/>
    </row>
    <row r="616" ht="15.75" customHeight="1">
      <c r="B616" s="31"/>
      <c r="C616" s="34"/>
      <c r="D616" s="33"/>
      <c r="E616" s="34"/>
      <c r="F616" s="35"/>
      <c r="G616" s="36"/>
      <c r="H616" s="36"/>
      <c r="I616" s="36"/>
      <c r="J616" s="13"/>
    </row>
    <row r="617" ht="15.75" customHeight="1">
      <c r="B617" s="31"/>
      <c r="C617" s="34"/>
      <c r="D617" s="33"/>
      <c r="E617" s="34"/>
      <c r="F617" s="35"/>
      <c r="G617" s="36"/>
      <c r="H617" s="36"/>
      <c r="I617" s="36"/>
      <c r="J617" s="13"/>
    </row>
    <row r="618" ht="15.75" customHeight="1">
      <c r="B618" s="31"/>
      <c r="C618" s="34"/>
      <c r="D618" s="33"/>
      <c r="E618" s="34"/>
      <c r="F618" s="35"/>
      <c r="G618" s="36"/>
      <c r="H618" s="36"/>
      <c r="I618" s="36"/>
      <c r="J618" s="13"/>
    </row>
    <row r="619" ht="15.75" customHeight="1">
      <c r="B619" s="31"/>
      <c r="C619" s="34"/>
      <c r="D619" s="33"/>
      <c r="E619" s="34"/>
      <c r="F619" s="35"/>
      <c r="G619" s="36"/>
      <c r="H619" s="36"/>
      <c r="I619" s="36"/>
      <c r="J619" s="13"/>
    </row>
    <row r="620" ht="15.75" customHeight="1">
      <c r="B620" s="31"/>
      <c r="C620" s="34"/>
      <c r="D620" s="33"/>
      <c r="E620" s="34"/>
      <c r="F620" s="35"/>
      <c r="G620" s="36"/>
      <c r="H620" s="36"/>
      <c r="I620" s="36"/>
      <c r="J620" s="13"/>
    </row>
    <row r="621" ht="15.75" customHeight="1">
      <c r="B621" s="31"/>
      <c r="C621" s="34"/>
      <c r="D621" s="33"/>
      <c r="E621" s="34"/>
      <c r="F621" s="35"/>
      <c r="G621" s="36"/>
      <c r="H621" s="36"/>
      <c r="I621" s="36"/>
      <c r="J621" s="13"/>
    </row>
    <row r="622" ht="15.75" customHeight="1">
      <c r="B622" s="31"/>
      <c r="C622" s="34"/>
      <c r="D622" s="33"/>
      <c r="E622" s="34"/>
      <c r="F622" s="35"/>
      <c r="G622" s="36"/>
      <c r="H622" s="36"/>
      <c r="I622" s="36"/>
      <c r="J622" s="13"/>
    </row>
    <row r="623" ht="15.75" customHeight="1">
      <c r="B623" s="31"/>
      <c r="C623" s="34"/>
      <c r="D623" s="33"/>
      <c r="E623" s="34"/>
      <c r="F623" s="35"/>
      <c r="G623" s="36"/>
      <c r="H623" s="36"/>
      <c r="I623" s="36"/>
      <c r="J623" s="13"/>
    </row>
    <row r="624" ht="15.75" customHeight="1">
      <c r="B624" s="31"/>
      <c r="C624" s="34"/>
      <c r="D624" s="33"/>
      <c r="E624" s="34"/>
      <c r="F624" s="35"/>
      <c r="G624" s="36"/>
      <c r="H624" s="36"/>
      <c r="I624" s="36"/>
      <c r="J624" s="13"/>
    </row>
    <row r="625" ht="15.75" customHeight="1">
      <c r="B625" s="31"/>
      <c r="C625" s="34"/>
      <c r="D625" s="33"/>
      <c r="E625" s="34"/>
      <c r="F625" s="35"/>
      <c r="G625" s="36"/>
      <c r="H625" s="36"/>
      <c r="I625" s="36"/>
      <c r="J625" s="13"/>
    </row>
    <row r="626" ht="15.75" customHeight="1">
      <c r="B626" s="31"/>
      <c r="C626" s="34"/>
      <c r="D626" s="33"/>
      <c r="E626" s="34"/>
      <c r="F626" s="35"/>
      <c r="G626" s="36"/>
      <c r="H626" s="36"/>
      <c r="I626" s="36"/>
      <c r="J626" s="13"/>
    </row>
    <row r="627" ht="15.75" customHeight="1">
      <c r="B627" s="31"/>
      <c r="C627" s="34"/>
      <c r="D627" s="33"/>
      <c r="E627" s="34"/>
      <c r="F627" s="35"/>
      <c r="G627" s="36"/>
      <c r="H627" s="36"/>
      <c r="I627" s="36"/>
      <c r="J627" s="13"/>
    </row>
    <row r="628" ht="15.75" customHeight="1">
      <c r="B628" s="31"/>
      <c r="C628" s="34"/>
      <c r="D628" s="33"/>
      <c r="E628" s="34"/>
      <c r="F628" s="35"/>
      <c r="G628" s="36"/>
      <c r="H628" s="36"/>
      <c r="I628" s="36"/>
      <c r="J628" s="13"/>
    </row>
    <row r="629" ht="15.75" customHeight="1">
      <c r="B629" s="31"/>
      <c r="C629" s="34"/>
      <c r="D629" s="33"/>
      <c r="E629" s="34"/>
      <c r="F629" s="35"/>
      <c r="G629" s="36"/>
      <c r="H629" s="36"/>
      <c r="I629" s="36"/>
      <c r="J629" s="13"/>
    </row>
    <row r="630" ht="15.75" customHeight="1">
      <c r="B630" s="31"/>
      <c r="C630" s="34"/>
      <c r="D630" s="33"/>
      <c r="E630" s="34"/>
      <c r="F630" s="35"/>
      <c r="G630" s="36"/>
      <c r="H630" s="36"/>
      <c r="I630" s="36"/>
      <c r="J630" s="13"/>
    </row>
    <row r="631" ht="15.75" customHeight="1">
      <c r="B631" s="31"/>
      <c r="C631" s="34"/>
      <c r="D631" s="33"/>
      <c r="E631" s="34"/>
      <c r="F631" s="35"/>
      <c r="G631" s="36"/>
      <c r="H631" s="36"/>
      <c r="I631" s="36"/>
      <c r="J631" s="13"/>
    </row>
    <row r="632" ht="15.75" customHeight="1">
      <c r="B632" s="31"/>
      <c r="C632" s="34"/>
      <c r="D632" s="33"/>
      <c r="E632" s="34"/>
      <c r="F632" s="35"/>
      <c r="G632" s="36"/>
      <c r="H632" s="36"/>
      <c r="I632" s="36"/>
      <c r="J632" s="13"/>
    </row>
    <row r="633" ht="15.75" customHeight="1">
      <c r="B633" s="31"/>
      <c r="C633" s="34"/>
      <c r="D633" s="33"/>
      <c r="E633" s="34"/>
      <c r="F633" s="35"/>
      <c r="G633" s="36"/>
      <c r="H633" s="36"/>
      <c r="I633" s="36"/>
      <c r="J633" s="13"/>
    </row>
    <row r="634" ht="15.75" customHeight="1">
      <c r="B634" s="31"/>
      <c r="C634" s="34"/>
      <c r="D634" s="33"/>
      <c r="E634" s="34"/>
      <c r="F634" s="35"/>
      <c r="G634" s="36"/>
      <c r="H634" s="36"/>
      <c r="I634" s="36"/>
      <c r="J634" s="13"/>
    </row>
    <row r="635" ht="15.75" customHeight="1">
      <c r="B635" s="31"/>
      <c r="C635" s="34"/>
      <c r="D635" s="33"/>
      <c r="E635" s="34"/>
      <c r="F635" s="35"/>
      <c r="G635" s="36"/>
      <c r="H635" s="36"/>
      <c r="I635" s="36"/>
      <c r="J635" s="13"/>
    </row>
    <row r="636" ht="15.75" customHeight="1">
      <c r="B636" s="31"/>
      <c r="C636" s="34"/>
      <c r="D636" s="33"/>
      <c r="E636" s="34"/>
      <c r="F636" s="35"/>
      <c r="G636" s="36"/>
      <c r="H636" s="36"/>
      <c r="I636" s="36"/>
      <c r="J636" s="13"/>
    </row>
    <row r="637" ht="15.75" customHeight="1">
      <c r="B637" s="31"/>
      <c r="C637" s="34"/>
      <c r="D637" s="33"/>
      <c r="E637" s="34"/>
      <c r="F637" s="35"/>
      <c r="G637" s="36"/>
      <c r="H637" s="36"/>
      <c r="I637" s="36"/>
      <c r="J637" s="13"/>
    </row>
    <row r="638" ht="15.75" customHeight="1">
      <c r="B638" s="31"/>
      <c r="C638" s="34"/>
      <c r="D638" s="33"/>
      <c r="E638" s="34"/>
      <c r="F638" s="35"/>
      <c r="G638" s="36"/>
      <c r="H638" s="36"/>
      <c r="I638" s="36"/>
      <c r="J638" s="13"/>
    </row>
    <row r="639" ht="15.75" customHeight="1">
      <c r="B639" s="31"/>
      <c r="C639" s="34"/>
      <c r="D639" s="33"/>
      <c r="E639" s="34"/>
      <c r="F639" s="35"/>
      <c r="G639" s="36"/>
      <c r="H639" s="36"/>
      <c r="I639" s="36"/>
      <c r="J639" s="13"/>
    </row>
    <row r="640" ht="15.75" customHeight="1">
      <c r="B640" s="31"/>
      <c r="C640" s="34"/>
      <c r="D640" s="33"/>
      <c r="E640" s="34"/>
      <c r="F640" s="35"/>
      <c r="G640" s="36"/>
      <c r="H640" s="36"/>
      <c r="I640" s="36"/>
      <c r="J640" s="13"/>
    </row>
    <row r="641" ht="15.75" customHeight="1">
      <c r="B641" s="31"/>
      <c r="C641" s="34"/>
      <c r="D641" s="33"/>
      <c r="E641" s="34"/>
      <c r="F641" s="35"/>
      <c r="G641" s="36"/>
      <c r="H641" s="36"/>
      <c r="I641" s="36"/>
      <c r="J641" s="13"/>
    </row>
    <row r="642" ht="15.75" customHeight="1">
      <c r="B642" s="31"/>
      <c r="C642" s="34"/>
      <c r="D642" s="33"/>
      <c r="E642" s="34"/>
      <c r="F642" s="35"/>
      <c r="G642" s="36"/>
      <c r="H642" s="36"/>
      <c r="I642" s="36"/>
      <c r="J642" s="13"/>
    </row>
    <row r="643" ht="15.75" customHeight="1">
      <c r="B643" s="31"/>
      <c r="C643" s="34"/>
      <c r="D643" s="33"/>
      <c r="E643" s="34"/>
      <c r="F643" s="35"/>
      <c r="G643" s="36"/>
      <c r="H643" s="36"/>
      <c r="I643" s="36"/>
      <c r="J643" s="13"/>
    </row>
    <row r="644" ht="15.75" customHeight="1">
      <c r="B644" s="31"/>
      <c r="C644" s="34"/>
      <c r="D644" s="33"/>
      <c r="E644" s="34"/>
      <c r="F644" s="35"/>
      <c r="G644" s="36"/>
      <c r="H644" s="36"/>
      <c r="I644" s="36"/>
      <c r="J644" s="13"/>
    </row>
    <row r="645" ht="15.75" customHeight="1">
      <c r="B645" s="31"/>
      <c r="C645" s="34"/>
      <c r="D645" s="33"/>
      <c r="E645" s="34"/>
      <c r="F645" s="35"/>
      <c r="G645" s="36"/>
      <c r="H645" s="36"/>
      <c r="I645" s="36"/>
      <c r="J645" s="13"/>
    </row>
    <row r="646" ht="15.75" customHeight="1">
      <c r="B646" s="31"/>
      <c r="C646" s="34"/>
      <c r="D646" s="33"/>
      <c r="E646" s="34"/>
      <c r="F646" s="35"/>
      <c r="G646" s="36"/>
      <c r="H646" s="36"/>
      <c r="I646" s="36"/>
      <c r="J646" s="13"/>
    </row>
    <row r="647" ht="15.75" customHeight="1">
      <c r="B647" s="31"/>
      <c r="C647" s="34"/>
      <c r="D647" s="33"/>
      <c r="E647" s="34"/>
      <c r="F647" s="35"/>
      <c r="G647" s="36"/>
      <c r="H647" s="36"/>
      <c r="I647" s="36"/>
      <c r="J647" s="13"/>
    </row>
    <row r="648" ht="15.75" customHeight="1">
      <c r="B648" s="31"/>
      <c r="C648" s="34"/>
      <c r="D648" s="33"/>
      <c r="E648" s="34"/>
      <c r="F648" s="35"/>
      <c r="G648" s="36"/>
      <c r="H648" s="36"/>
      <c r="I648" s="36"/>
      <c r="J648" s="13"/>
    </row>
    <row r="649" ht="15.75" customHeight="1">
      <c r="B649" s="31"/>
      <c r="C649" s="34"/>
      <c r="D649" s="33"/>
      <c r="E649" s="34"/>
      <c r="F649" s="35"/>
      <c r="G649" s="36"/>
      <c r="H649" s="36"/>
      <c r="I649" s="36"/>
      <c r="J649" s="13"/>
    </row>
    <row r="650" ht="15.75" customHeight="1">
      <c r="B650" s="31"/>
      <c r="C650" s="34"/>
      <c r="D650" s="33"/>
      <c r="E650" s="34"/>
      <c r="F650" s="35"/>
      <c r="G650" s="36"/>
      <c r="H650" s="36"/>
      <c r="I650" s="36"/>
      <c r="J650" s="13"/>
    </row>
    <row r="651" ht="15.75" customHeight="1">
      <c r="B651" s="31"/>
      <c r="C651" s="34"/>
      <c r="D651" s="33"/>
      <c r="E651" s="34"/>
      <c r="F651" s="35"/>
      <c r="G651" s="36"/>
      <c r="H651" s="36"/>
      <c r="I651" s="36"/>
      <c r="J651" s="13"/>
    </row>
    <row r="652" ht="15.75" customHeight="1">
      <c r="B652" s="31"/>
      <c r="C652" s="34"/>
      <c r="D652" s="33"/>
      <c r="E652" s="34"/>
      <c r="F652" s="35"/>
      <c r="G652" s="36"/>
      <c r="H652" s="36"/>
      <c r="I652" s="36"/>
      <c r="J652" s="13"/>
    </row>
    <row r="653" ht="15.75" customHeight="1">
      <c r="B653" s="31"/>
      <c r="C653" s="34"/>
      <c r="D653" s="33"/>
      <c r="E653" s="34"/>
      <c r="F653" s="35"/>
      <c r="G653" s="36"/>
      <c r="H653" s="36"/>
      <c r="I653" s="36"/>
      <c r="J653" s="13"/>
    </row>
    <row r="654" ht="15.75" customHeight="1">
      <c r="B654" s="31"/>
      <c r="C654" s="34"/>
      <c r="D654" s="33"/>
      <c r="E654" s="34"/>
      <c r="F654" s="35"/>
      <c r="G654" s="36"/>
      <c r="H654" s="36"/>
      <c r="I654" s="36"/>
      <c r="J654" s="13"/>
    </row>
    <row r="655" ht="15.75" customHeight="1">
      <c r="B655" s="31"/>
      <c r="C655" s="34"/>
      <c r="D655" s="33"/>
      <c r="E655" s="34"/>
      <c r="F655" s="35"/>
      <c r="G655" s="36"/>
      <c r="H655" s="36"/>
      <c r="I655" s="36"/>
      <c r="J655" s="13"/>
    </row>
    <row r="656" ht="15.75" customHeight="1">
      <c r="B656" s="31"/>
      <c r="C656" s="34"/>
      <c r="D656" s="33"/>
      <c r="E656" s="34"/>
      <c r="F656" s="35"/>
      <c r="G656" s="36"/>
      <c r="H656" s="36"/>
      <c r="I656" s="36"/>
      <c r="J656" s="13"/>
    </row>
    <row r="657" ht="15.75" customHeight="1">
      <c r="B657" s="31"/>
      <c r="C657" s="34"/>
      <c r="D657" s="33"/>
      <c r="E657" s="34"/>
      <c r="F657" s="35"/>
      <c r="G657" s="36"/>
      <c r="H657" s="36"/>
      <c r="I657" s="36"/>
      <c r="J657" s="13"/>
    </row>
    <row r="658" ht="15.75" customHeight="1">
      <c r="B658" s="31"/>
      <c r="C658" s="34"/>
      <c r="D658" s="33"/>
      <c r="E658" s="34"/>
      <c r="F658" s="35"/>
      <c r="G658" s="36"/>
      <c r="H658" s="36"/>
      <c r="I658" s="36"/>
      <c r="J658" s="13"/>
    </row>
    <row r="659" ht="15.75" customHeight="1">
      <c r="B659" s="31"/>
      <c r="C659" s="34"/>
      <c r="D659" s="33"/>
      <c r="E659" s="34"/>
      <c r="F659" s="35"/>
      <c r="G659" s="36"/>
      <c r="H659" s="36"/>
      <c r="I659" s="36"/>
      <c r="J659" s="13"/>
    </row>
    <row r="660" ht="15.75" customHeight="1">
      <c r="B660" s="31"/>
      <c r="C660" s="34"/>
      <c r="D660" s="33"/>
      <c r="E660" s="34"/>
      <c r="F660" s="35"/>
      <c r="G660" s="36"/>
      <c r="H660" s="36"/>
      <c r="I660" s="36"/>
      <c r="J660" s="13"/>
    </row>
    <row r="661" ht="15.75" customHeight="1">
      <c r="B661" s="31"/>
      <c r="C661" s="34"/>
      <c r="D661" s="33"/>
      <c r="E661" s="34"/>
      <c r="F661" s="35"/>
      <c r="G661" s="36"/>
      <c r="H661" s="36"/>
      <c r="I661" s="36"/>
      <c r="J661" s="13"/>
    </row>
    <row r="662" ht="15.75" customHeight="1">
      <c r="B662" s="31"/>
      <c r="C662" s="34"/>
      <c r="D662" s="33"/>
      <c r="E662" s="34"/>
      <c r="F662" s="35"/>
      <c r="G662" s="36"/>
      <c r="H662" s="36"/>
      <c r="I662" s="36"/>
      <c r="J662" s="13"/>
    </row>
    <row r="663" ht="15.75" customHeight="1">
      <c r="B663" s="31"/>
      <c r="C663" s="34"/>
      <c r="D663" s="33"/>
      <c r="E663" s="34"/>
      <c r="F663" s="35"/>
      <c r="G663" s="36"/>
      <c r="H663" s="36"/>
      <c r="I663" s="36"/>
      <c r="J663" s="13"/>
    </row>
    <row r="664" ht="15.75" customHeight="1">
      <c r="B664" s="31"/>
      <c r="C664" s="34"/>
      <c r="D664" s="33"/>
      <c r="E664" s="34"/>
      <c r="F664" s="35"/>
      <c r="G664" s="36"/>
      <c r="H664" s="36"/>
      <c r="I664" s="36"/>
      <c r="J664" s="13"/>
    </row>
    <row r="665" ht="15.75" customHeight="1">
      <c r="B665" s="31"/>
      <c r="C665" s="34"/>
      <c r="D665" s="33"/>
      <c r="E665" s="34"/>
      <c r="F665" s="35"/>
      <c r="G665" s="36"/>
      <c r="H665" s="36"/>
      <c r="I665" s="36"/>
      <c r="J665" s="13"/>
    </row>
    <row r="666" ht="15.75" customHeight="1">
      <c r="B666" s="31"/>
      <c r="C666" s="34"/>
      <c r="D666" s="33"/>
      <c r="E666" s="34"/>
      <c r="F666" s="35"/>
      <c r="G666" s="36"/>
      <c r="H666" s="36"/>
      <c r="I666" s="36"/>
      <c r="J666" s="13"/>
    </row>
    <row r="667" ht="15.75" customHeight="1">
      <c r="B667" s="31"/>
      <c r="C667" s="34"/>
      <c r="D667" s="33"/>
      <c r="E667" s="34"/>
      <c r="F667" s="35"/>
      <c r="G667" s="36"/>
      <c r="H667" s="36"/>
      <c r="I667" s="36"/>
      <c r="J667" s="13"/>
    </row>
    <row r="668" ht="15.75" customHeight="1">
      <c r="B668" s="31"/>
      <c r="C668" s="34"/>
      <c r="D668" s="33"/>
      <c r="E668" s="34"/>
      <c r="F668" s="35"/>
      <c r="G668" s="36"/>
      <c r="H668" s="36"/>
      <c r="I668" s="36"/>
      <c r="J668" s="13"/>
    </row>
    <row r="669" ht="15.75" customHeight="1">
      <c r="B669" s="31"/>
      <c r="C669" s="34"/>
      <c r="D669" s="33"/>
      <c r="E669" s="34"/>
      <c r="F669" s="35"/>
      <c r="G669" s="36"/>
      <c r="H669" s="36"/>
      <c r="I669" s="36"/>
      <c r="J669" s="13"/>
    </row>
    <row r="670" ht="15.75" customHeight="1">
      <c r="B670" s="31"/>
      <c r="C670" s="34"/>
      <c r="D670" s="33"/>
      <c r="E670" s="34"/>
      <c r="F670" s="35"/>
      <c r="G670" s="36"/>
      <c r="H670" s="36"/>
      <c r="I670" s="36"/>
      <c r="J670" s="13"/>
    </row>
    <row r="671" ht="15.75" customHeight="1">
      <c r="B671" s="31"/>
      <c r="C671" s="34"/>
      <c r="D671" s="33"/>
      <c r="E671" s="34"/>
      <c r="F671" s="35"/>
      <c r="G671" s="36"/>
      <c r="H671" s="36"/>
      <c r="I671" s="36"/>
      <c r="J671" s="13"/>
    </row>
    <row r="672" ht="15.75" customHeight="1">
      <c r="B672" s="31"/>
      <c r="C672" s="34"/>
      <c r="D672" s="33"/>
      <c r="E672" s="34"/>
      <c r="F672" s="35"/>
      <c r="G672" s="36"/>
      <c r="H672" s="36"/>
      <c r="I672" s="36"/>
      <c r="J672" s="13"/>
    </row>
    <row r="673" ht="15.75" customHeight="1">
      <c r="B673" s="31"/>
      <c r="C673" s="34"/>
      <c r="D673" s="33"/>
      <c r="E673" s="34"/>
      <c r="F673" s="35"/>
      <c r="G673" s="36"/>
      <c r="H673" s="36"/>
      <c r="I673" s="36"/>
      <c r="J673" s="13"/>
    </row>
    <row r="674" ht="15.75" customHeight="1">
      <c r="B674" s="31"/>
      <c r="C674" s="34"/>
      <c r="D674" s="33"/>
      <c r="E674" s="34"/>
      <c r="F674" s="35"/>
      <c r="G674" s="36"/>
      <c r="H674" s="36"/>
      <c r="I674" s="36"/>
      <c r="J674" s="13"/>
    </row>
    <row r="675" ht="15.75" customHeight="1">
      <c r="B675" s="31"/>
      <c r="C675" s="34"/>
      <c r="D675" s="33"/>
      <c r="E675" s="34"/>
      <c r="F675" s="35"/>
      <c r="G675" s="36"/>
      <c r="H675" s="36"/>
      <c r="I675" s="36"/>
      <c r="J675" s="13"/>
    </row>
    <row r="676" ht="15.75" customHeight="1">
      <c r="B676" s="31"/>
      <c r="C676" s="34"/>
      <c r="D676" s="33"/>
      <c r="E676" s="34"/>
      <c r="F676" s="35"/>
      <c r="G676" s="36"/>
      <c r="H676" s="36"/>
      <c r="I676" s="36"/>
      <c r="J676" s="13"/>
    </row>
    <row r="677" ht="15.75" customHeight="1">
      <c r="B677" s="31"/>
      <c r="C677" s="34"/>
      <c r="D677" s="33"/>
      <c r="E677" s="34"/>
      <c r="F677" s="35"/>
      <c r="G677" s="36"/>
      <c r="H677" s="36"/>
      <c r="I677" s="36"/>
      <c r="J677" s="13"/>
    </row>
    <row r="678" ht="15.75" customHeight="1">
      <c r="B678" s="31"/>
      <c r="C678" s="34"/>
      <c r="D678" s="33"/>
      <c r="E678" s="34"/>
      <c r="F678" s="35"/>
      <c r="G678" s="36"/>
      <c r="H678" s="36"/>
      <c r="I678" s="36"/>
      <c r="J678" s="13"/>
    </row>
    <row r="679" ht="15.75" customHeight="1">
      <c r="B679" s="31"/>
      <c r="C679" s="34"/>
      <c r="D679" s="33"/>
      <c r="E679" s="34"/>
      <c r="F679" s="35"/>
      <c r="G679" s="36"/>
      <c r="H679" s="36"/>
      <c r="I679" s="36"/>
      <c r="J679" s="13"/>
    </row>
    <row r="680" ht="15.75" customHeight="1">
      <c r="B680" s="31"/>
      <c r="C680" s="34"/>
      <c r="D680" s="33"/>
      <c r="E680" s="34"/>
      <c r="F680" s="35"/>
      <c r="G680" s="36"/>
      <c r="H680" s="36"/>
      <c r="I680" s="36"/>
      <c r="J680" s="13"/>
    </row>
    <row r="681" ht="15.75" customHeight="1">
      <c r="B681" s="31"/>
      <c r="C681" s="34"/>
      <c r="D681" s="33"/>
      <c r="E681" s="34"/>
      <c r="F681" s="35"/>
      <c r="G681" s="36"/>
      <c r="H681" s="36"/>
      <c r="I681" s="36"/>
      <c r="J681" s="13"/>
    </row>
    <row r="682" ht="15.75" customHeight="1">
      <c r="B682" s="31"/>
      <c r="C682" s="34"/>
      <c r="D682" s="33"/>
      <c r="E682" s="34"/>
      <c r="F682" s="35"/>
      <c r="G682" s="36"/>
      <c r="H682" s="36"/>
      <c r="I682" s="36"/>
      <c r="J682" s="13"/>
    </row>
    <row r="683" ht="15.75" customHeight="1">
      <c r="B683" s="31"/>
      <c r="C683" s="34"/>
      <c r="D683" s="33"/>
      <c r="E683" s="34"/>
      <c r="F683" s="35"/>
      <c r="G683" s="36"/>
      <c r="H683" s="36"/>
      <c r="I683" s="36"/>
      <c r="J683" s="13"/>
    </row>
    <row r="684" ht="15.75" customHeight="1">
      <c r="B684" s="31"/>
      <c r="C684" s="34"/>
      <c r="D684" s="33"/>
      <c r="E684" s="34"/>
      <c r="F684" s="35"/>
      <c r="G684" s="36"/>
      <c r="H684" s="36"/>
      <c r="I684" s="36"/>
      <c r="J684" s="13"/>
    </row>
    <row r="685" ht="15.75" customHeight="1">
      <c r="B685" s="31"/>
      <c r="C685" s="34"/>
      <c r="D685" s="33"/>
      <c r="E685" s="34"/>
      <c r="F685" s="35"/>
      <c r="G685" s="36"/>
      <c r="H685" s="36"/>
      <c r="I685" s="36"/>
      <c r="J685" s="13"/>
    </row>
    <row r="686" ht="15.75" customHeight="1">
      <c r="B686" s="31"/>
      <c r="C686" s="34"/>
      <c r="D686" s="33"/>
      <c r="E686" s="34"/>
      <c r="F686" s="35"/>
      <c r="G686" s="36"/>
      <c r="H686" s="36"/>
      <c r="I686" s="36"/>
      <c r="J686" s="13"/>
    </row>
    <row r="687" ht="15.75" customHeight="1">
      <c r="B687" s="31"/>
      <c r="C687" s="34"/>
      <c r="D687" s="33"/>
      <c r="E687" s="34"/>
      <c r="F687" s="35"/>
      <c r="G687" s="36"/>
      <c r="H687" s="36"/>
      <c r="I687" s="36"/>
      <c r="J687" s="13"/>
    </row>
    <row r="688" ht="15.75" customHeight="1">
      <c r="B688" s="31"/>
      <c r="C688" s="34"/>
      <c r="D688" s="33"/>
      <c r="E688" s="34"/>
      <c r="F688" s="35"/>
      <c r="G688" s="36"/>
      <c r="H688" s="36"/>
      <c r="I688" s="36"/>
      <c r="J688" s="13"/>
    </row>
    <row r="689" ht="15.75" customHeight="1">
      <c r="B689" s="31"/>
      <c r="C689" s="34"/>
      <c r="D689" s="33"/>
      <c r="E689" s="34"/>
      <c r="F689" s="35"/>
      <c r="G689" s="36"/>
      <c r="H689" s="36"/>
      <c r="I689" s="36"/>
      <c r="J689" s="13"/>
    </row>
    <row r="690" ht="15.75" customHeight="1">
      <c r="B690" s="31"/>
      <c r="C690" s="34"/>
      <c r="D690" s="33"/>
      <c r="E690" s="34"/>
      <c r="F690" s="35"/>
      <c r="G690" s="36"/>
      <c r="H690" s="36"/>
      <c r="I690" s="36"/>
      <c r="J690" s="13"/>
    </row>
    <row r="691" ht="15.75" customHeight="1">
      <c r="B691" s="31"/>
      <c r="C691" s="34"/>
      <c r="D691" s="33"/>
      <c r="E691" s="34"/>
      <c r="F691" s="35"/>
      <c r="G691" s="36"/>
      <c r="H691" s="36"/>
      <c r="I691" s="36"/>
      <c r="J691" s="13"/>
    </row>
    <row r="692" ht="15.75" customHeight="1">
      <c r="B692" s="31"/>
      <c r="C692" s="34"/>
      <c r="D692" s="33"/>
      <c r="E692" s="34"/>
      <c r="F692" s="35"/>
      <c r="G692" s="36"/>
      <c r="H692" s="36"/>
      <c r="I692" s="36"/>
      <c r="J692" s="13"/>
    </row>
    <row r="693" ht="15.75" customHeight="1">
      <c r="B693" s="31"/>
      <c r="C693" s="34"/>
      <c r="D693" s="33"/>
      <c r="E693" s="34"/>
      <c r="F693" s="35"/>
      <c r="G693" s="36"/>
      <c r="H693" s="36"/>
      <c r="I693" s="36"/>
      <c r="J693" s="13"/>
    </row>
    <row r="694" ht="15.75" customHeight="1">
      <c r="B694" s="31"/>
      <c r="C694" s="34"/>
      <c r="D694" s="33"/>
      <c r="E694" s="34"/>
      <c r="F694" s="35"/>
      <c r="G694" s="36"/>
      <c r="H694" s="36"/>
      <c r="I694" s="36"/>
      <c r="J694" s="13"/>
    </row>
    <row r="695" ht="15.75" customHeight="1">
      <c r="B695" s="31"/>
      <c r="C695" s="34"/>
      <c r="D695" s="33"/>
      <c r="E695" s="34"/>
      <c r="F695" s="35"/>
      <c r="G695" s="36"/>
      <c r="H695" s="36"/>
      <c r="I695" s="36"/>
      <c r="J695" s="13"/>
    </row>
    <row r="696" ht="15.75" customHeight="1">
      <c r="B696" s="31"/>
      <c r="C696" s="34"/>
      <c r="D696" s="33"/>
      <c r="E696" s="34"/>
      <c r="F696" s="35"/>
      <c r="G696" s="36"/>
      <c r="H696" s="36"/>
      <c r="I696" s="36"/>
      <c r="J696" s="13"/>
    </row>
    <row r="697" ht="15.75" customHeight="1">
      <c r="B697" s="31"/>
      <c r="C697" s="34"/>
      <c r="D697" s="33"/>
      <c r="E697" s="34"/>
      <c r="F697" s="35"/>
      <c r="G697" s="36"/>
      <c r="H697" s="36"/>
      <c r="I697" s="36"/>
      <c r="J697" s="13"/>
    </row>
    <row r="698" ht="15.75" customHeight="1">
      <c r="B698" s="31"/>
      <c r="C698" s="34"/>
      <c r="D698" s="33"/>
      <c r="E698" s="34"/>
      <c r="F698" s="35"/>
      <c r="G698" s="36"/>
      <c r="H698" s="36"/>
      <c r="I698" s="36"/>
      <c r="J698" s="13"/>
    </row>
    <row r="699" ht="15.75" customHeight="1">
      <c r="B699" s="31"/>
      <c r="C699" s="34"/>
      <c r="D699" s="33"/>
      <c r="E699" s="34"/>
      <c r="F699" s="35"/>
      <c r="G699" s="36"/>
      <c r="H699" s="36"/>
      <c r="I699" s="36"/>
      <c r="J699" s="13"/>
    </row>
    <row r="700" ht="15.75" customHeight="1">
      <c r="B700" s="31"/>
      <c r="C700" s="34"/>
      <c r="D700" s="33"/>
      <c r="E700" s="34"/>
      <c r="F700" s="35"/>
      <c r="G700" s="36"/>
      <c r="H700" s="36"/>
      <c r="I700" s="36"/>
      <c r="J700" s="13"/>
    </row>
    <row r="701" ht="15.75" customHeight="1">
      <c r="B701" s="31"/>
      <c r="C701" s="34"/>
      <c r="D701" s="33"/>
      <c r="E701" s="34"/>
      <c r="F701" s="35"/>
      <c r="G701" s="36"/>
      <c r="H701" s="36"/>
      <c r="I701" s="36"/>
      <c r="J701" s="13"/>
    </row>
    <row r="702" ht="15.75" customHeight="1">
      <c r="B702" s="31"/>
      <c r="C702" s="34"/>
      <c r="D702" s="33"/>
      <c r="E702" s="34"/>
      <c r="F702" s="35"/>
      <c r="G702" s="36"/>
      <c r="H702" s="36"/>
      <c r="I702" s="36"/>
      <c r="J702" s="13"/>
    </row>
    <row r="703" ht="15.75" customHeight="1">
      <c r="B703" s="31"/>
      <c r="C703" s="34"/>
      <c r="D703" s="33"/>
      <c r="E703" s="34"/>
      <c r="F703" s="35"/>
      <c r="G703" s="36"/>
      <c r="H703" s="36"/>
      <c r="I703" s="36"/>
      <c r="J703" s="13"/>
    </row>
    <row r="704" ht="15.75" customHeight="1">
      <c r="B704" s="31"/>
      <c r="C704" s="34"/>
      <c r="D704" s="33"/>
      <c r="E704" s="34"/>
      <c r="F704" s="35"/>
      <c r="G704" s="36"/>
      <c r="H704" s="36"/>
      <c r="I704" s="36"/>
      <c r="J704" s="13"/>
    </row>
    <row r="705" ht="15.75" customHeight="1">
      <c r="B705" s="31"/>
      <c r="C705" s="34"/>
      <c r="D705" s="33"/>
      <c r="E705" s="34"/>
      <c r="F705" s="35"/>
      <c r="G705" s="36"/>
      <c r="H705" s="36"/>
      <c r="I705" s="36"/>
      <c r="J705" s="13"/>
    </row>
    <row r="706" ht="15.75" customHeight="1">
      <c r="B706" s="31"/>
      <c r="C706" s="34"/>
      <c r="D706" s="33"/>
      <c r="E706" s="34"/>
      <c r="F706" s="35"/>
      <c r="G706" s="36"/>
      <c r="H706" s="36"/>
      <c r="I706" s="36"/>
      <c r="J706" s="13"/>
    </row>
    <row r="707" ht="15.75" customHeight="1">
      <c r="B707" s="31"/>
      <c r="C707" s="34"/>
      <c r="D707" s="33"/>
      <c r="E707" s="34"/>
      <c r="F707" s="35"/>
      <c r="G707" s="36"/>
      <c r="H707" s="36"/>
      <c r="I707" s="36"/>
      <c r="J707" s="13"/>
    </row>
    <row r="708" ht="15.75" customHeight="1">
      <c r="B708" s="31"/>
      <c r="C708" s="34"/>
      <c r="D708" s="33"/>
      <c r="E708" s="34"/>
      <c r="F708" s="35"/>
      <c r="G708" s="36"/>
      <c r="H708" s="36"/>
      <c r="I708" s="36"/>
      <c r="J708" s="13"/>
    </row>
    <row r="709" ht="15.75" customHeight="1">
      <c r="B709" s="31"/>
      <c r="C709" s="34"/>
      <c r="D709" s="33"/>
      <c r="E709" s="34"/>
      <c r="F709" s="35"/>
      <c r="G709" s="36"/>
      <c r="H709" s="36"/>
      <c r="I709" s="36"/>
      <c r="J709" s="13"/>
    </row>
    <row r="710" ht="15.75" customHeight="1">
      <c r="B710" s="31"/>
      <c r="C710" s="34"/>
      <c r="D710" s="33"/>
      <c r="E710" s="34"/>
      <c r="F710" s="35"/>
      <c r="G710" s="36"/>
      <c r="H710" s="36"/>
      <c r="I710" s="36"/>
      <c r="J710" s="13"/>
    </row>
    <row r="711" ht="15.75" customHeight="1">
      <c r="B711" s="31"/>
      <c r="C711" s="34"/>
      <c r="D711" s="33"/>
      <c r="E711" s="34"/>
      <c r="F711" s="35"/>
      <c r="G711" s="36"/>
      <c r="H711" s="36"/>
      <c r="I711" s="36"/>
      <c r="J711" s="13"/>
    </row>
    <row r="712" ht="15.75" customHeight="1">
      <c r="B712" s="31"/>
      <c r="C712" s="34"/>
      <c r="D712" s="33"/>
      <c r="E712" s="34"/>
      <c r="F712" s="35"/>
      <c r="G712" s="36"/>
      <c r="H712" s="36"/>
      <c r="I712" s="36"/>
      <c r="J712" s="13"/>
    </row>
    <row r="713" ht="15.75" customHeight="1">
      <c r="B713" s="31"/>
      <c r="C713" s="34"/>
      <c r="D713" s="33"/>
      <c r="E713" s="34"/>
      <c r="F713" s="35"/>
      <c r="G713" s="36"/>
      <c r="H713" s="36"/>
      <c r="I713" s="36"/>
      <c r="J713" s="13"/>
    </row>
    <row r="714" ht="15.75" customHeight="1">
      <c r="B714" s="31"/>
      <c r="C714" s="34"/>
      <c r="D714" s="33"/>
      <c r="E714" s="34"/>
      <c r="F714" s="35"/>
      <c r="G714" s="36"/>
      <c r="H714" s="36"/>
      <c r="I714" s="36"/>
      <c r="J714" s="13"/>
    </row>
    <row r="715" ht="15.75" customHeight="1">
      <c r="B715" s="31"/>
      <c r="C715" s="34"/>
      <c r="D715" s="33"/>
      <c r="E715" s="34"/>
      <c r="F715" s="35"/>
      <c r="G715" s="36"/>
      <c r="H715" s="36"/>
      <c r="I715" s="36"/>
      <c r="J715" s="13"/>
    </row>
    <row r="716" ht="15.75" customHeight="1">
      <c r="B716" s="31"/>
      <c r="C716" s="34"/>
      <c r="D716" s="33"/>
      <c r="E716" s="34"/>
      <c r="F716" s="35"/>
      <c r="G716" s="36"/>
      <c r="H716" s="36"/>
      <c r="I716" s="36"/>
      <c r="J716" s="13"/>
    </row>
    <row r="717" ht="15.75" customHeight="1">
      <c r="B717" s="31"/>
      <c r="C717" s="34"/>
      <c r="D717" s="33"/>
      <c r="E717" s="34"/>
      <c r="F717" s="35"/>
      <c r="G717" s="36"/>
      <c r="H717" s="36"/>
      <c r="I717" s="36"/>
      <c r="J717" s="13"/>
    </row>
    <row r="718" ht="15.75" customHeight="1">
      <c r="B718" s="31"/>
      <c r="C718" s="34"/>
      <c r="D718" s="33"/>
      <c r="E718" s="34"/>
      <c r="F718" s="35"/>
      <c r="G718" s="36"/>
      <c r="H718" s="36"/>
      <c r="I718" s="36"/>
      <c r="J718" s="13"/>
    </row>
    <row r="719" ht="15.75" customHeight="1">
      <c r="B719" s="31"/>
      <c r="C719" s="34"/>
      <c r="D719" s="33"/>
      <c r="E719" s="34"/>
      <c r="F719" s="35"/>
      <c r="G719" s="36"/>
      <c r="H719" s="36"/>
      <c r="I719" s="36"/>
      <c r="J719" s="13"/>
    </row>
    <row r="720" ht="15.75" customHeight="1">
      <c r="B720" s="31"/>
      <c r="C720" s="34"/>
      <c r="D720" s="33"/>
      <c r="E720" s="34"/>
      <c r="F720" s="35"/>
      <c r="G720" s="36"/>
      <c r="H720" s="36"/>
      <c r="I720" s="36"/>
      <c r="J720" s="13"/>
    </row>
    <row r="721" ht="15.75" customHeight="1">
      <c r="B721" s="31"/>
      <c r="C721" s="34"/>
      <c r="D721" s="33"/>
      <c r="E721" s="34"/>
      <c r="F721" s="35"/>
      <c r="G721" s="36"/>
      <c r="H721" s="36"/>
      <c r="I721" s="36"/>
      <c r="J721" s="13"/>
    </row>
    <row r="722" ht="15.75" customHeight="1">
      <c r="B722" s="31"/>
      <c r="C722" s="34"/>
      <c r="D722" s="33"/>
      <c r="E722" s="34"/>
      <c r="F722" s="35"/>
      <c r="G722" s="36"/>
      <c r="H722" s="36"/>
      <c r="I722" s="36"/>
      <c r="J722" s="13"/>
    </row>
    <row r="723" ht="15.75" customHeight="1">
      <c r="B723" s="31"/>
      <c r="C723" s="34"/>
      <c r="D723" s="33"/>
      <c r="E723" s="34"/>
      <c r="F723" s="35"/>
      <c r="G723" s="36"/>
      <c r="H723" s="36"/>
      <c r="I723" s="36"/>
      <c r="J723" s="13"/>
    </row>
    <row r="724" ht="15.75" customHeight="1">
      <c r="B724" s="31"/>
      <c r="C724" s="34"/>
      <c r="D724" s="33"/>
      <c r="E724" s="34"/>
      <c r="F724" s="35"/>
      <c r="G724" s="36"/>
      <c r="H724" s="36"/>
      <c r="I724" s="36"/>
      <c r="J724" s="13"/>
    </row>
    <row r="725" ht="15.75" customHeight="1">
      <c r="B725" s="31"/>
      <c r="C725" s="34"/>
      <c r="D725" s="33"/>
      <c r="E725" s="34"/>
      <c r="F725" s="35"/>
      <c r="G725" s="36"/>
      <c r="H725" s="36"/>
      <c r="I725" s="36"/>
      <c r="J725" s="13"/>
    </row>
    <row r="726" ht="15.75" customHeight="1">
      <c r="B726" s="31"/>
      <c r="C726" s="34"/>
      <c r="D726" s="33"/>
      <c r="E726" s="34"/>
      <c r="F726" s="35"/>
      <c r="G726" s="36"/>
      <c r="H726" s="36"/>
      <c r="I726" s="36"/>
      <c r="J726" s="13"/>
    </row>
    <row r="727" ht="15.75" customHeight="1">
      <c r="B727" s="31"/>
      <c r="C727" s="34"/>
      <c r="D727" s="33"/>
      <c r="E727" s="34"/>
      <c r="F727" s="35"/>
      <c r="G727" s="36"/>
      <c r="H727" s="36"/>
      <c r="I727" s="36"/>
      <c r="J727" s="13"/>
    </row>
    <row r="728" ht="15.75" customHeight="1">
      <c r="B728" s="31"/>
      <c r="C728" s="34"/>
      <c r="D728" s="33"/>
      <c r="E728" s="34"/>
      <c r="F728" s="35"/>
      <c r="G728" s="36"/>
      <c r="H728" s="36"/>
      <c r="I728" s="36"/>
      <c r="J728" s="13"/>
    </row>
    <row r="729" ht="15.75" customHeight="1">
      <c r="B729" s="31"/>
      <c r="C729" s="34"/>
      <c r="D729" s="33"/>
      <c r="E729" s="34"/>
      <c r="F729" s="35"/>
      <c r="G729" s="36"/>
      <c r="H729" s="36"/>
      <c r="I729" s="36"/>
      <c r="J729" s="13"/>
    </row>
    <row r="730" ht="15.75" customHeight="1">
      <c r="B730" s="31"/>
      <c r="C730" s="34"/>
      <c r="D730" s="33"/>
      <c r="E730" s="34"/>
      <c r="F730" s="35"/>
      <c r="G730" s="36"/>
      <c r="H730" s="36"/>
      <c r="I730" s="36"/>
      <c r="J730" s="13"/>
    </row>
    <row r="731" ht="15.75" customHeight="1">
      <c r="B731" s="31"/>
      <c r="C731" s="34"/>
      <c r="D731" s="33"/>
      <c r="E731" s="34"/>
      <c r="F731" s="35"/>
      <c r="G731" s="36"/>
      <c r="H731" s="36"/>
      <c r="I731" s="36"/>
      <c r="J731" s="13"/>
    </row>
    <row r="732" ht="15.75" customHeight="1">
      <c r="B732" s="31"/>
      <c r="C732" s="34"/>
      <c r="D732" s="33"/>
      <c r="E732" s="34"/>
      <c r="F732" s="35"/>
      <c r="G732" s="36"/>
      <c r="H732" s="36"/>
      <c r="I732" s="36"/>
      <c r="J732" s="13"/>
    </row>
    <row r="733" ht="15.75" customHeight="1">
      <c r="B733" s="31"/>
      <c r="C733" s="34"/>
      <c r="D733" s="33"/>
      <c r="E733" s="34"/>
      <c r="F733" s="35"/>
      <c r="G733" s="36"/>
      <c r="H733" s="36"/>
      <c r="I733" s="36"/>
      <c r="J733" s="13"/>
    </row>
    <row r="734" ht="15.75" customHeight="1">
      <c r="B734" s="31"/>
      <c r="C734" s="34"/>
      <c r="D734" s="33"/>
      <c r="E734" s="34"/>
      <c r="F734" s="35"/>
      <c r="G734" s="36"/>
      <c r="H734" s="36"/>
      <c r="I734" s="36"/>
      <c r="J734" s="13"/>
    </row>
    <row r="735" ht="15.75" customHeight="1">
      <c r="B735" s="31"/>
      <c r="C735" s="34"/>
      <c r="D735" s="33"/>
      <c r="E735" s="34"/>
      <c r="F735" s="35"/>
      <c r="G735" s="36"/>
      <c r="H735" s="36"/>
      <c r="I735" s="36"/>
      <c r="J735" s="13"/>
    </row>
    <row r="736" ht="15.75" customHeight="1">
      <c r="B736" s="31"/>
      <c r="C736" s="34"/>
      <c r="D736" s="33"/>
      <c r="E736" s="34"/>
      <c r="F736" s="35"/>
      <c r="G736" s="36"/>
      <c r="H736" s="36"/>
      <c r="I736" s="36"/>
      <c r="J736" s="13"/>
    </row>
    <row r="737" ht="15.75" customHeight="1">
      <c r="B737" s="31"/>
      <c r="C737" s="34"/>
      <c r="D737" s="33"/>
      <c r="E737" s="34"/>
      <c r="F737" s="35"/>
      <c r="G737" s="36"/>
      <c r="H737" s="36"/>
      <c r="I737" s="36"/>
      <c r="J737" s="13"/>
    </row>
    <row r="738" ht="15.75" customHeight="1">
      <c r="B738" s="31"/>
      <c r="C738" s="34"/>
      <c r="D738" s="33"/>
      <c r="E738" s="34"/>
      <c r="F738" s="35"/>
      <c r="G738" s="36"/>
      <c r="H738" s="36"/>
      <c r="I738" s="36"/>
      <c r="J738" s="13"/>
    </row>
    <row r="739" ht="15.75" customHeight="1">
      <c r="B739" s="31"/>
      <c r="C739" s="34"/>
      <c r="D739" s="33"/>
      <c r="E739" s="34"/>
      <c r="F739" s="35"/>
      <c r="G739" s="36"/>
      <c r="H739" s="36"/>
      <c r="I739" s="36"/>
      <c r="J739" s="13"/>
    </row>
    <row r="740" ht="15.75" customHeight="1">
      <c r="B740" s="31"/>
      <c r="C740" s="34"/>
      <c r="D740" s="33"/>
      <c r="E740" s="34"/>
      <c r="F740" s="35"/>
      <c r="G740" s="36"/>
      <c r="H740" s="36"/>
      <c r="I740" s="36"/>
      <c r="J740" s="13"/>
    </row>
    <row r="741" ht="15.75" customHeight="1">
      <c r="B741" s="31"/>
      <c r="C741" s="34"/>
      <c r="D741" s="33"/>
      <c r="E741" s="34"/>
      <c r="F741" s="35"/>
      <c r="G741" s="36"/>
      <c r="H741" s="36"/>
      <c r="I741" s="36"/>
      <c r="J741" s="13"/>
    </row>
    <row r="742" ht="15.75" customHeight="1">
      <c r="B742" s="31"/>
      <c r="C742" s="34"/>
      <c r="D742" s="33"/>
      <c r="E742" s="34"/>
      <c r="F742" s="35"/>
      <c r="G742" s="36"/>
      <c r="H742" s="36"/>
      <c r="I742" s="36"/>
      <c r="J742" s="13"/>
    </row>
    <row r="743" ht="15.75" customHeight="1">
      <c r="B743" s="31"/>
      <c r="C743" s="34"/>
      <c r="D743" s="33"/>
      <c r="E743" s="34"/>
      <c r="F743" s="35"/>
      <c r="G743" s="36"/>
      <c r="H743" s="36"/>
      <c r="I743" s="36"/>
      <c r="J743" s="13"/>
    </row>
    <row r="744" ht="15.75" customHeight="1">
      <c r="B744" s="31"/>
      <c r="C744" s="34"/>
      <c r="D744" s="33"/>
      <c r="E744" s="34"/>
      <c r="F744" s="35"/>
      <c r="G744" s="36"/>
      <c r="H744" s="36"/>
      <c r="I744" s="36"/>
      <c r="J744" s="13"/>
    </row>
    <row r="745" ht="15.75" customHeight="1">
      <c r="B745" s="31"/>
      <c r="C745" s="34"/>
      <c r="D745" s="33"/>
      <c r="E745" s="34"/>
      <c r="F745" s="35"/>
      <c r="G745" s="36"/>
      <c r="H745" s="36"/>
      <c r="I745" s="36"/>
      <c r="J745" s="13"/>
    </row>
    <row r="746" ht="15.75" customHeight="1">
      <c r="B746" s="31"/>
      <c r="C746" s="34"/>
      <c r="D746" s="33"/>
      <c r="E746" s="34"/>
      <c r="F746" s="35"/>
      <c r="G746" s="36"/>
      <c r="H746" s="36"/>
      <c r="I746" s="36"/>
      <c r="J746" s="13"/>
    </row>
    <row r="747" ht="15.75" customHeight="1">
      <c r="B747" s="31"/>
      <c r="C747" s="34"/>
      <c r="D747" s="33"/>
      <c r="E747" s="34"/>
      <c r="F747" s="35"/>
      <c r="G747" s="36"/>
      <c r="H747" s="36"/>
      <c r="I747" s="36"/>
      <c r="J747" s="13"/>
    </row>
    <row r="748" ht="15.75" customHeight="1">
      <c r="B748" s="31"/>
      <c r="C748" s="34"/>
      <c r="D748" s="33"/>
      <c r="E748" s="34"/>
      <c r="F748" s="35"/>
      <c r="G748" s="36"/>
      <c r="H748" s="36"/>
      <c r="I748" s="36"/>
      <c r="J748" s="13"/>
    </row>
    <row r="749" ht="15.75" customHeight="1">
      <c r="B749" s="31"/>
      <c r="C749" s="34"/>
      <c r="D749" s="33"/>
      <c r="E749" s="34"/>
      <c r="F749" s="35"/>
      <c r="G749" s="36"/>
      <c r="H749" s="36"/>
      <c r="I749" s="36"/>
      <c r="J749" s="13"/>
    </row>
    <row r="750" ht="15.75" customHeight="1">
      <c r="B750" s="31"/>
      <c r="C750" s="34"/>
      <c r="D750" s="33"/>
      <c r="E750" s="34"/>
      <c r="F750" s="35"/>
      <c r="G750" s="36"/>
      <c r="H750" s="36"/>
      <c r="I750" s="36"/>
      <c r="J750" s="13"/>
    </row>
    <row r="751" ht="15.75" customHeight="1">
      <c r="B751" s="31"/>
      <c r="C751" s="34"/>
      <c r="D751" s="33"/>
      <c r="E751" s="34"/>
      <c r="F751" s="35"/>
      <c r="G751" s="36"/>
      <c r="H751" s="36"/>
      <c r="I751" s="36"/>
      <c r="J751" s="13"/>
    </row>
    <row r="752" ht="15.75" customHeight="1">
      <c r="B752" s="31"/>
      <c r="C752" s="34"/>
      <c r="D752" s="33"/>
      <c r="E752" s="34"/>
      <c r="F752" s="35"/>
      <c r="G752" s="36"/>
      <c r="H752" s="36"/>
      <c r="I752" s="36"/>
      <c r="J752" s="13"/>
    </row>
    <row r="753" ht="15.75" customHeight="1">
      <c r="B753" s="31"/>
      <c r="C753" s="34"/>
      <c r="D753" s="33"/>
      <c r="E753" s="34"/>
      <c r="F753" s="35"/>
      <c r="G753" s="36"/>
      <c r="H753" s="36"/>
      <c r="I753" s="36"/>
      <c r="J753" s="13"/>
    </row>
    <row r="754" ht="15.75" customHeight="1">
      <c r="B754" s="31"/>
      <c r="C754" s="34"/>
      <c r="D754" s="33"/>
      <c r="E754" s="34"/>
      <c r="F754" s="35"/>
      <c r="G754" s="36"/>
      <c r="H754" s="36"/>
      <c r="I754" s="36"/>
      <c r="J754" s="13"/>
    </row>
    <row r="755" ht="15.75" customHeight="1">
      <c r="B755" s="31"/>
      <c r="C755" s="34"/>
      <c r="D755" s="33"/>
      <c r="E755" s="34"/>
      <c r="F755" s="35"/>
      <c r="G755" s="36"/>
      <c r="H755" s="36"/>
      <c r="I755" s="36"/>
      <c r="J755" s="13"/>
    </row>
    <row r="756" ht="15.75" customHeight="1">
      <c r="B756" s="31"/>
      <c r="C756" s="34"/>
      <c r="D756" s="33"/>
      <c r="E756" s="34"/>
      <c r="F756" s="35"/>
      <c r="G756" s="36"/>
      <c r="H756" s="36"/>
      <c r="I756" s="36"/>
      <c r="J756" s="13"/>
    </row>
    <row r="757" ht="15.75" customHeight="1">
      <c r="B757" s="31"/>
      <c r="C757" s="34"/>
      <c r="D757" s="33"/>
      <c r="E757" s="34"/>
      <c r="F757" s="35"/>
      <c r="G757" s="36"/>
      <c r="H757" s="36"/>
      <c r="I757" s="36"/>
      <c r="J757" s="13"/>
    </row>
    <row r="758" ht="15.75" customHeight="1">
      <c r="B758" s="31"/>
      <c r="C758" s="34"/>
      <c r="D758" s="33"/>
      <c r="E758" s="34"/>
      <c r="F758" s="35"/>
      <c r="G758" s="36"/>
      <c r="H758" s="36"/>
      <c r="I758" s="36"/>
      <c r="J758" s="13"/>
    </row>
    <row r="759" ht="15.75" customHeight="1">
      <c r="B759" s="31"/>
      <c r="C759" s="34"/>
      <c r="D759" s="33"/>
      <c r="E759" s="34"/>
      <c r="F759" s="35"/>
      <c r="G759" s="36"/>
      <c r="H759" s="36"/>
      <c r="I759" s="36"/>
      <c r="J759" s="13"/>
    </row>
    <row r="760" ht="15.75" customHeight="1">
      <c r="B760" s="31"/>
      <c r="C760" s="34"/>
      <c r="D760" s="33"/>
      <c r="E760" s="34"/>
      <c r="F760" s="35"/>
      <c r="G760" s="36"/>
      <c r="H760" s="36"/>
      <c r="I760" s="36"/>
      <c r="J760" s="13"/>
    </row>
    <row r="761" ht="15.75" customHeight="1">
      <c r="B761" s="31"/>
      <c r="C761" s="34"/>
      <c r="D761" s="33"/>
      <c r="E761" s="34"/>
      <c r="F761" s="35"/>
      <c r="G761" s="36"/>
      <c r="H761" s="36"/>
      <c r="I761" s="36"/>
      <c r="J761" s="13"/>
    </row>
    <row r="762" ht="15.75" customHeight="1">
      <c r="B762" s="31"/>
      <c r="C762" s="34"/>
      <c r="D762" s="33"/>
      <c r="E762" s="34"/>
      <c r="F762" s="35"/>
      <c r="G762" s="36"/>
      <c r="H762" s="36"/>
      <c r="I762" s="36"/>
      <c r="J762" s="13"/>
    </row>
    <row r="763" ht="15.75" customHeight="1">
      <c r="B763" s="31"/>
      <c r="C763" s="34"/>
      <c r="D763" s="33"/>
      <c r="E763" s="34"/>
      <c r="F763" s="35"/>
      <c r="G763" s="36"/>
      <c r="H763" s="36"/>
      <c r="I763" s="36"/>
      <c r="J763" s="13"/>
    </row>
    <row r="764" ht="15.75" customHeight="1">
      <c r="B764" s="31"/>
      <c r="C764" s="34"/>
      <c r="D764" s="33"/>
      <c r="E764" s="34"/>
      <c r="F764" s="35"/>
      <c r="G764" s="36"/>
      <c r="H764" s="36"/>
      <c r="I764" s="36"/>
      <c r="J764" s="13"/>
    </row>
    <row r="765" ht="15.75" customHeight="1">
      <c r="B765" s="31"/>
      <c r="C765" s="34"/>
      <c r="D765" s="33"/>
      <c r="E765" s="34"/>
      <c r="F765" s="35"/>
      <c r="G765" s="36"/>
      <c r="H765" s="36"/>
      <c r="I765" s="36"/>
      <c r="J765" s="13"/>
    </row>
    <row r="766" ht="15.75" customHeight="1">
      <c r="B766" s="31"/>
      <c r="C766" s="34"/>
      <c r="D766" s="33"/>
      <c r="E766" s="34"/>
      <c r="F766" s="35"/>
      <c r="G766" s="36"/>
      <c r="H766" s="36"/>
      <c r="I766" s="36"/>
      <c r="J766" s="13"/>
    </row>
    <row r="767" ht="15.75" customHeight="1">
      <c r="B767" s="31"/>
      <c r="C767" s="34"/>
      <c r="D767" s="33"/>
      <c r="E767" s="34"/>
      <c r="F767" s="35"/>
      <c r="G767" s="36"/>
      <c r="H767" s="36"/>
      <c r="I767" s="36"/>
      <c r="J767" s="13"/>
    </row>
    <row r="768" ht="15.75" customHeight="1">
      <c r="B768" s="31"/>
      <c r="C768" s="34"/>
      <c r="D768" s="33"/>
      <c r="E768" s="34"/>
      <c r="F768" s="35"/>
      <c r="G768" s="36"/>
      <c r="H768" s="36"/>
      <c r="I768" s="36"/>
      <c r="J768" s="13"/>
    </row>
    <row r="769" ht="15.75" customHeight="1">
      <c r="B769" s="31"/>
      <c r="C769" s="34"/>
      <c r="D769" s="33"/>
      <c r="E769" s="34"/>
      <c r="F769" s="35"/>
      <c r="G769" s="36"/>
      <c r="H769" s="36"/>
      <c r="I769" s="36"/>
      <c r="J769" s="13"/>
    </row>
    <row r="770" ht="15.75" customHeight="1">
      <c r="B770" s="31"/>
      <c r="C770" s="34"/>
      <c r="D770" s="33"/>
      <c r="E770" s="34"/>
      <c r="F770" s="35"/>
      <c r="G770" s="36"/>
      <c r="H770" s="36"/>
      <c r="I770" s="36"/>
      <c r="J770" s="13"/>
    </row>
    <row r="771" ht="15.75" customHeight="1">
      <c r="B771" s="31"/>
      <c r="C771" s="34"/>
      <c r="D771" s="33"/>
      <c r="E771" s="34"/>
      <c r="F771" s="35"/>
      <c r="G771" s="36"/>
      <c r="H771" s="36"/>
      <c r="I771" s="36"/>
      <c r="J771" s="13"/>
    </row>
    <row r="772" ht="15.75" customHeight="1">
      <c r="B772" s="31"/>
      <c r="C772" s="34"/>
      <c r="D772" s="33"/>
      <c r="E772" s="34"/>
      <c r="F772" s="35"/>
      <c r="G772" s="36"/>
      <c r="H772" s="36"/>
      <c r="I772" s="36"/>
      <c r="J772" s="13"/>
    </row>
    <row r="773" ht="15.75" customHeight="1">
      <c r="B773" s="31"/>
      <c r="C773" s="34"/>
      <c r="D773" s="33"/>
      <c r="E773" s="34"/>
      <c r="F773" s="35"/>
      <c r="G773" s="36"/>
      <c r="H773" s="36"/>
      <c r="I773" s="36"/>
      <c r="J773" s="13"/>
    </row>
    <row r="774" ht="15.75" customHeight="1">
      <c r="B774" s="31"/>
      <c r="C774" s="34"/>
      <c r="D774" s="33"/>
      <c r="E774" s="34"/>
      <c r="F774" s="35"/>
      <c r="G774" s="36"/>
      <c r="H774" s="36"/>
      <c r="I774" s="36"/>
      <c r="J774" s="13"/>
    </row>
    <row r="775" ht="15.75" customHeight="1">
      <c r="B775" s="31"/>
      <c r="C775" s="34"/>
      <c r="D775" s="33"/>
      <c r="E775" s="34"/>
      <c r="F775" s="35"/>
      <c r="G775" s="36"/>
      <c r="H775" s="36"/>
      <c r="I775" s="36"/>
      <c r="J775" s="13"/>
    </row>
    <row r="776" ht="15.75" customHeight="1">
      <c r="B776" s="31"/>
      <c r="C776" s="34"/>
      <c r="D776" s="33"/>
      <c r="E776" s="34"/>
      <c r="F776" s="35"/>
      <c r="G776" s="36"/>
      <c r="H776" s="36"/>
      <c r="I776" s="36"/>
      <c r="J776" s="13"/>
    </row>
    <row r="777" ht="15.75" customHeight="1">
      <c r="B777" s="31"/>
      <c r="C777" s="34"/>
      <c r="D777" s="33"/>
      <c r="E777" s="34"/>
      <c r="F777" s="35"/>
      <c r="G777" s="36"/>
      <c r="H777" s="36"/>
      <c r="I777" s="36"/>
      <c r="J777" s="13"/>
    </row>
    <row r="778" ht="15.75" customHeight="1">
      <c r="B778" s="31"/>
      <c r="C778" s="34"/>
      <c r="D778" s="33"/>
      <c r="E778" s="34"/>
      <c r="F778" s="35"/>
      <c r="G778" s="36"/>
      <c r="H778" s="36"/>
      <c r="I778" s="36"/>
      <c r="J778" s="13"/>
    </row>
    <row r="779" ht="15.75" customHeight="1">
      <c r="B779" s="31"/>
      <c r="C779" s="34"/>
      <c r="D779" s="33"/>
      <c r="E779" s="34"/>
      <c r="F779" s="35"/>
      <c r="G779" s="36"/>
      <c r="H779" s="36"/>
      <c r="I779" s="36"/>
      <c r="J779" s="13"/>
    </row>
    <row r="780" ht="15.75" customHeight="1">
      <c r="B780" s="31"/>
      <c r="C780" s="34"/>
      <c r="D780" s="33"/>
      <c r="E780" s="34"/>
      <c r="F780" s="35"/>
      <c r="G780" s="36"/>
      <c r="H780" s="36"/>
      <c r="I780" s="36"/>
      <c r="J780" s="13"/>
    </row>
    <row r="781" ht="15.75" customHeight="1">
      <c r="B781" s="31"/>
      <c r="C781" s="34"/>
      <c r="D781" s="33"/>
      <c r="E781" s="34"/>
      <c r="F781" s="35"/>
      <c r="G781" s="36"/>
      <c r="H781" s="36"/>
      <c r="I781" s="36"/>
      <c r="J781" s="13"/>
    </row>
    <row r="782" ht="15.75" customHeight="1">
      <c r="B782" s="31"/>
      <c r="C782" s="34"/>
      <c r="D782" s="33"/>
      <c r="E782" s="34"/>
      <c r="F782" s="35"/>
      <c r="G782" s="36"/>
      <c r="H782" s="36"/>
      <c r="I782" s="36"/>
      <c r="J782" s="13"/>
    </row>
    <row r="783" ht="15.75" customHeight="1">
      <c r="B783" s="31"/>
      <c r="C783" s="34"/>
      <c r="D783" s="33"/>
      <c r="E783" s="34"/>
      <c r="F783" s="35"/>
      <c r="G783" s="36"/>
      <c r="H783" s="36"/>
      <c r="I783" s="36"/>
      <c r="J783" s="13"/>
    </row>
    <row r="784" ht="15.75" customHeight="1">
      <c r="B784" s="31"/>
      <c r="C784" s="34"/>
      <c r="D784" s="33"/>
      <c r="E784" s="34"/>
      <c r="F784" s="35"/>
      <c r="G784" s="36"/>
      <c r="H784" s="36"/>
      <c r="I784" s="36"/>
      <c r="J784" s="13"/>
    </row>
    <row r="785" ht="15.75" customHeight="1">
      <c r="B785" s="31"/>
      <c r="C785" s="34"/>
      <c r="D785" s="33"/>
      <c r="E785" s="34"/>
      <c r="F785" s="35"/>
      <c r="G785" s="36"/>
      <c r="H785" s="36"/>
      <c r="I785" s="36"/>
      <c r="J785" s="13"/>
    </row>
    <row r="786" ht="15.75" customHeight="1">
      <c r="B786" s="31"/>
      <c r="C786" s="34"/>
      <c r="D786" s="33"/>
      <c r="E786" s="34"/>
      <c r="F786" s="35"/>
      <c r="G786" s="36"/>
      <c r="H786" s="36"/>
      <c r="I786" s="36"/>
      <c r="J786" s="13"/>
    </row>
    <row r="787" ht="15.75" customHeight="1">
      <c r="B787" s="31"/>
      <c r="C787" s="34"/>
      <c r="D787" s="33"/>
      <c r="E787" s="34"/>
      <c r="F787" s="35"/>
      <c r="G787" s="36"/>
      <c r="H787" s="36"/>
      <c r="I787" s="36"/>
      <c r="J787" s="13"/>
    </row>
    <row r="788" ht="15.75" customHeight="1">
      <c r="B788" s="31"/>
      <c r="C788" s="34"/>
      <c r="D788" s="33"/>
      <c r="E788" s="34"/>
      <c r="F788" s="35"/>
      <c r="G788" s="36"/>
      <c r="H788" s="36"/>
      <c r="I788" s="36"/>
      <c r="J788" s="13"/>
    </row>
    <row r="789" ht="15.75" customHeight="1">
      <c r="B789" s="31"/>
      <c r="C789" s="34"/>
      <c r="D789" s="33"/>
      <c r="E789" s="34"/>
      <c r="F789" s="35"/>
      <c r="G789" s="36"/>
      <c r="H789" s="36"/>
      <c r="I789" s="36"/>
      <c r="J789" s="13"/>
    </row>
    <row r="790" ht="15.75" customHeight="1">
      <c r="B790" s="31"/>
      <c r="C790" s="34"/>
      <c r="D790" s="33"/>
      <c r="E790" s="34"/>
      <c r="F790" s="35"/>
      <c r="G790" s="36"/>
      <c r="H790" s="36"/>
      <c r="I790" s="36"/>
      <c r="J790" s="13"/>
    </row>
    <row r="791" ht="15.75" customHeight="1">
      <c r="B791" s="31"/>
      <c r="C791" s="34"/>
      <c r="D791" s="33"/>
      <c r="E791" s="34"/>
      <c r="F791" s="35"/>
      <c r="G791" s="36"/>
      <c r="H791" s="36"/>
      <c r="I791" s="36"/>
      <c r="J791" s="13"/>
    </row>
    <row r="792" ht="15.75" customHeight="1">
      <c r="B792" s="31"/>
      <c r="C792" s="34"/>
      <c r="D792" s="33"/>
      <c r="E792" s="34"/>
      <c r="F792" s="35"/>
      <c r="G792" s="36"/>
      <c r="H792" s="36"/>
      <c r="I792" s="36"/>
      <c r="J792" s="13"/>
    </row>
    <row r="793" ht="15.75" customHeight="1">
      <c r="B793" s="31"/>
      <c r="C793" s="34"/>
      <c r="D793" s="33"/>
      <c r="E793" s="34"/>
      <c r="F793" s="35"/>
      <c r="G793" s="36"/>
      <c r="H793" s="36"/>
      <c r="I793" s="36"/>
      <c r="J793" s="13"/>
    </row>
    <row r="794" ht="15.75" customHeight="1">
      <c r="B794" s="31"/>
      <c r="C794" s="34"/>
      <c r="D794" s="33"/>
      <c r="E794" s="34"/>
      <c r="F794" s="35"/>
      <c r="G794" s="36"/>
      <c r="H794" s="36"/>
      <c r="I794" s="36"/>
      <c r="J794" s="13"/>
    </row>
    <row r="795" ht="15.75" customHeight="1">
      <c r="B795" s="31"/>
      <c r="C795" s="34"/>
      <c r="D795" s="33"/>
      <c r="E795" s="34"/>
      <c r="F795" s="35"/>
      <c r="G795" s="36"/>
      <c r="H795" s="36"/>
      <c r="I795" s="36"/>
      <c r="J795" s="13"/>
    </row>
    <row r="796" ht="15.75" customHeight="1">
      <c r="B796" s="31"/>
      <c r="C796" s="34"/>
      <c r="D796" s="33"/>
      <c r="E796" s="34"/>
      <c r="F796" s="35"/>
      <c r="G796" s="36"/>
      <c r="H796" s="36"/>
      <c r="I796" s="36"/>
      <c r="J796" s="13"/>
    </row>
    <row r="797" ht="15.75" customHeight="1">
      <c r="B797" s="31"/>
      <c r="C797" s="34"/>
      <c r="D797" s="33"/>
      <c r="E797" s="34"/>
      <c r="F797" s="35"/>
      <c r="G797" s="36"/>
      <c r="H797" s="36"/>
      <c r="I797" s="36"/>
      <c r="J797" s="13"/>
    </row>
    <row r="798" ht="15.75" customHeight="1">
      <c r="B798" s="31"/>
      <c r="C798" s="34"/>
      <c r="D798" s="33"/>
      <c r="E798" s="34"/>
      <c r="F798" s="35"/>
      <c r="G798" s="36"/>
      <c r="H798" s="36"/>
      <c r="I798" s="36"/>
      <c r="J798" s="13"/>
    </row>
    <row r="799" ht="15.75" customHeight="1">
      <c r="B799" s="31"/>
      <c r="C799" s="34"/>
      <c r="D799" s="33"/>
      <c r="E799" s="34"/>
      <c r="F799" s="35"/>
      <c r="G799" s="36"/>
      <c r="H799" s="36"/>
      <c r="I799" s="36"/>
      <c r="J799" s="13"/>
    </row>
    <row r="800" ht="15.75" customHeight="1">
      <c r="B800" s="31"/>
      <c r="C800" s="34"/>
      <c r="D800" s="33"/>
      <c r="E800" s="34"/>
      <c r="F800" s="35"/>
      <c r="G800" s="36"/>
      <c r="H800" s="36"/>
      <c r="I800" s="36"/>
      <c r="J800" s="13"/>
    </row>
    <row r="801" ht="15.75" customHeight="1">
      <c r="B801" s="31"/>
      <c r="C801" s="34"/>
      <c r="D801" s="33"/>
      <c r="E801" s="34"/>
      <c r="F801" s="35"/>
      <c r="G801" s="36"/>
      <c r="H801" s="36"/>
      <c r="I801" s="36"/>
      <c r="J801" s="13"/>
    </row>
    <row r="802" ht="15.75" customHeight="1">
      <c r="B802" s="31"/>
      <c r="C802" s="34"/>
      <c r="D802" s="33"/>
      <c r="E802" s="34"/>
      <c r="F802" s="35"/>
      <c r="G802" s="36"/>
      <c r="H802" s="36"/>
      <c r="I802" s="36"/>
      <c r="J802" s="13"/>
    </row>
    <row r="803" ht="15.75" customHeight="1">
      <c r="B803" s="31"/>
      <c r="C803" s="34"/>
      <c r="D803" s="33"/>
      <c r="E803" s="34"/>
      <c r="F803" s="35"/>
      <c r="G803" s="36"/>
      <c r="H803" s="36"/>
      <c r="I803" s="36"/>
      <c r="J803" s="13"/>
    </row>
    <row r="804" ht="15.75" customHeight="1">
      <c r="B804" s="31"/>
      <c r="C804" s="34"/>
      <c r="D804" s="33"/>
      <c r="E804" s="34"/>
      <c r="F804" s="35"/>
      <c r="G804" s="36"/>
      <c r="H804" s="36"/>
      <c r="I804" s="36"/>
      <c r="J804" s="13"/>
    </row>
    <row r="805" ht="15.75" customHeight="1">
      <c r="B805" s="31"/>
      <c r="C805" s="34"/>
      <c r="D805" s="33"/>
      <c r="E805" s="34"/>
      <c r="F805" s="35"/>
      <c r="G805" s="36"/>
      <c r="H805" s="36"/>
      <c r="I805" s="36"/>
      <c r="J805" s="13"/>
    </row>
    <row r="806" ht="15.75" customHeight="1">
      <c r="B806" s="31"/>
      <c r="C806" s="34"/>
      <c r="D806" s="33"/>
      <c r="E806" s="34"/>
      <c r="F806" s="35"/>
      <c r="G806" s="36"/>
      <c r="H806" s="36"/>
      <c r="I806" s="36"/>
      <c r="J806" s="13"/>
    </row>
    <row r="807" ht="15.75" customHeight="1">
      <c r="B807" s="31"/>
      <c r="C807" s="34"/>
      <c r="D807" s="33"/>
      <c r="E807" s="34"/>
      <c r="F807" s="35"/>
      <c r="G807" s="36"/>
      <c r="H807" s="36"/>
      <c r="I807" s="36"/>
      <c r="J807" s="13"/>
    </row>
    <row r="808" ht="15.75" customHeight="1">
      <c r="B808" s="31"/>
      <c r="C808" s="34"/>
      <c r="D808" s="33"/>
      <c r="E808" s="34"/>
      <c r="F808" s="35"/>
      <c r="G808" s="36"/>
      <c r="H808" s="36"/>
      <c r="I808" s="36"/>
      <c r="J808" s="13"/>
    </row>
    <row r="809" ht="15.75" customHeight="1">
      <c r="B809" s="31"/>
      <c r="C809" s="34"/>
      <c r="D809" s="33"/>
      <c r="E809" s="34"/>
      <c r="F809" s="35"/>
      <c r="G809" s="36"/>
      <c r="H809" s="36"/>
      <c r="I809" s="36"/>
      <c r="J809" s="13"/>
    </row>
    <row r="810" ht="15.75" customHeight="1">
      <c r="B810" s="31"/>
      <c r="C810" s="34"/>
      <c r="D810" s="33"/>
      <c r="E810" s="34"/>
      <c r="F810" s="35"/>
      <c r="G810" s="36"/>
      <c r="H810" s="36"/>
      <c r="I810" s="36"/>
      <c r="J810" s="13"/>
    </row>
    <row r="811" ht="15.75" customHeight="1">
      <c r="B811" s="31"/>
      <c r="C811" s="34"/>
      <c r="D811" s="33"/>
      <c r="E811" s="34"/>
      <c r="F811" s="35"/>
      <c r="G811" s="36"/>
      <c r="H811" s="36"/>
      <c r="I811" s="36"/>
      <c r="J811" s="13"/>
    </row>
    <row r="812" ht="15.75" customHeight="1">
      <c r="B812" s="31"/>
      <c r="C812" s="34"/>
      <c r="D812" s="33"/>
      <c r="E812" s="34"/>
      <c r="F812" s="35"/>
      <c r="G812" s="36"/>
      <c r="H812" s="36"/>
      <c r="I812" s="36"/>
      <c r="J812" s="13"/>
    </row>
    <row r="813" ht="15.75" customHeight="1">
      <c r="B813" s="31"/>
      <c r="C813" s="34"/>
      <c r="D813" s="33"/>
      <c r="E813" s="34"/>
      <c r="F813" s="35"/>
      <c r="G813" s="36"/>
      <c r="H813" s="36"/>
      <c r="I813" s="36"/>
      <c r="J813" s="13"/>
    </row>
    <row r="814" ht="15.75" customHeight="1">
      <c r="B814" s="31"/>
      <c r="C814" s="34"/>
      <c r="D814" s="33"/>
      <c r="E814" s="34"/>
      <c r="F814" s="35"/>
      <c r="G814" s="36"/>
      <c r="H814" s="36"/>
      <c r="I814" s="36"/>
      <c r="J814" s="13"/>
    </row>
    <row r="815" ht="15.75" customHeight="1">
      <c r="B815" s="31"/>
      <c r="C815" s="34"/>
      <c r="D815" s="33"/>
      <c r="E815" s="34"/>
      <c r="F815" s="35"/>
      <c r="G815" s="36"/>
      <c r="H815" s="36"/>
      <c r="I815" s="36"/>
      <c r="J815" s="13"/>
    </row>
    <row r="816" ht="15.75" customHeight="1">
      <c r="B816" s="31"/>
      <c r="C816" s="34"/>
      <c r="D816" s="33"/>
      <c r="E816" s="34"/>
      <c r="F816" s="35"/>
      <c r="G816" s="36"/>
      <c r="H816" s="36"/>
      <c r="I816" s="36"/>
      <c r="J816" s="13"/>
    </row>
    <row r="817" ht="15.75" customHeight="1">
      <c r="B817" s="31"/>
      <c r="C817" s="34"/>
      <c r="D817" s="33"/>
      <c r="E817" s="34"/>
      <c r="F817" s="35"/>
      <c r="G817" s="36"/>
      <c r="H817" s="36"/>
      <c r="I817" s="36"/>
      <c r="J817" s="13"/>
    </row>
    <row r="818" ht="15.75" customHeight="1">
      <c r="B818" s="31"/>
      <c r="C818" s="34"/>
      <c r="D818" s="33"/>
      <c r="E818" s="34"/>
      <c r="F818" s="35"/>
      <c r="G818" s="36"/>
      <c r="H818" s="36"/>
      <c r="I818" s="36"/>
      <c r="J818" s="13"/>
    </row>
    <row r="819" ht="15.75" customHeight="1">
      <c r="B819" s="31"/>
      <c r="C819" s="34"/>
      <c r="D819" s="33"/>
      <c r="E819" s="34"/>
      <c r="F819" s="35"/>
      <c r="G819" s="36"/>
      <c r="H819" s="36"/>
      <c r="I819" s="36"/>
      <c r="J819" s="13"/>
    </row>
    <row r="820" ht="15.75" customHeight="1">
      <c r="B820" s="31"/>
      <c r="C820" s="34"/>
      <c r="D820" s="33"/>
      <c r="E820" s="34"/>
      <c r="F820" s="35"/>
      <c r="G820" s="36"/>
      <c r="H820" s="36"/>
      <c r="I820" s="36"/>
      <c r="J820" s="13"/>
    </row>
    <row r="821" ht="15.75" customHeight="1">
      <c r="B821" s="31"/>
      <c r="C821" s="34"/>
      <c r="D821" s="33"/>
      <c r="E821" s="34"/>
      <c r="F821" s="35"/>
      <c r="G821" s="36"/>
      <c r="H821" s="36"/>
      <c r="I821" s="36"/>
      <c r="J821" s="13"/>
    </row>
    <row r="822" ht="15.75" customHeight="1">
      <c r="B822" s="31"/>
      <c r="C822" s="34"/>
      <c r="D822" s="33"/>
      <c r="E822" s="34"/>
      <c r="F822" s="35"/>
      <c r="G822" s="36"/>
      <c r="H822" s="36"/>
      <c r="I822" s="36"/>
      <c r="J822" s="13"/>
    </row>
    <row r="823" ht="15.75" customHeight="1">
      <c r="B823" s="31"/>
      <c r="C823" s="34"/>
      <c r="D823" s="33"/>
      <c r="E823" s="34"/>
      <c r="F823" s="35"/>
      <c r="G823" s="36"/>
      <c r="H823" s="36"/>
      <c r="I823" s="36"/>
      <c r="J823" s="13"/>
    </row>
    <row r="824" ht="15.75" customHeight="1">
      <c r="B824" s="31"/>
      <c r="C824" s="34"/>
      <c r="D824" s="33"/>
      <c r="E824" s="34"/>
      <c r="F824" s="35"/>
      <c r="G824" s="36"/>
      <c r="H824" s="36"/>
      <c r="I824" s="36"/>
      <c r="J824" s="13"/>
    </row>
    <row r="825" ht="15.75" customHeight="1">
      <c r="B825" s="31"/>
      <c r="C825" s="34"/>
      <c r="D825" s="33"/>
      <c r="E825" s="34"/>
      <c r="F825" s="35"/>
      <c r="G825" s="36"/>
      <c r="H825" s="36"/>
      <c r="I825" s="36"/>
      <c r="J825" s="13"/>
    </row>
    <row r="826" ht="15.75" customHeight="1">
      <c r="B826" s="31"/>
      <c r="C826" s="34"/>
      <c r="D826" s="33"/>
      <c r="E826" s="34"/>
      <c r="F826" s="35"/>
      <c r="G826" s="36"/>
      <c r="H826" s="36"/>
      <c r="I826" s="36"/>
      <c r="J826" s="13"/>
    </row>
    <row r="827" ht="15.75" customHeight="1">
      <c r="B827" s="31"/>
      <c r="C827" s="34"/>
      <c r="D827" s="33"/>
      <c r="E827" s="34"/>
      <c r="F827" s="35"/>
      <c r="G827" s="36"/>
      <c r="H827" s="36"/>
      <c r="I827" s="36"/>
      <c r="J827" s="13"/>
    </row>
    <row r="828" ht="15.75" customHeight="1">
      <c r="B828" s="31"/>
      <c r="C828" s="34"/>
      <c r="D828" s="33"/>
      <c r="E828" s="34"/>
      <c r="F828" s="35"/>
      <c r="G828" s="36"/>
      <c r="H828" s="36"/>
      <c r="I828" s="36"/>
      <c r="J828" s="13"/>
    </row>
    <row r="829" ht="15.75" customHeight="1">
      <c r="B829" s="31"/>
      <c r="C829" s="34"/>
      <c r="D829" s="33"/>
      <c r="E829" s="34"/>
      <c r="F829" s="35"/>
      <c r="G829" s="36"/>
      <c r="H829" s="36"/>
      <c r="I829" s="36"/>
      <c r="J829" s="13"/>
    </row>
    <row r="830" ht="15.75" customHeight="1">
      <c r="B830" s="31"/>
      <c r="C830" s="34"/>
      <c r="D830" s="33"/>
      <c r="E830" s="34"/>
      <c r="F830" s="35"/>
      <c r="G830" s="36"/>
      <c r="H830" s="36"/>
      <c r="I830" s="36"/>
      <c r="J830" s="13"/>
    </row>
    <row r="831" ht="15.75" customHeight="1">
      <c r="B831" s="31"/>
      <c r="C831" s="34"/>
      <c r="D831" s="33"/>
      <c r="E831" s="34"/>
      <c r="F831" s="35"/>
      <c r="G831" s="36"/>
      <c r="H831" s="36"/>
      <c r="I831" s="36"/>
      <c r="J831" s="13"/>
    </row>
    <row r="832" ht="15.75" customHeight="1">
      <c r="B832" s="31"/>
      <c r="C832" s="34"/>
      <c r="D832" s="33"/>
      <c r="E832" s="34"/>
      <c r="F832" s="35"/>
      <c r="G832" s="36"/>
      <c r="H832" s="36"/>
      <c r="I832" s="36"/>
      <c r="J832" s="13"/>
    </row>
    <row r="833" ht="15.75" customHeight="1">
      <c r="B833" s="31"/>
      <c r="C833" s="34"/>
      <c r="D833" s="33"/>
      <c r="E833" s="34"/>
      <c r="F833" s="35"/>
      <c r="G833" s="36"/>
      <c r="H833" s="36"/>
      <c r="I833" s="36"/>
      <c r="J833" s="13"/>
    </row>
    <row r="834" ht="15.75" customHeight="1">
      <c r="B834" s="31"/>
      <c r="C834" s="34"/>
      <c r="D834" s="33"/>
      <c r="E834" s="34"/>
      <c r="F834" s="35"/>
      <c r="G834" s="36"/>
      <c r="H834" s="36"/>
      <c r="I834" s="36"/>
      <c r="J834" s="13"/>
    </row>
    <row r="835" ht="15.75" customHeight="1">
      <c r="B835" s="31"/>
      <c r="C835" s="34"/>
      <c r="D835" s="33"/>
      <c r="E835" s="34"/>
      <c r="F835" s="35"/>
      <c r="G835" s="36"/>
      <c r="H835" s="36"/>
      <c r="I835" s="36"/>
      <c r="J835" s="13"/>
    </row>
    <row r="836" ht="15.75" customHeight="1">
      <c r="B836" s="31"/>
      <c r="C836" s="34"/>
      <c r="D836" s="33"/>
      <c r="E836" s="34"/>
      <c r="F836" s="35"/>
      <c r="G836" s="36"/>
      <c r="H836" s="36"/>
      <c r="I836" s="36"/>
      <c r="J836" s="13"/>
    </row>
    <row r="837" ht="15.75" customHeight="1">
      <c r="B837" s="31"/>
      <c r="C837" s="34"/>
      <c r="D837" s="33"/>
      <c r="E837" s="34"/>
      <c r="F837" s="35"/>
      <c r="G837" s="36"/>
      <c r="H837" s="36"/>
      <c r="I837" s="36"/>
      <c r="J837" s="13"/>
    </row>
    <row r="838" ht="15.75" customHeight="1">
      <c r="B838" s="31"/>
      <c r="C838" s="34"/>
      <c r="D838" s="33"/>
      <c r="E838" s="34"/>
      <c r="F838" s="35"/>
      <c r="G838" s="36"/>
      <c r="H838" s="36"/>
      <c r="I838" s="36"/>
      <c r="J838" s="13"/>
    </row>
    <row r="839" ht="15.75" customHeight="1">
      <c r="B839" s="31"/>
      <c r="C839" s="34"/>
      <c r="D839" s="33"/>
      <c r="E839" s="34"/>
      <c r="F839" s="35"/>
      <c r="G839" s="36"/>
      <c r="H839" s="36"/>
      <c r="I839" s="36"/>
      <c r="J839" s="13"/>
    </row>
    <row r="840" ht="15.75" customHeight="1">
      <c r="B840" s="31"/>
      <c r="C840" s="34"/>
      <c r="D840" s="33"/>
      <c r="E840" s="34"/>
      <c r="F840" s="35"/>
      <c r="G840" s="36"/>
      <c r="H840" s="36"/>
      <c r="I840" s="36"/>
      <c r="J840" s="13"/>
    </row>
    <row r="841" ht="15.75" customHeight="1">
      <c r="B841" s="31"/>
      <c r="C841" s="34"/>
      <c r="D841" s="33"/>
      <c r="E841" s="34"/>
      <c r="F841" s="35"/>
      <c r="G841" s="36"/>
      <c r="H841" s="36"/>
      <c r="I841" s="36"/>
      <c r="J841" s="13"/>
    </row>
    <row r="842" ht="15.75" customHeight="1">
      <c r="B842" s="31"/>
      <c r="C842" s="34"/>
      <c r="D842" s="33"/>
      <c r="E842" s="34"/>
      <c r="F842" s="35"/>
      <c r="G842" s="36"/>
      <c r="H842" s="36"/>
      <c r="I842" s="36"/>
      <c r="J842" s="13"/>
    </row>
    <row r="843" ht="15.75" customHeight="1">
      <c r="B843" s="31"/>
      <c r="C843" s="34"/>
      <c r="D843" s="33"/>
      <c r="E843" s="34"/>
      <c r="F843" s="35"/>
      <c r="G843" s="36"/>
      <c r="H843" s="36"/>
      <c r="I843" s="36"/>
      <c r="J843" s="13"/>
    </row>
    <row r="844" ht="15.75" customHeight="1">
      <c r="B844" s="31"/>
      <c r="C844" s="34"/>
      <c r="D844" s="33"/>
      <c r="E844" s="34"/>
      <c r="F844" s="35"/>
      <c r="G844" s="36"/>
      <c r="H844" s="36"/>
      <c r="I844" s="36"/>
      <c r="J844" s="13"/>
    </row>
    <row r="845" ht="15.75" customHeight="1">
      <c r="B845" s="31"/>
      <c r="C845" s="34"/>
      <c r="D845" s="33"/>
      <c r="E845" s="34"/>
      <c r="F845" s="35"/>
      <c r="G845" s="36"/>
      <c r="H845" s="36"/>
      <c r="I845" s="36"/>
      <c r="J845" s="13"/>
    </row>
    <row r="846" ht="15.75" customHeight="1">
      <c r="B846" s="31"/>
      <c r="C846" s="34"/>
      <c r="D846" s="33"/>
      <c r="E846" s="34"/>
      <c r="F846" s="35"/>
      <c r="G846" s="36"/>
      <c r="H846" s="36"/>
      <c r="I846" s="36"/>
      <c r="J846" s="13"/>
    </row>
    <row r="847" ht="15.75" customHeight="1">
      <c r="B847" s="31"/>
      <c r="C847" s="34"/>
      <c r="D847" s="33"/>
      <c r="E847" s="34"/>
      <c r="F847" s="35"/>
      <c r="G847" s="36"/>
      <c r="H847" s="36"/>
      <c r="I847" s="36"/>
      <c r="J847" s="13"/>
    </row>
    <row r="848" ht="15.75" customHeight="1">
      <c r="B848" s="31"/>
      <c r="C848" s="34"/>
      <c r="D848" s="33"/>
      <c r="E848" s="34"/>
      <c r="F848" s="35"/>
      <c r="G848" s="36"/>
      <c r="H848" s="36"/>
      <c r="I848" s="36"/>
      <c r="J848" s="13"/>
    </row>
    <row r="849" ht="15.75" customHeight="1">
      <c r="B849" s="31"/>
      <c r="C849" s="34"/>
      <c r="D849" s="33"/>
      <c r="E849" s="34"/>
      <c r="F849" s="35"/>
      <c r="G849" s="36"/>
      <c r="H849" s="36"/>
      <c r="I849" s="36"/>
      <c r="J849" s="13"/>
    </row>
    <row r="850" ht="15.75" customHeight="1">
      <c r="B850" s="31"/>
      <c r="C850" s="34"/>
      <c r="D850" s="33"/>
      <c r="E850" s="34"/>
      <c r="F850" s="35"/>
      <c r="G850" s="36"/>
      <c r="H850" s="36"/>
      <c r="I850" s="36"/>
      <c r="J850" s="13"/>
    </row>
    <row r="851" ht="15.75" customHeight="1">
      <c r="B851" s="31"/>
      <c r="C851" s="34"/>
      <c r="D851" s="33"/>
      <c r="E851" s="34"/>
      <c r="F851" s="35"/>
      <c r="G851" s="36"/>
      <c r="H851" s="36"/>
      <c r="I851" s="36"/>
      <c r="J851" s="13"/>
    </row>
    <row r="852" ht="15.75" customHeight="1">
      <c r="B852" s="31"/>
      <c r="C852" s="34"/>
      <c r="D852" s="33"/>
      <c r="E852" s="34"/>
      <c r="F852" s="35"/>
      <c r="G852" s="36"/>
      <c r="H852" s="36"/>
      <c r="I852" s="36"/>
      <c r="J852" s="13"/>
    </row>
    <row r="853" ht="15.75" customHeight="1">
      <c r="B853" s="31"/>
      <c r="C853" s="34"/>
      <c r="D853" s="33"/>
      <c r="E853" s="34"/>
      <c r="F853" s="35"/>
      <c r="G853" s="36"/>
      <c r="H853" s="36"/>
      <c r="I853" s="36"/>
      <c r="J853" s="13"/>
    </row>
    <row r="854" ht="15.75" customHeight="1">
      <c r="B854" s="31"/>
      <c r="C854" s="34"/>
      <c r="D854" s="33"/>
      <c r="E854" s="34"/>
      <c r="F854" s="35"/>
      <c r="G854" s="36"/>
      <c r="H854" s="36"/>
      <c r="I854" s="36"/>
      <c r="J854" s="13"/>
    </row>
    <row r="855" ht="15.75" customHeight="1">
      <c r="B855" s="31"/>
      <c r="C855" s="34"/>
      <c r="D855" s="33"/>
      <c r="E855" s="34"/>
      <c r="F855" s="35"/>
      <c r="G855" s="36"/>
      <c r="H855" s="36"/>
      <c r="I855" s="36"/>
      <c r="J855" s="13"/>
    </row>
    <row r="856" ht="15.75" customHeight="1">
      <c r="B856" s="31"/>
      <c r="C856" s="34"/>
      <c r="D856" s="33"/>
      <c r="E856" s="34"/>
      <c r="F856" s="35"/>
      <c r="G856" s="36"/>
      <c r="H856" s="36"/>
      <c r="I856" s="36"/>
      <c r="J856" s="13"/>
    </row>
    <row r="857" ht="15.75" customHeight="1">
      <c r="B857" s="31"/>
      <c r="C857" s="34"/>
      <c r="D857" s="33"/>
      <c r="E857" s="34"/>
      <c r="F857" s="35"/>
      <c r="G857" s="36"/>
      <c r="H857" s="36"/>
      <c r="I857" s="36"/>
      <c r="J857" s="13"/>
    </row>
    <row r="858" ht="15.75" customHeight="1">
      <c r="B858" s="31"/>
      <c r="C858" s="34"/>
      <c r="D858" s="33"/>
      <c r="E858" s="34"/>
      <c r="F858" s="35"/>
      <c r="G858" s="36"/>
      <c r="H858" s="36"/>
      <c r="I858" s="36"/>
      <c r="J858" s="13"/>
    </row>
    <row r="859" ht="15.75" customHeight="1">
      <c r="B859" s="31"/>
      <c r="C859" s="34"/>
      <c r="D859" s="33"/>
      <c r="E859" s="34"/>
      <c r="F859" s="35"/>
      <c r="G859" s="36"/>
      <c r="H859" s="36"/>
      <c r="I859" s="36"/>
      <c r="J859" s="13"/>
    </row>
    <row r="860" ht="15.75" customHeight="1">
      <c r="B860" s="31"/>
      <c r="C860" s="34"/>
      <c r="D860" s="33"/>
      <c r="E860" s="34"/>
      <c r="F860" s="35"/>
      <c r="G860" s="36"/>
      <c r="H860" s="36"/>
      <c r="I860" s="36"/>
      <c r="J860" s="13"/>
    </row>
    <row r="861" ht="15.75" customHeight="1">
      <c r="B861" s="31"/>
      <c r="C861" s="34"/>
      <c r="D861" s="33"/>
      <c r="E861" s="34"/>
      <c r="F861" s="35"/>
      <c r="G861" s="36"/>
      <c r="H861" s="36"/>
      <c r="I861" s="36"/>
      <c r="J861" s="13"/>
    </row>
    <row r="862" ht="15.75" customHeight="1">
      <c r="B862" s="31"/>
      <c r="C862" s="34"/>
      <c r="D862" s="33"/>
      <c r="E862" s="34"/>
      <c r="F862" s="35"/>
      <c r="G862" s="36"/>
      <c r="H862" s="36"/>
      <c r="I862" s="36"/>
      <c r="J862" s="13"/>
    </row>
    <row r="863" ht="15.75" customHeight="1">
      <c r="B863" s="31"/>
      <c r="C863" s="34"/>
      <c r="D863" s="33"/>
      <c r="E863" s="34"/>
      <c r="F863" s="35"/>
      <c r="G863" s="36"/>
      <c r="H863" s="36"/>
      <c r="I863" s="36"/>
      <c r="J863" s="13"/>
    </row>
    <row r="864" ht="15.75" customHeight="1">
      <c r="B864" s="31"/>
      <c r="C864" s="34"/>
      <c r="D864" s="33"/>
      <c r="E864" s="34"/>
      <c r="F864" s="35"/>
      <c r="G864" s="36"/>
      <c r="H864" s="36"/>
      <c r="I864" s="36"/>
      <c r="J864" s="13"/>
    </row>
    <row r="865" ht="15.75" customHeight="1">
      <c r="B865" s="31"/>
      <c r="C865" s="34"/>
      <c r="D865" s="33"/>
      <c r="E865" s="34"/>
      <c r="F865" s="35"/>
      <c r="G865" s="36"/>
      <c r="H865" s="36"/>
      <c r="I865" s="36"/>
      <c r="J865" s="13"/>
    </row>
    <row r="866" ht="15.75" customHeight="1">
      <c r="B866" s="31"/>
      <c r="C866" s="34"/>
      <c r="D866" s="33"/>
      <c r="E866" s="34"/>
      <c r="F866" s="35"/>
      <c r="G866" s="36"/>
      <c r="H866" s="36"/>
      <c r="I866" s="36"/>
      <c r="J866" s="13"/>
    </row>
    <row r="867" ht="15.75" customHeight="1">
      <c r="B867" s="31"/>
      <c r="C867" s="34"/>
      <c r="D867" s="33"/>
      <c r="E867" s="34"/>
      <c r="F867" s="35"/>
      <c r="G867" s="36"/>
      <c r="H867" s="36"/>
      <c r="I867" s="36"/>
      <c r="J867" s="13"/>
    </row>
    <row r="868" ht="15.75" customHeight="1">
      <c r="B868" s="31"/>
      <c r="C868" s="34"/>
      <c r="D868" s="33"/>
      <c r="E868" s="34"/>
      <c r="F868" s="35"/>
      <c r="G868" s="36"/>
      <c r="H868" s="36"/>
      <c r="I868" s="36"/>
      <c r="J868" s="13"/>
    </row>
    <row r="869" ht="15.75" customHeight="1">
      <c r="B869" s="31"/>
      <c r="C869" s="34"/>
      <c r="D869" s="33"/>
      <c r="E869" s="34"/>
      <c r="F869" s="35"/>
      <c r="G869" s="36"/>
      <c r="H869" s="36"/>
      <c r="I869" s="36"/>
      <c r="J869" s="13"/>
    </row>
    <row r="870" ht="15.75" customHeight="1">
      <c r="B870" s="31"/>
      <c r="C870" s="34"/>
      <c r="D870" s="33"/>
      <c r="E870" s="34"/>
      <c r="F870" s="35"/>
      <c r="G870" s="36"/>
      <c r="H870" s="36"/>
      <c r="I870" s="36"/>
      <c r="J870" s="13"/>
    </row>
    <row r="871" ht="15.75" customHeight="1">
      <c r="B871" s="31"/>
      <c r="C871" s="34"/>
      <c r="D871" s="33"/>
      <c r="E871" s="34"/>
      <c r="F871" s="35"/>
      <c r="G871" s="36"/>
      <c r="H871" s="36"/>
      <c r="I871" s="36"/>
      <c r="J871" s="13"/>
    </row>
    <row r="872" ht="15.75" customHeight="1">
      <c r="B872" s="31"/>
      <c r="C872" s="34"/>
      <c r="D872" s="33"/>
      <c r="E872" s="34"/>
      <c r="F872" s="35"/>
      <c r="G872" s="36"/>
      <c r="H872" s="36"/>
      <c r="I872" s="36"/>
      <c r="J872" s="13"/>
    </row>
    <row r="873" ht="15.75" customHeight="1">
      <c r="B873" s="31"/>
      <c r="C873" s="34"/>
      <c r="D873" s="33"/>
      <c r="E873" s="34"/>
      <c r="F873" s="35"/>
      <c r="G873" s="36"/>
      <c r="H873" s="36"/>
      <c r="I873" s="36"/>
      <c r="J873" s="13"/>
    </row>
    <row r="874" ht="15.75" customHeight="1">
      <c r="B874" s="31"/>
      <c r="C874" s="34"/>
      <c r="D874" s="33"/>
      <c r="E874" s="34"/>
      <c r="F874" s="35"/>
      <c r="G874" s="36"/>
      <c r="H874" s="36"/>
      <c r="I874" s="36"/>
      <c r="J874" s="13"/>
    </row>
    <row r="875" ht="15.75" customHeight="1">
      <c r="B875" s="31"/>
      <c r="C875" s="34"/>
      <c r="D875" s="33"/>
      <c r="E875" s="34"/>
      <c r="F875" s="35"/>
      <c r="G875" s="36"/>
      <c r="H875" s="36"/>
      <c r="I875" s="36"/>
      <c r="J875" s="13"/>
    </row>
    <row r="876" ht="15.75" customHeight="1">
      <c r="B876" s="31"/>
      <c r="C876" s="34"/>
      <c r="D876" s="33"/>
      <c r="E876" s="34"/>
      <c r="F876" s="35"/>
      <c r="G876" s="36"/>
      <c r="H876" s="36"/>
      <c r="I876" s="36"/>
      <c r="J876" s="13"/>
    </row>
    <row r="877" ht="15.75" customHeight="1">
      <c r="B877" s="31"/>
      <c r="C877" s="34"/>
      <c r="D877" s="33"/>
      <c r="E877" s="34"/>
      <c r="F877" s="35"/>
      <c r="G877" s="36"/>
      <c r="H877" s="36"/>
      <c r="I877" s="36"/>
      <c r="J877" s="13"/>
    </row>
    <row r="878" ht="15.75" customHeight="1">
      <c r="B878" s="31"/>
      <c r="C878" s="34"/>
      <c r="D878" s="33"/>
      <c r="E878" s="34"/>
      <c r="F878" s="35"/>
      <c r="G878" s="36"/>
      <c r="H878" s="36"/>
      <c r="I878" s="36"/>
      <c r="J878" s="13"/>
    </row>
    <row r="879" ht="15.75" customHeight="1">
      <c r="B879" s="31"/>
      <c r="C879" s="34"/>
      <c r="D879" s="33"/>
      <c r="E879" s="34"/>
      <c r="F879" s="35"/>
      <c r="G879" s="36"/>
      <c r="H879" s="36"/>
      <c r="I879" s="36"/>
      <c r="J879" s="13"/>
    </row>
    <row r="880" ht="15.75" customHeight="1">
      <c r="B880" s="31"/>
      <c r="C880" s="34"/>
      <c r="D880" s="33"/>
      <c r="E880" s="34"/>
      <c r="F880" s="35"/>
      <c r="G880" s="36"/>
      <c r="H880" s="36"/>
      <c r="I880" s="36"/>
      <c r="J880" s="13"/>
    </row>
    <row r="881" ht="15.75" customHeight="1">
      <c r="B881" s="31"/>
      <c r="C881" s="34"/>
      <c r="D881" s="33"/>
      <c r="E881" s="34"/>
      <c r="F881" s="35"/>
      <c r="G881" s="36"/>
      <c r="H881" s="36"/>
      <c r="I881" s="36"/>
      <c r="J881" s="13"/>
    </row>
    <row r="882" ht="15.75" customHeight="1">
      <c r="B882" s="31"/>
      <c r="C882" s="34"/>
      <c r="D882" s="33"/>
      <c r="E882" s="34"/>
      <c r="F882" s="35"/>
      <c r="G882" s="36"/>
      <c r="H882" s="36"/>
      <c r="I882" s="36"/>
      <c r="J882" s="13"/>
    </row>
    <row r="883" ht="15.75" customHeight="1">
      <c r="B883" s="31"/>
      <c r="C883" s="34"/>
      <c r="D883" s="33"/>
      <c r="E883" s="34"/>
      <c r="F883" s="35"/>
      <c r="G883" s="36"/>
      <c r="H883" s="36"/>
      <c r="I883" s="36"/>
      <c r="J883" s="13"/>
    </row>
    <row r="884" ht="15.75" customHeight="1">
      <c r="B884" s="31"/>
      <c r="C884" s="34"/>
      <c r="D884" s="33"/>
      <c r="E884" s="34"/>
      <c r="F884" s="35"/>
      <c r="G884" s="36"/>
      <c r="H884" s="36"/>
      <c r="I884" s="36"/>
      <c r="J884" s="13"/>
    </row>
    <row r="885" ht="15.75" customHeight="1">
      <c r="B885" s="31"/>
      <c r="C885" s="34"/>
      <c r="D885" s="33"/>
      <c r="E885" s="34"/>
      <c r="F885" s="35"/>
      <c r="G885" s="36"/>
      <c r="H885" s="36"/>
      <c r="I885" s="36"/>
      <c r="J885" s="13"/>
    </row>
    <row r="886" ht="15.75" customHeight="1">
      <c r="B886" s="31"/>
      <c r="C886" s="34"/>
      <c r="D886" s="33"/>
      <c r="E886" s="34"/>
      <c r="F886" s="35"/>
      <c r="G886" s="36"/>
      <c r="H886" s="36"/>
      <c r="I886" s="36"/>
      <c r="J886" s="13"/>
    </row>
    <row r="887" ht="15.75" customHeight="1">
      <c r="B887" s="31"/>
      <c r="C887" s="34"/>
      <c r="D887" s="33"/>
      <c r="E887" s="34"/>
      <c r="F887" s="35"/>
      <c r="G887" s="36"/>
      <c r="H887" s="36"/>
      <c r="I887" s="36"/>
      <c r="J887" s="13"/>
    </row>
    <row r="888" ht="15.75" customHeight="1">
      <c r="B888" s="31"/>
      <c r="C888" s="34"/>
      <c r="D888" s="33"/>
      <c r="E888" s="34"/>
      <c r="F888" s="35"/>
      <c r="G888" s="36"/>
      <c r="H888" s="36"/>
      <c r="I888" s="36"/>
      <c r="J888" s="13"/>
    </row>
    <row r="889" ht="15.75" customHeight="1">
      <c r="B889" s="31"/>
      <c r="C889" s="34"/>
      <c r="D889" s="33"/>
      <c r="E889" s="34"/>
      <c r="F889" s="35"/>
      <c r="G889" s="36"/>
      <c r="H889" s="36"/>
      <c r="I889" s="36"/>
      <c r="J889" s="13"/>
    </row>
    <row r="890" ht="15.75" customHeight="1">
      <c r="B890" s="31"/>
      <c r="C890" s="34"/>
      <c r="D890" s="33"/>
      <c r="E890" s="34"/>
      <c r="F890" s="35"/>
      <c r="G890" s="36"/>
      <c r="H890" s="36"/>
      <c r="I890" s="36"/>
      <c r="J890" s="13"/>
    </row>
    <row r="891" ht="15.75" customHeight="1">
      <c r="B891" s="31"/>
      <c r="C891" s="34"/>
      <c r="D891" s="33"/>
      <c r="E891" s="34"/>
      <c r="F891" s="35"/>
      <c r="G891" s="36"/>
      <c r="H891" s="36"/>
      <c r="I891" s="36"/>
      <c r="J891" s="13"/>
    </row>
    <row r="892" ht="15.75" customHeight="1">
      <c r="B892" s="31"/>
      <c r="C892" s="34"/>
      <c r="D892" s="33"/>
      <c r="E892" s="34"/>
      <c r="F892" s="35"/>
      <c r="G892" s="36"/>
      <c r="H892" s="36"/>
      <c r="I892" s="36"/>
      <c r="J892" s="13"/>
    </row>
    <row r="893" ht="15.75" customHeight="1">
      <c r="B893" s="31"/>
      <c r="C893" s="34"/>
      <c r="D893" s="33"/>
      <c r="E893" s="34"/>
      <c r="F893" s="35"/>
      <c r="G893" s="36"/>
      <c r="H893" s="36"/>
      <c r="I893" s="36"/>
      <c r="J893" s="13"/>
    </row>
    <row r="894" ht="15.75" customHeight="1">
      <c r="B894" s="31"/>
      <c r="C894" s="34"/>
      <c r="D894" s="33"/>
      <c r="E894" s="34"/>
      <c r="F894" s="35"/>
      <c r="G894" s="36"/>
      <c r="H894" s="36"/>
      <c r="I894" s="36"/>
      <c r="J894" s="13"/>
    </row>
    <row r="895" ht="15.75" customHeight="1">
      <c r="B895" s="31"/>
      <c r="C895" s="34"/>
      <c r="D895" s="33"/>
      <c r="E895" s="34"/>
      <c r="F895" s="35"/>
      <c r="G895" s="36"/>
      <c r="H895" s="36"/>
      <c r="I895" s="36"/>
      <c r="J895" s="13"/>
    </row>
    <row r="896" ht="15.75" customHeight="1">
      <c r="B896" s="31"/>
      <c r="C896" s="34"/>
      <c r="D896" s="33"/>
      <c r="E896" s="34"/>
      <c r="F896" s="35"/>
      <c r="G896" s="36"/>
      <c r="H896" s="36"/>
      <c r="I896" s="36"/>
      <c r="J896" s="13"/>
    </row>
    <row r="897" ht="15.75" customHeight="1">
      <c r="B897" s="31"/>
      <c r="C897" s="34"/>
      <c r="D897" s="33"/>
      <c r="E897" s="34"/>
      <c r="F897" s="35"/>
      <c r="G897" s="36"/>
      <c r="H897" s="36"/>
      <c r="I897" s="36"/>
      <c r="J897" s="13"/>
    </row>
    <row r="898" ht="15.75" customHeight="1">
      <c r="B898" s="31"/>
      <c r="C898" s="34"/>
      <c r="D898" s="33"/>
      <c r="E898" s="34"/>
      <c r="F898" s="35"/>
      <c r="G898" s="36"/>
      <c r="H898" s="36"/>
      <c r="I898" s="36"/>
      <c r="J898" s="13"/>
    </row>
    <row r="899" ht="15.75" customHeight="1">
      <c r="B899" s="31"/>
      <c r="C899" s="34"/>
      <c r="D899" s="33"/>
      <c r="E899" s="34"/>
      <c r="F899" s="35"/>
      <c r="G899" s="36"/>
      <c r="H899" s="36"/>
      <c r="I899" s="36"/>
      <c r="J899" s="13"/>
    </row>
    <row r="900" ht="15.75" customHeight="1">
      <c r="B900" s="31"/>
      <c r="C900" s="34"/>
      <c r="D900" s="33"/>
      <c r="E900" s="34"/>
      <c r="F900" s="35"/>
      <c r="G900" s="36"/>
      <c r="H900" s="36"/>
      <c r="I900" s="36"/>
      <c r="J900" s="13"/>
    </row>
    <row r="901" ht="15.75" customHeight="1">
      <c r="B901" s="31"/>
      <c r="C901" s="34"/>
      <c r="D901" s="33"/>
      <c r="E901" s="34"/>
      <c r="F901" s="35"/>
      <c r="G901" s="36"/>
      <c r="H901" s="36"/>
      <c r="I901" s="36"/>
      <c r="J901" s="13"/>
    </row>
    <row r="902" ht="15.75" customHeight="1">
      <c r="B902" s="31"/>
      <c r="C902" s="34"/>
      <c r="D902" s="33"/>
      <c r="E902" s="34"/>
      <c r="F902" s="35"/>
      <c r="G902" s="36"/>
      <c r="H902" s="36"/>
      <c r="I902" s="36"/>
      <c r="J902" s="13"/>
    </row>
    <row r="903" ht="15.75" customHeight="1">
      <c r="B903" s="31"/>
      <c r="C903" s="34"/>
      <c r="D903" s="33"/>
      <c r="E903" s="34"/>
      <c r="F903" s="35"/>
      <c r="G903" s="36"/>
      <c r="H903" s="36"/>
      <c r="I903" s="36"/>
      <c r="J903" s="13"/>
    </row>
    <row r="904" ht="15.75" customHeight="1">
      <c r="B904" s="31"/>
      <c r="C904" s="34"/>
      <c r="D904" s="33"/>
      <c r="E904" s="34"/>
      <c r="F904" s="35"/>
      <c r="G904" s="36"/>
      <c r="H904" s="36"/>
      <c r="I904" s="36"/>
      <c r="J904" s="13"/>
    </row>
    <row r="905" ht="15.75" customHeight="1">
      <c r="B905" s="31"/>
      <c r="C905" s="34"/>
      <c r="D905" s="33"/>
      <c r="E905" s="34"/>
      <c r="F905" s="35"/>
      <c r="G905" s="36"/>
      <c r="H905" s="36"/>
      <c r="I905" s="36"/>
      <c r="J905" s="13"/>
    </row>
    <row r="906" ht="15.75" customHeight="1">
      <c r="B906" s="31"/>
      <c r="C906" s="34"/>
      <c r="D906" s="33"/>
      <c r="E906" s="34"/>
      <c r="F906" s="35"/>
      <c r="G906" s="36"/>
      <c r="H906" s="36"/>
      <c r="I906" s="36"/>
      <c r="J906" s="13"/>
    </row>
    <row r="907" ht="15.75" customHeight="1">
      <c r="B907" s="31"/>
      <c r="C907" s="34"/>
      <c r="D907" s="33"/>
      <c r="E907" s="34"/>
      <c r="F907" s="35"/>
      <c r="G907" s="36"/>
      <c r="H907" s="36"/>
      <c r="I907" s="36"/>
      <c r="J907" s="13"/>
    </row>
    <row r="908" ht="15.75" customHeight="1">
      <c r="B908" s="31"/>
      <c r="C908" s="34"/>
      <c r="D908" s="33"/>
      <c r="E908" s="34"/>
      <c r="F908" s="35"/>
      <c r="G908" s="36"/>
      <c r="H908" s="36"/>
      <c r="I908" s="36"/>
      <c r="J908" s="13"/>
    </row>
    <row r="909" ht="15.75" customHeight="1">
      <c r="B909" s="31"/>
      <c r="C909" s="34"/>
      <c r="D909" s="33"/>
      <c r="E909" s="34"/>
      <c r="F909" s="35"/>
      <c r="G909" s="36"/>
      <c r="H909" s="36"/>
      <c r="I909" s="36"/>
      <c r="J909" s="13"/>
    </row>
    <row r="910" ht="15.75" customHeight="1">
      <c r="B910" s="31"/>
      <c r="C910" s="34"/>
      <c r="D910" s="33"/>
      <c r="E910" s="34"/>
      <c r="F910" s="35"/>
      <c r="G910" s="36"/>
      <c r="H910" s="36"/>
      <c r="I910" s="36"/>
      <c r="J910" s="13"/>
    </row>
    <row r="911" ht="15.75" customHeight="1">
      <c r="B911" s="31"/>
      <c r="C911" s="34"/>
      <c r="D911" s="33"/>
      <c r="E911" s="34"/>
      <c r="F911" s="35"/>
      <c r="G911" s="36"/>
      <c r="H911" s="36"/>
      <c r="I911" s="36"/>
      <c r="J911" s="13"/>
    </row>
    <row r="912" ht="15.75" customHeight="1">
      <c r="B912" s="31"/>
      <c r="C912" s="34"/>
      <c r="D912" s="33"/>
      <c r="E912" s="34"/>
      <c r="F912" s="35"/>
      <c r="G912" s="36"/>
      <c r="H912" s="36"/>
      <c r="I912" s="36"/>
      <c r="J912" s="13"/>
    </row>
    <row r="913" ht="15.75" customHeight="1">
      <c r="B913" s="31"/>
      <c r="C913" s="34"/>
      <c r="D913" s="33"/>
      <c r="E913" s="34"/>
      <c r="F913" s="35"/>
      <c r="G913" s="36"/>
      <c r="H913" s="36"/>
      <c r="I913" s="36"/>
      <c r="J913" s="13"/>
    </row>
    <row r="914" ht="15.75" customHeight="1">
      <c r="B914" s="31"/>
      <c r="C914" s="34"/>
      <c r="D914" s="33"/>
      <c r="E914" s="34"/>
      <c r="F914" s="35"/>
      <c r="G914" s="36"/>
      <c r="H914" s="36"/>
      <c r="I914" s="36"/>
      <c r="J914" s="13"/>
    </row>
    <row r="915" ht="15.75" customHeight="1">
      <c r="B915" s="31"/>
      <c r="C915" s="34"/>
      <c r="D915" s="33"/>
      <c r="E915" s="34"/>
      <c r="F915" s="35"/>
      <c r="G915" s="36"/>
      <c r="H915" s="36"/>
      <c r="I915" s="36"/>
      <c r="J915" s="13"/>
    </row>
    <row r="916" ht="15.75" customHeight="1">
      <c r="B916" s="31"/>
      <c r="C916" s="34"/>
      <c r="D916" s="33"/>
      <c r="E916" s="34"/>
      <c r="F916" s="35"/>
      <c r="G916" s="36"/>
      <c r="H916" s="36"/>
      <c r="I916" s="36"/>
      <c r="J916" s="13"/>
    </row>
    <row r="917" ht="15.75" customHeight="1">
      <c r="B917" s="31"/>
      <c r="C917" s="34"/>
      <c r="D917" s="33"/>
      <c r="E917" s="34"/>
      <c r="F917" s="35"/>
      <c r="G917" s="36"/>
      <c r="H917" s="36"/>
      <c r="I917" s="36"/>
      <c r="J917" s="13"/>
    </row>
    <row r="918" ht="15.75" customHeight="1">
      <c r="B918" s="31"/>
      <c r="C918" s="34"/>
      <c r="D918" s="33"/>
      <c r="E918" s="34"/>
      <c r="F918" s="35"/>
      <c r="G918" s="36"/>
      <c r="H918" s="36"/>
      <c r="I918" s="36"/>
      <c r="J918" s="13"/>
    </row>
    <row r="919" ht="15.75" customHeight="1">
      <c r="B919" s="31"/>
      <c r="C919" s="34"/>
      <c r="D919" s="33"/>
      <c r="E919" s="34"/>
      <c r="F919" s="35"/>
      <c r="G919" s="36"/>
      <c r="H919" s="36"/>
      <c r="I919" s="36"/>
      <c r="J919" s="13"/>
    </row>
    <row r="920" ht="15.75" customHeight="1">
      <c r="B920" s="31"/>
      <c r="C920" s="34"/>
      <c r="D920" s="33"/>
      <c r="E920" s="34"/>
      <c r="F920" s="35"/>
      <c r="G920" s="36"/>
      <c r="H920" s="36"/>
      <c r="I920" s="36"/>
      <c r="J920" s="13"/>
    </row>
    <row r="921" ht="15.75" customHeight="1">
      <c r="B921" s="31"/>
      <c r="C921" s="34"/>
      <c r="D921" s="33"/>
      <c r="E921" s="34"/>
      <c r="F921" s="35"/>
      <c r="G921" s="36"/>
      <c r="H921" s="36"/>
      <c r="I921" s="36"/>
      <c r="J921" s="13"/>
    </row>
    <row r="922" ht="15.75" customHeight="1">
      <c r="B922" s="31"/>
      <c r="C922" s="34"/>
      <c r="D922" s="33"/>
      <c r="E922" s="34"/>
      <c r="F922" s="35"/>
      <c r="G922" s="36"/>
      <c r="H922" s="36"/>
      <c r="I922" s="36"/>
      <c r="J922" s="13"/>
    </row>
    <row r="923" ht="15.75" customHeight="1">
      <c r="B923" s="31"/>
      <c r="C923" s="34"/>
      <c r="D923" s="33"/>
      <c r="E923" s="34"/>
      <c r="F923" s="35"/>
      <c r="G923" s="36"/>
      <c r="H923" s="36"/>
      <c r="I923" s="36"/>
      <c r="J923" s="13"/>
    </row>
    <row r="924" ht="15.75" customHeight="1">
      <c r="B924" s="31"/>
      <c r="C924" s="34"/>
      <c r="D924" s="33"/>
      <c r="E924" s="34"/>
      <c r="F924" s="35"/>
      <c r="G924" s="36"/>
      <c r="H924" s="36"/>
      <c r="I924" s="36"/>
      <c r="J924" s="13"/>
    </row>
    <row r="925" ht="15.75" customHeight="1">
      <c r="B925" s="31"/>
      <c r="C925" s="34"/>
      <c r="D925" s="33"/>
      <c r="E925" s="34"/>
      <c r="F925" s="35"/>
      <c r="G925" s="36"/>
      <c r="H925" s="36"/>
      <c r="I925" s="36"/>
      <c r="J925" s="13"/>
    </row>
    <row r="926" ht="15.75" customHeight="1">
      <c r="B926" s="31"/>
      <c r="C926" s="34"/>
      <c r="D926" s="33"/>
      <c r="E926" s="34"/>
      <c r="F926" s="35"/>
      <c r="G926" s="36"/>
      <c r="H926" s="36"/>
      <c r="I926" s="36"/>
      <c r="J926" s="13"/>
    </row>
    <row r="927" ht="15.75" customHeight="1">
      <c r="B927" s="31"/>
      <c r="C927" s="34"/>
      <c r="D927" s="33"/>
      <c r="E927" s="34"/>
      <c r="F927" s="35"/>
      <c r="G927" s="36"/>
      <c r="H927" s="36"/>
      <c r="I927" s="36"/>
      <c r="J927" s="13"/>
    </row>
    <row r="928" ht="15.75" customHeight="1">
      <c r="B928" s="31"/>
      <c r="C928" s="34"/>
      <c r="D928" s="33"/>
      <c r="E928" s="34"/>
      <c r="F928" s="35"/>
      <c r="G928" s="36"/>
      <c r="H928" s="36"/>
      <c r="I928" s="36"/>
      <c r="J928" s="13"/>
    </row>
    <row r="929" ht="15.75" customHeight="1">
      <c r="B929" s="31"/>
      <c r="C929" s="34"/>
      <c r="D929" s="33"/>
      <c r="E929" s="34"/>
      <c r="F929" s="35"/>
      <c r="G929" s="36"/>
      <c r="H929" s="36"/>
      <c r="I929" s="36"/>
      <c r="J929" s="13"/>
    </row>
    <row r="930" ht="15.75" customHeight="1">
      <c r="B930" s="31"/>
      <c r="C930" s="34"/>
      <c r="D930" s="33"/>
      <c r="E930" s="34"/>
      <c r="F930" s="35"/>
      <c r="G930" s="36"/>
      <c r="H930" s="36"/>
      <c r="I930" s="36"/>
      <c r="J930" s="13"/>
    </row>
    <row r="931" ht="15.75" customHeight="1">
      <c r="B931" s="31"/>
      <c r="C931" s="34"/>
      <c r="D931" s="33"/>
      <c r="E931" s="34"/>
      <c r="F931" s="35"/>
      <c r="G931" s="36"/>
      <c r="H931" s="36"/>
      <c r="I931" s="36"/>
      <c r="J931" s="13"/>
    </row>
    <row r="932" ht="15.75" customHeight="1">
      <c r="B932" s="31"/>
      <c r="C932" s="34"/>
      <c r="D932" s="33"/>
      <c r="E932" s="34"/>
      <c r="F932" s="35"/>
      <c r="G932" s="36"/>
      <c r="H932" s="36"/>
      <c r="I932" s="36"/>
      <c r="J932" s="13"/>
    </row>
    <row r="933" ht="15.75" customHeight="1">
      <c r="B933" s="31"/>
      <c r="C933" s="34"/>
      <c r="D933" s="33"/>
      <c r="E933" s="34"/>
      <c r="F933" s="35"/>
      <c r="G933" s="36"/>
      <c r="H933" s="36"/>
      <c r="I933" s="36"/>
      <c r="J933" s="13"/>
    </row>
    <row r="934" ht="15.75" customHeight="1">
      <c r="B934" s="31"/>
      <c r="C934" s="34"/>
      <c r="D934" s="33"/>
      <c r="E934" s="34"/>
      <c r="F934" s="35"/>
      <c r="G934" s="36"/>
      <c r="H934" s="36"/>
      <c r="I934" s="36"/>
      <c r="J934" s="13"/>
    </row>
    <row r="935" ht="15.75" customHeight="1">
      <c r="B935" s="31"/>
      <c r="C935" s="34"/>
      <c r="D935" s="33"/>
      <c r="E935" s="34"/>
      <c r="F935" s="35"/>
      <c r="G935" s="36"/>
      <c r="H935" s="36"/>
      <c r="I935" s="36"/>
      <c r="J935" s="13"/>
    </row>
    <row r="936" ht="15.75" customHeight="1">
      <c r="B936" s="31"/>
      <c r="C936" s="34"/>
      <c r="D936" s="33"/>
      <c r="E936" s="34"/>
      <c r="F936" s="35"/>
      <c r="G936" s="36"/>
      <c r="H936" s="36"/>
      <c r="I936" s="36"/>
      <c r="J936" s="13"/>
    </row>
    <row r="937" ht="15.75" customHeight="1">
      <c r="B937" s="31"/>
      <c r="C937" s="34"/>
      <c r="D937" s="33"/>
      <c r="E937" s="34"/>
      <c r="F937" s="35"/>
      <c r="G937" s="36"/>
      <c r="H937" s="36"/>
      <c r="I937" s="36"/>
      <c r="J937" s="13"/>
    </row>
    <row r="938" ht="15.75" customHeight="1">
      <c r="B938" s="31"/>
      <c r="C938" s="34"/>
      <c r="D938" s="33"/>
      <c r="E938" s="34"/>
      <c r="F938" s="35"/>
      <c r="G938" s="36"/>
      <c r="H938" s="36"/>
      <c r="I938" s="36"/>
      <c r="J938" s="13"/>
    </row>
    <row r="939" ht="15.75" customHeight="1">
      <c r="B939" s="31"/>
      <c r="C939" s="34"/>
      <c r="D939" s="33"/>
      <c r="E939" s="34"/>
      <c r="F939" s="35"/>
      <c r="G939" s="36"/>
      <c r="H939" s="36"/>
      <c r="I939" s="36"/>
      <c r="J939" s="13"/>
    </row>
    <row r="940" ht="15.75" customHeight="1">
      <c r="B940" s="31"/>
      <c r="C940" s="34"/>
      <c r="D940" s="33"/>
      <c r="E940" s="34"/>
      <c r="F940" s="35"/>
      <c r="G940" s="36"/>
      <c r="H940" s="36"/>
      <c r="I940" s="36"/>
      <c r="J940" s="13"/>
    </row>
    <row r="941" ht="15.75" customHeight="1">
      <c r="B941" s="31"/>
      <c r="C941" s="34"/>
      <c r="D941" s="33"/>
      <c r="E941" s="34"/>
      <c r="F941" s="35"/>
      <c r="G941" s="36"/>
      <c r="H941" s="36"/>
      <c r="I941" s="36"/>
      <c r="J941" s="13"/>
    </row>
    <row r="942" ht="15.75" customHeight="1">
      <c r="B942" s="31"/>
      <c r="C942" s="34"/>
      <c r="D942" s="33"/>
      <c r="E942" s="34"/>
      <c r="F942" s="35"/>
      <c r="G942" s="36"/>
      <c r="H942" s="36"/>
      <c r="I942" s="36"/>
      <c r="J942" s="13"/>
    </row>
    <row r="943" ht="15.75" customHeight="1">
      <c r="B943" s="31"/>
      <c r="C943" s="34"/>
      <c r="D943" s="33"/>
      <c r="E943" s="34"/>
      <c r="F943" s="35"/>
      <c r="G943" s="36"/>
      <c r="H943" s="36"/>
      <c r="I943" s="36"/>
      <c r="J943" s="13"/>
    </row>
    <row r="944" ht="15.75" customHeight="1">
      <c r="B944" s="31"/>
      <c r="C944" s="34"/>
      <c r="D944" s="33"/>
      <c r="E944" s="34"/>
      <c r="F944" s="35"/>
      <c r="G944" s="36"/>
      <c r="H944" s="36"/>
      <c r="I944" s="36"/>
      <c r="J944" s="13"/>
    </row>
    <row r="945" ht="15.75" customHeight="1">
      <c r="B945" s="31"/>
      <c r="C945" s="34"/>
      <c r="D945" s="33"/>
      <c r="E945" s="34"/>
      <c r="F945" s="35"/>
      <c r="G945" s="36"/>
      <c r="H945" s="36"/>
      <c r="I945" s="36"/>
      <c r="J945" s="13"/>
    </row>
    <row r="946" ht="15.75" customHeight="1">
      <c r="B946" s="31"/>
      <c r="C946" s="34"/>
      <c r="D946" s="33"/>
      <c r="E946" s="34"/>
      <c r="F946" s="35"/>
      <c r="G946" s="36"/>
      <c r="H946" s="36"/>
      <c r="I946" s="36"/>
      <c r="J946" s="13"/>
    </row>
    <row r="947" ht="15.75" customHeight="1">
      <c r="B947" s="31"/>
      <c r="C947" s="34"/>
      <c r="D947" s="33"/>
      <c r="E947" s="34"/>
      <c r="F947" s="35"/>
      <c r="G947" s="36"/>
      <c r="H947" s="36"/>
      <c r="I947" s="36"/>
      <c r="J947" s="13"/>
    </row>
    <row r="948" ht="15.75" customHeight="1">
      <c r="B948" s="31"/>
      <c r="C948" s="34"/>
      <c r="D948" s="33"/>
      <c r="E948" s="34"/>
      <c r="F948" s="35"/>
      <c r="G948" s="36"/>
      <c r="H948" s="36"/>
      <c r="I948" s="36"/>
      <c r="J948" s="13"/>
    </row>
    <row r="949" ht="15.75" customHeight="1">
      <c r="B949" s="31"/>
      <c r="C949" s="34"/>
      <c r="D949" s="33"/>
      <c r="E949" s="34"/>
      <c r="F949" s="35"/>
      <c r="G949" s="36"/>
      <c r="H949" s="36"/>
      <c r="I949" s="36"/>
      <c r="J949" s="13"/>
    </row>
    <row r="950" ht="15.75" customHeight="1">
      <c r="B950" s="31"/>
      <c r="C950" s="34"/>
      <c r="D950" s="33"/>
      <c r="E950" s="34"/>
      <c r="F950" s="35"/>
      <c r="G950" s="36"/>
      <c r="H950" s="36"/>
      <c r="I950" s="36"/>
      <c r="J950" s="13"/>
    </row>
    <row r="951" ht="15.75" customHeight="1">
      <c r="B951" s="31"/>
      <c r="C951" s="34"/>
      <c r="D951" s="33"/>
      <c r="E951" s="34"/>
      <c r="F951" s="35"/>
      <c r="G951" s="36"/>
      <c r="H951" s="36"/>
      <c r="I951" s="36"/>
      <c r="J951" s="13"/>
    </row>
    <row r="952" ht="15.75" customHeight="1">
      <c r="B952" s="31"/>
      <c r="C952" s="34"/>
      <c r="D952" s="33"/>
      <c r="E952" s="34"/>
      <c r="F952" s="35"/>
      <c r="G952" s="36"/>
      <c r="H952" s="36"/>
      <c r="I952" s="36"/>
      <c r="J952" s="13"/>
    </row>
    <row r="953" ht="15.75" customHeight="1">
      <c r="B953" s="31"/>
      <c r="C953" s="34"/>
      <c r="D953" s="33"/>
      <c r="E953" s="34"/>
      <c r="F953" s="35"/>
      <c r="G953" s="36"/>
      <c r="H953" s="36"/>
      <c r="I953" s="36"/>
      <c r="J953" s="13"/>
    </row>
    <row r="954" ht="15.75" customHeight="1">
      <c r="B954" s="31"/>
      <c r="C954" s="34"/>
      <c r="D954" s="33"/>
      <c r="E954" s="34"/>
      <c r="F954" s="35"/>
      <c r="G954" s="36"/>
      <c r="H954" s="36"/>
      <c r="I954" s="36"/>
      <c r="J954" s="13"/>
    </row>
    <row r="955" ht="15.75" customHeight="1">
      <c r="B955" s="31"/>
      <c r="C955" s="34"/>
      <c r="D955" s="33"/>
      <c r="E955" s="34"/>
      <c r="F955" s="35"/>
      <c r="G955" s="36"/>
      <c r="H955" s="36"/>
      <c r="I955" s="36"/>
      <c r="J955" s="13"/>
    </row>
    <row r="956" ht="15.75" customHeight="1">
      <c r="B956" s="31"/>
      <c r="C956" s="34"/>
      <c r="D956" s="33"/>
      <c r="E956" s="34"/>
      <c r="F956" s="35"/>
      <c r="G956" s="36"/>
      <c r="H956" s="36"/>
      <c r="I956" s="36"/>
      <c r="J956" s="13"/>
    </row>
    <row r="957" ht="15.75" customHeight="1">
      <c r="B957" s="31"/>
      <c r="C957" s="34"/>
      <c r="D957" s="33"/>
      <c r="E957" s="34"/>
      <c r="F957" s="35"/>
      <c r="G957" s="36"/>
      <c r="H957" s="36"/>
      <c r="I957" s="36"/>
      <c r="J957" s="13"/>
    </row>
    <row r="958" ht="15.75" customHeight="1">
      <c r="B958" s="31"/>
      <c r="C958" s="34"/>
      <c r="D958" s="33"/>
      <c r="E958" s="34"/>
      <c r="F958" s="35"/>
      <c r="G958" s="36"/>
      <c r="H958" s="36"/>
      <c r="I958" s="36"/>
      <c r="J958" s="13"/>
    </row>
    <row r="959" ht="15.75" customHeight="1">
      <c r="B959" s="31"/>
      <c r="C959" s="34"/>
      <c r="D959" s="33"/>
      <c r="E959" s="34"/>
      <c r="F959" s="35"/>
      <c r="G959" s="36"/>
      <c r="H959" s="36"/>
      <c r="I959" s="36"/>
      <c r="J959" s="13"/>
    </row>
    <row r="960" ht="15.75" customHeight="1">
      <c r="B960" s="31"/>
      <c r="C960" s="34"/>
      <c r="D960" s="33"/>
      <c r="E960" s="34"/>
      <c r="F960" s="35"/>
      <c r="G960" s="36"/>
      <c r="H960" s="36"/>
      <c r="I960" s="36"/>
      <c r="J960" s="13"/>
    </row>
    <row r="961" ht="15.75" customHeight="1">
      <c r="B961" s="31"/>
      <c r="C961" s="34"/>
      <c r="D961" s="33"/>
      <c r="E961" s="34"/>
      <c r="F961" s="35"/>
      <c r="G961" s="36"/>
      <c r="H961" s="36"/>
      <c r="I961" s="36"/>
      <c r="J961" s="13"/>
    </row>
    <row r="962" ht="15.75" customHeight="1">
      <c r="B962" s="31"/>
      <c r="C962" s="34"/>
      <c r="D962" s="33"/>
      <c r="E962" s="34"/>
      <c r="F962" s="35"/>
      <c r="G962" s="36"/>
      <c r="H962" s="36"/>
      <c r="I962" s="36"/>
      <c r="J962" s="13"/>
    </row>
    <row r="963" ht="15.75" customHeight="1">
      <c r="B963" s="31"/>
      <c r="C963" s="34"/>
      <c r="D963" s="33"/>
      <c r="E963" s="34"/>
      <c r="F963" s="35"/>
      <c r="G963" s="36"/>
      <c r="H963" s="36"/>
      <c r="I963" s="36"/>
      <c r="J963" s="13"/>
    </row>
    <row r="964" ht="15.75" customHeight="1">
      <c r="B964" s="31"/>
      <c r="C964" s="34"/>
      <c r="D964" s="33"/>
      <c r="E964" s="34"/>
      <c r="F964" s="35"/>
      <c r="G964" s="36"/>
      <c r="H964" s="36"/>
      <c r="I964" s="36"/>
      <c r="J964" s="13"/>
    </row>
    <row r="965" ht="15.75" customHeight="1">
      <c r="B965" s="31"/>
      <c r="C965" s="34"/>
      <c r="D965" s="33"/>
      <c r="E965" s="34"/>
      <c r="F965" s="35"/>
      <c r="G965" s="36"/>
      <c r="H965" s="36"/>
      <c r="I965" s="36"/>
      <c r="J965" s="13"/>
    </row>
    <row r="966" ht="15.75" customHeight="1">
      <c r="B966" s="31"/>
      <c r="C966" s="34"/>
      <c r="D966" s="33"/>
      <c r="E966" s="34"/>
      <c r="F966" s="35"/>
      <c r="G966" s="36"/>
      <c r="H966" s="36"/>
      <c r="I966" s="36"/>
      <c r="J966" s="13"/>
    </row>
    <row r="967" ht="15.75" customHeight="1">
      <c r="B967" s="31"/>
      <c r="C967" s="34"/>
      <c r="D967" s="33"/>
      <c r="E967" s="34"/>
      <c r="F967" s="35"/>
      <c r="G967" s="36"/>
      <c r="H967" s="36"/>
      <c r="I967" s="36"/>
      <c r="J967" s="13"/>
    </row>
    <row r="968" ht="15.75" customHeight="1">
      <c r="B968" s="31"/>
      <c r="C968" s="34"/>
      <c r="D968" s="33"/>
      <c r="E968" s="34"/>
      <c r="F968" s="35"/>
      <c r="G968" s="36"/>
      <c r="H968" s="36"/>
      <c r="I968" s="36"/>
      <c r="J968" s="13"/>
    </row>
    <row r="969" ht="15.75" customHeight="1">
      <c r="B969" s="31"/>
      <c r="C969" s="34"/>
      <c r="D969" s="33"/>
      <c r="E969" s="34"/>
      <c r="F969" s="35"/>
      <c r="G969" s="36"/>
      <c r="H969" s="36"/>
      <c r="I969" s="36"/>
      <c r="J969" s="13"/>
    </row>
    <row r="970" ht="15.75" customHeight="1">
      <c r="B970" s="31"/>
      <c r="C970" s="34"/>
      <c r="D970" s="33"/>
      <c r="E970" s="34"/>
      <c r="F970" s="35"/>
      <c r="G970" s="36"/>
      <c r="H970" s="36"/>
      <c r="I970" s="36"/>
      <c r="J970" s="13"/>
    </row>
    <row r="971" ht="15.75" customHeight="1">
      <c r="B971" s="31"/>
      <c r="C971" s="34"/>
      <c r="D971" s="33"/>
      <c r="E971" s="34"/>
      <c r="F971" s="35"/>
      <c r="G971" s="36"/>
      <c r="H971" s="36"/>
      <c r="I971" s="36"/>
      <c r="J971" s="13"/>
    </row>
    <row r="972" ht="15.75" customHeight="1">
      <c r="B972" s="31"/>
      <c r="C972" s="34"/>
      <c r="D972" s="33"/>
      <c r="E972" s="34"/>
      <c r="F972" s="35"/>
      <c r="G972" s="36"/>
      <c r="H972" s="36"/>
      <c r="I972" s="36"/>
      <c r="J972" s="13"/>
    </row>
    <row r="973" ht="15.75" customHeight="1">
      <c r="B973" s="31"/>
      <c r="C973" s="34"/>
      <c r="D973" s="33"/>
      <c r="E973" s="34"/>
      <c r="F973" s="35"/>
      <c r="G973" s="36"/>
      <c r="H973" s="36"/>
      <c r="I973" s="36"/>
      <c r="J973" s="13"/>
    </row>
    <row r="974" ht="15.75" customHeight="1">
      <c r="B974" s="31"/>
      <c r="C974" s="34"/>
      <c r="D974" s="33"/>
      <c r="E974" s="34"/>
      <c r="F974" s="35"/>
      <c r="G974" s="36"/>
      <c r="H974" s="36"/>
      <c r="I974" s="36"/>
      <c r="J974" s="13"/>
    </row>
    <row r="975" ht="15.75" customHeight="1">
      <c r="B975" s="31"/>
      <c r="C975" s="34"/>
      <c r="D975" s="33"/>
      <c r="E975" s="34"/>
      <c r="F975" s="35"/>
      <c r="G975" s="36"/>
      <c r="H975" s="36"/>
      <c r="I975" s="36"/>
      <c r="J975" s="13"/>
    </row>
    <row r="976" ht="15.75" customHeight="1">
      <c r="B976" s="31"/>
      <c r="C976" s="34"/>
      <c r="D976" s="33"/>
      <c r="E976" s="34"/>
      <c r="F976" s="35"/>
      <c r="G976" s="36"/>
      <c r="H976" s="36"/>
      <c r="I976" s="36"/>
      <c r="J976" s="13"/>
    </row>
    <row r="977" ht="15.75" customHeight="1">
      <c r="B977" s="31"/>
      <c r="C977" s="34"/>
      <c r="D977" s="33"/>
      <c r="E977" s="34"/>
      <c r="F977" s="35"/>
      <c r="G977" s="36"/>
      <c r="H977" s="36"/>
      <c r="I977" s="36"/>
      <c r="J977" s="13"/>
    </row>
    <row r="978" ht="15.75" customHeight="1">
      <c r="B978" s="31"/>
      <c r="C978" s="34"/>
      <c r="D978" s="33"/>
      <c r="E978" s="34"/>
      <c r="F978" s="35"/>
      <c r="G978" s="36"/>
      <c r="H978" s="36"/>
      <c r="I978" s="36"/>
      <c r="J978" s="13"/>
    </row>
    <row r="979" ht="15.75" customHeight="1">
      <c r="B979" s="31"/>
      <c r="C979" s="34"/>
      <c r="D979" s="33"/>
      <c r="E979" s="34"/>
      <c r="F979" s="35"/>
      <c r="G979" s="36"/>
      <c r="H979" s="36"/>
      <c r="I979" s="36"/>
      <c r="J979" s="13"/>
    </row>
    <row r="980" ht="15.75" customHeight="1">
      <c r="B980" s="31"/>
      <c r="C980" s="34"/>
      <c r="D980" s="33"/>
      <c r="E980" s="34"/>
      <c r="F980" s="35"/>
      <c r="G980" s="36"/>
      <c r="H980" s="36"/>
      <c r="I980" s="36"/>
      <c r="J980" s="13"/>
    </row>
    <row r="981" ht="15.75" customHeight="1">
      <c r="B981" s="31"/>
      <c r="C981" s="34"/>
      <c r="D981" s="33"/>
      <c r="E981" s="34"/>
      <c r="F981" s="35"/>
      <c r="G981" s="36"/>
      <c r="H981" s="36"/>
      <c r="I981" s="36"/>
      <c r="J981" s="13"/>
    </row>
    <row r="982" ht="15.75" customHeight="1">
      <c r="B982" s="31"/>
      <c r="C982" s="34"/>
      <c r="D982" s="33"/>
      <c r="E982" s="34"/>
      <c r="F982" s="35"/>
      <c r="G982" s="36"/>
      <c r="H982" s="36"/>
      <c r="I982" s="36"/>
      <c r="J982" s="13"/>
    </row>
    <row r="983" ht="15.75" customHeight="1">
      <c r="B983" s="31"/>
      <c r="C983" s="34"/>
      <c r="D983" s="33"/>
      <c r="E983" s="34"/>
      <c r="F983" s="35"/>
      <c r="G983" s="36"/>
      <c r="H983" s="36"/>
      <c r="I983" s="36"/>
      <c r="J983" s="13"/>
    </row>
    <row r="984" ht="15.75" customHeight="1">
      <c r="B984" s="31"/>
      <c r="C984" s="34"/>
      <c r="D984" s="33"/>
      <c r="E984" s="34"/>
      <c r="F984" s="35"/>
      <c r="G984" s="36"/>
      <c r="H984" s="36"/>
      <c r="I984" s="36"/>
      <c r="J984" s="13"/>
    </row>
    <row r="985" ht="15.75" customHeight="1">
      <c r="B985" s="31"/>
      <c r="C985" s="34"/>
      <c r="D985" s="33"/>
      <c r="E985" s="34"/>
      <c r="F985" s="35"/>
      <c r="G985" s="36"/>
      <c r="H985" s="36"/>
      <c r="I985" s="36"/>
      <c r="J985" s="13"/>
    </row>
    <row r="986" ht="15.75" customHeight="1">
      <c r="B986" s="31"/>
      <c r="C986" s="34"/>
      <c r="D986" s="33"/>
      <c r="E986" s="34"/>
      <c r="F986" s="35"/>
      <c r="G986" s="36"/>
      <c r="H986" s="36"/>
      <c r="I986" s="36"/>
      <c r="J986" s="13"/>
    </row>
    <row r="987" ht="15.75" customHeight="1">
      <c r="B987" s="31"/>
      <c r="C987" s="34"/>
      <c r="D987" s="33"/>
      <c r="E987" s="34"/>
      <c r="F987" s="35"/>
      <c r="G987" s="36"/>
      <c r="H987" s="36"/>
      <c r="I987" s="36"/>
      <c r="J987" s="13"/>
    </row>
    <row r="988" ht="15.75" customHeight="1">
      <c r="B988" s="31"/>
      <c r="C988" s="34"/>
      <c r="D988" s="33"/>
      <c r="E988" s="34"/>
      <c r="F988" s="35"/>
      <c r="G988" s="36"/>
      <c r="H988" s="36"/>
      <c r="I988" s="36"/>
      <c r="J988" s="13"/>
    </row>
    <row r="989" ht="15.75" customHeight="1">
      <c r="B989" s="31"/>
      <c r="C989" s="34"/>
      <c r="D989" s="33"/>
      <c r="E989" s="34"/>
      <c r="F989" s="35"/>
      <c r="G989" s="36"/>
      <c r="H989" s="36"/>
      <c r="I989" s="36"/>
      <c r="J989" s="13"/>
    </row>
    <row r="990" ht="15.75" customHeight="1">
      <c r="B990" s="31"/>
      <c r="C990" s="34"/>
      <c r="D990" s="33"/>
      <c r="E990" s="34"/>
      <c r="F990" s="35"/>
      <c r="G990" s="36"/>
      <c r="H990" s="36"/>
      <c r="I990" s="36"/>
      <c r="J990" s="13"/>
    </row>
    <row r="991" ht="15.75" customHeight="1">
      <c r="B991" s="31"/>
      <c r="C991" s="34"/>
      <c r="D991" s="33"/>
      <c r="E991" s="34"/>
      <c r="F991" s="35"/>
      <c r="G991" s="36"/>
      <c r="H991" s="36"/>
      <c r="I991" s="36"/>
      <c r="J991" s="13"/>
    </row>
    <row r="992" ht="15.75" customHeight="1">
      <c r="B992" s="31"/>
      <c r="C992" s="34"/>
      <c r="D992" s="33"/>
      <c r="E992" s="34"/>
      <c r="F992" s="35"/>
      <c r="G992" s="36"/>
      <c r="H992" s="36"/>
      <c r="I992" s="36"/>
      <c r="J992" s="13"/>
    </row>
    <row r="993" ht="15.75" customHeight="1">
      <c r="B993" s="31"/>
      <c r="C993" s="34"/>
      <c r="D993" s="33"/>
      <c r="E993" s="34"/>
      <c r="F993" s="35"/>
      <c r="G993" s="36"/>
      <c r="H993" s="36"/>
      <c r="I993" s="36"/>
      <c r="J993" s="13"/>
    </row>
  </sheetData>
  <autoFilter ref="$A$1:$J$48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1.67"/>
    <col customWidth="1" min="2" max="3" width="10.78"/>
    <col customWidth="1" min="4" max="4" width="10.11"/>
    <col customWidth="1" min="5" max="5" width="10.22"/>
    <col customWidth="1" min="6" max="6" width="8.56"/>
    <col customWidth="1" min="7" max="7" width="8.89"/>
    <col customWidth="1" min="8" max="8" width="10.22"/>
    <col customWidth="1" min="9" max="9" width="9.33"/>
    <col customWidth="1" min="10" max="10" width="6.89"/>
    <col customWidth="1" min="11" max="11" width="7.33"/>
    <col customWidth="1" min="12" max="12" width="7.78"/>
    <col customWidth="1" min="13" max="13" width="10.78"/>
    <col customWidth="1" min="14" max="14" width="9.89"/>
    <col customWidth="1" min="15" max="15" width="9.56"/>
    <col customWidth="1" min="16" max="16" width="25.11"/>
    <col customWidth="1" min="17" max="31" width="10.44"/>
  </cols>
  <sheetData>
    <row r="1" ht="15.75" customHeight="1">
      <c r="A1" s="38" t="s">
        <v>0</v>
      </c>
      <c r="B1" s="39" t="s">
        <v>1</v>
      </c>
      <c r="C1" s="40" t="s">
        <v>2</v>
      </c>
      <c r="D1" s="39" t="s">
        <v>63</v>
      </c>
      <c r="E1" s="41" t="s">
        <v>64</v>
      </c>
      <c r="F1" s="42" t="s">
        <v>65</v>
      </c>
      <c r="G1" s="39" t="s">
        <v>66</v>
      </c>
      <c r="H1" s="41" t="s">
        <v>67</v>
      </c>
      <c r="I1" s="43" t="s">
        <v>68</v>
      </c>
      <c r="J1" s="43" t="s">
        <v>69</v>
      </c>
      <c r="K1" s="43" t="s">
        <v>70</v>
      </c>
      <c r="L1" s="42" t="s">
        <v>71</v>
      </c>
      <c r="M1" s="44" t="s">
        <v>72</v>
      </c>
      <c r="N1" s="43" t="s">
        <v>7</v>
      </c>
      <c r="O1" s="43" t="s">
        <v>8</v>
      </c>
      <c r="P1" s="45" t="s">
        <v>9</v>
      </c>
    </row>
    <row r="2" ht="15.75" customHeight="1">
      <c r="A2" s="46" t="s">
        <v>73</v>
      </c>
      <c r="B2" s="47">
        <v>45009.0</v>
      </c>
      <c r="C2" s="48" t="s">
        <v>74</v>
      </c>
      <c r="D2" s="49">
        <v>45427.0</v>
      </c>
      <c r="E2" s="50">
        <v>0.5069444444444444</v>
      </c>
      <c r="F2" s="51">
        <v>41.0</v>
      </c>
      <c r="G2" s="49">
        <v>45428.0</v>
      </c>
      <c r="H2" s="52">
        <v>0.6458333333333334</v>
      </c>
      <c r="I2" s="53">
        <v>41.0</v>
      </c>
      <c r="J2" s="54">
        <v>0.0</v>
      </c>
      <c r="K2" s="54">
        <v>0.0</v>
      </c>
      <c r="L2" s="51" t="s">
        <v>75</v>
      </c>
      <c r="M2" s="55" t="str">
        <f t="shared" ref="M2:M3" si="1">IF(L2="&lt; 1","&lt; 10",IF(L2="&gt; 2419.6","&gt; 24196",L2*10))</f>
        <v>&lt; 10</v>
      </c>
      <c r="N2" s="56" t="s">
        <v>12</v>
      </c>
      <c r="O2" s="56" t="s">
        <v>13</v>
      </c>
      <c r="P2" s="57" t="s">
        <v>76</v>
      </c>
      <c r="Q2" s="58"/>
    </row>
    <row r="3" ht="15.75" customHeight="1">
      <c r="A3" s="46" t="s">
        <v>77</v>
      </c>
      <c r="B3" s="47">
        <v>45010.0</v>
      </c>
      <c r="C3" s="48" t="s">
        <v>74</v>
      </c>
      <c r="D3" s="49">
        <v>45427.0</v>
      </c>
      <c r="E3" s="50">
        <v>0.5076388888888889</v>
      </c>
      <c r="F3" s="51">
        <v>41.0</v>
      </c>
      <c r="G3" s="49">
        <v>45428.0</v>
      </c>
      <c r="H3" s="52">
        <v>0.6458333333333334</v>
      </c>
      <c r="I3" s="53">
        <v>41.0</v>
      </c>
      <c r="J3" s="54">
        <v>0.0</v>
      </c>
      <c r="K3" s="54">
        <v>0.0</v>
      </c>
      <c r="L3" s="51" t="s">
        <v>75</v>
      </c>
      <c r="M3" s="55" t="str">
        <f t="shared" si="1"/>
        <v>&lt; 10</v>
      </c>
      <c r="N3" s="56" t="s">
        <v>12</v>
      </c>
      <c r="O3" s="56" t="s">
        <v>13</v>
      </c>
      <c r="P3" s="59"/>
      <c r="Q3" s="58"/>
    </row>
    <row r="4" ht="15.75" customHeight="1">
      <c r="A4" s="60" t="s">
        <v>78</v>
      </c>
      <c r="B4" s="47">
        <v>45011.0</v>
      </c>
      <c r="C4" s="48" t="s">
        <v>74</v>
      </c>
      <c r="D4" s="49">
        <v>45427.0</v>
      </c>
      <c r="E4" s="50">
        <v>0.5923611111111111</v>
      </c>
      <c r="F4" s="51">
        <v>41.0</v>
      </c>
      <c r="G4" s="49">
        <v>45428.0</v>
      </c>
      <c r="H4" s="52">
        <v>0.6458333333333334</v>
      </c>
      <c r="I4" s="53">
        <v>41.0</v>
      </c>
      <c r="J4" s="61">
        <v>46.0</v>
      </c>
      <c r="K4" s="54">
        <v>48.0</v>
      </c>
      <c r="L4" s="62">
        <v>533.5</v>
      </c>
      <c r="M4" s="55">
        <f>L4*10</f>
        <v>5335</v>
      </c>
      <c r="N4" s="56" t="s">
        <v>12</v>
      </c>
      <c r="O4" s="56" t="s">
        <v>13</v>
      </c>
      <c r="P4" s="59"/>
      <c r="Q4" s="58"/>
    </row>
    <row r="5" ht="15.75" customHeight="1">
      <c r="A5" s="63" t="s">
        <v>79</v>
      </c>
      <c r="B5" s="47">
        <v>45011.0</v>
      </c>
      <c r="C5" s="48" t="s">
        <v>74</v>
      </c>
      <c r="D5" s="47">
        <v>45009.0</v>
      </c>
      <c r="E5" s="50">
        <v>0.5055555555555555</v>
      </c>
      <c r="F5" s="51">
        <v>41.0</v>
      </c>
      <c r="G5" s="49">
        <v>45428.0</v>
      </c>
      <c r="H5" s="52">
        <v>0.6458333333333334</v>
      </c>
      <c r="I5" s="53">
        <v>41.0</v>
      </c>
      <c r="J5" s="54">
        <v>0.0</v>
      </c>
      <c r="K5" s="54">
        <v>0.0</v>
      </c>
      <c r="L5" s="51" t="s">
        <v>75</v>
      </c>
      <c r="M5" s="55" t="str">
        <f>IF(L5="&lt; 1","&lt; 10",IF(L5="&gt; 2419.6","&gt; 24196",L5*10))</f>
        <v>&lt; 10</v>
      </c>
      <c r="N5" s="56" t="s">
        <v>12</v>
      </c>
      <c r="O5" s="56" t="s">
        <v>13</v>
      </c>
      <c r="P5" s="64"/>
      <c r="Q5" s="58"/>
    </row>
    <row r="6" ht="15.75" customHeight="1">
      <c r="A6" s="65" t="s">
        <v>80</v>
      </c>
      <c r="B6" s="49">
        <v>45461.0</v>
      </c>
      <c r="C6" s="66">
        <v>0.3472222222222222</v>
      </c>
      <c r="D6" s="49">
        <v>45461.0</v>
      </c>
      <c r="E6" s="50">
        <v>0.5854166666666667</v>
      </c>
      <c r="F6" s="51">
        <v>41.0</v>
      </c>
      <c r="G6" s="49">
        <v>45462.0</v>
      </c>
      <c r="H6" s="50">
        <v>0.5854166666666667</v>
      </c>
      <c r="I6" s="53">
        <v>41.0</v>
      </c>
      <c r="J6" s="61">
        <v>1.0</v>
      </c>
      <c r="K6" s="54">
        <v>0.0</v>
      </c>
      <c r="L6" s="62">
        <v>1.0</v>
      </c>
      <c r="M6" s="67">
        <f>L6*10</f>
        <v>10</v>
      </c>
      <c r="N6" s="56" t="s">
        <v>12</v>
      </c>
      <c r="O6" s="68" t="s">
        <v>81</v>
      </c>
      <c r="P6" s="56"/>
      <c r="Q6" s="58"/>
    </row>
    <row r="7" ht="15.75" customHeight="1">
      <c r="A7" s="69" t="s">
        <v>82</v>
      </c>
      <c r="B7" s="49">
        <v>45461.0</v>
      </c>
      <c r="C7" s="66">
        <v>0.3645833333333333</v>
      </c>
      <c r="D7" s="49">
        <v>45461.0</v>
      </c>
      <c r="E7" s="50">
        <v>0.5881944444444445</v>
      </c>
      <c r="F7" s="51">
        <v>41.0</v>
      </c>
      <c r="G7" s="49">
        <v>45462.0</v>
      </c>
      <c r="H7" s="50">
        <v>0.5881944444444445</v>
      </c>
      <c r="I7" s="53">
        <v>41.0</v>
      </c>
      <c r="J7" s="54">
        <v>0.0</v>
      </c>
      <c r="K7" s="54">
        <v>0.0</v>
      </c>
      <c r="L7" s="51" t="s">
        <v>75</v>
      </c>
      <c r="M7" s="55" t="str">
        <f t="shared" ref="M7:M41" si="2">IF(L7="&lt; 1","&lt; 10",IF(L7="&gt; 2419.6","&gt; 24196",L7*10))</f>
        <v>&lt; 10</v>
      </c>
      <c r="N7" s="56" t="s">
        <v>12</v>
      </c>
      <c r="O7" s="68" t="s">
        <v>81</v>
      </c>
      <c r="P7" s="56"/>
      <c r="Q7" s="58"/>
    </row>
    <row r="8" ht="15.75" customHeight="1">
      <c r="A8" s="70" t="s">
        <v>83</v>
      </c>
      <c r="B8" s="49">
        <v>45461.0</v>
      </c>
      <c r="C8" s="66">
        <v>0.38055555555555554</v>
      </c>
      <c r="D8" s="49">
        <v>45461.0</v>
      </c>
      <c r="E8" s="50">
        <v>0.5895833333333333</v>
      </c>
      <c r="F8" s="51">
        <v>41.0</v>
      </c>
      <c r="G8" s="49">
        <v>45462.0</v>
      </c>
      <c r="H8" s="50">
        <v>0.5895833333333333</v>
      </c>
      <c r="I8" s="53">
        <v>41.0</v>
      </c>
      <c r="J8" s="54">
        <v>0.0</v>
      </c>
      <c r="K8" s="54">
        <v>0.0</v>
      </c>
      <c r="L8" s="51" t="s">
        <v>75</v>
      </c>
      <c r="M8" s="55" t="str">
        <f t="shared" si="2"/>
        <v>&lt; 10</v>
      </c>
      <c r="N8" s="56" t="s">
        <v>12</v>
      </c>
      <c r="O8" s="68" t="s">
        <v>81</v>
      </c>
      <c r="P8" s="56"/>
      <c r="Q8" s="58"/>
    </row>
    <row r="9" ht="15.75" customHeight="1">
      <c r="A9" s="70" t="s">
        <v>84</v>
      </c>
      <c r="B9" s="49">
        <v>45461.0</v>
      </c>
      <c r="C9" s="66">
        <v>0.4236111111111111</v>
      </c>
      <c r="D9" s="49">
        <v>45461.0</v>
      </c>
      <c r="E9" s="50">
        <v>0.5833333333333334</v>
      </c>
      <c r="F9" s="51">
        <v>41.0</v>
      </c>
      <c r="G9" s="49">
        <v>45462.0</v>
      </c>
      <c r="H9" s="50">
        <v>0.5833333333333334</v>
      </c>
      <c r="I9" s="53">
        <v>41.0</v>
      </c>
      <c r="J9" s="54">
        <v>0.0</v>
      </c>
      <c r="K9" s="54">
        <v>0.0</v>
      </c>
      <c r="L9" s="51" t="s">
        <v>75</v>
      </c>
      <c r="M9" s="55" t="str">
        <f t="shared" si="2"/>
        <v>&lt; 10</v>
      </c>
      <c r="N9" s="56" t="s">
        <v>12</v>
      </c>
      <c r="O9" s="68" t="s">
        <v>81</v>
      </c>
      <c r="P9" s="56"/>
      <c r="Q9" s="58"/>
    </row>
    <row r="10" ht="15.75" customHeight="1">
      <c r="A10" s="71" t="s">
        <v>85</v>
      </c>
      <c r="B10" s="49">
        <v>45461.0</v>
      </c>
      <c r="C10" s="66">
        <v>0.4409722222222222</v>
      </c>
      <c r="D10" s="49">
        <v>45461.0</v>
      </c>
      <c r="E10" s="50">
        <v>0.5951388888888889</v>
      </c>
      <c r="F10" s="51">
        <v>41.0</v>
      </c>
      <c r="G10" s="49">
        <v>45462.0</v>
      </c>
      <c r="H10" s="50">
        <v>0.5951388888888889</v>
      </c>
      <c r="I10" s="53">
        <v>41.0</v>
      </c>
      <c r="J10" s="54">
        <v>0.0</v>
      </c>
      <c r="K10" s="54">
        <v>0.0</v>
      </c>
      <c r="L10" s="51" t="s">
        <v>75</v>
      </c>
      <c r="M10" s="55" t="str">
        <f t="shared" si="2"/>
        <v>&lt; 10</v>
      </c>
      <c r="N10" s="56" t="s">
        <v>12</v>
      </c>
      <c r="O10" s="68" t="s">
        <v>81</v>
      </c>
      <c r="P10" s="56"/>
      <c r="Q10" s="58"/>
    </row>
    <row r="11" ht="16.5" customHeight="1">
      <c r="A11" s="70" t="s">
        <v>86</v>
      </c>
      <c r="B11" s="49">
        <v>45461.0</v>
      </c>
      <c r="C11" s="66">
        <v>0.4548611111111111</v>
      </c>
      <c r="D11" s="49">
        <v>45461.0</v>
      </c>
      <c r="E11" s="50">
        <v>0.6041666666666666</v>
      </c>
      <c r="F11" s="51">
        <v>41.0</v>
      </c>
      <c r="G11" s="49">
        <v>45462.0</v>
      </c>
      <c r="H11" s="50">
        <v>0.6041666666666666</v>
      </c>
      <c r="I11" s="53">
        <v>41.0</v>
      </c>
      <c r="J11" s="54">
        <v>0.0</v>
      </c>
      <c r="K11" s="54">
        <v>0.0</v>
      </c>
      <c r="L11" s="51" t="s">
        <v>75</v>
      </c>
      <c r="M11" s="55" t="str">
        <f t="shared" si="2"/>
        <v>&lt; 10</v>
      </c>
      <c r="N11" s="56" t="s">
        <v>12</v>
      </c>
      <c r="O11" s="68" t="s">
        <v>81</v>
      </c>
      <c r="P11" s="56"/>
      <c r="Q11" s="58"/>
    </row>
    <row r="12" ht="15.75" customHeight="1">
      <c r="A12" s="70" t="s">
        <v>87</v>
      </c>
      <c r="B12" s="49">
        <v>45461.0</v>
      </c>
      <c r="C12" s="66">
        <v>0.4847222222222222</v>
      </c>
      <c r="D12" s="49">
        <v>45461.0</v>
      </c>
      <c r="E12" s="50">
        <v>0.5979166666666667</v>
      </c>
      <c r="F12" s="51">
        <v>41.0</v>
      </c>
      <c r="G12" s="49">
        <v>45462.0</v>
      </c>
      <c r="H12" s="50">
        <v>0.5979166666666667</v>
      </c>
      <c r="I12" s="53">
        <v>41.0</v>
      </c>
      <c r="J12" s="54">
        <v>0.0</v>
      </c>
      <c r="K12" s="54">
        <v>0.0</v>
      </c>
      <c r="L12" s="51" t="s">
        <v>75</v>
      </c>
      <c r="M12" s="55" t="str">
        <f t="shared" si="2"/>
        <v>&lt; 10</v>
      </c>
      <c r="N12" s="56" t="s">
        <v>12</v>
      </c>
      <c r="O12" s="68" t="s">
        <v>81</v>
      </c>
      <c r="P12" s="56"/>
      <c r="Q12" s="58"/>
    </row>
    <row r="13" ht="15.75" customHeight="1">
      <c r="A13" s="70" t="s">
        <v>88</v>
      </c>
      <c r="B13" s="49">
        <v>45461.0</v>
      </c>
      <c r="C13" s="66">
        <v>0.5020833333333333</v>
      </c>
      <c r="D13" s="49">
        <v>45461.0</v>
      </c>
      <c r="E13" s="50">
        <v>0.58125</v>
      </c>
      <c r="F13" s="51">
        <v>41.0</v>
      </c>
      <c r="G13" s="49">
        <v>45462.0</v>
      </c>
      <c r="H13" s="50">
        <v>0.58125</v>
      </c>
      <c r="I13" s="53">
        <v>41.0</v>
      </c>
      <c r="J13" s="54">
        <v>0.0</v>
      </c>
      <c r="K13" s="54">
        <v>0.0</v>
      </c>
      <c r="L13" s="51" t="s">
        <v>75</v>
      </c>
      <c r="M13" s="55" t="str">
        <f t="shared" si="2"/>
        <v>&lt; 10</v>
      </c>
      <c r="N13" s="56" t="s">
        <v>12</v>
      </c>
      <c r="O13" s="68" t="s">
        <v>81</v>
      </c>
      <c r="P13" s="56"/>
      <c r="Q13" s="58"/>
    </row>
    <row r="14" ht="15.75" customHeight="1">
      <c r="A14" s="70" t="s">
        <v>89</v>
      </c>
      <c r="B14" s="72">
        <v>45464.0</v>
      </c>
      <c r="C14" s="73">
        <v>0.32430555555555557</v>
      </c>
      <c r="D14" s="72">
        <v>45464.0</v>
      </c>
      <c r="E14" s="50">
        <v>0.5055555555555555</v>
      </c>
      <c r="F14" s="51">
        <v>41.0</v>
      </c>
      <c r="G14" s="49">
        <v>45465.0</v>
      </c>
      <c r="H14" s="50">
        <v>0.5055555555555555</v>
      </c>
      <c r="I14" s="53">
        <v>41.0</v>
      </c>
      <c r="J14" s="54">
        <v>0.0</v>
      </c>
      <c r="K14" s="54">
        <v>0.0</v>
      </c>
      <c r="L14" s="51" t="s">
        <v>75</v>
      </c>
      <c r="M14" s="55" t="str">
        <f t="shared" si="2"/>
        <v>&lt; 10</v>
      </c>
      <c r="N14" s="56" t="s">
        <v>12</v>
      </c>
      <c r="O14" s="68" t="s">
        <v>90</v>
      </c>
      <c r="P14" s="56"/>
      <c r="Q14" s="58"/>
    </row>
    <row r="15" ht="15.75" customHeight="1">
      <c r="A15" s="70" t="s">
        <v>91</v>
      </c>
      <c r="B15" s="72">
        <v>45464.0</v>
      </c>
      <c r="C15" s="73">
        <v>0.3611111111111111</v>
      </c>
      <c r="D15" s="72">
        <v>45464.0</v>
      </c>
      <c r="E15" s="50">
        <v>0.5090277777777777</v>
      </c>
      <c r="F15" s="51">
        <v>41.0</v>
      </c>
      <c r="G15" s="49">
        <v>45465.0</v>
      </c>
      <c r="H15" s="50">
        <v>0.5090277777777777</v>
      </c>
      <c r="I15" s="53">
        <v>41.0</v>
      </c>
      <c r="J15" s="54">
        <v>0.0</v>
      </c>
      <c r="K15" s="54">
        <v>0.0</v>
      </c>
      <c r="L15" s="51" t="s">
        <v>75</v>
      </c>
      <c r="M15" s="55" t="str">
        <f t="shared" si="2"/>
        <v>&lt; 10</v>
      </c>
      <c r="N15" s="56" t="s">
        <v>12</v>
      </c>
      <c r="O15" s="68" t="s">
        <v>90</v>
      </c>
      <c r="P15" s="56"/>
      <c r="Q15" s="58"/>
    </row>
    <row r="16" ht="15.75" customHeight="1">
      <c r="A16" s="70" t="s">
        <v>92</v>
      </c>
      <c r="B16" s="72">
        <v>45464.0</v>
      </c>
      <c r="C16" s="73">
        <v>0.375</v>
      </c>
      <c r="D16" s="72">
        <v>45464.0</v>
      </c>
      <c r="E16" s="50">
        <v>0.5125</v>
      </c>
      <c r="F16" s="51">
        <v>41.0</v>
      </c>
      <c r="G16" s="49">
        <v>45465.0</v>
      </c>
      <c r="H16" s="50">
        <v>0.5125</v>
      </c>
      <c r="I16" s="53">
        <v>41.0</v>
      </c>
      <c r="J16" s="54">
        <v>0.0</v>
      </c>
      <c r="K16" s="54">
        <v>0.0</v>
      </c>
      <c r="L16" s="51" t="s">
        <v>75</v>
      </c>
      <c r="M16" s="55" t="str">
        <f t="shared" si="2"/>
        <v>&lt; 10</v>
      </c>
      <c r="N16" s="56" t="s">
        <v>12</v>
      </c>
      <c r="O16" s="68" t="s">
        <v>90</v>
      </c>
      <c r="P16" s="56"/>
      <c r="Q16" s="58"/>
    </row>
    <row r="17" ht="15.75" customHeight="1">
      <c r="A17" s="70" t="s">
        <v>93</v>
      </c>
      <c r="B17" s="72">
        <v>45464.0</v>
      </c>
      <c r="C17" s="74">
        <v>0.43333333333333335</v>
      </c>
      <c r="D17" s="72">
        <v>45464.0</v>
      </c>
      <c r="E17" s="50">
        <v>0.5145833333333333</v>
      </c>
      <c r="F17" s="51">
        <v>41.0</v>
      </c>
      <c r="G17" s="49">
        <v>45465.0</v>
      </c>
      <c r="H17" s="50">
        <v>0.5145833333333333</v>
      </c>
      <c r="I17" s="53">
        <v>41.0</v>
      </c>
      <c r="J17" s="54">
        <v>0.0</v>
      </c>
      <c r="K17" s="54">
        <v>0.0</v>
      </c>
      <c r="L17" s="51" t="s">
        <v>75</v>
      </c>
      <c r="M17" s="55" t="str">
        <f t="shared" si="2"/>
        <v>&lt; 10</v>
      </c>
      <c r="N17" s="56" t="s">
        <v>12</v>
      </c>
      <c r="O17" s="68" t="s">
        <v>90</v>
      </c>
      <c r="P17" s="5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ht="15.75" customHeight="1">
      <c r="A18" s="70" t="s">
        <v>94</v>
      </c>
      <c r="B18" s="72">
        <v>45464.0</v>
      </c>
      <c r="C18" s="73">
        <v>0.4486111111111111</v>
      </c>
      <c r="D18" s="72">
        <v>45464.0</v>
      </c>
      <c r="E18" s="66">
        <v>0.51875</v>
      </c>
      <c r="F18" s="51">
        <v>41.0</v>
      </c>
      <c r="G18" s="49">
        <v>45465.0</v>
      </c>
      <c r="H18" s="66">
        <v>0.51875</v>
      </c>
      <c r="I18" s="53">
        <v>41.0</v>
      </c>
      <c r="J18" s="54">
        <v>0.0</v>
      </c>
      <c r="K18" s="54">
        <v>0.0</v>
      </c>
      <c r="L18" s="51" t="s">
        <v>75</v>
      </c>
      <c r="M18" s="55" t="str">
        <f t="shared" si="2"/>
        <v>&lt; 10</v>
      </c>
      <c r="N18" s="56" t="s">
        <v>12</v>
      </c>
      <c r="O18" s="68" t="s">
        <v>90</v>
      </c>
      <c r="P18" s="5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ht="15.75" customHeight="1">
      <c r="A19" s="70" t="s">
        <v>95</v>
      </c>
      <c r="B19" s="49">
        <v>45468.0</v>
      </c>
      <c r="C19" s="66">
        <v>0.3055555555555556</v>
      </c>
      <c r="D19" s="49">
        <v>45468.0</v>
      </c>
      <c r="E19" s="66">
        <v>0.4930555555555556</v>
      </c>
      <c r="F19" s="51">
        <v>41.0</v>
      </c>
      <c r="G19" s="49">
        <v>45469.0</v>
      </c>
      <c r="H19" s="66">
        <v>0.4930555555555556</v>
      </c>
      <c r="I19" s="53">
        <v>41.0</v>
      </c>
      <c r="J19" s="54">
        <v>0.0</v>
      </c>
      <c r="K19" s="54">
        <v>0.0</v>
      </c>
      <c r="L19" s="51" t="s">
        <v>75</v>
      </c>
      <c r="M19" s="55" t="str">
        <f t="shared" si="2"/>
        <v>&lt; 10</v>
      </c>
      <c r="N19" s="56" t="s">
        <v>12</v>
      </c>
      <c r="O19" s="68" t="s">
        <v>90</v>
      </c>
      <c r="P19" s="5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ht="15.75" customHeight="1">
      <c r="A20" s="70" t="s">
        <v>96</v>
      </c>
      <c r="B20" s="49">
        <v>45468.0</v>
      </c>
      <c r="C20" s="66">
        <v>0.32083333333333336</v>
      </c>
      <c r="D20" s="49">
        <v>45468.0</v>
      </c>
      <c r="E20" s="66">
        <v>0.49722222222222223</v>
      </c>
      <c r="F20" s="51">
        <v>41.0</v>
      </c>
      <c r="G20" s="49">
        <v>45469.0</v>
      </c>
      <c r="H20" s="66">
        <v>0.49722222222222223</v>
      </c>
      <c r="I20" s="53">
        <v>41.0</v>
      </c>
      <c r="J20" s="54">
        <v>0.0</v>
      </c>
      <c r="K20" s="54">
        <v>0.0</v>
      </c>
      <c r="L20" s="51" t="s">
        <v>75</v>
      </c>
      <c r="M20" s="55" t="str">
        <f t="shared" si="2"/>
        <v>&lt; 10</v>
      </c>
      <c r="N20" s="56" t="s">
        <v>12</v>
      </c>
      <c r="O20" s="68" t="s">
        <v>90</v>
      </c>
      <c r="P20" s="56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</row>
    <row r="21" ht="15.75" customHeight="1">
      <c r="A21" s="70" t="s">
        <v>97</v>
      </c>
      <c r="B21" s="49">
        <v>45468.0</v>
      </c>
      <c r="C21" s="66">
        <v>0.33541666666666664</v>
      </c>
      <c r="D21" s="49">
        <v>45468.0</v>
      </c>
      <c r="E21" s="66">
        <v>0.5</v>
      </c>
      <c r="F21" s="51">
        <v>41.0</v>
      </c>
      <c r="G21" s="49">
        <v>45469.0</v>
      </c>
      <c r="H21" s="66">
        <v>0.5</v>
      </c>
      <c r="I21" s="53">
        <v>41.0</v>
      </c>
      <c r="J21" s="54">
        <v>0.0</v>
      </c>
      <c r="K21" s="54">
        <v>0.0</v>
      </c>
      <c r="L21" s="51" t="s">
        <v>75</v>
      </c>
      <c r="M21" s="55" t="str">
        <f t="shared" si="2"/>
        <v>&lt; 10</v>
      </c>
      <c r="N21" s="56" t="s">
        <v>12</v>
      </c>
      <c r="O21" s="68" t="s">
        <v>90</v>
      </c>
      <c r="P21" s="56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</row>
    <row r="22" ht="15.75" customHeight="1">
      <c r="A22" s="70" t="s">
        <v>98</v>
      </c>
      <c r="B22" s="49">
        <v>45468.0</v>
      </c>
      <c r="C22" s="66">
        <v>0.3576388888888889</v>
      </c>
      <c r="D22" s="49">
        <v>45468.0</v>
      </c>
      <c r="E22" s="66">
        <v>0.5027777777777778</v>
      </c>
      <c r="F22" s="51">
        <v>41.0</v>
      </c>
      <c r="G22" s="49">
        <v>45469.0</v>
      </c>
      <c r="H22" s="66">
        <v>0.5027777777777778</v>
      </c>
      <c r="I22" s="53">
        <v>41.0</v>
      </c>
      <c r="J22" s="54">
        <v>0.0</v>
      </c>
      <c r="K22" s="54">
        <v>0.0</v>
      </c>
      <c r="L22" s="51" t="s">
        <v>75</v>
      </c>
      <c r="M22" s="55" t="str">
        <f t="shared" si="2"/>
        <v>&lt; 10</v>
      </c>
      <c r="N22" s="56" t="s">
        <v>12</v>
      </c>
      <c r="O22" s="68" t="s">
        <v>90</v>
      </c>
      <c r="P22" s="56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</row>
    <row r="23" ht="15.75" customHeight="1">
      <c r="A23" s="70" t="s">
        <v>99</v>
      </c>
      <c r="B23" s="49">
        <v>45468.0</v>
      </c>
      <c r="C23" s="75">
        <v>0.38333333333333336</v>
      </c>
      <c r="D23" s="49">
        <v>45468.0</v>
      </c>
      <c r="E23" s="50">
        <v>0.50625</v>
      </c>
      <c r="F23" s="51">
        <v>41.0</v>
      </c>
      <c r="G23" s="49">
        <v>45469.0</v>
      </c>
      <c r="H23" s="50">
        <v>0.50625</v>
      </c>
      <c r="I23" s="53">
        <v>41.0</v>
      </c>
      <c r="J23" s="54">
        <v>0.0</v>
      </c>
      <c r="K23" s="54">
        <v>0.0</v>
      </c>
      <c r="L23" s="51" t="s">
        <v>75</v>
      </c>
      <c r="M23" s="55" t="str">
        <f t="shared" si="2"/>
        <v>&lt; 10</v>
      </c>
      <c r="N23" s="56" t="s">
        <v>12</v>
      </c>
      <c r="O23" s="68" t="s">
        <v>90</v>
      </c>
      <c r="P23" s="56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</row>
    <row r="24" ht="15.75" customHeight="1">
      <c r="A24" s="70" t="s">
        <v>100</v>
      </c>
      <c r="B24" s="49">
        <v>45468.0</v>
      </c>
      <c r="C24" s="76">
        <v>0.4</v>
      </c>
      <c r="D24" s="49">
        <v>45468.0</v>
      </c>
      <c r="E24" s="50">
        <v>0.5104166666666666</v>
      </c>
      <c r="F24" s="51">
        <v>41.0</v>
      </c>
      <c r="G24" s="49">
        <v>45469.0</v>
      </c>
      <c r="H24" s="50">
        <v>0.5104166666666666</v>
      </c>
      <c r="I24" s="53">
        <v>41.0</v>
      </c>
      <c r="J24" s="54">
        <v>0.0</v>
      </c>
      <c r="K24" s="54">
        <v>0.0</v>
      </c>
      <c r="L24" s="51" t="s">
        <v>75</v>
      </c>
      <c r="M24" s="55" t="str">
        <f t="shared" si="2"/>
        <v>&lt; 10</v>
      </c>
      <c r="N24" s="56" t="s">
        <v>12</v>
      </c>
      <c r="O24" s="68" t="s">
        <v>90</v>
      </c>
      <c r="P24" s="56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</row>
    <row r="25" ht="15.75" customHeight="1">
      <c r="A25" s="70" t="s">
        <v>101</v>
      </c>
      <c r="B25" s="49">
        <v>45468.0</v>
      </c>
      <c r="C25" s="76">
        <v>0.4131944444444444</v>
      </c>
      <c r="D25" s="49">
        <v>45468.0</v>
      </c>
      <c r="E25" s="50">
        <v>0.5118055555555555</v>
      </c>
      <c r="F25" s="51">
        <v>41.0</v>
      </c>
      <c r="G25" s="49">
        <v>45469.0</v>
      </c>
      <c r="H25" s="50">
        <v>0.5118055555555555</v>
      </c>
      <c r="I25" s="53">
        <v>41.0</v>
      </c>
      <c r="J25" s="54">
        <v>0.0</v>
      </c>
      <c r="K25" s="54">
        <v>0.0</v>
      </c>
      <c r="L25" s="51" t="s">
        <v>75</v>
      </c>
      <c r="M25" s="55" t="str">
        <f t="shared" si="2"/>
        <v>&lt; 10</v>
      </c>
      <c r="N25" s="56" t="s">
        <v>12</v>
      </c>
      <c r="O25" s="68" t="s">
        <v>90</v>
      </c>
      <c r="P25" s="56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</row>
    <row r="26" ht="15.75" customHeight="1">
      <c r="A26" s="70" t="s">
        <v>102</v>
      </c>
      <c r="B26" s="49">
        <v>45468.0</v>
      </c>
      <c r="C26" s="66">
        <v>0.4444444444444444</v>
      </c>
      <c r="D26" s="8">
        <v>45471.0</v>
      </c>
      <c r="E26" s="77">
        <v>0.5145833333333333</v>
      </c>
      <c r="F26" s="51">
        <v>41.0</v>
      </c>
      <c r="G26" s="49">
        <v>45469.0</v>
      </c>
      <c r="H26" s="77">
        <v>0.5145833333333333</v>
      </c>
      <c r="I26" s="53">
        <v>41.0</v>
      </c>
      <c r="J26" s="54">
        <v>0.0</v>
      </c>
      <c r="K26" s="54">
        <v>0.0</v>
      </c>
      <c r="L26" s="51" t="s">
        <v>75</v>
      </c>
      <c r="M26" s="55" t="str">
        <f t="shared" si="2"/>
        <v>&lt; 10</v>
      </c>
      <c r="N26" s="56" t="s">
        <v>12</v>
      </c>
      <c r="O26" s="68" t="s">
        <v>90</v>
      </c>
      <c r="P26" s="56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</row>
    <row r="27" ht="15.75" customHeight="1">
      <c r="A27" s="70" t="s">
        <v>103</v>
      </c>
      <c r="B27" s="8">
        <v>45471.0</v>
      </c>
      <c r="C27" s="9">
        <v>0.2861111111111111</v>
      </c>
      <c r="D27" s="8">
        <v>45471.0</v>
      </c>
      <c r="E27" s="78">
        <v>0.46111111111111114</v>
      </c>
      <c r="F27" s="51">
        <v>41.0</v>
      </c>
      <c r="G27" s="49">
        <v>45472.0</v>
      </c>
      <c r="H27" s="78">
        <v>0.46111111111111114</v>
      </c>
      <c r="I27" s="53">
        <v>41.0</v>
      </c>
      <c r="J27" s="54">
        <v>0.0</v>
      </c>
      <c r="K27" s="54">
        <v>0.0</v>
      </c>
      <c r="L27" s="51" t="s">
        <v>75</v>
      </c>
      <c r="M27" s="55" t="str">
        <f t="shared" si="2"/>
        <v>&lt; 10</v>
      </c>
      <c r="N27" s="56" t="s">
        <v>12</v>
      </c>
      <c r="O27" s="68" t="s">
        <v>104</v>
      </c>
      <c r="P27" s="56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</row>
    <row r="28" ht="15.75" customHeight="1">
      <c r="A28" s="70" t="s">
        <v>105</v>
      </c>
      <c r="B28" s="8">
        <v>45471.0</v>
      </c>
      <c r="C28" s="79">
        <v>0.3076388888888889</v>
      </c>
      <c r="D28" s="8">
        <v>45471.0</v>
      </c>
      <c r="E28" s="78">
        <v>0.475</v>
      </c>
      <c r="F28" s="51">
        <v>41.0</v>
      </c>
      <c r="G28" s="49">
        <v>45472.0</v>
      </c>
      <c r="H28" s="78">
        <v>0.475</v>
      </c>
      <c r="I28" s="53">
        <v>41.0</v>
      </c>
      <c r="J28" s="54">
        <v>0.0</v>
      </c>
      <c r="K28" s="54">
        <v>0.0</v>
      </c>
      <c r="L28" s="51" t="s">
        <v>75</v>
      </c>
      <c r="M28" s="55" t="str">
        <f t="shared" si="2"/>
        <v>&lt; 10</v>
      </c>
      <c r="N28" s="56" t="s">
        <v>12</v>
      </c>
      <c r="O28" s="68" t="s">
        <v>104</v>
      </c>
      <c r="P28" s="56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</row>
    <row r="29" ht="15.75" customHeight="1">
      <c r="A29" s="70" t="s">
        <v>106</v>
      </c>
      <c r="B29" s="8">
        <v>45471.0</v>
      </c>
      <c r="C29" s="73">
        <v>0.3541666666666667</v>
      </c>
      <c r="D29" s="8">
        <v>45471.0</v>
      </c>
      <c r="E29" s="78">
        <v>0.4638888888888889</v>
      </c>
      <c r="F29" s="51">
        <v>41.0</v>
      </c>
      <c r="G29" s="49">
        <v>45472.0</v>
      </c>
      <c r="H29" s="78">
        <v>0.4638888888888889</v>
      </c>
      <c r="I29" s="53">
        <v>41.0</v>
      </c>
      <c r="J29" s="54">
        <v>0.0</v>
      </c>
      <c r="K29" s="54">
        <v>0.0</v>
      </c>
      <c r="L29" s="51" t="s">
        <v>75</v>
      </c>
      <c r="M29" s="55" t="str">
        <f t="shared" si="2"/>
        <v>&lt; 10</v>
      </c>
      <c r="N29" s="56" t="s">
        <v>12</v>
      </c>
      <c r="O29" s="68" t="s">
        <v>104</v>
      </c>
      <c r="P29" s="56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</row>
    <row r="30" ht="15.75" customHeight="1">
      <c r="A30" s="70" t="s">
        <v>107</v>
      </c>
      <c r="B30" s="8">
        <v>45471.0</v>
      </c>
      <c r="C30" s="80">
        <v>0.38125</v>
      </c>
      <c r="D30" s="8">
        <v>45471.0</v>
      </c>
      <c r="E30" s="81">
        <v>0.47638888888888886</v>
      </c>
      <c r="F30" s="51">
        <v>41.0</v>
      </c>
      <c r="G30" s="49">
        <v>45472.0</v>
      </c>
      <c r="H30" s="81">
        <v>0.47638888888888886</v>
      </c>
      <c r="I30" s="53">
        <v>41.0</v>
      </c>
      <c r="J30" s="54">
        <v>0.0</v>
      </c>
      <c r="K30" s="54">
        <v>0.0</v>
      </c>
      <c r="L30" s="51" t="s">
        <v>75</v>
      </c>
      <c r="M30" s="55" t="str">
        <f t="shared" si="2"/>
        <v>&lt; 10</v>
      </c>
      <c r="N30" s="56" t="s">
        <v>12</v>
      </c>
      <c r="O30" s="68" t="s">
        <v>104</v>
      </c>
      <c r="P30" s="56"/>
      <c r="Q30" s="82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</row>
    <row r="31" ht="15.75" customHeight="1">
      <c r="A31" s="70" t="s">
        <v>108</v>
      </c>
      <c r="B31" s="8">
        <v>45471.0</v>
      </c>
      <c r="C31" s="80">
        <v>0.4083333333333333</v>
      </c>
      <c r="D31" s="8">
        <v>45471.0</v>
      </c>
      <c r="E31" s="83">
        <v>0.4791666666666667</v>
      </c>
      <c r="F31" s="51">
        <v>41.0</v>
      </c>
      <c r="G31" s="49">
        <v>45472.0</v>
      </c>
      <c r="H31" s="83">
        <v>0.4791666666666667</v>
      </c>
      <c r="I31" s="53">
        <v>41.0</v>
      </c>
      <c r="J31" s="54">
        <v>0.0</v>
      </c>
      <c r="K31" s="54">
        <v>0.0</v>
      </c>
      <c r="L31" s="51" t="s">
        <v>75</v>
      </c>
      <c r="M31" s="55" t="str">
        <f t="shared" si="2"/>
        <v>&lt; 10</v>
      </c>
      <c r="N31" s="56" t="s">
        <v>12</v>
      </c>
      <c r="O31" s="68" t="s">
        <v>104</v>
      </c>
      <c r="P31" s="56"/>
      <c r="Q31" s="82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</row>
    <row r="32" ht="15.75" customHeight="1">
      <c r="A32" s="69" t="s">
        <v>109</v>
      </c>
      <c r="B32" s="19">
        <v>45483.0</v>
      </c>
      <c r="C32" s="84">
        <v>0.3194444444444444</v>
      </c>
      <c r="D32" s="19">
        <v>45483.0</v>
      </c>
      <c r="E32" s="83">
        <v>0.6215277777777778</v>
      </c>
      <c r="F32" s="51">
        <v>41.0</v>
      </c>
      <c r="G32" s="49">
        <v>45484.0</v>
      </c>
      <c r="H32" s="83">
        <v>0.6215277777777778</v>
      </c>
      <c r="I32" s="53">
        <v>41.0</v>
      </c>
      <c r="J32" s="54">
        <v>0.0</v>
      </c>
      <c r="K32" s="54">
        <v>0.0</v>
      </c>
      <c r="L32" s="51" t="s">
        <v>75</v>
      </c>
      <c r="M32" s="55" t="str">
        <f t="shared" si="2"/>
        <v>&lt; 10</v>
      </c>
      <c r="N32" s="56" t="s">
        <v>12</v>
      </c>
      <c r="O32" s="68" t="s">
        <v>110</v>
      </c>
      <c r="P32" s="56"/>
      <c r="Q32" s="82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</row>
    <row r="33" ht="15.75" customHeight="1">
      <c r="A33" s="70" t="s">
        <v>111</v>
      </c>
      <c r="B33" s="19">
        <v>45483.0</v>
      </c>
      <c r="C33" s="84">
        <v>0.36319444444444443</v>
      </c>
      <c r="D33" s="19">
        <v>45483.0</v>
      </c>
      <c r="E33" s="83">
        <v>0.6284722222222222</v>
      </c>
      <c r="F33" s="51">
        <v>41.0</v>
      </c>
      <c r="G33" s="49">
        <v>45484.0</v>
      </c>
      <c r="H33" s="83">
        <v>0.6284722222222222</v>
      </c>
      <c r="I33" s="53">
        <v>41.0</v>
      </c>
      <c r="J33" s="54">
        <v>0.0</v>
      </c>
      <c r="K33" s="54">
        <v>0.0</v>
      </c>
      <c r="L33" s="51" t="s">
        <v>75</v>
      </c>
      <c r="M33" s="55" t="str">
        <f t="shared" si="2"/>
        <v>&lt; 10</v>
      </c>
      <c r="N33" s="56" t="s">
        <v>12</v>
      </c>
      <c r="O33" s="68" t="s">
        <v>110</v>
      </c>
      <c r="P33" s="56"/>
      <c r="Q33" s="85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</row>
    <row r="34" ht="15.75" customHeight="1">
      <c r="A34" s="70" t="s">
        <v>112</v>
      </c>
      <c r="B34" s="19">
        <v>45483.0</v>
      </c>
      <c r="C34" s="84">
        <v>0.49722222222222223</v>
      </c>
      <c r="D34" s="19">
        <v>45483.0</v>
      </c>
      <c r="E34" s="83">
        <v>0.6375</v>
      </c>
      <c r="F34" s="51">
        <v>41.0</v>
      </c>
      <c r="G34" s="49">
        <v>45484.0</v>
      </c>
      <c r="H34" s="83">
        <v>0.6375</v>
      </c>
      <c r="I34" s="53">
        <v>41.0</v>
      </c>
      <c r="J34" s="54">
        <v>0.0</v>
      </c>
      <c r="K34" s="54">
        <v>0.0</v>
      </c>
      <c r="L34" s="51" t="s">
        <v>75</v>
      </c>
      <c r="M34" s="55" t="str">
        <f t="shared" si="2"/>
        <v>&lt; 10</v>
      </c>
      <c r="N34" s="56" t="s">
        <v>12</v>
      </c>
      <c r="O34" s="68" t="s">
        <v>110</v>
      </c>
      <c r="P34" s="87" t="s">
        <v>113</v>
      </c>
      <c r="Q34" s="85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</row>
    <row r="35" ht="15.75" customHeight="1">
      <c r="A35" s="70" t="s">
        <v>114</v>
      </c>
      <c r="B35" s="19">
        <v>45483.0</v>
      </c>
      <c r="C35" s="84">
        <v>0.5798611111111112</v>
      </c>
      <c r="D35" s="19">
        <v>45483.0</v>
      </c>
      <c r="E35" s="83">
        <v>0.6395833333333333</v>
      </c>
      <c r="F35" s="51">
        <v>41.0</v>
      </c>
      <c r="G35" s="49">
        <v>45484.0</v>
      </c>
      <c r="H35" s="83">
        <v>0.6395833333333333</v>
      </c>
      <c r="I35" s="53">
        <v>41.0</v>
      </c>
      <c r="J35" s="54">
        <v>0.0</v>
      </c>
      <c r="K35" s="54">
        <v>0.0</v>
      </c>
      <c r="L35" s="51" t="s">
        <v>75</v>
      </c>
      <c r="M35" s="55" t="str">
        <f t="shared" si="2"/>
        <v>&lt; 10</v>
      </c>
      <c r="N35" s="56" t="s">
        <v>12</v>
      </c>
      <c r="O35" s="68" t="s">
        <v>110</v>
      </c>
      <c r="P35" s="59"/>
      <c r="Q35" s="85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</row>
    <row r="36" ht="15.75" customHeight="1">
      <c r="A36" s="70" t="s">
        <v>115</v>
      </c>
      <c r="B36" s="49">
        <v>45484.0</v>
      </c>
      <c r="C36" s="84">
        <v>0.3090277777777778</v>
      </c>
      <c r="D36" s="49">
        <v>45484.0</v>
      </c>
      <c r="E36" s="83">
        <v>0.5430555555555555</v>
      </c>
      <c r="F36" s="51">
        <v>41.0</v>
      </c>
      <c r="G36" s="49">
        <v>45485.0</v>
      </c>
      <c r="H36" s="83">
        <v>0.5430555555555555</v>
      </c>
      <c r="I36" s="53">
        <v>41.0</v>
      </c>
      <c r="J36" s="54">
        <v>0.0</v>
      </c>
      <c r="K36" s="54">
        <v>0.0</v>
      </c>
      <c r="L36" s="51" t="s">
        <v>75</v>
      </c>
      <c r="M36" s="55" t="str">
        <f t="shared" si="2"/>
        <v>&lt; 10</v>
      </c>
      <c r="N36" s="56" t="s">
        <v>12</v>
      </c>
      <c r="O36" s="68" t="s">
        <v>116</v>
      </c>
      <c r="P36" s="59"/>
      <c r="Q36" s="85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</row>
    <row r="37" ht="15.75" customHeight="1">
      <c r="A37" s="70" t="s">
        <v>117</v>
      </c>
      <c r="B37" s="49">
        <v>45484.0</v>
      </c>
      <c r="C37" s="84">
        <v>0.33541666666666664</v>
      </c>
      <c r="D37" s="49">
        <v>45484.0</v>
      </c>
      <c r="E37" s="83">
        <v>0.5451388888888888</v>
      </c>
      <c r="F37" s="51">
        <v>41.0</v>
      </c>
      <c r="G37" s="49">
        <v>45485.0</v>
      </c>
      <c r="H37" s="83">
        <v>0.5451388888888888</v>
      </c>
      <c r="I37" s="53">
        <v>41.0</v>
      </c>
      <c r="J37" s="54">
        <v>0.0</v>
      </c>
      <c r="K37" s="54">
        <v>0.0</v>
      </c>
      <c r="L37" s="51" t="s">
        <v>75</v>
      </c>
      <c r="M37" s="55" t="str">
        <f t="shared" si="2"/>
        <v>&lt; 10</v>
      </c>
      <c r="N37" s="56" t="s">
        <v>12</v>
      </c>
      <c r="O37" s="68" t="s">
        <v>116</v>
      </c>
      <c r="P37" s="59"/>
      <c r="Q37" s="85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</row>
    <row r="38" ht="15.75" customHeight="1">
      <c r="A38" s="70" t="s">
        <v>118</v>
      </c>
      <c r="B38" s="49">
        <v>45484.0</v>
      </c>
      <c r="C38" s="84">
        <v>0.35694444444444445</v>
      </c>
      <c r="D38" s="49">
        <v>45484.0</v>
      </c>
      <c r="E38" s="83">
        <v>0.5513888888888889</v>
      </c>
      <c r="F38" s="51">
        <v>41.0</v>
      </c>
      <c r="G38" s="49">
        <v>45485.0</v>
      </c>
      <c r="H38" s="83">
        <v>0.5513888888888889</v>
      </c>
      <c r="I38" s="53">
        <v>41.0</v>
      </c>
      <c r="J38" s="54">
        <v>0.0</v>
      </c>
      <c r="K38" s="54">
        <v>0.0</v>
      </c>
      <c r="L38" s="51" t="s">
        <v>75</v>
      </c>
      <c r="M38" s="55" t="str">
        <f t="shared" si="2"/>
        <v>&lt; 10</v>
      </c>
      <c r="N38" s="56" t="s">
        <v>12</v>
      </c>
      <c r="O38" s="68" t="s">
        <v>116</v>
      </c>
      <c r="P38" s="59"/>
      <c r="Q38" s="85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</row>
    <row r="39" ht="15.75" customHeight="1">
      <c r="A39" s="88" t="s">
        <v>119</v>
      </c>
      <c r="B39" s="49">
        <v>45484.0</v>
      </c>
      <c r="C39" s="84">
        <v>0.4027777777777778</v>
      </c>
      <c r="D39" s="49">
        <v>45484.0</v>
      </c>
      <c r="E39" s="83">
        <v>0.5541666666666667</v>
      </c>
      <c r="F39" s="51">
        <v>41.0</v>
      </c>
      <c r="G39" s="49">
        <v>45485.0</v>
      </c>
      <c r="H39" s="83">
        <v>0.5541666666666667</v>
      </c>
      <c r="I39" s="53">
        <v>41.0</v>
      </c>
      <c r="J39" s="54">
        <v>0.0</v>
      </c>
      <c r="K39" s="54">
        <v>0.0</v>
      </c>
      <c r="L39" s="51" t="s">
        <v>75</v>
      </c>
      <c r="M39" s="55" t="str">
        <f t="shared" si="2"/>
        <v>&lt; 10</v>
      </c>
      <c r="N39" s="56" t="s">
        <v>12</v>
      </c>
      <c r="O39" s="68" t="s">
        <v>116</v>
      </c>
      <c r="P39" s="59"/>
      <c r="Q39" s="85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</row>
    <row r="40" ht="15.75" customHeight="1">
      <c r="A40" s="70" t="s">
        <v>120</v>
      </c>
      <c r="B40" s="49">
        <v>45484.0</v>
      </c>
      <c r="C40" s="84">
        <v>0.4305555555555556</v>
      </c>
      <c r="D40" s="49">
        <v>45484.0</v>
      </c>
      <c r="E40" s="50">
        <v>0.5645833333333333</v>
      </c>
      <c r="F40" s="51">
        <v>41.0</v>
      </c>
      <c r="G40" s="49">
        <v>45485.0</v>
      </c>
      <c r="H40" s="50">
        <v>0.5645833333333333</v>
      </c>
      <c r="I40" s="53">
        <v>41.0</v>
      </c>
      <c r="J40" s="54">
        <v>0.0</v>
      </c>
      <c r="K40" s="54">
        <v>0.0</v>
      </c>
      <c r="L40" s="51" t="s">
        <v>75</v>
      </c>
      <c r="M40" s="55" t="str">
        <f t="shared" si="2"/>
        <v>&lt; 10</v>
      </c>
      <c r="N40" s="56" t="s">
        <v>12</v>
      </c>
      <c r="O40" s="68" t="s">
        <v>116</v>
      </c>
      <c r="P40" s="59"/>
      <c r="Q40" s="85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</row>
    <row r="41" ht="15.75" customHeight="1">
      <c r="A41" s="70" t="s">
        <v>121</v>
      </c>
      <c r="B41" s="49">
        <v>45484.0</v>
      </c>
      <c r="C41" s="84">
        <v>0.4597222222222222</v>
      </c>
      <c r="D41" s="49">
        <v>45484.0</v>
      </c>
      <c r="E41" s="50">
        <v>0.5666666666666667</v>
      </c>
      <c r="F41" s="51">
        <v>41.0</v>
      </c>
      <c r="G41" s="49">
        <v>45485.0</v>
      </c>
      <c r="H41" s="50">
        <v>0.5666666666666667</v>
      </c>
      <c r="I41" s="53">
        <v>41.0</v>
      </c>
      <c r="J41" s="54">
        <v>0.0</v>
      </c>
      <c r="K41" s="54">
        <v>0.0</v>
      </c>
      <c r="L41" s="51" t="s">
        <v>75</v>
      </c>
      <c r="M41" s="55" t="str">
        <f t="shared" si="2"/>
        <v>&lt; 10</v>
      </c>
      <c r="N41" s="56" t="s">
        <v>12</v>
      </c>
      <c r="O41" s="68" t="s">
        <v>116</v>
      </c>
      <c r="P41" s="59"/>
      <c r="Q41" s="85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</row>
    <row r="42" ht="15.75" customHeight="1">
      <c r="A42" s="70" t="s">
        <v>122</v>
      </c>
      <c r="B42" s="89">
        <v>45489.0</v>
      </c>
      <c r="C42" s="66">
        <v>0.35347222222222224</v>
      </c>
      <c r="D42" s="89">
        <v>45489.0</v>
      </c>
      <c r="E42" s="90">
        <v>0.5597222222222222</v>
      </c>
      <c r="F42" s="51">
        <v>41.0</v>
      </c>
      <c r="G42" s="91">
        <v>45490.0</v>
      </c>
      <c r="H42" s="90">
        <v>0.5597222222222222</v>
      </c>
      <c r="I42" s="53">
        <v>41.0</v>
      </c>
      <c r="J42" s="61">
        <v>8.0</v>
      </c>
      <c r="K42" s="61">
        <v>0.0</v>
      </c>
      <c r="L42" s="62">
        <v>8.6</v>
      </c>
      <c r="M42" s="55">
        <f t="shared" ref="M42:M46" si="3">L42*10</f>
        <v>86</v>
      </c>
      <c r="N42" s="56" t="s">
        <v>12</v>
      </c>
      <c r="O42" s="92" t="s">
        <v>13</v>
      </c>
      <c r="P42" s="59"/>
      <c r="Q42" s="85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</row>
    <row r="43" ht="15.75" customHeight="1">
      <c r="A43" s="70" t="s">
        <v>123</v>
      </c>
      <c r="B43" s="89">
        <v>45489.0</v>
      </c>
      <c r="C43" s="66">
        <v>0.38472222222222224</v>
      </c>
      <c r="D43" s="89">
        <v>45489.0</v>
      </c>
      <c r="E43" s="50">
        <v>0.5951388888888889</v>
      </c>
      <c r="F43" s="51">
        <v>41.0</v>
      </c>
      <c r="G43" s="91">
        <v>45490.0</v>
      </c>
      <c r="H43" s="50">
        <v>0.5951388888888889</v>
      </c>
      <c r="I43" s="53">
        <v>41.0</v>
      </c>
      <c r="J43" s="61">
        <v>9.0</v>
      </c>
      <c r="K43" s="61">
        <v>1.0</v>
      </c>
      <c r="L43" s="62">
        <v>9.8</v>
      </c>
      <c r="M43" s="55">
        <f t="shared" si="3"/>
        <v>98</v>
      </c>
      <c r="N43" s="56" t="s">
        <v>12</v>
      </c>
      <c r="O43" s="92" t="s">
        <v>13</v>
      </c>
      <c r="P43" s="59"/>
      <c r="Q43" s="85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</row>
    <row r="44" ht="15.75" customHeight="1">
      <c r="A44" s="70" t="s">
        <v>124</v>
      </c>
      <c r="B44" s="89">
        <v>45489.0</v>
      </c>
      <c r="C44" s="66">
        <v>0.42430555555555555</v>
      </c>
      <c r="D44" s="89">
        <v>45489.0</v>
      </c>
      <c r="E44" s="50">
        <v>0.5993055555555555</v>
      </c>
      <c r="F44" s="51">
        <v>41.0</v>
      </c>
      <c r="G44" s="91">
        <v>45490.0</v>
      </c>
      <c r="H44" s="50">
        <v>0.5993055555555555</v>
      </c>
      <c r="I44" s="53">
        <v>41.0</v>
      </c>
      <c r="J44" s="61">
        <v>3.0</v>
      </c>
      <c r="K44" s="61">
        <v>0.0</v>
      </c>
      <c r="L44" s="62">
        <v>3.1</v>
      </c>
      <c r="M44" s="55">
        <f t="shared" si="3"/>
        <v>31</v>
      </c>
      <c r="N44" s="56" t="s">
        <v>12</v>
      </c>
      <c r="O44" s="92" t="s">
        <v>13</v>
      </c>
      <c r="P44" s="59"/>
      <c r="Q44" s="85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</row>
    <row r="45" ht="15.75" customHeight="1">
      <c r="A45" s="70" t="s">
        <v>125</v>
      </c>
      <c r="B45" s="89">
        <v>45489.0</v>
      </c>
      <c r="C45" s="66">
        <v>0.45069444444444445</v>
      </c>
      <c r="D45" s="89">
        <v>45489.0</v>
      </c>
      <c r="E45" s="50">
        <v>0.6055555555555555</v>
      </c>
      <c r="F45" s="51">
        <v>41.0</v>
      </c>
      <c r="G45" s="91">
        <v>45490.0</v>
      </c>
      <c r="H45" s="50">
        <v>0.6055555555555555</v>
      </c>
      <c r="I45" s="53">
        <v>41.0</v>
      </c>
      <c r="J45" s="61">
        <v>5.0</v>
      </c>
      <c r="K45" s="61">
        <v>2.0</v>
      </c>
      <c r="L45" s="62">
        <v>7.3</v>
      </c>
      <c r="M45" s="55">
        <f t="shared" si="3"/>
        <v>73</v>
      </c>
      <c r="N45" s="56" t="s">
        <v>12</v>
      </c>
      <c r="O45" s="92" t="s">
        <v>13</v>
      </c>
      <c r="P45" s="59"/>
      <c r="Q45" s="58"/>
    </row>
    <row r="46" ht="15.75" customHeight="1">
      <c r="A46" s="93" t="s">
        <v>126</v>
      </c>
      <c r="B46" s="89">
        <v>45489.0</v>
      </c>
      <c r="C46" s="84">
        <v>0.4798611111111111</v>
      </c>
      <c r="D46" s="89">
        <v>45489.0</v>
      </c>
      <c r="E46" s="50">
        <v>0.6069444444444444</v>
      </c>
      <c r="F46" s="51">
        <v>41.0</v>
      </c>
      <c r="G46" s="91">
        <v>45490.0</v>
      </c>
      <c r="H46" s="50">
        <v>0.6069444444444444</v>
      </c>
      <c r="I46" s="53">
        <v>41.0</v>
      </c>
      <c r="J46" s="61">
        <v>1.0</v>
      </c>
      <c r="K46" s="61">
        <v>0.0</v>
      </c>
      <c r="L46" s="62">
        <v>1.0</v>
      </c>
      <c r="M46" s="55">
        <f t="shared" si="3"/>
        <v>10</v>
      </c>
      <c r="N46" s="56" t="s">
        <v>12</v>
      </c>
      <c r="O46" s="92" t="s">
        <v>13</v>
      </c>
      <c r="P46" s="59"/>
      <c r="Q46" s="58"/>
    </row>
    <row r="47" ht="15.75" customHeight="1">
      <c r="A47" s="93" t="s">
        <v>127</v>
      </c>
      <c r="B47" s="89">
        <v>45489.0</v>
      </c>
      <c r="C47" s="84">
        <v>0.49375</v>
      </c>
      <c r="D47" s="89">
        <v>45489.0</v>
      </c>
      <c r="E47" s="50">
        <v>0.6083333333333333</v>
      </c>
      <c r="F47" s="51">
        <v>41.0</v>
      </c>
      <c r="G47" s="91">
        <v>45490.0</v>
      </c>
      <c r="H47" s="50">
        <v>0.6083333333333333</v>
      </c>
      <c r="I47" s="53">
        <v>41.0</v>
      </c>
      <c r="J47" s="61">
        <v>0.0</v>
      </c>
      <c r="K47" s="61">
        <v>0.0</v>
      </c>
      <c r="L47" s="51" t="s">
        <v>75</v>
      </c>
      <c r="M47" s="55" t="str">
        <f>IF(L47="&lt; 1","&lt; 10",IF(L47="&gt; 2419.6","&gt; 24196",L47*10))</f>
        <v>&lt; 10</v>
      </c>
      <c r="N47" s="56" t="s">
        <v>12</v>
      </c>
      <c r="O47" s="92" t="s">
        <v>13</v>
      </c>
      <c r="P47" s="59"/>
      <c r="Q47" s="58"/>
    </row>
    <row r="48" ht="15.75" customHeight="1">
      <c r="A48" s="93" t="s">
        <v>128</v>
      </c>
      <c r="B48" s="89">
        <v>45489.0</v>
      </c>
      <c r="C48" s="84">
        <v>0.5076388888888889</v>
      </c>
      <c r="D48" s="89">
        <v>45489.0</v>
      </c>
      <c r="E48" s="50">
        <v>0.6097222222222223</v>
      </c>
      <c r="F48" s="51">
        <v>41.0</v>
      </c>
      <c r="G48" s="91">
        <v>45490.0</v>
      </c>
      <c r="H48" s="50">
        <v>0.6097222222222223</v>
      </c>
      <c r="I48" s="53">
        <v>41.0</v>
      </c>
      <c r="J48" s="61">
        <v>5.0</v>
      </c>
      <c r="K48" s="61">
        <v>0.0</v>
      </c>
      <c r="L48" s="62">
        <v>5.2</v>
      </c>
      <c r="M48" s="55">
        <f t="shared" ref="M48:M51" si="4">L48*10</f>
        <v>52</v>
      </c>
      <c r="N48" s="56" t="s">
        <v>12</v>
      </c>
      <c r="O48" s="92" t="s">
        <v>13</v>
      </c>
      <c r="P48" s="59"/>
      <c r="Q48" s="58"/>
    </row>
    <row r="49" ht="15.75" customHeight="1">
      <c r="A49" s="70" t="s">
        <v>129</v>
      </c>
      <c r="B49" s="91">
        <v>45491.0</v>
      </c>
      <c r="C49" s="66">
        <v>0.32430555555555557</v>
      </c>
      <c r="D49" s="91">
        <v>45491.0</v>
      </c>
      <c r="E49" s="50">
        <v>0.5333333333333333</v>
      </c>
      <c r="F49" s="51">
        <v>41.0</v>
      </c>
      <c r="G49" s="91">
        <v>45492.0</v>
      </c>
      <c r="H49" s="50">
        <v>0.5333333333333333</v>
      </c>
      <c r="I49" s="53">
        <v>41.0</v>
      </c>
      <c r="J49" s="61">
        <v>11.0</v>
      </c>
      <c r="K49" s="61">
        <v>1.0</v>
      </c>
      <c r="L49" s="62">
        <v>13.4</v>
      </c>
      <c r="M49" s="55">
        <f t="shared" si="4"/>
        <v>134</v>
      </c>
      <c r="N49" s="56" t="s">
        <v>12</v>
      </c>
      <c r="O49" s="92" t="s">
        <v>13</v>
      </c>
      <c r="P49" s="59"/>
      <c r="Q49" s="58"/>
    </row>
    <row r="50" ht="15.75" customHeight="1">
      <c r="A50" s="70" t="s">
        <v>130</v>
      </c>
      <c r="B50" s="94">
        <v>45491.0</v>
      </c>
      <c r="C50" s="66">
        <v>0.33611111111111114</v>
      </c>
      <c r="D50" s="94">
        <v>45491.0</v>
      </c>
      <c r="E50" s="95">
        <v>0.5354166666666667</v>
      </c>
      <c r="F50" s="51">
        <v>41.0</v>
      </c>
      <c r="G50" s="91">
        <v>45492.0</v>
      </c>
      <c r="H50" s="95">
        <v>0.5354166666666667</v>
      </c>
      <c r="I50" s="53">
        <v>41.0</v>
      </c>
      <c r="J50" s="61">
        <v>10.0</v>
      </c>
      <c r="K50" s="61">
        <v>1.0</v>
      </c>
      <c r="L50" s="62">
        <v>12.1</v>
      </c>
      <c r="M50" s="55">
        <f t="shared" si="4"/>
        <v>121</v>
      </c>
      <c r="N50" s="56" t="s">
        <v>12</v>
      </c>
      <c r="O50" s="92" t="s">
        <v>13</v>
      </c>
      <c r="P50" s="59"/>
      <c r="Q50" s="58"/>
    </row>
    <row r="51" ht="15.75" customHeight="1">
      <c r="A51" s="65" t="s">
        <v>131</v>
      </c>
      <c r="B51" s="91">
        <v>45504.0</v>
      </c>
      <c r="C51" s="66">
        <v>0.2826388888888889</v>
      </c>
      <c r="D51" s="91">
        <v>45504.0</v>
      </c>
      <c r="E51" s="95">
        <v>0.5194444444444445</v>
      </c>
      <c r="F51" s="51">
        <v>41.0</v>
      </c>
      <c r="G51" s="91">
        <v>45505.0</v>
      </c>
      <c r="H51" s="95">
        <v>0.5194444444444445</v>
      </c>
      <c r="I51" s="53">
        <v>41.0</v>
      </c>
      <c r="J51" s="61">
        <v>0.0</v>
      </c>
      <c r="K51" s="61">
        <v>1.0</v>
      </c>
      <c r="L51" s="62">
        <v>1.0</v>
      </c>
      <c r="M51" s="55">
        <f t="shared" si="4"/>
        <v>10</v>
      </c>
      <c r="N51" s="68" t="s">
        <v>12</v>
      </c>
      <c r="O51" s="92" t="s">
        <v>13</v>
      </c>
      <c r="P51" s="59"/>
      <c r="Q51" s="58"/>
    </row>
    <row r="52" ht="15.75" customHeight="1">
      <c r="A52" s="65" t="s">
        <v>132</v>
      </c>
      <c r="B52" s="91">
        <v>45504.0</v>
      </c>
      <c r="C52" s="96">
        <v>0.2986111111111111</v>
      </c>
      <c r="D52" s="91">
        <v>45504.0</v>
      </c>
      <c r="E52" s="95">
        <v>0.5222222222222223</v>
      </c>
      <c r="F52" s="51">
        <v>41.0</v>
      </c>
      <c r="G52" s="91">
        <v>45505.0</v>
      </c>
      <c r="H52" s="95">
        <v>0.5222222222222223</v>
      </c>
      <c r="I52" s="53">
        <v>41.0</v>
      </c>
      <c r="J52" s="61">
        <v>0.0</v>
      </c>
      <c r="K52" s="61">
        <v>0.0</v>
      </c>
      <c r="L52" s="51" t="s">
        <v>75</v>
      </c>
      <c r="M52" s="55" t="str">
        <f>IF(L52="&lt; 1","&lt; 10",IF(L52="&gt; 2419.6","&gt; 24196",L52*10))</f>
        <v>&lt; 10</v>
      </c>
      <c r="N52" s="56" t="s">
        <v>12</v>
      </c>
      <c r="O52" s="92" t="s">
        <v>13</v>
      </c>
      <c r="P52" s="64"/>
      <c r="Q52" s="58"/>
    </row>
    <row r="53" ht="15.75" customHeight="1">
      <c r="A53" s="97"/>
      <c r="B53" s="98"/>
      <c r="C53" s="99"/>
      <c r="D53" s="98"/>
      <c r="E53" s="100"/>
      <c r="F53" s="101"/>
      <c r="G53" s="98"/>
      <c r="H53" s="100"/>
      <c r="I53" s="102"/>
      <c r="J53" s="102"/>
      <c r="K53" s="102"/>
      <c r="L53" s="101"/>
      <c r="M53" s="103"/>
      <c r="N53" s="102"/>
      <c r="O53" s="102"/>
      <c r="P53" s="102"/>
    </row>
    <row r="54" ht="15.75" customHeight="1">
      <c r="A54" s="97"/>
      <c r="B54" s="98"/>
      <c r="C54" s="99"/>
      <c r="D54" s="98"/>
      <c r="E54" s="100"/>
      <c r="F54" s="101"/>
      <c r="G54" s="98"/>
      <c r="H54" s="100"/>
      <c r="I54" s="102"/>
      <c r="J54" s="102"/>
      <c r="K54" s="102"/>
      <c r="L54" s="101"/>
      <c r="M54" s="103"/>
      <c r="N54" s="102"/>
      <c r="O54" s="102"/>
      <c r="P54" s="102"/>
    </row>
    <row r="55" ht="15.75" customHeight="1">
      <c r="A55" s="97"/>
      <c r="B55" s="98"/>
      <c r="C55" s="99"/>
      <c r="D55" s="98"/>
      <c r="E55" s="100"/>
      <c r="F55" s="101"/>
      <c r="G55" s="98"/>
      <c r="H55" s="100"/>
      <c r="I55" s="102"/>
      <c r="J55" s="102"/>
      <c r="K55" s="102"/>
      <c r="L55" s="101"/>
      <c r="M55" s="103"/>
      <c r="N55" s="102"/>
      <c r="O55" s="102"/>
      <c r="P55" s="102"/>
    </row>
    <row r="56" ht="15.75" customHeight="1">
      <c r="A56" s="97"/>
      <c r="B56" s="98"/>
      <c r="C56" s="99"/>
      <c r="D56" s="98"/>
      <c r="E56" s="100"/>
      <c r="F56" s="101"/>
      <c r="G56" s="98"/>
      <c r="H56" s="100"/>
      <c r="I56" s="102"/>
      <c r="J56" s="102"/>
      <c r="K56" s="102"/>
      <c r="L56" s="101"/>
      <c r="M56" s="103"/>
      <c r="N56" s="102"/>
      <c r="O56" s="102"/>
      <c r="P56" s="102"/>
    </row>
    <row r="57" ht="15.75" customHeight="1">
      <c r="A57" s="97"/>
      <c r="B57" s="98"/>
      <c r="C57" s="99"/>
      <c r="D57" s="98"/>
      <c r="E57" s="100"/>
      <c r="F57" s="101"/>
      <c r="G57" s="98"/>
      <c r="H57" s="100"/>
      <c r="I57" s="102"/>
      <c r="J57" s="102"/>
      <c r="K57" s="102"/>
      <c r="L57" s="101"/>
      <c r="M57" s="103"/>
      <c r="N57" s="102"/>
      <c r="O57" s="102"/>
      <c r="P57" s="102"/>
    </row>
    <row r="58" ht="15.75" customHeight="1">
      <c r="A58" s="97"/>
      <c r="B58" s="98"/>
      <c r="C58" s="99"/>
      <c r="D58" s="98"/>
      <c r="E58" s="100"/>
      <c r="F58" s="101"/>
      <c r="G58" s="98"/>
      <c r="H58" s="100"/>
      <c r="I58" s="102"/>
      <c r="J58" s="102"/>
      <c r="K58" s="102"/>
      <c r="L58" s="101"/>
      <c r="M58" s="103"/>
      <c r="N58" s="102"/>
      <c r="O58" s="102"/>
      <c r="P58" s="102"/>
    </row>
    <row r="59" ht="15.75" customHeight="1">
      <c r="A59" s="97"/>
      <c r="B59" s="98"/>
      <c r="C59" s="99"/>
      <c r="D59" s="98"/>
      <c r="E59" s="100"/>
      <c r="F59" s="101"/>
      <c r="G59" s="98"/>
      <c r="H59" s="100"/>
      <c r="I59" s="102"/>
      <c r="J59" s="102"/>
      <c r="K59" s="102"/>
      <c r="L59" s="101"/>
      <c r="M59" s="103"/>
      <c r="N59" s="102"/>
      <c r="O59" s="102"/>
      <c r="P59" s="102"/>
    </row>
    <row r="60" ht="15.75" customHeight="1">
      <c r="A60" s="97"/>
      <c r="B60" s="98"/>
      <c r="C60" s="99"/>
      <c r="D60" s="98"/>
      <c r="E60" s="100"/>
      <c r="F60" s="101"/>
      <c r="G60" s="98"/>
      <c r="H60" s="100"/>
      <c r="I60" s="102"/>
      <c r="J60" s="102"/>
      <c r="K60" s="102"/>
      <c r="L60" s="101"/>
      <c r="M60" s="103"/>
      <c r="N60" s="102"/>
      <c r="O60" s="102"/>
      <c r="P60" s="102"/>
    </row>
    <row r="61" ht="15.75" customHeight="1">
      <c r="A61" s="97"/>
      <c r="B61" s="98"/>
      <c r="C61" s="99"/>
      <c r="D61" s="98"/>
      <c r="E61" s="100"/>
      <c r="F61" s="101"/>
      <c r="G61" s="98"/>
      <c r="H61" s="100"/>
      <c r="I61" s="102"/>
      <c r="J61" s="102"/>
      <c r="K61" s="102"/>
      <c r="L61" s="101"/>
      <c r="M61" s="103"/>
      <c r="N61" s="102"/>
      <c r="O61" s="102"/>
      <c r="P61" s="102"/>
    </row>
    <row r="62" ht="15.75" customHeight="1">
      <c r="A62" s="97"/>
      <c r="B62" s="98"/>
      <c r="C62" s="99"/>
      <c r="D62" s="98"/>
      <c r="E62" s="100"/>
      <c r="F62" s="101"/>
      <c r="G62" s="98"/>
      <c r="H62" s="100"/>
      <c r="I62" s="102"/>
      <c r="J62" s="102"/>
      <c r="K62" s="102"/>
      <c r="L62" s="101"/>
      <c r="M62" s="103"/>
      <c r="N62" s="102"/>
      <c r="O62" s="102"/>
      <c r="P62" s="102"/>
    </row>
    <row r="63" ht="15.75" customHeight="1">
      <c r="A63" s="97"/>
      <c r="B63" s="98"/>
      <c r="C63" s="99"/>
      <c r="D63" s="98"/>
      <c r="E63" s="100"/>
      <c r="F63" s="101"/>
      <c r="G63" s="98"/>
      <c r="H63" s="100"/>
      <c r="I63" s="102"/>
      <c r="J63" s="102"/>
      <c r="K63" s="102"/>
      <c r="L63" s="101"/>
      <c r="M63" s="103"/>
      <c r="N63" s="102"/>
      <c r="O63" s="102"/>
      <c r="P63" s="102"/>
    </row>
    <row r="64" ht="15.75" customHeight="1">
      <c r="A64" s="97"/>
      <c r="B64" s="98"/>
      <c r="C64" s="99"/>
      <c r="D64" s="98"/>
      <c r="E64" s="100"/>
      <c r="F64" s="101"/>
      <c r="G64" s="98"/>
      <c r="H64" s="100"/>
      <c r="I64" s="102"/>
      <c r="J64" s="102"/>
      <c r="K64" s="102"/>
      <c r="L64" s="101"/>
      <c r="M64" s="103"/>
      <c r="N64" s="102"/>
      <c r="O64" s="102"/>
      <c r="P64" s="102"/>
    </row>
    <row r="65" ht="15.75" customHeight="1">
      <c r="A65" s="97"/>
      <c r="B65" s="98"/>
      <c r="C65" s="99"/>
      <c r="D65" s="98"/>
      <c r="E65" s="100"/>
      <c r="F65" s="101"/>
      <c r="G65" s="98"/>
      <c r="H65" s="100"/>
      <c r="I65" s="102"/>
      <c r="J65" s="102"/>
      <c r="K65" s="102"/>
      <c r="L65" s="101"/>
      <c r="M65" s="103"/>
      <c r="N65" s="102"/>
      <c r="O65" s="102"/>
      <c r="P65" s="102"/>
    </row>
    <row r="66" ht="15.75" customHeight="1">
      <c r="A66" s="97"/>
      <c r="B66" s="98"/>
      <c r="C66" s="99"/>
      <c r="D66" s="98"/>
      <c r="E66" s="100"/>
      <c r="F66" s="101"/>
      <c r="G66" s="98"/>
      <c r="H66" s="100"/>
      <c r="I66" s="102"/>
      <c r="J66" s="102"/>
      <c r="K66" s="102"/>
      <c r="L66" s="101"/>
      <c r="M66" s="103"/>
      <c r="N66" s="102"/>
      <c r="O66" s="102"/>
      <c r="P66" s="102"/>
    </row>
    <row r="67" ht="15.75" customHeight="1">
      <c r="A67" s="97"/>
      <c r="B67" s="98"/>
      <c r="C67" s="99"/>
      <c r="D67" s="98"/>
      <c r="E67" s="100"/>
      <c r="F67" s="101"/>
      <c r="G67" s="98"/>
      <c r="H67" s="100"/>
      <c r="I67" s="102"/>
      <c r="J67" s="102"/>
      <c r="K67" s="102"/>
      <c r="L67" s="101"/>
      <c r="M67" s="103"/>
      <c r="N67" s="102"/>
      <c r="O67" s="102"/>
      <c r="P67" s="102"/>
    </row>
    <row r="68" ht="15.75" customHeight="1">
      <c r="A68" s="97"/>
      <c r="B68" s="98"/>
      <c r="C68" s="99"/>
      <c r="D68" s="98"/>
      <c r="E68" s="100"/>
      <c r="F68" s="101"/>
      <c r="G68" s="98"/>
      <c r="H68" s="100"/>
      <c r="I68" s="102"/>
      <c r="J68" s="102"/>
      <c r="K68" s="102"/>
      <c r="L68" s="101"/>
      <c r="M68" s="103"/>
      <c r="N68" s="102"/>
      <c r="O68" s="102"/>
      <c r="P68" s="102"/>
    </row>
    <row r="69" ht="15.75" customHeight="1">
      <c r="A69" s="97"/>
      <c r="B69" s="98"/>
      <c r="C69" s="99"/>
      <c r="D69" s="98"/>
      <c r="E69" s="100"/>
      <c r="F69" s="101"/>
      <c r="G69" s="98"/>
      <c r="H69" s="100"/>
      <c r="I69" s="102"/>
      <c r="J69" s="102"/>
      <c r="K69" s="102"/>
      <c r="L69" s="101"/>
      <c r="M69" s="103"/>
      <c r="N69" s="102"/>
      <c r="O69" s="102"/>
      <c r="P69" s="102"/>
    </row>
    <row r="70" ht="15.75" customHeight="1">
      <c r="A70" s="97"/>
      <c r="B70" s="98"/>
      <c r="C70" s="99"/>
      <c r="D70" s="98"/>
      <c r="E70" s="100"/>
      <c r="F70" s="101"/>
      <c r="G70" s="98"/>
      <c r="H70" s="100"/>
      <c r="I70" s="102"/>
      <c r="J70" s="102"/>
      <c r="K70" s="102"/>
      <c r="L70" s="101"/>
      <c r="M70" s="103"/>
      <c r="N70" s="102"/>
      <c r="O70" s="102"/>
      <c r="P70" s="102"/>
    </row>
    <row r="71" ht="15.75" customHeight="1">
      <c r="A71" s="97"/>
      <c r="B71" s="98"/>
      <c r="C71" s="99"/>
      <c r="D71" s="98"/>
      <c r="E71" s="100"/>
      <c r="F71" s="101"/>
      <c r="G71" s="98"/>
      <c r="H71" s="100"/>
      <c r="I71" s="102"/>
      <c r="J71" s="102"/>
      <c r="K71" s="102"/>
      <c r="L71" s="101"/>
      <c r="M71" s="103"/>
      <c r="N71" s="102"/>
      <c r="O71" s="102"/>
      <c r="P71" s="102"/>
    </row>
    <row r="72" ht="15.75" customHeight="1">
      <c r="A72" s="97"/>
      <c r="B72" s="98"/>
      <c r="C72" s="99"/>
      <c r="D72" s="98"/>
      <c r="E72" s="100"/>
      <c r="F72" s="101"/>
      <c r="G72" s="98"/>
      <c r="H72" s="100"/>
      <c r="I72" s="102"/>
      <c r="J72" s="102"/>
      <c r="K72" s="102"/>
      <c r="L72" s="101"/>
      <c r="M72" s="103"/>
      <c r="N72" s="102"/>
      <c r="O72" s="102"/>
      <c r="P72" s="102"/>
    </row>
    <row r="73" ht="15.75" customHeight="1">
      <c r="A73" s="97"/>
      <c r="B73" s="98"/>
      <c r="C73" s="99"/>
      <c r="D73" s="98"/>
      <c r="E73" s="100"/>
      <c r="F73" s="101"/>
      <c r="G73" s="98"/>
      <c r="H73" s="100"/>
      <c r="I73" s="102"/>
      <c r="J73" s="102"/>
      <c r="K73" s="102"/>
      <c r="L73" s="101"/>
      <c r="M73" s="103"/>
      <c r="N73" s="102"/>
      <c r="O73" s="102"/>
      <c r="P73" s="102"/>
    </row>
    <row r="74" ht="15.75" customHeight="1">
      <c r="A74" s="97"/>
      <c r="B74" s="98"/>
      <c r="C74" s="99"/>
      <c r="D74" s="98"/>
      <c r="E74" s="100"/>
      <c r="F74" s="101"/>
      <c r="G74" s="98"/>
      <c r="H74" s="100"/>
      <c r="I74" s="102"/>
      <c r="J74" s="102"/>
      <c r="K74" s="102"/>
      <c r="L74" s="101"/>
      <c r="M74" s="103"/>
      <c r="N74" s="102"/>
      <c r="O74" s="102"/>
      <c r="P74" s="102"/>
    </row>
    <row r="75" ht="15.75" customHeight="1">
      <c r="A75" s="97"/>
      <c r="B75" s="98"/>
      <c r="C75" s="99"/>
      <c r="D75" s="98"/>
      <c r="E75" s="100"/>
      <c r="F75" s="101"/>
      <c r="G75" s="98"/>
      <c r="H75" s="100"/>
      <c r="I75" s="102"/>
      <c r="J75" s="102"/>
      <c r="K75" s="102"/>
      <c r="L75" s="101"/>
      <c r="M75" s="103"/>
      <c r="N75" s="102"/>
      <c r="O75" s="102"/>
      <c r="P75" s="102"/>
    </row>
    <row r="76" ht="15.75" customHeight="1">
      <c r="A76" s="97"/>
      <c r="B76" s="98"/>
      <c r="C76" s="99"/>
      <c r="D76" s="98"/>
      <c r="E76" s="100"/>
      <c r="F76" s="101"/>
      <c r="G76" s="98"/>
      <c r="H76" s="100"/>
      <c r="I76" s="102"/>
      <c r="J76" s="102"/>
      <c r="K76" s="102"/>
      <c r="L76" s="101"/>
      <c r="M76" s="103"/>
      <c r="N76" s="102"/>
      <c r="O76" s="102"/>
      <c r="P76" s="102"/>
    </row>
    <row r="77" ht="15.75" customHeight="1">
      <c r="A77" s="97"/>
      <c r="B77" s="98"/>
      <c r="C77" s="99"/>
      <c r="D77" s="98"/>
      <c r="E77" s="100"/>
      <c r="F77" s="101"/>
      <c r="G77" s="98"/>
      <c r="H77" s="100"/>
      <c r="I77" s="102"/>
      <c r="J77" s="102"/>
      <c r="K77" s="102"/>
      <c r="L77" s="101"/>
      <c r="M77" s="103"/>
      <c r="N77" s="102"/>
      <c r="O77" s="102"/>
      <c r="P77" s="102"/>
    </row>
    <row r="78" ht="15.75" customHeight="1">
      <c r="A78" s="97"/>
      <c r="B78" s="98"/>
      <c r="C78" s="99"/>
      <c r="D78" s="98"/>
      <c r="E78" s="100"/>
      <c r="F78" s="101"/>
      <c r="G78" s="98"/>
      <c r="H78" s="100"/>
      <c r="I78" s="102"/>
      <c r="J78" s="102"/>
      <c r="K78" s="102"/>
      <c r="L78" s="101"/>
      <c r="M78" s="103"/>
      <c r="N78" s="102"/>
      <c r="O78" s="102"/>
      <c r="P78" s="102"/>
    </row>
    <row r="79" ht="15.75" customHeight="1">
      <c r="A79" s="97"/>
      <c r="B79" s="98"/>
      <c r="C79" s="99"/>
      <c r="D79" s="98"/>
      <c r="E79" s="100"/>
      <c r="F79" s="101"/>
      <c r="G79" s="98"/>
      <c r="H79" s="100"/>
      <c r="I79" s="102"/>
      <c r="J79" s="102"/>
      <c r="K79" s="102"/>
      <c r="L79" s="101"/>
      <c r="M79" s="103"/>
      <c r="N79" s="102"/>
      <c r="O79" s="102"/>
      <c r="P79" s="102"/>
    </row>
    <row r="80" ht="15.75" customHeight="1">
      <c r="A80" s="97"/>
      <c r="B80" s="98"/>
      <c r="C80" s="99"/>
      <c r="D80" s="98"/>
      <c r="E80" s="100"/>
      <c r="F80" s="101"/>
      <c r="G80" s="98"/>
      <c r="H80" s="100"/>
      <c r="I80" s="102"/>
      <c r="J80" s="102"/>
      <c r="K80" s="102"/>
      <c r="L80" s="101"/>
      <c r="M80" s="103"/>
      <c r="N80" s="102"/>
      <c r="O80" s="102"/>
      <c r="P80" s="102"/>
    </row>
    <row r="81" ht="15.75" customHeight="1">
      <c r="A81" s="97"/>
      <c r="B81" s="98"/>
      <c r="C81" s="99"/>
      <c r="D81" s="98"/>
      <c r="E81" s="100"/>
      <c r="F81" s="101"/>
      <c r="G81" s="98"/>
      <c r="H81" s="100"/>
      <c r="I81" s="102"/>
      <c r="J81" s="102"/>
      <c r="K81" s="102"/>
      <c r="L81" s="101"/>
      <c r="M81" s="103"/>
      <c r="N81" s="102"/>
      <c r="O81" s="102"/>
      <c r="P81" s="102"/>
    </row>
    <row r="82" ht="15.75" customHeight="1">
      <c r="A82" s="97"/>
      <c r="B82" s="98"/>
      <c r="C82" s="99"/>
      <c r="D82" s="98"/>
      <c r="E82" s="100"/>
      <c r="F82" s="101"/>
      <c r="G82" s="98"/>
      <c r="H82" s="100"/>
      <c r="I82" s="102"/>
      <c r="J82" s="102"/>
      <c r="K82" s="102"/>
      <c r="L82" s="101"/>
      <c r="M82" s="103"/>
      <c r="N82" s="102"/>
      <c r="O82" s="102"/>
      <c r="P82" s="102"/>
    </row>
    <row r="83" ht="15.75" customHeight="1">
      <c r="A83" s="97"/>
      <c r="B83" s="98"/>
      <c r="C83" s="99"/>
      <c r="D83" s="98"/>
      <c r="E83" s="100"/>
      <c r="F83" s="101"/>
      <c r="G83" s="98"/>
      <c r="H83" s="100"/>
      <c r="I83" s="102"/>
      <c r="J83" s="102"/>
      <c r="K83" s="102"/>
      <c r="L83" s="101"/>
      <c r="M83" s="103"/>
      <c r="N83" s="102"/>
      <c r="O83" s="102"/>
      <c r="P83" s="102"/>
    </row>
    <row r="84" ht="15.75" customHeight="1">
      <c r="A84" s="97"/>
      <c r="B84" s="98"/>
      <c r="C84" s="99"/>
      <c r="D84" s="98"/>
      <c r="E84" s="100"/>
      <c r="F84" s="101"/>
      <c r="G84" s="98"/>
      <c r="H84" s="100"/>
      <c r="I84" s="102"/>
      <c r="J84" s="102"/>
      <c r="K84" s="102"/>
      <c r="L84" s="101"/>
      <c r="M84" s="103"/>
      <c r="N84" s="102"/>
      <c r="O84" s="102"/>
      <c r="P84" s="102"/>
    </row>
    <row r="85" ht="15.75" customHeight="1">
      <c r="A85" s="97"/>
      <c r="B85" s="98"/>
      <c r="C85" s="99"/>
      <c r="D85" s="98"/>
      <c r="E85" s="100"/>
      <c r="F85" s="101"/>
      <c r="G85" s="98"/>
      <c r="H85" s="100"/>
      <c r="I85" s="102"/>
      <c r="J85" s="102"/>
      <c r="K85" s="102"/>
      <c r="L85" s="101"/>
      <c r="M85" s="103"/>
      <c r="N85" s="102"/>
      <c r="O85" s="102"/>
      <c r="P85" s="102"/>
    </row>
    <row r="86" ht="15.75" customHeight="1">
      <c r="A86" s="97"/>
      <c r="B86" s="98"/>
      <c r="C86" s="99"/>
      <c r="D86" s="98"/>
      <c r="E86" s="100"/>
      <c r="F86" s="101"/>
      <c r="G86" s="98"/>
      <c r="H86" s="100"/>
      <c r="I86" s="102"/>
      <c r="J86" s="102"/>
      <c r="K86" s="102"/>
      <c r="L86" s="101"/>
      <c r="M86" s="103"/>
      <c r="N86" s="102"/>
      <c r="O86" s="102"/>
      <c r="P86" s="102"/>
    </row>
    <row r="87" ht="15.75" customHeight="1">
      <c r="A87" s="97"/>
      <c r="B87" s="98"/>
      <c r="C87" s="99"/>
      <c r="D87" s="98"/>
      <c r="E87" s="100"/>
      <c r="F87" s="101"/>
      <c r="G87" s="98"/>
      <c r="H87" s="100"/>
      <c r="I87" s="102"/>
      <c r="J87" s="102"/>
      <c r="K87" s="102"/>
      <c r="L87" s="101"/>
      <c r="M87" s="103"/>
      <c r="N87" s="102"/>
      <c r="O87" s="102"/>
      <c r="P87" s="102"/>
    </row>
    <row r="88" ht="15.75" customHeight="1">
      <c r="A88" s="97"/>
      <c r="B88" s="98"/>
      <c r="C88" s="99"/>
      <c r="D88" s="98"/>
      <c r="E88" s="100"/>
      <c r="F88" s="101"/>
      <c r="G88" s="98"/>
      <c r="H88" s="100"/>
      <c r="I88" s="102"/>
      <c r="J88" s="102"/>
      <c r="K88" s="102"/>
      <c r="L88" s="101"/>
      <c r="M88" s="103"/>
      <c r="N88" s="102"/>
      <c r="O88" s="102"/>
      <c r="P88" s="102"/>
    </row>
    <row r="89" ht="15.75" customHeight="1">
      <c r="A89" s="97"/>
      <c r="B89" s="98"/>
      <c r="C89" s="99"/>
      <c r="D89" s="98"/>
      <c r="E89" s="100"/>
      <c r="F89" s="101"/>
      <c r="G89" s="98"/>
      <c r="H89" s="100"/>
      <c r="I89" s="102"/>
      <c r="J89" s="102"/>
      <c r="K89" s="102"/>
      <c r="L89" s="101"/>
      <c r="M89" s="103"/>
      <c r="N89" s="102"/>
      <c r="O89" s="102"/>
      <c r="P89" s="102"/>
    </row>
    <row r="90" ht="15.75" customHeight="1">
      <c r="A90" s="97"/>
      <c r="B90" s="98"/>
      <c r="C90" s="99"/>
      <c r="D90" s="98"/>
      <c r="E90" s="100"/>
      <c r="F90" s="101"/>
      <c r="G90" s="98"/>
      <c r="H90" s="100"/>
      <c r="I90" s="102"/>
      <c r="J90" s="102"/>
      <c r="K90" s="102"/>
      <c r="L90" s="101"/>
      <c r="M90" s="103"/>
      <c r="N90" s="102"/>
      <c r="O90" s="102"/>
      <c r="P90" s="102"/>
    </row>
    <row r="91" ht="15.75" customHeight="1">
      <c r="A91" s="97"/>
      <c r="B91" s="98"/>
      <c r="C91" s="99"/>
      <c r="D91" s="98"/>
      <c r="E91" s="100"/>
      <c r="F91" s="101"/>
      <c r="G91" s="98"/>
      <c r="H91" s="100"/>
      <c r="I91" s="102"/>
      <c r="J91" s="102"/>
      <c r="K91" s="102"/>
      <c r="L91" s="101"/>
      <c r="M91" s="103"/>
      <c r="N91" s="102"/>
      <c r="O91" s="102"/>
      <c r="P91" s="102"/>
    </row>
    <row r="92" ht="15.75" customHeight="1">
      <c r="A92" s="97"/>
      <c r="B92" s="98"/>
      <c r="C92" s="99"/>
      <c r="D92" s="98"/>
      <c r="E92" s="100"/>
      <c r="F92" s="101"/>
      <c r="G92" s="98"/>
      <c r="H92" s="100"/>
      <c r="I92" s="102"/>
      <c r="J92" s="102"/>
      <c r="K92" s="102"/>
      <c r="L92" s="101"/>
      <c r="M92" s="103"/>
      <c r="N92" s="102"/>
      <c r="O92" s="102"/>
      <c r="P92" s="102"/>
    </row>
    <row r="93" ht="15.75" customHeight="1">
      <c r="A93" s="97"/>
      <c r="B93" s="98"/>
      <c r="C93" s="99"/>
      <c r="D93" s="98"/>
      <c r="E93" s="100"/>
      <c r="F93" s="101"/>
      <c r="G93" s="98"/>
      <c r="H93" s="100"/>
      <c r="I93" s="102"/>
      <c r="J93" s="102"/>
      <c r="K93" s="102"/>
      <c r="L93" s="101"/>
      <c r="M93" s="103"/>
      <c r="N93" s="102"/>
      <c r="O93" s="102"/>
      <c r="P93" s="102"/>
    </row>
    <row r="94" ht="15.75" customHeight="1">
      <c r="A94" s="97"/>
      <c r="B94" s="98"/>
      <c r="C94" s="99"/>
      <c r="D94" s="98"/>
      <c r="E94" s="100"/>
      <c r="F94" s="101"/>
      <c r="G94" s="98"/>
      <c r="H94" s="100"/>
      <c r="I94" s="102"/>
      <c r="J94" s="102"/>
      <c r="K94" s="102"/>
      <c r="L94" s="101"/>
      <c r="M94" s="103"/>
      <c r="N94" s="102"/>
      <c r="O94" s="102"/>
      <c r="P94" s="102"/>
    </row>
    <row r="95" ht="15.75" customHeight="1">
      <c r="A95" s="97"/>
      <c r="B95" s="98"/>
      <c r="C95" s="99"/>
      <c r="D95" s="98"/>
      <c r="E95" s="100"/>
      <c r="F95" s="101"/>
      <c r="G95" s="98"/>
      <c r="H95" s="100"/>
      <c r="I95" s="102"/>
      <c r="J95" s="102"/>
      <c r="K95" s="102"/>
      <c r="L95" s="101"/>
      <c r="M95" s="103"/>
      <c r="N95" s="102"/>
      <c r="O95" s="102"/>
      <c r="P95" s="102"/>
    </row>
    <row r="96" ht="15.75" customHeight="1">
      <c r="A96" s="97"/>
      <c r="B96" s="98"/>
      <c r="C96" s="99"/>
      <c r="D96" s="98"/>
      <c r="E96" s="100"/>
      <c r="F96" s="101"/>
      <c r="G96" s="98"/>
      <c r="H96" s="100"/>
      <c r="I96" s="102"/>
      <c r="J96" s="102"/>
      <c r="K96" s="102"/>
      <c r="L96" s="101"/>
      <c r="M96" s="103"/>
      <c r="N96" s="102"/>
      <c r="O96" s="102"/>
      <c r="P96" s="102"/>
    </row>
    <row r="97" ht="15.75" customHeight="1">
      <c r="A97" s="97"/>
      <c r="B97" s="98"/>
      <c r="C97" s="99"/>
      <c r="D97" s="98"/>
      <c r="E97" s="100"/>
      <c r="F97" s="101"/>
      <c r="G97" s="98"/>
      <c r="H97" s="100"/>
      <c r="I97" s="102"/>
      <c r="J97" s="102"/>
      <c r="K97" s="102"/>
      <c r="L97" s="101"/>
      <c r="M97" s="103"/>
      <c r="N97" s="102"/>
      <c r="O97" s="102"/>
      <c r="P97" s="102"/>
    </row>
    <row r="98" ht="15.75" customHeight="1">
      <c r="A98" s="97"/>
      <c r="B98" s="98"/>
      <c r="C98" s="99"/>
      <c r="D98" s="98"/>
      <c r="E98" s="100"/>
      <c r="F98" s="101"/>
      <c r="G98" s="98"/>
      <c r="H98" s="100"/>
      <c r="I98" s="102"/>
      <c r="J98" s="102"/>
      <c r="K98" s="102"/>
      <c r="L98" s="101"/>
      <c r="M98" s="103"/>
      <c r="N98" s="102"/>
      <c r="O98" s="102"/>
      <c r="P98" s="102"/>
    </row>
    <row r="99" ht="15.75" customHeight="1">
      <c r="A99" s="97"/>
      <c r="B99" s="98"/>
      <c r="C99" s="99"/>
      <c r="D99" s="98"/>
      <c r="E99" s="100"/>
      <c r="F99" s="101"/>
      <c r="G99" s="98"/>
      <c r="H99" s="100"/>
      <c r="I99" s="102"/>
      <c r="J99" s="102"/>
      <c r="K99" s="102"/>
      <c r="L99" s="101"/>
      <c r="M99" s="103"/>
      <c r="N99" s="102"/>
      <c r="O99" s="102"/>
      <c r="P99" s="102"/>
    </row>
    <row r="100" ht="15.75" customHeight="1">
      <c r="A100" s="97"/>
      <c r="B100" s="98"/>
      <c r="C100" s="99"/>
      <c r="D100" s="98"/>
      <c r="E100" s="100"/>
      <c r="F100" s="101"/>
      <c r="G100" s="98"/>
      <c r="H100" s="100"/>
      <c r="I100" s="102"/>
      <c r="J100" s="102"/>
      <c r="K100" s="102"/>
      <c r="L100" s="101"/>
      <c r="M100" s="103"/>
      <c r="N100" s="102"/>
      <c r="O100" s="102"/>
      <c r="P100" s="102"/>
    </row>
    <row r="101" ht="15.75" customHeight="1">
      <c r="A101" s="97"/>
      <c r="B101" s="98"/>
      <c r="C101" s="99"/>
      <c r="D101" s="98"/>
      <c r="E101" s="100"/>
      <c r="F101" s="101"/>
      <c r="G101" s="98"/>
      <c r="H101" s="100"/>
      <c r="I101" s="102"/>
      <c r="J101" s="102"/>
      <c r="K101" s="102"/>
      <c r="L101" s="101"/>
      <c r="M101" s="103"/>
      <c r="N101" s="102"/>
      <c r="O101" s="102"/>
      <c r="P101" s="102"/>
    </row>
    <row r="102" ht="15.75" customHeight="1">
      <c r="A102" s="97"/>
      <c r="B102" s="98"/>
      <c r="C102" s="99"/>
      <c r="D102" s="98"/>
      <c r="E102" s="100"/>
      <c r="F102" s="101"/>
      <c r="G102" s="98"/>
      <c r="H102" s="100"/>
      <c r="I102" s="102"/>
      <c r="J102" s="102"/>
      <c r="K102" s="102"/>
      <c r="L102" s="101"/>
      <c r="M102" s="103"/>
      <c r="N102" s="102"/>
      <c r="O102" s="102"/>
      <c r="P102" s="102"/>
    </row>
    <row r="103" ht="15.75" customHeight="1">
      <c r="A103" s="97"/>
      <c r="B103" s="98"/>
      <c r="C103" s="99"/>
      <c r="D103" s="98"/>
      <c r="E103" s="100"/>
      <c r="F103" s="101"/>
      <c r="G103" s="98"/>
      <c r="H103" s="100"/>
      <c r="I103" s="102"/>
      <c r="J103" s="102"/>
      <c r="K103" s="102"/>
      <c r="L103" s="101"/>
      <c r="M103" s="103"/>
      <c r="N103" s="102"/>
      <c r="O103" s="102"/>
      <c r="P103" s="102"/>
    </row>
    <row r="104" ht="15.75" customHeight="1">
      <c r="A104" s="97"/>
      <c r="B104" s="98"/>
      <c r="C104" s="99"/>
      <c r="D104" s="98"/>
      <c r="E104" s="100"/>
      <c r="F104" s="101"/>
      <c r="G104" s="98"/>
      <c r="H104" s="100"/>
      <c r="I104" s="102"/>
      <c r="J104" s="102"/>
      <c r="K104" s="102"/>
      <c r="L104" s="101"/>
      <c r="M104" s="103"/>
      <c r="N104" s="102"/>
      <c r="O104" s="102"/>
      <c r="P104" s="102"/>
    </row>
    <row r="105" ht="15.75" customHeight="1">
      <c r="A105" s="97"/>
      <c r="B105" s="98"/>
      <c r="C105" s="99"/>
      <c r="D105" s="98"/>
      <c r="E105" s="100"/>
      <c r="F105" s="101"/>
      <c r="G105" s="98"/>
      <c r="H105" s="100"/>
      <c r="I105" s="102"/>
      <c r="J105" s="102"/>
      <c r="K105" s="102"/>
      <c r="L105" s="101"/>
      <c r="M105" s="103"/>
      <c r="N105" s="102"/>
      <c r="O105" s="102"/>
      <c r="P105" s="102"/>
    </row>
    <row r="106" ht="15.75" customHeight="1">
      <c r="A106" s="97"/>
      <c r="B106" s="98"/>
      <c r="C106" s="99"/>
      <c r="D106" s="98"/>
      <c r="E106" s="100"/>
      <c r="F106" s="101"/>
      <c r="G106" s="98"/>
      <c r="H106" s="100"/>
      <c r="I106" s="102"/>
      <c r="J106" s="102"/>
      <c r="K106" s="102"/>
      <c r="L106" s="101"/>
      <c r="M106" s="103"/>
      <c r="N106" s="102"/>
      <c r="O106" s="102"/>
      <c r="P106" s="102"/>
    </row>
    <row r="107" ht="15.75" customHeight="1">
      <c r="A107" s="97"/>
      <c r="B107" s="98"/>
      <c r="C107" s="99"/>
      <c r="D107" s="98"/>
      <c r="E107" s="100"/>
      <c r="F107" s="101"/>
      <c r="G107" s="98"/>
      <c r="H107" s="100"/>
      <c r="I107" s="102"/>
      <c r="J107" s="102"/>
      <c r="K107" s="102"/>
      <c r="L107" s="101"/>
      <c r="M107" s="103"/>
      <c r="N107" s="102"/>
      <c r="O107" s="102"/>
      <c r="P107" s="102"/>
    </row>
    <row r="108" ht="15.75" customHeight="1">
      <c r="A108" s="97"/>
      <c r="B108" s="98"/>
      <c r="C108" s="99"/>
      <c r="D108" s="98"/>
      <c r="E108" s="100"/>
      <c r="F108" s="101"/>
      <c r="G108" s="98"/>
      <c r="H108" s="100"/>
      <c r="I108" s="102"/>
      <c r="J108" s="102"/>
      <c r="K108" s="102"/>
      <c r="L108" s="101"/>
      <c r="M108" s="103"/>
      <c r="N108" s="102"/>
      <c r="O108" s="102"/>
      <c r="P108" s="102"/>
    </row>
    <row r="109" ht="15.75" customHeight="1">
      <c r="A109" s="97"/>
      <c r="B109" s="98"/>
      <c r="C109" s="99"/>
      <c r="D109" s="98"/>
      <c r="E109" s="100"/>
      <c r="F109" s="101"/>
      <c r="G109" s="98"/>
      <c r="H109" s="100"/>
      <c r="I109" s="102"/>
      <c r="J109" s="102"/>
      <c r="K109" s="102"/>
      <c r="L109" s="101"/>
      <c r="M109" s="103"/>
      <c r="N109" s="102"/>
      <c r="O109" s="102"/>
      <c r="P109" s="102"/>
    </row>
    <row r="110" ht="15.75" customHeight="1">
      <c r="A110" s="97"/>
      <c r="B110" s="98"/>
      <c r="C110" s="99"/>
      <c r="D110" s="98"/>
      <c r="E110" s="100"/>
      <c r="F110" s="101"/>
      <c r="G110" s="98"/>
      <c r="H110" s="100"/>
      <c r="I110" s="102"/>
      <c r="J110" s="102"/>
      <c r="K110" s="102"/>
      <c r="L110" s="101"/>
      <c r="M110" s="103"/>
      <c r="N110" s="102"/>
      <c r="O110" s="102"/>
      <c r="P110" s="102"/>
    </row>
    <row r="111" ht="15.75" customHeight="1">
      <c r="A111" s="97"/>
      <c r="B111" s="98"/>
      <c r="C111" s="99"/>
      <c r="D111" s="98"/>
      <c r="E111" s="100"/>
      <c r="F111" s="101"/>
      <c r="G111" s="98"/>
      <c r="H111" s="100"/>
      <c r="I111" s="102"/>
      <c r="J111" s="102"/>
      <c r="K111" s="102"/>
      <c r="L111" s="101"/>
      <c r="M111" s="103"/>
      <c r="N111" s="102"/>
      <c r="O111" s="102"/>
      <c r="P111" s="102"/>
    </row>
    <row r="112" ht="15.75" customHeight="1">
      <c r="A112" s="97"/>
      <c r="B112" s="98"/>
      <c r="C112" s="99"/>
      <c r="D112" s="98"/>
      <c r="E112" s="100"/>
      <c r="F112" s="101"/>
      <c r="G112" s="98"/>
      <c r="H112" s="100"/>
      <c r="I112" s="102"/>
      <c r="J112" s="102"/>
      <c r="K112" s="102"/>
      <c r="L112" s="101"/>
      <c r="M112" s="103"/>
      <c r="N112" s="102"/>
      <c r="O112" s="102"/>
      <c r="P112" s="102"/>
    </row>
    <row r="113" ht="15.75" customHeight="1">
      <c r="A113" s="97"/>
      <c r="B113" s="98"/>
      <c r="C113" s="99"/>
      <c r="D113" s="98"/>
      <c r="E113" s="100"/>
      <c r="F113" s="101"/>
      <c r="G113" s="98"/>
      <c r="H113" s="100"/>
      <c r="I113" s="102"/>
      <c r="J113" s="102"/>
      <c r="K113" s="102"/>
      <c r="L113" s="101"/>
      <c r="M113" s="103"/>
      <c r="N113" s="102"/>
      <c r="O113" s="102"/>
      <c r="P113" s="102"/>
    </row>
    <row r="114" ht="15.75" customHeight="1">
      <c r="A114" s="97"/>
      <c r="B114" s="98"/>
      <c r="C114" s="99"/>
      <c r="D114" s="98"/>
      <c r="E114" s="100"/>
      <c r="F114" s="101"/>
      <c r="G114" s="98"/>
      <c r="H114" s="100"/>
      <c r="I114" s="102"/>
      <c r="J114" s="102"/>
      <c r="K114" s="102"/>
      <c r="L114" s="101"/>
      <c r="M114" s="103"/>
      <c r="N114" s="102"/>
      <c r="O114" s="102"/>
      <c r="P114" s="102"/>
    </row>
    <row r="115" ht="15.75" customHeight="1">
      <c r="A115" s="97"/>
      <c r="B115" s="98"/>
      <c r="C115" s="99"/>
      <c r="D115" s="98"/>
      <c r="E115" s="100"/>
      <c r="F115" s="101"/>
      <c r="G115" s="98"/>
      <c r="H115" s="100"/>
      <c r="I115" s="102"/>
      <c r="J115" s="102"/>
      <c r="K115" s="102"/>
      <c r="L115" s="101"/>
      <c r="M115" s="103"/>
      <c r="N115" s="102"/>
      <c r="O115" s="102"/>
      <c r="P115" s="102"/>
    </row>
    <row r="116" ht="15.75" customHeight="1">
      <c r="A116" s="97"/>
      <c r="B116" s="98"/>
      <c r="C116" s="99"/>
      <c r="D116" s="98"/>
      <c r="E116" s="100"/>
      <c r="F116" s="101"/>
      <c r="G116" s="98"/>
      <c r="H116" s="100"/>
      <c r="I116" s="102"/>
      <c r="J116" s="102"/>
      <c r="K116" s="102"/>
      <c r="L116" s="101"/>
      <c r="M116" s="103"/>
      <c r="N116" s="102"/>
      <c r="O116" s="102"/>
      <c r="P116" s="102"/>
    </row>
    <row r="117" ht="15.75" customHeight="1">
      <c r="A117" s="97"/>
      <c r="B117" s="98"/>
      <c r="C117" s="99"/>
      <c r="D117" s="98"/>
      <c r="E117" s="100"/>
      <c r="F117" s="101"/>
      <c r="G117" s="98"/>
      <c r="H117" s="100"/>
      <c r="I117" s="102"/>
      <c r="J117" s="102"/>
      <c r="K117" s="102"/>
      <c r="L117" s="101"/>
      <c r="M117" s="103"/>
      <c r="N117" s="102"/>
      <c r="O117" s="102"/>
      <c r="P117" s="102"/>
    </row>
    <row r="118" ht="15.75" customHeight="1">
      <c r="A118" s="97"/>
      <c r="B118" s="98"/>
      <c r="C118" s="99"/>
      <c r="D118" s="98"/>
      <c r="E118" s="100"/>
      <c r="F118" s="101"/>
      <c r="G118" s="98"/>
      <c r="H118" s="100"/>
      <c r="I118" s="102"/>
      <c r="J118" s="102"/>
      <c r="K118" s="102"/>
      <c r="L118" s="101"/>
      <c r="M118" s="103"/>
      <c r="N118" s="102"/>
      <c r="O118" s="102"/>
      <c r="P118" s="102"/>
    </row>
    <row r="119" ht="15.75" customHeight="1">
      <c r="A119" s="97"/>
      <c r="B119" s="98"/>
      <c r="C119" s="99"/>
      <c r="D119" s="98"/>
      <c r="E119" s="100"/>
      <c r="F119" s="101"/>
      <c r="G119" s="98"/>
      <c r="H119" s="100"/>
      <c r="I119" s="102"/>
      <c r="J119" s="102"/>
      <c r="K119" s="102"/>
      <c r="L119" s="101"/>
      <c r="M119" s="103"/>
      <c r="N119" s="102"/>
      <c r="O119" s="102"/>
      <c r="P119" s="102"/>
    </row>
    <row r="120" ht="15.75" customHeight="1">
      <c r="A120" s="97"/>
      <c r="B120" s="98"/>
      <c r="C120" s="99"/>
      <c r="D120" s="98"/>
      <c r="E120" s="100"/>
      <c r="F120" s="101"/>
      <c r="G120" s="98"/>
      <c r="H120" s="100"/>
      <c r="I120" s="102"/>
      <c r="J120" s="102"/>
      <c r="K120" s="102"/>
      <c r="L120" s="101"/>
      <c r="M120" s="103"/>
      <c r="N120" s="102"/>
      <c r="O120" s="102"/>
      <c r="P120" s="102"/>
    </row>
    <row r="121" ht="15.75" customHeight="1">
      <c r="A121" s="97"/>
      <c r="B121" s="98"/>
      <c r="C121" s="99"/>
      <c r="D121" s="98"/>
      <c r="E121" s="100"/>
      <c r="F121" s="101"/>
      <c r="G121" s="98"/>
      <c r="H121" s="100"/>
      <c r="I121" s="102"/>
      <c r="J121" s="102"/>
      <c r="K121" s="102"/>
      <c r="L121" s="101"/>
      <c r="M121" s="103"/>
      <c r="N121" s="102"/>
      <c r="O121" s="102"/>
      <c r="P121" s="102"/>
    </row>
    <row r="122" ht="15.75" customHeight="1">
      <c r="A122" s="97"/>
      <c r="B122" s="98"/>
      <c r="C122" s="99"/>
      <c r="D122" s="98"/>
      <c r="E122" s="100"/>
      <c r="F122" s="101"/>
      <c r="G122" s="98"/>
      <c r="H122" s="100"/>
      <c r="I122" s="102"/>
      <c r="J122" s="102"/>
      <c r="K122" s="102"/>
      <c r="L122" s="101"/>
      <c r="M122" s="103"/>
      <c r="N122" s="102"/>
      <c r="O122" s="102"/>
      <c r="P122" s="102"/>
    </row>
    <row r="123" ht="15.75" customHeight="1">
      <c r="A123" s="97"/>
      <c r="B123" s="98"/>
      <c r="C123" s="99"/>
      <c r="D123" s="98"/>
      <c r="E123" s="100"/>
      <c r="F123" s="101"/>
      <c r="G123" s="98"/>
      <c r="H123" s="100"/>
      <c r="I123" s="102"/>
      <c r="J123" s="102"/>
      <c r="K123" s="102"/>
      <c r="L123" s="101"/>
      <c r="M123" s="103"/>
      <c r="N123" s="102"/>
      <c r="O123" s="102"/>
      <c r="P123" s="102"/>
    </row>
    <row r="124" ht="15.75" customHeight="1">
      <c r="A124" s="97"/>
      <c r="B124" s="98"/>
      <c r="C124" s="99"/>
      <c r="D124" s="98"/>
      <c r="E124" s="100"/>
      <c r="F124" s="101"/>
      <c r="G124" s="98"/>
      <c r="H124" s="100"/>
      <c r="I124" s="102"/>
      <c r="J124" s="102"/>
      <c r="K124" s="102"/>
      <c r="L124" s="101"/>
      <c r="M124" s="103"/>
      <c r="N124" s="102"/>
      <c r="O124" s="102"/>
      <c r="P124" s="102"/>
    </row>
    <row r="125" ht="15.75" customHeight="1">
      <c r="A125" s="97"/>
      <c r="B125" s="98"/>
      <c r="C125" s="99"/>
      <c r="D125" s="98"/>
      <c r="E125" s="100"/>
      <c r="F125" s="101"/>
      <c r="G125" s="98"/>
      <c r="H125" s="100"/>
      <c r="I125" s="102"/>
      <c r="J125" s="102"/>
      <c r="K125" s="102"/>
      <c r="L125" s="101"/>
      <c r="M125" s="103"/>
      <c r="N125" s="102"/>
      <c r="O125" s="102"/>
      <c r="P125" s="102"/>
    </row>
    <row r="126" ht="15.75" customHeight="1">
      <c r="A126" s="97"/>
      <c r="B126" s="98"/>
      <c r="C126" s="99"/>
      <c r="D126" s="98"/>
      <c r="E126" s="100"/>
      <c r="F126" s="101"/>
      <c r="G126" s="98"/>
      <c r="H126" s="100"/>
      <c r="I126" s="102"/>
      <c r="J126" s="102"/>
      <c r="K126" s="102"/>
      <c r="L126" s="101"/>
      <c r="M126" s="103"/>
      <c r="N126" s="102"/>
      <c r="O126" s="102"/>
      <c r="P126" s="102"/>
    </row>
    <row r="127" ht="15.75" customHeight="1">
      <c r="A127" s="97"/>
      <c r="B127" s="98"/>
      <c r="C127" s="99"/>
      <c r="D127" s="98"/>
      <c r="E127" s="100"/>
      <c r="F127" s="101"/>
      <c r="G127" s="98"/>
      <c r="H127" s="100"/>
      <c r="I127" s="102"/>
      <c r="J127" s="102"/>
      <c r="K127" s="102"/>
      <c r="L127" s="101"/>
      <c r="M127" s="103"/>
      <c r="N127" s="102"/>
      <c r="O127" s="102"/>
      <c r="P127" s="102"/>
    </row>
    <row r="128" ht="15.75" customHeight="1">
      <c r="A128" s="97"/>
      <c r="B128" s="98"/>
      <c r="C128" s="99"/>
      <c r="D128" s="98"/>
      <c r="E128" s="100"/>
      <c r="F128" s="101"/>
      <c r="G128" s="98"/>
      <c r="H128" s="100"/>
      <c r="I128" s="102"/>
      <c r="J128" s="102"/>
      <c r="K128" s="102"/>
      <c r="L128" s="101"/>
      <c r="M128" s="103"/>
      <c r="N128" s="102"/>
      <c r="O128" s="102"/>
      <c r="P128" s="102"/>
    </row>
    <row r="129" ht="15.75" customHeight="1">
      <c r="A129" s="97"/>
      <c r="B129" s="98"/>
      <c r="C129" s="99"/>
      <c r="D129" s="98"/>
      <c r="E129" s="100"/>
      <c r="F129" s="101"/>
      <c r="G129" s="98"/>
      <c r="H129" s="100"/>
      <c r="I129" s="102"/>
      <c r="J129" s="102"/>
      <c r="K129" s="102"/>
      <c r="L129" s="101"/>
      <c r="M129" s="103"/>
      <c r="N129" s="102"/>
      <c r="O129" s="102"/>
      <c r="P129" s="102"/>
    </row>
    <row r="130" ht="15.75" customHeight="1">
      <c r="A130" s="97"/>
      <c r="B130" s="98"/>
      <c r="C130" s="99"/>
      <c r="D130" s="98"/>
      <c r="E130" s="100"/>
      <c r="F130" s="101"/>
      <c r="G130" s="98"/>
      <c r="H130" s="100"/>
      <c r="I130" s="102"/>
      <c r="J130" s="102"/>
      <c r="K130" s="102"/>
      <c r="L130" s="101"/>
      <c r="M130" s="103"/>
      <c r="N130" s="102"/>
      <c r="O130" s="102"/>
      <c r="P130" s="102"/>
    </row>
    <row r="131" ht="15.75" customHeight="1">
      <c r="A131" s="97"/>
      <c r="B131" s="98"/>
      <c r="C131" s="99"/>
      <c r="D131" s="98"/>
      <c r="E131" s="100"/>
      <c r="F131" s="101"/>
      <c r="G131" s="98"/>
      <c r="H131" s="100"/>
      <c r="I131" s="102"/>
      <c r="J131" s="102"/>
      <c r="K131" s="102"/>
      <c r="L131" s="101"/>
      <c r="M131" s="103"/>
      <c r="N131" s="102"/>
      <c r="O131" s="102"/>
      <c r="P131" s="102"/>
    </row>
    <row r="132" ht="15.75" customHeight="1">
      <c r="A132" s="97"/>
      <c r="B132" s="98"/>
      <c r="C132" s="99"/>
      <c r="D132" s="98"/>
      <c r="E132" s="100"/>
      <c r="F132" s="101"/>
      <c r="G132" s="98"/>
      <c r="H132" s="100"/>
      <c r="I132" s="102"/>
      <c r="J132" s="102"/>
      <c r="K132" s="102"/>
      <c r="L132" s="101"/>
      <c r="M132" s="103"/>
      <c r="N132" s="102"/>
      <c r="O132" s="102"/>
      <c r="P132" s="102"/>
    </row>
    <row r="133" ht="15.75" customHeight="1">
      <c r="A133" s="97"/>
      <c r="B133" s="98"/>
      <c r="C133" s="99"/>
      <c r="D133" s="98"/>
      <c r="E133" s="100"/>
      <c r="F133" s="101"/>
      <c r="G133" s="98"/>
      <c r="H133" s="100"/>
      <c r="I133" s="102"/>
      <c r="J133" s="102"/>
      <c r="K133" s="102"/>
      <c r="L133" s="101"/>
      <c r="M133" s="103"/>
      <c r="N133" s="102"/>
      <c r="O133" s="102"/>
      <c r="P133" s="102"/>
    </row>
    <row r="134" ht="15.75" customHeight="1">
      <c r="A134" s="97"/>
      <c r="B134" s="98"/>
      <c r="C134" s="99"/>
      <c r="D134" s="98"/>
      <c r="E134" s="100"/>
      <c r="F134" s="101"/>
      <c r="G134" s="98"/>
      <c r="H134" s="100"/>
      <c r="I134" s="102"/>
      <c r="J134" s="102"/>
      <c r="K134" s="102"/>
      <c r="L134" s="101"/>
      <c r="M134" s="103"/>
      <c r="N134" s="102"/>
      <c r="O134" s="102"/>
      <c r="P134" s="102"/>
    </row>
    <row r="135" ht="15.75" customHeight="1">
      <c r="A135" s="97"/>
      <c r="B135" s="98"/>
      <c r="C135" s="99"/>
      <c r="D135" s="98"/>
      <c r="E135" s="100"/>
      <c r="F135" s="101"/>
      <c r="G135" s="98"/>
      <c r="H135" s="100"/>
      <c r="I135" s="102"/>
      <c r="J135" s="102"/>
      <c r="K135" s="102"/>
      <c r="L135" s="101"/>
      <c r="M135" s="103"/>
      <c r="N135" s="102"/>
      <c r="O135" s="102"/>
      <c r="P135" s="102"/>
    </row>
    <row r="136" ht="15.75" customHeight="1">
      <c r="A136" s="97"/>
      <c r="B136" s="98"/>
      <c r="C136" s="99"/>
      <c r="D136" s="98"/>
      <c r="E136" s="100"/>
      <c r="F136" s="101"/>
      <c r="G136" s="98"/>
      <c r="H136" s="100"/>
      <c r="I136" s="102"/>
      <c r="J136" s="102"/>
      <c r="K136" s="102"/>
      <c r="L136" s="101"/>
      <c r="M136" s="103"/>
      <c r="N136" s="102"/>
      <c r="O136" s="102"/>
      <c r="P136" s="102"/>
    </row>
    <row r="137" ht="15.75" customHeight="1">
      <c r="A137" s="97"/>
      <c r="B137" s="98"/>
      <c r="C137" s="99"/>
      <c r="D137" s="98"/>
      <c r="E137" s="100"/>
      <c r="F137" s="101"/>
      <c r="G137" s="98"/>
      <c r="H137" s="100"/>
      <c r="I137" s="102"/>
      <c r="J137" s="102"/>
      <c r="K137" s="102"/>
      <c r="L137" s="101"/>
      <c r="M137" s="103"/>
      <c r="N137" s="102"/>
      <c r="O137" s="102"/>
      <c r="P137" s="102"/>
    </row>
    <row r="138" ht="15.75" customHeight="1">
      <c r="A138" s="97"/>
      <c r="B138" s="98"/>
      <c r="C138" s="99"/>
      <c r="D138" s="98"/>
      <c r="E138" s="100"/>
      <c r="F138" s="101"/>
      <c r="G138" s="98"/>
      <c r="H138" s="100"/>
      <c r="I138" s="102"/>
      <c r="J138" s="102"/>
      <c r="K138" s="102"/>
      <c r="L138" s="101"/>
      <c r="M138" s="103"/>
      <c r="N138" s="102"/>
      <c r="O138" s="102"/>
      <c r="P138" s="102"/>
    </row>
    <row r="139" ht="15.75" customHeight="1">
      <c r="A139" s="97"/>
      <c r="B139" s="98"/>
      <c r="C139" s="99"/>
      <c r="D139" s="98"/>
      <c r="E139" s="100"/>
      <c r="F139" s="101"/>
      <c r="G139" s="98"/>
      <c r="H139" s="100"/>
      <c r="I139" s="102"/>
      <c r="J139" s="102"/>
      <c r="K139" s="102"/>
      <c r="L139" s="101"/>
      <c r="M139" s="103"/>
      <c r="N139" s="102"/>
      <c r="O139" s="102"/>
      <c r="P139" s="102"/>
    </row>
    <row r="140" ht="15.75" customHeight="1">
      <c r="A140" s="97"/>
      <c r="B140" s="98"/>
      <c r="C140" s="99"/>
      <c r="D140" s="98"/>
      <c r="E140" s="100"/>
      <c r="F140" s="101"/>
      <c r="G140" s="98"/>
      <c r="H140" s="100"/>
      <c r="I140" s="102"/>
      <c r="J140" s="102"/>
      <c r="K140" s="102"/>
      <c r="L140" s="101"/>
      <c r="M140" s="103"/>
      <c r="N140" s="102"/>
      <c r="O140" s="102"/>
      <c r="P140" s="102"/>
    </row>
    <row r="141" ht="15.75" customHeight="1">
      <c r="A141" s="97"/>
      <c r="B141" s="98"/>
      <c r="C141" s="99"/>
      <c r="D141" s="98"/>
      <c r="E141" s="100"/>
      <c r="F141" s="101"/>
      <c r="G141" s="98"/>
      <c r="H141" s="100"/>
      <c r="I141" s="102"/>
      <c r="J141" s="102"/>
      <c r="K141" s="102"/>
      <c r="L141" s="101"/>
      <c r="M141" s="103"/>
      <c r="N141" s="102"/>
      <c r="O141" s="102"/>
      <c r="P141" s="102"/>
    </row>
    <row r="142" ht="15.75" customHeight="1">
      <c r="A142" s="97"/>
      <c r="B142" s="98"/>
      <c r="C142" s="99"/>
      <c r="D142" s="98"/>
      <c r="E142" s="100"/>
      <c r="F142" s="101"/>
      <c r="G142" s="98"/>
      <c r="H142" s="100"/>
      <c r="I142" s="102"/>
      <c r="J142" s="102"/>
      <c r="K142" s="102"/>
      <c r="L142" s="101"/>
      <c r="M142" s="103"/>
      <c r="N142" s="102"/>
      <c r="O142" s="102"/>
      <c r="P142" s="102"/>
    </row>
    <row r="143" ht="15.75" customHeight="1">
      <c r="A143" s="97"/>
      <c r="B143" s="98"/>
      <c r="C143" s="99"/>
      <c r="D143" s="98"/>
      <c r="E143" s="100"/>
      <c r="F143" s="101"/>
      <c r="G143" s="98"/>
      <c r="H143" s="100"/>
      <c r="I143" s="102"/>
      <c r="J143" s="102"/>
      <c r="K143" s="102"/>
      <c r="L143" s="101"/>
      <c r="M143" s="103"/>
      <c r="N143" s="102"/>
      <c r="O143" s="102"/>
      <c r="P143" s="102"/>
    </row>
    <row r="144" ht="15.75" customHeight="1">
      <c r="A144" s="97"/>
      <c r="B144" s="98"/>
      <c r="C144" s="99"/>
      <c r="D144" s="98"/>
      <c r="E144" s="100"/>
      <c r="F144" s="101"/>
      <c r="G144" s="98"/>
      <c r="H144" s="100"/>
      <c r="I144" s="102"/>
      <c r="J144" s="102"/>
      <c r="K144" s="102"/>
      <c r="L144" s="101"/>
      <c r="M144" s="103"/>
      <c r="N144" s="102"/>
      <c r="O144" s="102"/>
      <c r="P144" s="102"/>
    </row>
    <row r="145" ht="15.75" customHeight="1">
      <c r="A145" s="97"/>
      <c r="B145" s="98"/>
      <c r="C145" s="99"/>
      <c r="D145" s="98"/>
      <c r="E145" s="100"/>
      <c r="F145" s="101"/>
      <c r="G145" s="98"/>
      <c r="H145" s="100"/>
      <c r="I145" s="102"/>
      <c r="J145" s="102"/>
      <c r="K145" s="102"/>
      <c r="L145" s="101"/>
      <c r="M145" s="103"/>
      <c r="N145" s="102"/>
      <c r="O145" s="102"/>
      <c r="P145" s="102"/>
    </row>
    <row r="146" ht="15.75" customHeight="1">
      <c r="A146" s="97"/>
      <c r="B146" s="98"/>
      <c r="C146" s="99"/>
      <c r="D146" s="98"/>
      <c r="E146" s="100"/>
      <c r="F146" s="101"/>
      <c r="G146" s="98"/>
      <c r="H146" s="100"/>
      <c r="I146" s="102"/>
      <c r="J146" s="102"/>
      <c r="K146" s="102"/>
      <c r="L146" s="101"/>
      <c r="M146" s="103"/>
      <c r="N146" s="102"/>
      <c r="O146" s="102"/>
      <c r="P146" s="102"/>
    </row>
    <row r="147" ht="15.75" customHeight="1">
      <c r="A147" s="97"/>
      <c r="B147" s="98"/>
      <c r="C147" s="99"/>
      <c r="D147" s="98"/>
      <c r="E147" s="100"/>
      <c r="F147" s="101"/>
      <c r="G147" s="98"/>
      <c r="H147" s="100"/>
      <c r="I147" s="102"/>
      <c r="J147" s="102"/>
      <c r="K147" s="102"/>
      <c r="L147" s="101"/>
      <c r="M147" s="103"/>
      <c r="N147" s="102"/>
      <c r="O147" s="102"/>
      <c r="P147" s="102"/>
    </row>
    <row r="148" ht="15.75" customHeight="1">
      <c r="A148" s="97"/>
      <c r="B148" s="98"/>
      <c r="C148" s="99"/>
      <c r="D148" s="98"/>
      <c r="E148" s="100"/>
      <c r="F148" s="101"/>
      <c r="G148" s="98"/>
      <c r="H148" s="100"/>
      <c r="I148" s="102"/>
      <c r="J148" s="102"/>
      <c r="K148" s="102"/>
      <c r="L148" s="101"/>
      <c r="M148" s="103"/>
      <c r="N148" s="102"/>
      <c r="O148" s="102"/>
      <c r="P148" s="102"/>
    </row>
    <row r="149" ht="15.75" customHeight="1">
      <c r="A149" s="97"/>
      <c r="B149" s="98"/>
      <c r="C149" s="99"/>
      <c r="D149" s="98"/>
      <c r="E149" s="100"/>
      <c r="F149" s="101"/>
      <c r="G149" s="98"/>
      <c r="H149" s="100"/>
      <c r="I149" s="102"/>
      <c r="J149" s="102"/>
      <c r="K149" s="102"/>
      <c r="L149" s="101"/>
      <c r="M149" s="103"/>
      <c r="N149" s="102"/>
      <c r="O149" s="102"/>
      <c r="P149" s="102"/>
    </row>
    <row r="150" ht="15.75" customHeight="1">
      <c r="A150" s="97"/>
      <c r="B150" s="98"/>
      <c r="C150" s="99"/>
      <c r="D150" s="98"/>
      <c r="E150" s="100"/>
      <c r="F150" s="101"/>
      <c r="G150" s="98"/>
      <c r="H150" s="100"/>
      <c r="I150" s="102"/>
      <c r="J150" s="102"/>
      <c r="K150" s="102"/>
      <c r="L150" s="101"/>
      <c r="M150" s="103"/>
      <c r="N150" s="102"/>
      <c r="O150" s="102"/>
      <c r="P150" s="102"/>
    </row>
    <row r="151" ht="15.75" customHeight="1">
      <c r="A151" s="97"/>
      <c r="B151" s="98"/>
      <c r="C151" s="99"/>
      <c r="D151" s="98"/>
      <c r="E151" s="100"/>
      <c r="F151" s="101"/>
      <c r="G151" s="98"/>
      <c r="H151" s="100"/>
      <c r="I151" s="102"/>
      <c r="J151" s="102"/>
      <c r="K151" s="102"/>
      <c r="L151" s="101"/>
      <c r="M151" s="103"/>
      <c r="N151" s="102"/>
      <c r="O151" s="102"/>
      <c r="P151" s="102"/>
    </row>
    <row r="152" ht="15.75" customHeight="1">
      <c r="A152" s="97"/>
      <c r="B152" s="98"/>
      <c r="C152" s="99"/>
      <c r="D152" s="98"/>
      <c r="E152" s="100"/>
      <c r="F152" s="101"/>
      <c r="G152" s="98"/>
      <c r="H152" s="100"/>
      <c r="I152" s="102"/>
      <c r="J152" s="102"/>
      <c r="K152" s="102"/>
      <c r="L152" s="101"/>
      <c r="M152" s="103"/>
      <c r="N152" s="102"/>
      <c r="O152" s="102"/>
      <c r="P152" s="102"/>
    </row>
    <row r="153" ht="15.75" customHeight="1">
      <c r="A153" s="97"/>
      <c r="B153" s="98"/>
      <c r="C153" s="99"/>
      <c r="D153" s="98"/>
      <c r="E153" s="100"/>
      <c r="F153" s="101"/>
      <c r="G153" s="98"/>
      <c r="H153" s="100"/>
      <c r="I153" s="102"/>
      <c r="J153" s="102"/>
      <c r="K153" s="102"/>
      <c r="L153" s="101"/>
      <c r="M153" s="103"/>
      <c r="N153" s="102"/>
      <c r="O153" s="102"/>
      <c r="P153" s="102"/>
    </row>
    <row r="154" ht="15.75" customHeight="1">
      <c r="A154" s="97"/>
      <c r="B154" s="98"/>
      <c r="C154" s="99"/>
      <c r="D154" s="98"/>
      <c r="E154" s="100"/>
      <c r="F154" s="101"/>
      <c r="G154" s="98"/>
      <c r="H154" s="100"/>
      <c r="I154" s="102"/>
      <c r="J154" s="102"/>
      <c r="K154" s="102"/>
      <c r="L154" s="101"/>
      <c r="M154" s="103"/>
      <c r="N154" s="102"/>
      <c r="O154" s="102"/>
      <c r="P154" s="102"/>
    </row>
    <row r="155" ht="15.75" customHeight="1">
      <c r="A155" s="97"/>
      <c r="B155" s="98"/>
      <c r="C155" s="99"/>
      <c r="D155" s="98"/>
      <c r="E155" s="100"/>
      <c r="F155" s="101"/>
      <c r="G155" s="98"/>
      <c r="H155" s="100"/>
      <c r="I155" s="102"/>
      <c r="J155" s="102"/>
      <c r="K155" s="102"/>
      <c r="L155" s="101"/>
      <c r="M155" s="103"/>
      <c r="N155" s="102"/>
      <c r="O155" s="102"/>
      <c r="P155" s="102"/>
    </row>
    <row r="156" ht="15.75" customHeight="1">
      <c r="A156" s="97"/>
      <c r="B156" s="98"/>
      <c r="C156" s="99"/>
      <c r="D156" s="98"/>
      <c r="E156" s="100"/>
      <c r="F156" s="101"/>
      <c r="G156" s="98"/>
      <c r="H156" s="100"/>
      <c r="I156" s="102"/>
      <c r="J156" s="102"/>
      <c r="K156" s="102"/>
      <c r="L156" s="101"/>
      <c r="M156" s="103"/>
      <c r="N156" s="102"/>
      <c r="O156" s="102"/>
      <c r="P156" s="102"/>
    </row>
    <row r="157" ht="15.75" customHeight="1">
      <c r="A157" s="97"/>
      <c r="B157" s="98"/>
      <c r="C157" s="99"/>
      <c r="D157" s="98"/>
      <c r="E157" s="100"/>
      <c r="F157" s="101"/>
      <c r="G157" s="98"/>
      <c r="H157" s="100"/>
      <c r="I157" s="102"/>
      <c r="J157" s="102"/>
      <c r="K157" s="102"/>
      <c r="L157" s="101"/>
      <c r="M157" s="103"/>
      <c r="N157" s="102"/>
      <c r="O157" s="102"/>
      <c r="P157" s="102"/>
    </row>
    <row r="158" ht="15.75" customHeight="1">
      <c r="A158" s="97"/>
      <c r="B158" s="98"/>
      <c r="C158" s="99"/>
      <c r="D158" s="98"/>
      <c r="E158" s="100"/>
      <c r="F158" s="101"/>
      <c r="G158" s="98"/>
      <c r="H158" s="100"/>
      <c r="I158" s="102"/>
      <c r="J158" s="102"/>
      <c r="K158" s="102"/>
      <c r="L158" s="101"/>
      <c r="M158" s="103"/>
      <c r="N158" s="102"/>
      <c r="O158" s="102"/>
      <c r="P158" s="102"/>
    </row>
    <row r="159" ht="15.75" customHeight="1">
      <c r="A159" s="97"/>
      <c r="B159" s="98"/>
      <c r="C159" s="99"/>
      <c r="D159" s="98"/>
      <c r="E159" s="100"/>
      <c r="F159" s="101"/>
      <c r="G159" s="98"/>
      <c r="H159" s="100"/>
      <c r="I159" s="102"/>
      <c r="J159" s="102"/>
      <c r="K159" s="102"/>
      <c r="L159" s="101"/>
      <c r="M159" s="103"/>
      <c r="N159" s="102"/>
      <c r="O159" s="102"/>
      <c r="P159" s="102"/>
    </row>
    <row r="160" ht="15.75" customHeight="1">
      <c r="A160" s="97"/>
      <c r="B160" s="98"/>
      <c r="C160" s="99"/>
      <c r="D160" s="98"/>
      <c r="E160" s="100"/>
      <c r="F160" s="101"/>
      <c r="G160" s="98"/>
      <c r="H160" s="100"/>
      <c r="I160" s="102"/>
      <c r="J160" s="102"/>
      <c r="K160" s="102"/>
      <c r="L160" s="101"/>
      <c r="M160" s="103"/>
      <c r="N160" s="102"/>
      <c r="O160" s="102"/>
      <c r="P160" s="102"/>
    </row>
    <row r="161" ht="15.75" customHeight="1">
      <c r="A161" s="97"/>
      <c r="B161" s="98"/>
      <c r="C161" s="99"/>
      <c r="D161" s="98"/>
      <c r="E161" s="100"/>
      <c r="F161" s="101"/>
      <c r="G161" s="98"/>
      <c r="H161" s="100"/>
      <c r="I161" s="102"/>
      <c r="J161" s="102"/>
      <c r="K161" s="102"/>
      <c r="L161" s="101"/>
      <c r="M161" s="103"/>
      <c r="N161" s="102"/>
      <c r="O161" s="102"/>
      <c r="P161" s="102"/>
    </row>
    <row r="162" ht="15.75" customHeight="1">
      <c r="A162" s="97"/>
      <c r="B162" s="98"/>
      <c r="C162" s="99"/>
      <c r="D162" s="98"/>
      <c r="E162" s="100"/>
      <c r="F162" s="101"/>
      <c r="G162" s="98"/>
      <c r="H162" s="100"/>
      <c r="I162" s="102"/>
      <c r="J162" s="102"/>
      <c r="K162" s="102"/>
      <c r="L162" s="101"/>
      <c r="M162" s="103"/>
      <c r="N162" s="102"/>
      <c r="O162" s="102"/>
      <c r="P162" s="102"/>
    </row>
    <row r="163" ht="15.75" customHeight="1">
      <c r="A163" s="97"/>
      <c r="B163" s="98"/>
      <c r="C163" s="99"/>
      <c r="D163" s="98"/>
      <c r="E163" s="100"/>
      <c r="F163" s="101"/>
      <c r="G163" s="98"/>
      <c r="H163" s="100"/>
      <c r="I163" s="102"/>
      <c r="J163" s="102"/>
      <c r="K163" s="102"/>
      <c r="L163" s="101"/>
      <c r="M163" s="103"/>
      <c r="N163" s="102"/>
      <c r="O163" s="102"/>
      <c r="P163" s="102"/>
    </row>
    <row r="164" ht="15.75" customHeight="1">
      <c r="A164" s="97"/>
      <c r="B164" s="98"/>
      <c r="C164" s="99"/>
      <c r="D164" s="98"/>
      <c r="E164" s="100"/>
      <c r="F164" s="101"/>
      <c r="G164" s="98"/>
      <c r="H164" s="100"/>
      <c r="I164" s="102"/>
      <c r="J164" s="102"/>
      <c r="K164" s="102"/>
      <c r="L164" s="101"/>
      <c r="M164" s="103"/>
      <c r="N164" s="102"/>
      <c r="O164" s="102"/>
      <c r="P164" s="102"/>
    </row>
    <row r="165" ht="15.75" customHeight="1">
      <c r="A165" s="97"/>
      <c r="B165" s="98"/>
      <c r="C165" s="99"/>
      <c r="D165" s="98"/>
      <c r="E165" s="100"/>
      <c r="F165" s="101"/>
      <c r="G165" s="98"/>
      <c r="H165" s="100"/>
      <c r="I165" s="102"/>
      <c r="J165" s="102"/>
      <c r="K165" s="102"/>
      <c r="L165" s="101"/>
      <c r="M165" s="103"/>
      <c r="N165" s="102"/>
      <c r="O165" s="102"/>
      <c r="P165" s="102"/>
    </row>
    <row r="166" ht="15.75" customHeight="1">
      <c r="A166" s="97"/>
      <c r="B166" s="98"/>
      <c r="C166" s="99"/>
      <c r="D166" s="98"/>
      <c r="E166" s="100"/>
      <c r="F166" s="101"/>
      <c r="G166" s="98"/>
      <c r="H166" s="100"/>
      <c r="I166" s="102"/>
      <c r="J166" s="102"/>
      <c r="K166" s="102"/>
      <c r="L166" s="101"/>
      <c r="M166" s="103"/>
      <c r="N166" s="102"/>
      <c r="O166" s="102"/>
      <c r="P166" s="102"/>
    </row>
    <row r="167" ht="15.75" customHeight="1">
      <c r="A167" s="97"/>
      <c r="B167" s="98"/>
      <c r="C167" s="99"/>
      <c r="D167" s="98"/>
      <c r="E167" s="100"/>
      <c r="F167" s="101"/>
      <c r="G167" s="98"/>
      <c r="H167" s="100"/>
      <c r="I167" s="102"/>
      <c r="J167" s="102"/>
      <c r="K167" s="102"/>
      <c r="L167" s="101"/>
      <c r="M167" s="103"/>
      <c r="N167" s="102"/>
      <c r="O167" s="102"/>
      <c r="P167" s="102"/>
    </row>
    <row r="168" ht="15.75" customHeight="1">
      <c r="A168" s="97"/>
      <c r="B168" s="98"/>
      <c r="C168" s="99"/>
      <c r="D168" s="98"/>
      <c r="E168" s="100"/>
      <c r="F168" s="101"/>
      <c r="G168" s="98"/>
      <c r="H168" s="100"/>
      <c r="I168" s="102"/>
      <c r="J168" s="102"/>
      <c r="K168" s="102"/>
      <c r="L168" s="101"/>
      <c r="M168" s="103"/>
      <c r="N168" s="102"/>
      <c r="O168" s="102"/>
      <c r="P168" s="102"/>
    </row>
    <row r="169" ht="15.75" customHeight="1">
      <c r="A169" s="97"/>
      <c r="B169" s="98"/>
      <c r="C169" s="99"/>
      <c r="D169" s="98"/>
      <c r="E169" s="100"/>
      <c r="F169" s="101"/>
      <c r="G169" s="98"/>
      <c r="H169" s="100"/>
      <c r="I169" s="102"/>
      <c r="J169" s="102"/>
      <c r="K169" s="102"/>
      <c r="L169" s="101"/>
      <c r="M169" s="103"/>
      <c r="N169" s="102"/>
      <c r="O169" s="102"/>
      <c r="P169" s="102"/>
    </row>
    <row r="170" ht="15.75" customHeight="1">
      <c r="A170" s="97"/>
      <c r="B170" s="98"/>
      <c r="C170" s="99"/>
      <c r="D170" s="98"/>
      <c r="E170" s="100"/>
      <c r="F170" s="101"/>
      <c r="G170" s="98"/>
      <c r="H170" s="100"/>
      <c r="I170" s="102"/>
      <c r="J170" s="102"/>
      <c r="K170" s="102"/>
      <c r="L170" s="101"/>
      <c r="M170" s="103"/>
      <c r="N170" s="102"/>
      <c r="O170" s="102"/>
      <c r="P170" s="102"/>
    </row>
    <row r="171" ht="15.75" customHeight="1">
      <c r="A171" s="97"/>
      <c r="B171" s="98"/>
      <c r="C171" s="99"/>
      <c r="D171" s="98"/>
      <c r="E171" s="100"/>
      <c r="F171" s="101"/>
      <c r="G171" s="98"/>
      <c r="H171" s="100"/>
      <c r="I171" s="102"/>
      <c r="J171" s="102"/>
      <c r="K171" s="102"/>
      <c r="L171" s="101"/>
      <c r="M171" s="103"/>
      <c r="N171" s="102"/>
      <c r="O171" s="102"/>
      <c r="P171" s="102"/>
    </row>
    <row r="172" ht="15.75" customHeight="1">
      <c r="A172" s="97"/>
      <c r="B172" s="98"/>
      <c r="C172" s="99"/>
      <c r="D172" s="98"/>
      <c r="E172" s="100"/>
      <c r="F172" s="101"/>
      <c r="G172" s="98"/>
      <c r="H172" s="100"/>
      <c r="I172" s="102"/>
      <c r="J172" s="102"/>
      <c r="K172" s="102"/>
      <c r="L172" s="101"/>
      <c r="M172" s="103"/>
      <c r="N172" s="102"/>
      <c r="O172" s="102"/>
      <c r="P172" s="102"/>
    </row>
    <row r="173" ht="15.75" customHeight="1">
      <c r="A173" s="97"/>
      <c r="B173" s="98"/>
      <c r="C173" s="99"/>
      <c r="D173" s="98"/>
      <c r="E173" s="100"/>
      <c r="F173" s="101"/>
      <c r="G173" s="98"/>
      <c r="H173" s="100"/>
      <c r="I173" s="102"/>
      <c r="J173" s="102"/>
      <c r="K173" s="102"/>
      <c r="L173" s="101"/>
      <c r="M173" s="103"/>
      <c r="N173" s="102"/>
      <c r="O173" s="102"/>
      <c r="P173" s="102"/>
    </row>
    <row r="174" ht="15.75" customHeight="1">
      <c r="A174" s="97"/>
      <c r="B174" s="98"/>
      <c r="C174" s="99"/>
      <c r="D174" s="98"/>
      <c r="E174" s="100"/>
      <c r="F174" s="101"/>
      <c r="G174" s="98"/>
      <c r="H174" s="100"/>
      <c r="I174" s="102"/>
      <c r="J174" s="102"/>
      <c r="K174" s="102"/>
      <c r="L174" s="101"/>
      <c r="M174" s="103"/>
      <c r="N174" s="102"/>
      <c r="O174" s="102"/>
      <c r="P174" s="102"/>
    </row>
    <row r="175" ht="15.75" customHeight="1">
      <c r="A175" s="97"/>
      <c r="B175" s="98"/>
      <c r="C175" s="99"/>
      <c r="D175" s="98"/>
      <c r="E175" s="100"/>
      <c r="F175" s="101"/>
      <c r="G175" s="98"/>
      <c r="H175" s="100"/>
      <c r="I175" s="102"/>
      <c r="J175" s="102"/>
      <c r="K175" s="102"/>
      <c r="L175" s="101"/>
      <c r="M175" s="103"/>
      <c r="N175" s="102"/>
      <c r="O175" s="102"/>
      <c r="P175" s="102"/>
    </row>
    <row r="176" ht="15.75" customHeight="1">
      <c r="A176" s="97"/>
      <c r="B176" s="98"/>
      <c r="C176" s="99"/>
      <c r="D176" s="98"/>
      <c r="E176" s="100"/>
      <c r="F176" s="101"/>
      <c r="G176" s="98"/>
      <c r="H176" s="100"/>
      <c r="I176" s="102"/>
      <c r="J176" s="102"/>
      <c r="K176" s="102"/>
      <c r="L176" s="101"/>
      <c r="M176" s="103"/>
      <c r="N176" s="102"/>
      <c r="O176" s="102"/>
      <c r="P176" s="102"/>
    </row>
    <row r="177" ht="15.75" customHeight="1">
      <c r="A177" s="97"/>
      <c r="B177" s="98"/>
      <c r="C177" s="99"/>
      <c r="D177" s="98"/>
      <c r="E177" s="100"/>
      <c r="F177" s="101"/>
      <c r="G177" s="98"/>
      <c r="H177" s="100"/>
      <c r="I177" s="102"/>
      <c r="J177" s="102"/>
      <c r="K177" s="102"/>
      <c r="L177" s="101"/>
      <c r="M177" s="103"/>
      <c r="N177" s="102"/>
      <c r="O177" s="102"/>
      <c r="P177" s="102"/>
    </row>
    <row r="178" ht="15.75" customHeight="1">
      <c r="A178" s="97"/>
      <c r="B178" s="98"/>
      <c r="C178" s="99"/>
      <c r="D178" s="98"/>
      <c r="E178" s="100"/>
      <c r="F178" s="101"/>
      <c r="G178" s="98"/>
      <c r="H178" s="100"/>
      <c r="I178" s="102"/>
      <c r="J178" s="102"/>
      <c r="K178" s="102"/>
      <c r="L178" s="101"/>
      <c r="M178" s="103"/>
      <c r="N178" s="102"/>
      <c r="O178" s="102"/>
      <c r="P178" s="102"/>
    </row>
    <row r="179" ht="15.75" customHeight="1">
      <c r="A179" s="97"/>
      <c r="B179" s="98"/>
      <c r="C179" s="99"/>
      <c r="D179" s="98"/>
      <c r="E179" s="100"/>
      <c r="F179" s="101"/>
      <c r="G179" s="98"/>
      <c r="H179" s="100"/>
      <c r="I179" s="102"/>
      <c r="J179" s="102"/>
      <c r="K179" s="102"/>
      <c r="L179" s="101"/>
      <c r="M179" s="103"/>
      <c r="N179" s="102"/>
      <c r="O179" s="102"/>
      <c r="P179" s="102"/>
    </row>
    <row r="180" ht="15.75" customHeight="1">
      <c r="A180" s="97"/>
      <c r="B180" s="98"/>
      <c r="C180" s="99"/>
      <c r="D180" s="98"/>
      <c r="E180" s="100"/>
      <c r="F180" s="101"/>
      <c r="G180" s="98"/>
      <c r="H180" s="100"/>
      <c r="I180" s="102"/>
      <c r="J180" s="102"/>
      <c r="K180" s="102"/>
      <c r="L180" s="101"/>
      <c r="M180" s="103"/>
      <c r="N180" s="102"/>
      <c r="O180" s="102"/>
      <c r="P180" s="102"/>
    </row>
    <row r="181" ht="15.75" customHeight="1">
      <c r="A181" s="97"/>
      <c r="B181" s="98"/>
      <c r="C181" s="99"/>
      <c r="D181" s="98"/>
      <c r="E181" s="100"/>
      <c r="F181" s="101"/>
      <c r="G181" s="98"/>
      <c r="H181" s="100"/>
      <c r="I181" s="102"/>
      <c r="J181" s="102"/>
      <c r="K181" s="102"/>
      <c r="L181" s="101"/>
      <c r="M181" s="103"/>
      <c r="N181" s="102"/>
      <c r="O181" s="102"/>
      <c r="P181" s="102"/>
    </row>
    <row r="182" ht="15.75" customHeight="1">
      <c r="A182" s="97"/>
      <c r="B182" s="98"/>
      <c r="C182" s="99"/>
      <c r="D182" s="98"/>
      <c r="E182" s="100"/>
      <c r="F182" s="101"/>
      <c r="G182" s="98"/>
      <c r="H182" s="100"/>
      <c r="I182" s="102"/>
      <c r="J182" s="102"/>
      <c r="K182" s="102"/>
      <c r="L182" s="101"/>
      <c r="M182" s="103"/>
      <c r="N182" s="102"/>
      <c r="O182" s="102"/>
      <c r="P182" s="102"/>
    </row>
    <row r="183" ht="15.75" customHeight="1">
      <c r="A183" s="97"/>
      <c r="B183" s="98"/>
      <c r="C183" s="99"/>
      <c r="D183" s="98"/>
      <c r="E183" s="100"/>
      <c r="F183" s="101"/>
      <c r="G183" s="98"/>
      <c r="H183" s="100"/>
      <c r="I183" s="102"/>
      <c r="J183" s="102"/>
      <c r="K183" s="102"/>
      <c r="L183" s="101"/>
      <c r="M183" s="103"/>
      <c r="N183" s="102"/>
      <c r="O183" s="102"/>
      <c r="P183" s="102"/>
    </row>
    <row r="184" ht="15.75" customHeight="1">
      <c r="A184" s="97"/>
      <c r="B184" s="98"/>
      <c r="C184" s="99"/>
      <c r="D184" s="98"/>
      <c r="E184" s="100"/>
      <c r="F184" s="101"/>
      <c r="G184" s="98"/>
      <c r="H184" s="100"/>
      <c r="I184" s="102"/>
      <c r="J184" s="102"/>
      <c r="K184" s="102"/>
      <c r="L184" s="101"/>
      <c r="M184" s="103"/>
      <c r="N184" s="102"/>
      <c r="O184" s="102"/>
      <c r="P184" s="102"/>
    </row>
    <row r="185" ht="15.75" customHeight="1">
      <c r="A185" s="97"/>
      <c r="B185" s="98"/>
      <c r="C185" s="99"/>
      <c r="D185" s="98"/>
      <c r="E185" s="100"/>
      <c r="F185" s="101"/>
      <c r="G185" s="98"/>
      <c r="H185" s="100"/>
      <c r="I185" s="102"/>
      <c r="J185" s="102"/>
      <c r="K185" s="102"/>
      <c r="L185" s="101"/>
      <c r="M185" s="103"/>
      <c r="N185" s="102"/>
      <c r="O185" s="102"/>
      <c r="P185" s="102"/>
    </row>
    <row r="186" ht="15.75" customHeight="1">
      <c r="A186" s="97"/>
      <c r="B186" s="98"/>
      <c r="C186" s="99"/>
      <c r="D186" s="98"/>
      <c r="E186" s="100"/>
      <c r="F186" s="101"/>
      <c r="G186" s="98"/>
      <c r="H186" s="100"/>
      <c r="I186" s="102"/>
      <c r="J186" s="102"/>
      <c r="K186" s="102"/>
      <c r="L186" s="101"/>
      <c r="M186" s="103"/>
      <c r="N186" s="102"/>
      <c r="O186" s="102"/>
      <c r="P186" s="102"/>
    </row>
    <row r="187" ht="15.75" customHeight="1">
      <c r="A187" s="97"/>
      <c r="B187" s="98"/>
      <c r="C187" s="99"/>
      <c r="D187" s="98"/>
      <c r="E187" s="100"/>
      <c r="F187" s="101"/>
      <c r="G187" s="98"/>
      <c r="H187" s="100"/>
      <c r="I187" s="102"/>
      <c r="J187" s="102"/>
      <c r="K187" s="102"/>
      <c r="L187" s="101"/>
      <c r="M187" s="103"/>
      <c r="N187" s="102"/>
      <c r="O187" s="102"/>
      <c r="P187" s="102"/>
    </row>
    <row r="188" ht="15.75" customHeight="1">
      <c r="A188" s="97"/>
      <c r="B188" s="98"/>
      <c r="C188" s="99"/>
      <c r="D188" s="98"/>
      <c r="E188" s="100"/>
      <c r="F188" s="101"/>
      <c r="G188" s="98"/>
      <c r="H188" s="100"/>
      <c r="I188" s="102"/>
      <c r="J188" s="102"/>
      <c r="K188" s="102"/>
      <c r="L188" s="101"/>
      <c r="M188" s="103"/>
      <c r="N188" s="102"/>
      <c r="O188" s="102"/>
      <c r="P188" s="102"/>
    </row>
    <row r="189" ht="15.75" customHeight="1">
      <c r="A189" s="97"/>
      <c r="B189" s="98"/>
      <c r="C189" s="99"/>
      <c r="D189" s="98"/>
      <c r="E189" s="100"/>
      <c r="F189" s="101"/>
      <c r="G189" s="98"/>
      <c r="H189" s="100"/>
      <c r="I189" s="102"/>
      <c r="J189" s="102"/>
      <c r="K189" s="102"/>
      <c r="L189" s="101"/>
      <c r="M189" s="103"/>
      <c r="N189" s="102"/>
      <c r="O189" s="102"/>
      <c r="P189" s="102"/>
    </row>
    <row r="190" ht="15.75" customHeight="1">
      <c r="A190" s="97"/>
      <c r="B190" s="98"/>
      <c r="C190" s="99"/>
      <c r="D190" s="98"/>
      <c r="E190" s="100"/>
      <c r="F190" s="101"/>
      <c r="G190" s="98"/>
      <c r="H190" s="100"/>
      <c r="I190" s="102"/>
      <c r="J190" s="102"/>
      <c r="K190" s="102"/>
      <c r="L190" s="101"/>
      <c r="M190" s="103"/>
      <c r="N190" s="102"/>
      <c r="O190" s="102"/>
      <c r="P190" s="102"/>
    </row>
    <row r="191" ht="15.75" customHeight="1">
      <c r="A191" s="97"/>
      <c r="B191" s="98"/>
      <c r="C191" s="99"/>
      <c r="D191" s="98"/>
      <c r="E191" s="100"/>
      <c r="F191" s="101"/>
      <c r="G191" s="98"/>
      <c r="H191" s="100"/>
      <c r="I191" s="102"/>
      <c r="J191" s="102"/>
      <c r="K191" s="102"/>
      <c r="L191" s="101"/>
      <c r="M191" s="103"/>
      <c r="N191" s="102"/>
      <c r="O191" s="102"/>
      <c r="P191" s="102"/>
    </row>
    <row r="192" ht="15.75" customHeight="1">
      <c r="A192" s="97"/>
      <c r="B192" s="98"/>
      <c r="C192" s="99"/>
      <c r="D192" s="98"/>
      <c r="E192" s="100"/>
      <c r="F192" s="101"/>
      <c r="G192" s="98"/>
      <c r="H192" s="100"/>
      <c r="I192" s="102"/>
      <c r="J192" s="102"/>
      <c r="K192" s="102"/>
      <c r="L192" s="101"/>
      <c r="M192" s="103"/>
      <c r="N192" s="102"/>
      <c r="O192" s="102"/>
      <c r="P192" s="102"/>
    </row>
    <row r="193" ht="15.75" customHeight="1">
      <c r="A193" s="97"/>
      <c r="B193" s="98"/>
      <c r="C193" s="99"/>
      <c r="D193" s="98"/>
      <c r="E193" s="100"/>
      <c r="F193" s="101"/>
      <c r="G193" s="98"/>
      <c r="H193" s="100"/>
      <c r="I193" s="102"/>
      <c r="J193" s="102"/>
      <c r="K193" s="102"/>
      <c r="L193" s="101"/>
      <c r="M193" s="103"/>
      <c r="N193" s="102"/>
      <c r="O193" s="102"/>
      <c r="P193" s="102"/>
    </row>
    <row r="194" ht="15.75" customHeight="1">
      <c r="A194" s="97"/>
      <c r="B194" s="98"/>
      <c r="C194" s="99"/>
      <c r="D194" s="98"/>
      <c r="E194" s="100"/>
      <c r="F194" s="101"/>
      <c r="G194" s="98"/>
      <c r="H194" s="100"/>
      <c r="I194" s="102"/>
      <c r="J194" s="102"/>
      <c r="K194" s="102"/>
      <c r="L194" s="101"/>
      <c r="M194" s="103"/>
      <c r="N194" s="102"/>
      <c r="O194" s="102"/>
      <c r="P194" s="102"/>
    </row>
    <row r="195" ht="15.75" customHeight="1">
      <c r="A195" s="97"/>
      <c r="B195" s="98"/>
      <c r="C195" s="99"/>
      <c r="D195" s="98"/>
      <c r="E195" s="100"/>
      <c r="F195" s="101"/>
      <c r="G195" s="98"/>
      <c r="H195" s="100"/>
      <c r="I195" s="102"/>
      <c r="J195" s="102"/>
      <c r="K195" s="102"/>
      <c r="L195" s="101"/>
      <c r="M195" s="103"/>
      <c r="N195" s="102"/>
      <c r="O195" s="102"/>
      <c r="P195" s="102"/>
    </row>
    <row r="196" ht="15.75" customHeight="1">
      <c r="A196" s="97"/>
      <c r="B196" s="98"/>
      <c r="C196" s="99"/>
      <c r="D196" s="98"/>
      <c r="E196" s="100"/>
      <c r="F196" s="101"/>
      <c r="G196" s="98"/>
      <c r="H196" s="100"/>
      <c r="I196" s="102"/>
      <c r="J196" s="102"/>
      <c r="K196" s="102"/>
      <c r="L196" s="101"/>
      <c r="M196" s="103"/>
      <c r="N196" s="102"/>
      <c r="O196" s="102"/>
      <c r="P196" s="102"/>
    </row>
    <row r="197" ht="15.75" customHeight="1">
      <c r="A197" s="97"/>
      <c r="B197" s="98"/>
      <c r="C197" s="99"/>
      <c r="D197" s="98"/>
      <c r="E197" s="100"/>
      <c r="F197" s="101"/>
      <c r="G197" s="98"/>
      <c r="H197" s="100"/>
      <c r="I197" s="102"/>
      <c r="J197" s="102"/>
      <c r="K197" s="102"/>
      <c r="L197" s="101"/>
      <c r="M197" s="103"/>
      <c r="N197" s="102"/>
      <c r="O197" s="102"/>
      <c r="P197" s="102"/>
    </row>
    <row r="198" ht="15.75" customHeight="1">
      <c r="A198" s="97"/>
      <c r="B198" s="98"/>
      <c r="C198" s="99"/>
      <c r="D198" s="98"/>
      <c r="E198" s="100"/>
      <c r="F198" s="101"/>
      <c r="G198" s="98"/>
      <c r="H198" s="100"/>
      <c r="I198" s="102"/>
      <c r="J198" s="102"/>
      <c r="K198" s="102"/>
      <c r="L198" s="101"/>
      <c r="M198" s="103"/>
      <c r="N198" s="102"/>
      <c r="O198" s="102"/>
      <c r="P198" s="102"/>
    </row>
    <row r="199" ht="15.75" customHeight="1">
      <c r="A199" s="97"/>
      <c r="B199" s="98"/>
      <c r="C199" s="99"/>
      <c r="D199" s="98"/>
      <c r="E199" s="100"/>
      <c r="F199" s="101"/>
      <c r="G199" s="98"/>
      <c r="H199" s="100"/>
      <c r="I199" s="102"/>
      <c r="J199" s="102"/>
      <c r="K199" s="102"/>
      <c r="L199" s="101"/>
      <c r="M199" s="103"/>
      <c r="N199" s="102"/>
      <c r="O199" s="102"/>
      <c r="P199" s="102"/>
    </row>
    <row r="200" ht="15.75" customHeight="1">
      <c r="A200" s="97"/>
      <c r="B200" s="98"/>
      <c r="C200" s="99"/>
      <c r="D200" s="98"/>
      <c r="E200" s="100"/>
      <c r="F200" s="101"/>
      <c r="G200" s="98"/>
      <c r="H200" s="100"/>
      <c r="I200" s="102"/>
      <c r="J200" s="102"/>
      <c r="K200" s="102"/>
      <c r="L200" s="101"/>
      <c r="M200" s="103"/>
      <c r="N200" s="102"/>
      <c r="O200" s="102"/>
      <c r="P200" s="102"/>
    </row>
    <row r="201" ht="15.75" customHeight="1">
      <c r="A201" s="97"/>
      <c r="B201" s="98"/>
      <c r="C201" s="99"/>
      <c r="D201" s="98"/>
      <c r="E201" s="100"/>
      <c r="F201" s="101"/>
      <c r="G201" s="98"/>
      <c r="H201" s="100"/>
      <c r="I201" s="102"/>
      <c r="J201" s="102"/>
      <c r="K201" s="102"/>
      <c r="L201" s="101"/>
      <c r="M201" s="103"/>
      <c r="N201" s="102"/>
      <c r="O201" s="102"/>
      <c r="P201" s="102"/>
    </row>
    <row r="202" ht="15.75" customHeight="1">
      <c r="A202" s="97"/>
      <c r="B202" s="98"/>
      <c r="C202" s="99"/>
      <c r="D202" s="98"/>
      <c r="E202" s="100"/>
      <c r="F202" s="101"/>
      <c r="G202" s="98"/>
      <c r="H202" s="100"/>
      <c r="I202" s="102"/>
      <c r="J202" s="102"/>
      <c r="K202" s="102"/>
      <c r="L202" s="101"/>
      <c r="M202" s="103"/>
      <c r="N202" s="102"/>
      <c r="O202" s="102"/>
      <c r="P202" s="102"/>
    </row>
    <row r="203" ht="15.75" customHeight="1">
      <c r="A203" s="97"/>
      <c r="B203" s="98"/>
      <c r="C203" s="99"/>
      <c r="D203" s="98"/>
      <c r="E203" s="100"/>
      <c r="F203" s="101"/>
      <c r="G203" s="98"/>
      <c r="H203" s="100"/>
      <c r="I203" s="102"/>
      <c r="J203" s="102"/>
      <c r="K203" s="102"/>
      <c r="L203" s="101"/>
      <c r="M203" s="103"/>
      <c r="N203" s="102"/>
      <c r="O203" s="102"/>
      <c r="P203" s="102"/>
    </row>
    <row r="204" ht="15.75" customHeight="1">
      <c r="A204" s="97"/>
      <c r="B204" s="98"/>
      <c r="C204" s="99"/>
      <c r="D204" s="98"/>
      <c r="E204" s="100"/>
      <c r="F204" s="101"/>
      <c r="G204" s="98"/>
      <c r="H204" s="100"/>
      <c r="I204" s="102"/>
      <c r="J204" s="102"/>
      <c r="K204" s="102"/>
      <c r="L204" s="101"/>
      <c r="M204" s="103"/>
      <c r="N204" s="102"/>
      <c r="O204" s="102"/>
      <c r="P204" s="102"/>
    </row>
    <row r="205" ht="15.75" customHeight="1">
      <c r="A205" s="97"/>
      <c r="B205" s="98"/>
      <c r="C205" s="99"/>
      <c r="D205" s="98"/>
      <c r="E205" s="100"/>
      <c r="F205" s="101"/>
      <c r="G205" s="98"/>
      <c r="H205" s="100"/>
      <c r="I205" s="102"/>
      <c r="J205" s="102"/>
      <c r="K205" s="102"/>
      <c r="L205" s="101"/>
      <c r="M205" s="103"/>
      <c r="N205" s="102"/>
      <c r="O205" s="102"/>
      <c r="P205" s="102"/>
    </row>
    <row r="206" ht="15.75" customHeight="1">
      <c r="A206" s="97"/>
      <c r="B206" s="98"/>
      <c r="C206" s="99"/>
      <c r="D206" s="98"/>
      <c r="E206" s="100"/>
      <c r="F206" s="101"/>
      <c r="G206" s="98"/>
      <c r="H206" s="100"/>
      <c r="I206" s="102"/>
      <c r="J206" s="102"/>
      <c r="K206" s="102"/>
      <c r="L206" s="101"/>
      <c r="M206" s="103"/>
      <c r="N206" s="102"/>
      <c r="O206" s="102"/>
      <c r="P206" s="102"/>
    </row>
    <row r="207" ht="15.75" customHeight="1">
      <c r="A207" s="97"/>
      <c r="B207" s="98"/>
      <c r="C207" s="99"/>
      <c r="D207" s="98"/>
      <c r="E207" s="100"/>
      <c r="F207" s="101"/>
      <c r="G207" s="98"/>
      <c r="H207" s="100"/>
      <c r="I207" s="102"/>
      <c r="J207" s="102"/>
      <c r="K207" s="102"/>
      <c r="L207" s="101"/>
      <c r="M207" s="103"/>
      <c r="N207" s="102"/>
      <c r="O207" s="102"/>
      <c r="P207" s="102"/>
    </row>
    <row r="208" ht="15.75" customHeight="1">
      <c r="A208" s="97"/>
      <c r="B208" s="98"/>
      <c r="C208" s="99"/>
      <c r="D208" s="98"/>
      <c r="E208" s="100"/>
      <c r="F208" s="101"/>
      <c r="G208" s="98"/>
      <c r="H208" s="100"/>
      <c r="I208" s="102"/>
      <c r="J208" s="102"/>
      <c r="K208" s="102"/>
      <c r="L208" s="101"/>
      <c r="M208" s="103"/>
      <c r="N208" s="102"/>
      <c r="O208" s="102"/>
      <c r="P208" s="102"/>
    </row>
    <row r="209" ht="15.75" customHeight="1">
      <c r="A209" s="97"/>
      <c r="B209" s="98"/>
      <c r="C209" s="99"/>
      <c r="D209" s="98"/>
      <c r="E209" s="100"/>
      <c r="F209" s="101"/>
      <c r="G209" s="98"/>
      <c r="H209" s="100"/>
      <c r="I209" s="102"/>
      <c r="J209" s="102"/>
      <c r="K209" s="102"/>
      <c r="L209" s="101"/>
      <c r="M209" s="103"/>
      <c r="N209" s="102"/>
      <c r="O209" s="102"/>
      <c r="P209" s="102"/>
    </row>
    <row r="210" ht="15.75" customHeight="1">
      <c r="A210" s="97"/>
      <c r="B210" s="98"/>
      <c r="C210" s="99"/>
      <c r="D210" s="98"/>
      <c r="E210" s="100"/>
      <c r="F210" s="101"/>
      <c r="G210" s="98"/>
      <c r="H210" s="100"/>
      <c r="I210" s="102"/>
      <c r="J210" s="102"/>
      <c r="K210" s="102"/>
      <c r="L210" s="101"/>
      <c r="M210" s="103"/>
      <c r="N210" s="102"/>
      <c r="O210" s="102"/>
      <c r="P210" s="102"/>
    </row>
    <row r="211" ht="15.75" customHeight="1">
      <c r="A211" s="97"/>
      <c r="B211" s="98"/>
      <c r="C211" s="99"/>
      <c r="D211" s="98"/>
      <c r="E211" s="100"/>
      <c r="F211" s="101"/>
      <c r="G211" s="98"/>
      <c r="H211" s="100"/>
      <c r="I211" s="102"/>
      <c r="J211" s="102"/>
      <c r="K211" s="102"/>
      <c r="L211" s="101"/>
      <c r="M211" s="103"/>
      <c r="N211" s="102"/>
      <c r="O211" s="102"/>
      <c r="P211" s="102"/>
    </row>
    <row r="212" ht="15.75" customHeight="1">
      <c r="A212" s="97"/>
      <c r="B212" s="98"/>
      <c r="C212" s="99"/>
      <c r="D212" s="98"/>
      <c r="E212" s="100"/>
      <c r="F212" s="101"/>
      <c r="G212" s="98"/>
      <c r="H212" s="100"/>
      <c r="I212" s="102"/>
      <c r="J212" s="102"/>
      <c r="K212" s="102"/>
      <c r="L212" s="101"/>
      <c r="M212" s="103"/>
      <c r="N212" s="102"/>
      <c r="O212" s="102"/>
      <c r="P212" s="102"/>
    </row>
    <row r="213" ht="15.75" customHeight="1">
      <c r="A213" s="97"/>
      <c r="B213" s="98"/>
      <c r="C213" s="99"/>
      <c r="D213" s="98"/>
      <c r="E213" s="100"/>
      <c r="F213" s="101"/>
      <c r="G213" s="98"/>
      <c r="H213" s="100"/>
      <c r="I213" s="102"/>
      <c r="J213" s="102"/>
      <c r="K213" s="102"/>
      <c r="L213" s="101"/>
      <c r="M213" s="103"/>
      <c r="N213" s="102"/>
      <c r="O213" s="102"/>
      <c r="P213" s="102"/>
    </row>
    <row r="214" ht="15.75" customHeight="1">
      <c r="A214" s="97"/>
      <c r="B214" s="98"/>
      <c r="C214" s="99"/>
      <c r="D214" s="98"/>
      <c r="E214" s="100"/>
      <c r="F214" s="101"/>
      <c r="G214" s="98"/>
      <c r="H214" s="100"/>
      <c r="I214" s="102"/>
      <c r="J214" s="102"/>
      <c r="K214" s="102"/>
      <c r="L214" s="101"/>
      <c r="M214" s="103"/>
      <c r="N214" s="102"/>
      <c r="O214" s="102"/>
      <c r="P214" s="102"/>
    </row>
    <row r="215" ht="15.75" customHeight="1">
      <c r="A215" s="97"/>
      <c r="B215" s="98"/>
      <c r="C215" s="99"/>
      <c r="D215" s="98"/>
      <c r="E215" s="100"/>
      <c r="F215" s="101"/>
      <c r="G215" s="98"/>
      <c r="H215" s="100"/>
      <c r="I215" s="102"/>
      <c r="J215" s="102"/>
      <c r="K215" s="102"/>
      <c r="L215" s="101"/>
      <c r="M215" s="103"/>
      <c r="N215" s="102"/>
      <c r="O215" s="102"/>
      <c r="P215" s="102"/>
    </row>
    <row r="216" ht="15.75" customHeight="1">
      <c r="A216" s="97"/>
      <c r="B216" s="98"/>
      <c r="C216" s="99"/>
      <c r="D216" s="98"/>
      <c r="E216" s="100"/>
      <c r="F216" s="101"/>
      <c r="G216" s="98"/>
      <c r="H216" s="100"/>
      <c r="I216" s="102"/>
      <c r="J216" s="102"/>
      <c r="K216" s="102"/>
      <c r="L216" s="101"/>
      <c r="M216" s="103"/>
      <c r="N216" s="102"/>
      <c r="O216" s="102"/>
      <c r="P216" s="102"/>
    </row>
    <row r="217" ht="15.75" customHeight="1">
      <c r="A217" s="97"/>
      <c r="B217" s="98"/>
      <c r="C217" s="99"/>
      <c r="D217" s="98"/>
      <c r="E217" s="100"/>
      <c r="F217" s="101"/>
      <c r="G217" s="98"/>
      <c r="H217" s="100"/>
      <c r="I217" s="102"/>
      <c r="J217" s="102"/>
      <c r="K217" s="102"/>
      <c r="L217" s="101"/>
      <c r="M217" s="103"/>
      <c r="N217" s="102"/>
      <c r="O217" s="102"/>
      <c r="P217" s="102"/>
    </row>
    <row r="218" ht="15.75" customHeight="1">
      <c r="A218" s="97"/>
      <c r="B218" s="98"/>
      <c r="C218" s="99"/>
      <c r="D218" s="98"/>
      <c r="E218" s="100"/>
      <c r="F218" s="101"/>
      <c r="G218" s="98"/>
      <c r="H218" s="100"/>
      <c r="I218" s="102"/>
      <c r="J218" s="102"/>
      <c r="K218" s="102"/>
      <c r="L218" s="101"/>
      <c r="M218" s="103"/>
      <c r="N218" s="102"/>
      <c r="O218" s="102"/>
      <c r="P218" s="102"/>
    </row>
    <row r="219" ht="15.75" customHeight="1">
      <c r="A219" s="97"/>
      <c r="B219" s="98"/>
      <c r="C219" s="99"/>
      <c r="D219" s="98"/>
      <c r="E219" s="100"/>
      <c r="F219" s="101"/>
      <c r="G219" s="98"/>
      <c r="H219" s="100"/>
      <c r="I219" s="102"/>
      <c r="J219" s="102"/>
      <c r="K219" s="102"/>
      <c r="L219" s="101"/>
      <c r="M219" s="103"/>
      <c r="N219" s="102"/>
      <c r="O219" s="102"/>
      <c r="P219" s="102"/>
    </row>
    <row r="220" ht="15.75" customHeight="1">
      <c r="A220" s="97"/>
      <c r="B220" s="98"/>
      <c r="C220" s="99"/>
      <c r="D220" s="98"/>
      <c r="E220" s="100"/>
      <c r="F220" s="101"/>
      <c r="G220" s="98"/>
      <c r="H220" s="100"/>
      <c r="I220" s="102"/>
      <c r="J220" s="102"/>
      <c r="K220" s="102"/>
      <c r="L220" s="101"/>
      <c r="M220" s="103"/>
      <c r="N220" s="102"/>
      <c r="O220" s="102"/>
      <c r="P220" s="102"/>
    </row>
    <row r="221" ht="15.75" customHeight="1">
      <c r="A221" s="97"/>
      <c r="B221" s="98"/>
      <c r="C221" s="99"/>
      <c r="D221" s="98"/>
      <c r="E221" s="100"/>
      <c r="F221" s="101"/>
      <c r="G221" s="98"/>
      <c r="H221" s="100"/>
      <c r="I221" s="102"/>
      <c r="J221" s="102"/>
      <c r="K221" s="102"/>
      <c r="L221" s="101"/>
      <c r="M221" s="103"/>
      <c r="N221" s="102"/>
      <c r="O221" s="102"/>
      <c r="P221" s="102"/>
    </row>
    <row r="222" ht="15.75" customHeight="1">
      <c r="A222" s="97"/>
      <c r="B222" s="98"/>
      <c r="C222" s="99"/>
      <c r="D222" s="98"/>
      <c r="E222" s="100"/>
      <c r="F222" s="101"/>
      <c r="G222" s="98"/>
      <c r="H222" s="100"/>
      <c r="I222" s="102"/>
      <c r="J222" s="102"/>
      <c r="K222" s="102"/>
      <c r="L222" s="101"/>
      <c r="M222" s="103"/>
      <c r="N222" s="102"/>
      <c r="O222" s="102"/>
      <c r="P222" s="102"/>
    </row>
    <row r="223" ht="15.75" customHeight="1">
      <c r="A223" s="97"/>
      <c r="B223" s="98"/>
      <c r="C223" s="99"/>
      <c r="D223" s="98"/>
      <c r="E223" s="100"/>
      <c r="F223" s="101"/>
      <c r="G223" s="98"/>
      <c r="H223" s="100"/>
      <c r="I223" s="102"/>
      <c r="J223" s="102"/>
      <c r="K223" s="102"/>
      <c r="L223" s="101"/>
      <c r="M223" s="103"/>
      <c r="N223" s="102"/>
      <c r="O223" s="102"/>
      <c r="P223" s="102"/>
    </row>
    <row r="224" ht="15.75" customHeight="1">
      <c r="A224" s="97"/>
      <c r="B224" s="98"/>
      <c r="C224" s="99"/>
      <c r="D224" s="98"/>
      <c r="E224" s="100"/>
      <c r="F224" s="101"/>
      <c r="G224" s="98"/>
      <c r="H224" s="100"/>
      <c r="I224" s="102"/>
      <c r="J224" s="102"/>
      <c r="K224" s="102"/>
      <c r="L224" s="101"/>
      <c r="M224" s="103"/>
      <c r="N224" s="102"/>
      <c r="O224" s="102"/>
      <c r="P224" s="102"/>
    </row>
    <row r="225" ht="15.75" customHeight="1">
      <c r="A225" s="97"/>
      <c r="B225" s="98"/>
      <c r="C225" s="99"/>
      <c r="D225" s="98"/>
      <c r="E225" s="100"/>
      <c r="F225" s="101"/>
      <c r="G225" s="98"/>
      <c r="H225" s="100"/>
      <c r="I225" s="102"/>
      <c r="J225" s="102"/>
      <c r="K225" s="102"/>
      <c r="L225" s="101"/>
      <c r="M225" s="103"/>
      <c r="N225" s="102"/>
      <c r="O225" s="102"/>
      <c r="P225" s="102"/>
    </row>
    <row r="226" ht="15.75" customHeight="1">
      <c r="A226" s="97"/>
      <c r="B226" s="98"/>
      <c r="C226" s="99"/>
      <c r="D226" s="98"/>
      <c r="E226" s="100"/>
      <c r="F226" s="101"/>
      <c r="G226" s="98"/>
      <c r="H226" s="100"/>
      <c r="I226" s="102"/>
      <c r="J226" s="102"/>
      <c r="K226" s="102"/>
      <c r="L226" s="101"/>
      <c r="M226" s="103"/>
      <c r="N226" s="102"/>
      <c r="O226" s="102"/>
      <c r="P226" s="102"/>
    </row>
    <row r="227" ht="15.75" customHeight="1">
      <c r="A227" s="97"/>
      <c r="B227" s="98"/>
      <c r="C227" s="99"/>
      <c r="D227" s="98"/>
      <c r="E227" s="100"/>
      <c r="F227" s="101"/>
      <c r="G227" s="98"/>
      <c r="H227" s="100"/>
      <c r="I227" s="102"/>
      <c r="J227" s="102"/>
      <c r="K227" s="102"/>
      <c r="L227" s="101"/>
      <c r="M227" s="103"/>
      <c r="N227" s="102"/>
      <c r="O227" s="102"/>
      <c r="P227" s="102"/>
    </row>
    <row r="228" ht="15.75" customHeight="1">
      <c r="A228" s="97"/>
      <c r="B228" s="98"/>
      <c r="C228" s="99"/>
      <c r="D228" s="98"/>
      <c r="E228" s="100"/>
      <c r="F228" s="101"/>
      <c r="G228" s="98"/>
      <c r="H228" s="100"/>
      <c r="I228" s="102"/>
      <c r="J228" s="102"/>
      <c r="K228" s="102"/>
      <c r="L228" s="101"/>
      <c r="M228" s="103"/>
      <c r="N228" s="102"/>
      <c r="O228" s="102"/>
      <c r="P228" s="102"/>
    </row>
    <row r="229" ht="15.75" customHeight="1">
      <c r="A229" s="97"/>
      <c r="B229" s="98"/>
      <c r="C229" s="99"/>
      <c r="D229" s="98"/>
      <c r="E229" s="100"/>
      <c r="F229" s="101"/>
      <c r="G229" s="98"/>
      <c r="H229" s="100"/>
      <c r="I229" s="102"/>
      <c r="J229" s="102"/>
      <c r="K229" s="102"/>
      <c r="L229" s="101"/>
      <c r="M229" s="103"/>
      <c r="N229" s="102"/>
      <c r="O229" s="102"/>
      <c r="P229" s="102"/>
    </row>
    <row r="230" ht="15.75" customHeight="1">
      <c r="A230" s="97"/>
      <c r="B230" s="98"/>
      <c r="C230" s="99"/>
      <c r="D230" s="98"/>
      <c r="E230" s="100"/>
      <c r="F230" s="101"/>
      <c r="G230" s="98"/>
      <c r="H230" s="100"/>
      <c r="I230" s="102"/>
      <c r="J230" s="102"/>
      <c r="K230" s="102"/>
      <c r="L230" s="101"/>
      <c r="M230" s="103"/>
      <c r="N230" s="102"/>
      <c r="O230" s="102"/>
      <c r="P230" s="102"/>
    </row>
    <row r="231" ht="15.75" customHeight="1">
      <c r="A231" s="97"/>
      <c r="B231" s="98"/>
      <c r="C231" s="99"/>
      <c r="D231" s="98"/>
      <c r="E231" s="100"/>
      <c r="F231" s="101"/>
      <c r="G231" s="98"/>
      <c r="H231" s="100"/>
      <c r="I231" s="102"/>
      <c r="J231" s="102"/>
      <c r="K231" s="102"/>
      <c r="L231" s="101"/>
      <c r="M231" s="103"/>
      <c r="N231" s="102"/>
      <c r="O231" s="102"/>
      <c r="P231" s="102"/>
    </row>
    <row r="232" ht="15.75" customHeight="1">
      <c r="A232" s="97"/>
      <c r="B232" s="98"/>
      <c r="C232" s="99"/>
      <c r="D232" s="98"/>
      <c r="E232" s="100"/>
      <c r="F232" s="101"/>
      <c r="G232" s="98"/>
      <c r="H232" s="100"/>
      <c r="I232" s="102"/>
      <c r="J232" s="102"/>
      <c r="K232" s="102"/>
      <c r="L232" s="101"/>
      <c r="M232" s="103"/>
      <c r="N232" s="102"/>
      <c r="O232" s="102"/>
      <c r="P232" s="102"/>
    </row>
    <row r="233" ht="15.75" customHeight="1">
      <c r="A233" s="97"/>
      <c r="B233" s="98"/>
      <c r="C233" s="99"/>
      <c r="D233" s="98"/>
      <c r="E233" s="100"/>
      <c r="F233" s="101"/>
      <c r="G233" s="98"/>
      <c r="H233" s="100"/>
      <c r="I233" s="102"/>
      <c r="J233" s="102"/>
      <c r="K233" s="102"/>
      <c r="L233" s="101"/>
      <c r="M233" s="103"/>
      <c r="N233" s="102"/>
      <c r="O233" s="102"/>
      <c r="P233" s="102"/>
    </row>
    <row r="234" ht="15.75" customHeight="1">
      <c r="A234" s="97"/>
      <c r="B234" s="98"/>
      <c r="C234" s="99"/>
      <c r="D234" s="98"/>
      <c r="E234" s="100"/>
      <c r="F234" s="101"/>
      <c r="G234" s="98"/>
      <c r="H234" s="100"/>
      <c r="I234" s="102"/>
      <c r="J234" s="102"/>
      <c r="K234" s="102"/>
      <c r="L234" s="101"/>
      <c r="M234" s="103"/>
      <c r="N234" s="102"/>
      <c r="O234" s="102"/>
      <c r="P234" s="102"/>
    </row>
    <row r="235" ht="15.75" customHeight="1">
      <c r="A235" s="97"/>
      <c r="B235" s="98"/>
      <c r="C235" s="99"/>
      <c r="D235" s="98"/>
      <c r="E235" s="100"/>
      <c r="F235" s="101"/>
      <c r="G235" s="98"/>
      <c r="H235" s="100"/>
      <c r="I235" s="102"/>
      <c r="J235" s="102"/>
      <c r="K235" s="102"/>
      <c r="L235" s="101"/>
      <c r="M235" s="103"/>
      <c r="N235" s="102"/>
      <c r="O235" s="102"/>
      <c r="P235" s="102"/>
    </row>
    <row r="236" ht="15.75" customHeight="1">
      <c r="A236" s="97"/>
      <c r="B236" s="98"/>
      <c r="C236" s="99"/>
      <c r="D236" s="98"/>
      <c r="E236" s="100"/>
      <c r="F236" s="101"/>
      <c r="G236" s="98"/>
      <c r="H236" s="100"/>
      <c r="I236" s="102"/>
      <c r="J236" s="102"/>
      <c r="K236" s="102"/>
      <c r="L236" s="101"/>
      <c r="M236" s="103"/>
      <c r="N236" s="102"/>
      <c r="O236" s="102"/>
      <c r="P236" s="102"/>
    </row>
    <row r="237" ht="15.75" customHeight="1">
      <c r="A237" s="97"/>
      <c r="B237" s="98"/>
      <c r="C237" s="99"/>
      <c r="D237" s="98"/>
      <c r="E237" s="100"/>
      <c r="F237" s="101"/>
      <c r="G237" s="98"/>
      <c r="H237" s="100"/>
      <c r="I237" s="102"/>
      <c r="J237" s="102"/>
      <c r="K237" s="102"/>
      <c r="L237" s="101"/>
      <c r="M237" s="103"/>
      <c r="N237" s="102"/>
      <c r="O237" s="102"/>
      <c r="P237" s="102"/>
    </row>
    <row r="238" ht="15.75" customHeight="1">
      <c r="A238" s="97"/>
      <c r="B238" s="98"/>
      <c r="C238" s="99"/>
      <c r="D238" s="98"/>
      <c r="E238" s="100"/>
      <c r="F238" s="101"/>
      <c r="G238" s="98"/>
      <c r="H238" s="100"/>
      <c r="I238" s="102"/>
      <c r="J238" s="102"/>
      <c r="K238" s="102"/>
      <c r="L238" s="101"/>
      <c r="M238" s="103"/>
      <c r="N238" s="102"/>
      <c r="O238" s="102"/>
      <c r="P238" s="102"/>
    </row>
    <row r="239" ht="15.75" customHeight="1">
      <c r="A239" s="97"/>
      <c r="B239" s="98"/>
      <c r="C239" s="99"/>
      <c r="D239" s="98"/>
      <c r="E239" s="100"/>
      <c r="F239" s="101"/>
      <c r="G239" s="98"/>
      <c r="H239" s="100"/>
      <c r="I239" s="102"/>
      <c r="J239" s="102"/>
      <c r="K239" s="102"/>
      <c r="L239" s="101"/>
      <c r="M239" s="103"/>
      <c r="N239" s="102"/>
      <c r="O239" s="102"/>
      <c r="P239" s="102"/>
    </row>
    <row r="240" ht="15.75" customHeight="1">
      <c r="A240" s="97"/>
      <c r="B240" s="98"/>
      <c r="C240" s="99"/>
      <c r="D240" s="98"/>
      <c r="E240" s="100"/>
      <c r="F240" s="101"/>
      <c r="G240" s="98"/>
      <c r="H240" s="100"/>
      <c r="I240" s="102"/>
      <c r="J240" s="102"/>
      <c r="K240" s="102"/>
      <c r="L240" s="101"/>
      <c r="M240" s="103"/>
      <c r="N240" s="102"/>
      <c r="O240" s="102"/>
      <c r="P240" s="102"/>
    </row>
    <row r="241" ht="15.75" customHeight="1">
      <c r="A241" s="97"/>
      <c r="B241" s="98"/>
      <c r="C241" s="99"/>
      <c r="D241" s="98"/>
      <c r="E241" s="100"/>
      <c r="F241" s="101"/>
      <c r="G241" s="98"/>
      <c r="H241" s="100"/>
      <c r="I241" s="102"/>
      <c r="J241" s="102"/>
      <c r="K241" s="102"/>
      <c r="L241" s="101"/>
      <c r="M241" s="103"/>
      <c r="N241" s="102"/>
      <c r="O241" s="102"/>
      <c r="P241" s="102"/>
    </row>
    <row r="242" ht="15.75" customHeight="1">
      <c r="A242" s="97"/>
      <c r="B242" s="98"/>
      <c r="C242" s="99"/>
      <c r="D242" s="98"/>
      <c r="E242" s="100"/>
      <c r="F242" s="101"/>
      <c r="G242" s="98"/>
      <c r="H242" s="100"/>
      <c r="I242" s="102"/>
      <c r="J242" s="102"/>
      <c r="K242" s="102"/>
      <c r="L242" s="101"/>
      <c r="M242" s="103"/>
      <c r="N242" s="102"/>
      <c r="O242" s="102"/>
      <c r="P242" s="102"/>
    </row>
    <row r="243" ht="15.75" customHeight="1">
      <c r="A243" s="97"/>
      <c r="B243" s="98"/>
      <c r="C243" s="99"/>
      <c r="D243" s="98"/>
      <c r="E243" s="100"/>
      <c r="F243" s="101"/>
      <c r="G243" s="98"/>
      <c r="H243" s="100"/>
      <c r="I243" s="102"/>
      <c r="J243" s="102"/>
      <c r="K243" s="102"/>
      <c r="L243" s="101"/>
      <c r="M243" s="103"/>
      <c r="N243" s="102"/>
      <c r="O243" s="102"/>
      <c r="P243" s="102"/>
    </row>
    <row r="244" ht="15.75" customHeight="1">
      <c r="A244" s="97"/>
      <c r="B244" s="98"/>
      <c r="C244" s="99"/>
      <c r="D244" s="98"/>
      <c r="E244" s="100"/>
      <c r="F244" s="101"/>
      <c r="G244" s="98"/>
      <c r="H244" s="100"/>
      <c r="I244" s="102"/>
      <c r="J244" s="102"/>
      <c r="K244" s="102"/>
      <c r="L244" s="101"/>
      <c r="M244" s="103"/>
      <c r="N244" s="102"/>
      <c r="O244" s="102"/>
      <c r="P244" s="102"/>
    </row>
    <row r="245" ht="15.75" customHeight="1">
      <c r="A245" s="97"/>
      <c r="B245" s="98"/>
      <c r="C245" s="99"/>
      <c r="D245" s="98"/>
      <c r="E245" s="100"/>
      <c r="F245" s="101"/>
      <c r="G245" s="98"/>
      <c r="H245" s="100"/>
      <c r="I245" s="102"/>
      <c r="J245" s="102"/>
      <c r="K245" s="102"/>
      <c r="L245" s="101"/>
      <c r="M245" s="103"/>
      <c r="N245" s="102"/>
      <c r="O245" s="102"/>
      <c r="P245" s="102"/>
    </row>
    <row r="246" ht="15.75" customHeight="1">
      <c r="A246" s="97"/>
      <c r="B246" s="98"/>
      <c r="C246" s="99"/>
      <c r="D246" s="98"/>
      <c r="E246" s="100"/>
      <c r="F246" s="101"/>
      <c r="G246" s="98"/>
      <c r="H246" s="100"/>
      <c r="I246" s="102"/>
      <c r="J246" s="102"/>
      <c r="K246" s="102"/>
      <c r="L246" s="101"/>
      <c r="M246" s="103"/>
      <c r="N246" s="102"/>
      <c r="O246" s="102"/>
      <c r="P246" s="102"/>
    </row>
    <row r="247" ht="15.75" customHeight="1">
      <c r="A247" s="97"/>
      <c r="B247" s="98"/>
      <c r="C247" s="99"/>
      <c r="D247" s="98"/>
      <c r="E247" s="100"/>
      <c r="F247" s="101"/>
      <c r="G247" s="98"/>
      <c r="H247" s="100"/>
      <c r="I247" s="102"/>
      <c r="J247" s="102"/>
      <c r="K247" s="102"/>
      <c r="L247" s="101"/>
      <c r="M247" s="103"/>
      <c r="N247" s="102"/>
      <c r="O247" s="102"/>
      <c r="P247" s="102"/>
    </row>
    <row r="248" ht="15.75" customHeight="1">
      <c r="A248" s="97"/>
      <c r="B248" s="98"/>
      <c r="C248" s="99"/>
      <c r="D248" s="98"/>
      <c r="E248" s="100"/>
      <c r="F248" s="101"/>
      <c r="G248" s="98"/>
      <c r="H248" s="100"/>
      <c r="I248" s="102"/>
      <c r="J248" s="102"/>
      <c r="K248" s="102"/>
      <c r="L248" s="101"/>
      <c r="M248" s="103"/>
      <c r="N248" s="102"/>
      <c r="O248" s="102"/>
      <c r="P248" s="102"/>
    </row>
    <row r="249" ht="15.75" customHeight="1">
      <c r="A249" s="97"/>
      <c r="B249" s="98"/>
      <c r="C249" s="99"/>
      <c r="D249" s="98"/>
      <c r="E249" s="100"/>
      <c r="F249" s="101"/>
      <c r="G249" s="98"/>
      <c r="H249" s="100"/>
      <c r="I249" s="102"/>
      <c r="J249" s="102"/>
      <c r="K249" s="102"/>
      <c r="L249" s="101"/>
      <c r="M249" s="103"/>
      <c r="N249" s="102"/>
      <c r="O249" s="102"/>
      <c r="P249" s="102"/>
    </row>
    <row r="250" ht="15.75" customHeight="1">
      <c r="A250" s="97"/>
      <c r="B250" s="98"/>
      <c r="C250" s="99"/>
      <c r="D250" s="98"/>
      <c r="E250" s="100"/>
      <c r="F250" s="101"/>
      <c r="G250" s="98"/>
      <c r="H250" s="100"/>
      <c r="I250" s="102"/>
      <c r="J250" s="102"/>
      <c r="K250" s="102"/>
      <c r="L250" s="101"/>
      <c r="M250" s="103"/>
      <c r="N250" s="102"/>
      <c r="O250" s="102"/>
      <c r="P250" s="102"/>
    </row>
    <row r="251" ht="15.75" customHeight="1">
      <c r="A251" s="97"/>
      <c r="B251" s="98"/>
      <c r="C251" s="99"/>
      <c r="D251" s="98"/>
      <c r="E251" s="100"/>
      <c r="F251" s="101"/>
      <c r="G251" s="98"/>
      <c r="H251" s="100"/>
      <c r="I251" s="102"/>
      <c r="J251" s="102"/>
      <c r="K251" s="102"/>
      <c r="L251" s="101"/>
      <c r="M251" s="103"/>
      <c r="N251" s="102"/>
      <c r="O251" s="102"/>
      <c r="P251" s="102"/>
    </row>
    <row r="252" ht="15.75" customHeight="1">
      <c r="A252" s="97"/>
      <c r="B252" s="98"/>
      <c r="C252" s="99"/>
      <c r="D252" s="98"/>
      <c r="E252" s="100"/>
      <c r="F252" s="101"/>
      <c r="G252" s="98"/>
      <c r="H252" s="100"/>
      <c r="I252" s="102"/>
      <c r="J252" s="102"/>
      <c r="K252" s="102"/>
      <c r="L252" s="101"/>
      <c r="M252" s="103"/>
      <c r="N252" s="102"/>
      <c r="O252" s="102"/>
      <c r="P252" s="102"/>
    </row>
    <row r="253" ht="15.75" customHeight="1">
      <c r="A253" s="97"/>
      <c r="B253" s="98"/>
      <c r="C253" s="99"/>
      <c r="D253" s="98"/>
      <c r="E253" s="100"/>
      <c r="F253" s="101"/>
      <c r="G253" s="98"/>
      <c r="H253" s="100"/>
      <c r="I253" s="102"/>
      <c r="J253" s="102"/>
      <c r="K253" s="102"/>
      <c r="L253" s="101"/>
      <c r="M253" s="103"/>
      <c r="N253" s="102"/>
      <c r="O253" s="102"/>
      <c r="P253" s="102"/>
    </row>
    <row r="254" ht="15.75" customHeight="1">
      <c r="A254" s="97"/>
      <c r="B254" s="98"/>
      <c r="C254" s="99"/>
      <c r="D254" s="98"/>
      <c r="E254" s="100"/>
      <c r="F254" s="101"/>
      <c r="G254" s="98"/>
      <c r="H254" s="100"/>
      <c r="I254" s="102"/>
      <c r="J254" s="102"/>
      <c r="K254" s="102"/>
      <c r="L254" s="101"/>
      <c r="M254" s="103"/>
      <c r="N254" s="102"/>
      <c r="O254" s="102"/>
      <c r="P254" s="102"/>
    </row>
    <row r="255" ht="15.75" customHeight="1">
      <c r="A255" s="97"/>
      <c r="B255" s="98"/>
      <c r="C255" s="99"/>
      <c r="D255" s="98"/>
      <c r="E255" s="100"/>
      <c r="F255" s="101"/>
      <c r="G255" s="98"/>
      <c r="H255" s="100"/>
      <c r="I255" s="102"/>
      <c r="J255" s="102"/>
      <c r="K255" s="102"/>
      <c r="L255" s="101"/>
      <c r="M255" s="103"/>
      <c r="N255" s="102"/>
      <c r="O255" s="102"/>
      <c r="P255" s="102"/>
    </row>
    <row r="256" ht="15.75" customHeight="1">
      <c r="A256" s="97"/>
      <c r="B256" s="98"/>
      <c r="C256" s="99"/>
      <c r="D256" s="98"/>
      <c r="E256" s="100"/>
      <c r="F256" s="101"/>
      <c r="G256" s="98"/>
      <c r="H256" s="100"/>
      <c r="I256" s="102"/>
      <c r="J256" s="102"/>
      <c r="K256" s="102"/>
      <c r="L256" s="101"/>
      <c r="M256" s="103"/>
      <c r="N256" s="102"/>
      <c r="O256" s="102"/>
      <c r="P256" s="102"/>
    </row>
    <row r="257" ht="15.75" customHeight="1">
      <c r="A257" s="97"/>
      <c r="B257" s="98"/>
      <c r="C257" s="99"/>
      <c r="D257" s="98"/>
      <c r="E257" s="100"/>
      <c r="F257" s="101"/>
      <c r="G257" s="98"/>
      <c r="H257" s="100"/>
      <c r="I257" s="102"/>
      <c r="J257" s="102"/>
      <c r="K257" s="102"/>
      <c r="L257" s="101"/>
      <c r="M257" s="103"/>
      <c r="N257" s="102"/>
      <c r="O257" s="102"/>
      <c r="P257" s="102"/>
    </row>
    <row r="258" ht="15.75" customHeight="1">
      <c r="A258" s="97"/>
      <c r="B258" s="98"/>
      <c r="C258" s="99"/>
      <c r="D258" s="98"/>
      <c r="E258" s="100"/>
      <c r="F258" s="101"/>
      <c r="G258" s="98"/>
      <c r="H258" s="100"/>
      <c r="I258" s="102"/>
      <c r="J258" s="102"/>
      <c r="K258" s="102"/>
      <c r="L258" s="101"/>
      <c r="M258" s="103"/>
      <c r="N258" s="102"/>
      <c r="O258" s="102"/>
      <c r="P258" s="102"/>
    </row>
    <row r="259" ht="15.75" customHeight="1">
      <c r="A259" s="97"/>
      <c r="B259" s="98"/>
      <c r="C259" s="99"/>
      <c r="D259" s="98"/>
      <c r="E259" s="100"/>
      <c r="F259" s="101"/>
      <c r="G259" s="98"/>
      <c r="H259" s="100"/>
      <c r="I259" s="102"/>
      <c r="J259" s="102"/>
      <c r="K259" s="102"/>
      <c r="L259" s="101"/>
      <c r="M259" s="103"/>
      <c r="N259" s="102"/>
      <c r="O259" s="102"/>
      <c r="P259" s="102"/>
    </row>
    <row r="260" ht="15.75" customHeight="1">
      <c r="A260" s="97"/>
      <c r="B260" s="98"/>
      <c r="C260" s="99"/>
      <c r="D260" s="98"/>
      <c r="E260" s="100"/>
      <c r="F260" s="101"/>
      <c r="G260" s="98"/>
      <c r="H260" s="100"/>
      <c r="I260" s="102"/>
      <c r="J260" s="102"/>
      <c r="K260" s="102"/>
      <c r="L260" s="101"/>
      <c r="M260" s="103"/>
      <c r="N260" s="102"/>
      <c r="O260" s="102"/>
      <c r="P260" s="102"/>
    </row>
    <row r="261" ht="15.75" customHeight="1">
      <c r="A261" s="97"/>
      <c r="B261" s="98"/>
      <c r="C261" s="99"/>
      <c r="D261" s="98"/>
      <c r="E261" s="100"/>
      <c r="F261" s="101"/>
      <c r="G261" s="98"/>
      <c r="H261" s="100"/>
      <c r="I261" s="102"/>
      <c r="J261" s="102"/>
      <c r="K261" s="102"/>
      <c r="L261" s="101"/>
      <c r="M261" s="103"/>
      <c r="N261" s="102"/>
      <c r="O261" s="102"/>
      <c r="P261" s="102"/>
    </row>
    <row r="262" ht="15.75" customHeight="1">
      <c r="A262" s="97"/>
      <c r="B262" s="98"/>
      <c r="C262" s="99"/>
      <c r="D262" s="98"/>
      <c r="E262" s="100"/>
      <c r="F262" s="101"/>
      <c r="G262" s="98"/>
      <c r="H262" s="100"/>
      <c r="I262" s="102"/>
      <c r="J262" s="102"/>
      <c r="K262" s="102"/>
      <c r="L262" s="101"/>
      <c r="M262" s="103"/>
      <c r="N262" s="102"/>
      <c r="O262" s="102"/>
      <c r="P262" s="102"/>
    </row>
    <row r="263" ht="15.75" customHeight="1">
      <c r="A263" s="97"/>
      <c r="B263" s="98"/>
      <c r="C263" s="99"/>
      <c r="D263" s="98"/>
      <c r="E263" s="100"/>
      <c r="F263" s="101"/>
      <c r="G263" s="98"/>
      <c r="H263" s="100"/>
      <c r="I263" s="102"/>
      <c r="J263" s="102"/>
      <c r="K263" s="102"/>
      <c r="L263" s="101"/>
      <c r="M263" s="103"/>
      <c r="N263" s="102"/>
      <c r="O263" s="102"/>
      <c r="P263" s="102"/>
    </row>
    <row r="264" ht="15.75" customHeight="1">
      <c r="A264" s="97"/>
      <c r="B264" s="98"/>
      <c r="C264" s="99"/>
      <c r="D264" s="98"/>
      <c r="E264" s="100"/>
      <c r="F264" s="101"/>
      <c r="G264" s="98"/>
      <c r="H264" s="100"/>
      <c r="I264" s="102"/>
      <c r="J264" s="102"/>
      <c r="K264" s="102"/>
      <c r="L264" s="101"/>
      <c r="M264" s="103"/>
      <c r="N264" s="102"/>
      <c r="O264" s="102"/>
      <c r="P264" s="102"/>
    </row>
    <row r="265" ht="15.75" customHeight="1">
      <c r="A265" s="97"/>
      <c r="B265" s="98"/>
      <c r="C265" s="99"/>
      <c r="D265" s="98"/>
      <c r="E265" s="100"/>
      <c r="F265" s="101"/>
      <c r="G265" s="98"/>
      <c r="H265" s="100"/>
      <c r="I265" s="102"/>
      <c r="J265" s="102"/>
      <c r="K265" s="102"/>
      <c r="L265" s="101"/>
      <c r="M265" s="103"/>
      <c r="N265" s="102"/>
      <c r="O265" s="102"/>
      <c r="P265" s="102"/>
    </row>
    <row r="266" ht="15.75" customHeight="1">
      <c r="A266" s="97"/>
      <c r="B266" s="98"/>
      <c r="C266" s="99"/>
      <c r="D266" s="98"/>
      <c r="E266" s="100"/>
      <c r="F266" s="101"/>
      <c r="G266" s="98"/>
      <c r="H266" s="100"/>
      <c r="I266" s="102"/>
      <c r="J266" s="102"/>
      <c r="K266" s="102"/>
      <c r="L266" s="101"/>
      <c r="M266" s="103"/>
      <c r="N266" s="102"/>
      <c r="O266" s="102"/>
      <c r="P266" s="102"/>
    </row>
    <row r="267" ht="15.75" customHeight="1">
      <c r="A267" s="97"/>
      <c r="B267" s="98"/>
      <c r="C267" s="99"/>
      <c r="D267" s="98"/>
      <c r="E267" s="100"/>
      <c r="F267" s="101"/>
      <c r="G267" s="98"/>
      <c r="H267" s="100"/>
      <c r="I267" s="102"/>
      <c r="J267" s="102"/>
      <c r="K267" s="102"/>
      <c r="L267" s="101"/>
      <c r="M267" s="103"/>
      <c r="N267" s="102"/>
      <c r="O267" s="102"/>
      <c r="P267" s="102"/>
    </row>
    <row r="268" ht="15.75" customHeight="1">
      <c r="A268" s="97"/>
      <c r="B268" s="98"/>
      <c r="C268" s="99"/>
      <c r="D268" s="98"/>
      <c r="E268" s="100"/>
      <c r="F268" s="101"/>
      <c r="G268" s="98"/>
      <c r="H268" s="100"/>
      <c r="I268" s="102"/>
      <c r="J268" s="102"/>
      <c r="K268" s="102"/>
      <c r="L268" s="101"/>
      <c r="M268" s="103"/>
      <c r="N268" s="102"/>
      <c r="O268" s="102"/>
      <c r="P268" s="102"/>
    </row>
    <row r="269" ht="15.75" customHeight="1">
      <c r="A269" s="97"/>
      <c r="B269" s="98"/>
      <c r="C269" s="99"/>
      <c r="D269" s="98"/>
      <c r="E269" s="100"/>
      <c r="F269" s="101"/>
      <c r="G269" s="98"/>
      <c r="H269" s="100"/>
      <c r="I269" s="102"/>
      <c r="J269" s="102"/>
      <c r="K269" s="102"/>
      <c r="L269" s="101"/>
      <c r="M269" s="103"/>
      <c r="N269" s="102"/>
      <c r="O269" s="102"/>
      <c r="P269" s="102"/>
    </row>
    <row r="270" ht="15.75" customHeight="1">
      <c r="A270" s="97"/>
      <c r="B270" s="98"/>
      <c r="C270" s="99"/>
      <c r="D270" s="98"/>
      <c r="E270" s="100"/>
      <c r="F270" s="101"/>
      <c r="G270" s="98"/>
      <c r="H270" s="100"/>
      <c r="I270" s="102"/>
      <c r="J270" s="102"/>
      <c r="K270" s="102"/>
      <c r="L270" s="101"/>
      <c r="M270" s="103"/>
      <c r="N270" s="102"/>
      <c r="O270" s="102"/>
      <c r="P270" s="102"/>
    </row>
    <row r="271" ht="15.75" customHeight="1">
      <c r="A271" s="97"/>
      <c r="B271" s="98"/>
      <c r="C271" s="99"/>
      <c r="D271" s="98"/>
      <c r="E271" s="100"/>
      <c r="F271" s="101"/>
      <c r="G271" s="98"/>
      <c r="H271" s="100"/>
      <c r="I271" s="102"/>
      <c r="J271" s="102"/>
      <c r="K271" s="102"/>
      <c r="L271" s="101"/>
      <c r="M271" s="103"/>
      <c r="N271" s="102"/>
      <c r="O271" s="102"/>
      <c r="P271" s="102"/>
    </row>
    <row r="272" ht="15.75" customHeight="1">
      <c r="A272" s="97"/>
      <c r="B272" s="98"/>
      <c r="C272" s="99"/>
      <c r="D272" s="98"/>
      <c r="E272" s="100"/>
      <c r="F272" s="101"/>
      <c r="G272" s="98"/>
      <c r="H272" s="100"/>
      <c r="I272" s="102"/>
      <c r="J272" s="102"/>
      <c r="K272" s="102"/>
      <c r="L272" s="101"/>
      <c r="M272" s="103"/>
      <c r="N272" s="102"/>
      <c r="O272" s="102"/>
      <c r="P272" s="102"/>
    </row>
    <row r="273" ht="15.75" customHeight="1">
      <c r="A273" s="97"/>
      <c r="B273" s="98"/>
      <c r="C273" s="99"/>
      <c r="D273" s="98"/>
      <c r="E273" s="100"/>
      <c r="F273" s="101"/>
      <c r="G273" s="98"/>
      <c r="H273" s="100"/>
      <c r="I273" s="102"/>
      <c r="J273" s="102"/>
      <c r="K273" s="102"/>
      <c r="L273" s="101"/>
      <c r="M273" s="103"/>
      <c r="N273" s="102"/>
      <c r="O273" s="102"/>
      <c r="P273" s="102"/>
    </row>
    <row r="274" ht="15.75" customHeight="1">
      <c r="A274" s="97"/>
      <c r="B274" s="98"/>
      <c r="C274" s="99"/>
      <c r="D274" s="98"/>
      <c r="E274" s="100"/>
      <c r="F274" s="101"/>
      <c r="G274" s="98"/>
      <c r="H274" s="100"/>
      <c r="I274" s="102"/>
      <c r="J274" s="102"/>
      <c r="K274" s="102"/>
      <c r="L274" s="101"/>
      <c r="M274" s="103"/>
      <c r="N274" s="102"/>
      <c r="O274" s="102"/>
      <c r="P274" s="102"/>
    </row>
    <row r="275" ht="15.75" customHeight="1">
      <c r="A275" s="97"/>
      <c r="B275" s="98"/>
      <c r="C275" s="99"/>
      <c r="D275" s="98"/>
      <c r="E275" s="100"/>
      <c r="F275" s="101"/>
      <c r="G275" s="98"/>
      <c r="H275" s="100"/>
      <c r="I275" s="102"/>
      <c r="J275" s="102"/>
      <c r="K275" s="102"/>
      <c r="L275" s="101"/>
      <c r="M275" s="103"/>
      <c r="N275" s="102"/>
      <c r="O275" s="102"/>
      <c r="P275" s="102"/>
    </row>
    <row r="276" ht="15.75" customHeight="1">
      <c r="A276" s="97"/>
      <c r="B276" s="98"/>
      <c r="C276" s="99"/>
      <c r="D276" s="98"/>
      <c r="E276" s="100"/>
      <c r="F276" s="101"/>
      <c r="G276" s="98"/>
      <c r="H276" s="100"/>
      <c r="I276" s="102"/>
      <c r="J276" s="102"/>
      <c r="K276" s="102"/>
      <c r="L276" s="101"/>
      <c r="M276" s="103"/>
      <c r="N276" s="102"/>
      <c r="O276" s="102"/>
      <c r="P276" s="102"/>
    </row>
    <row r="277" ht="15.75" customHeight="1">
      <c r="A277" s="97"/>
      <c r="B277" s="98"/>
      <c r="C277" s="99"/>
      <c r="D277" s="98"/>
      <c r="E277" s="100"/>
      <c r="F277" s="101"/>
      <c r="G277" s="98"/>
      <c r="H277" s="100"/>
      <c r="I277" s="102"/>
      <c r="J277" s="102"/>
      <c r="K277" s="102"/>
      <c r="L277" s="101"/>
      <c r="M277" s="103"/>
      <c r="N277" s="102"/>
      <c r="O277" s="102"/>
      <c r="P277" s="102"/>
    </row>
    <row r="278" ht="15.75" customHeight="1">
      <c r="A278" s="97"/>
      <c r="B278" s="98"/>
      <c r="C278" s="99"/>
      <c r="D278" s="98"/>
      <c r="E278" s="100"/>
      <c r="F278" s="101"/>
      <c r="G278" s="98"/>
      <c r="H278" s="100"/>
      <c r="I278" s="102"/>
      <c r="J278" s="102"/>
      <c r="K278" s="102"/>
      <c r="L278" s="101"/>
      <c r="M278" s="103"/>
      <c r="N278" s="102"/>
      <c r="O278" s="102"/>
      <c r="P278" s="102"/>
    </row>
    <row r="279" ht="15.75" customHeight="1">
      <c r="A279" s="97"/>
      <c r="B279" s="98"/>
      <c r="C279" s="99"/>
      <c r="D279" s="98"/>
      <c r="E279" s="100"/>
      <c r="F279" s="101"/>
      <c r="G279" s="98"/>
      <c r="H279" s="100"/>
      <c r="I279" s="102"/>
      <c r="J279" s="102"/>
      <c r="K279" s="102"/>
      <c r="L279" s="101"/>
      <c r="M279" s="103"/>
      <c r="N279" s="102"/>
      <c r="O279" s="102"/>
      <c r="P279" s="102"/>
    </row>
    <row r="280" ht="15.75" customHeight="1">
      <c r="A280" s="97"/>
      <c r="B280" s="98"/>
      <c r="C280" s="99"/>
      <c r="D280" s="98"/>
      <c r="E280" s="100"/>
      <c r="F280" s="101"/>
      <c r="G280" s="98"/>
      <c r="H280" s="100"/>
      <c r="I280" s="102"/>
      <c r="J280" s="102"/>
      <c r="K280" s="102"/>
      <c r="L280" s="101"/>
      <c r="M280" s="103"/>
      <c r="N280" s="102"/>
      <c r="O280" s="102"/>
      <c r="P280" s="102"/>
    </row>
    <row r="281" ht="15.75" customHeight="1">
      <c r="A281" s="97"/>
      <c r="B281" s="98"/>
      <c r="C281" s="99"/>
      <c r="D281" s="98"/>
      <c r="E281" s="100"/>
      <c r="F281" s="101"/>
      <c r="G281" s="98"/>
      <c r="H281" s="100"/>
      <c r="I281" s="102"/>
      <c r="J281" s="102"/>
      <c r="K281" s="102"/>
      <c r="L281" s="101"/>
      <c r="M281" s="103"/>
      <c r="N281" s="102"/>
      <c r="O281" s="102"/>
      <c r="P281" s="102"/>
    </row>
    <row r="282" ht="15.75" customHeight="1">
      <c r="A282" s="97"/>
      <c r="B282" s="98"/>
      <c r="C282" s="99"/>
      <c r="D282" s="98"/>
      <c r="E282" s="100"/>
      <c r="F282" s="101"/>
      <c r="G282" s="98"/>
      <c r="H282" s="100"/>
      <c r="I282" s="102"/>
      <c r="J282" s="102"/>
      <c r="K282" s="102"/>
      <c r="L282" s="101"/>
      <c r="M282" s="103"/>
      <c r="N282" s="102"/>
      <c r="O282" s="102"/>
      <c r="P282" s="102"/>
    </row>
    <row r="283" ht="15.75" customHeight="1">
      <c r="A283" s="97"/>
      <c r="B283" s="98"/>
      <c r="C283" s="99"/>
      <c r="D283" s="98"/>
      <c r="E283" s="100"/>
      <c r="F283" s="101"/>
      <c r="G283" s="98"/>
      <c r="H283" s="100"/>
      <c r="I283" s="102"/>
      <c r="J283" s="102"/>
      <c r="K283" s="102"/>
      <c r="L283" s="101"/>
      <c r="M283" s="103"/>
      <c r="N283" s="102"/>
      <c r="O283" s="102"/>
      <c r="P283" s="102"/>
    </row>
    <row r="284" ht="15.75" customHeight="1">
      <c r="A284" s="97"/>
      <c r="B284" s="98"/>
      <c r="C284" s="99"/>
      <c r="D284" s="98"/>
      <c r="E284" s="100"/>
      <c r="F284" s="101"/>
      <c r="G284" s="98"/>
      <c r="H284" s="100"/>
      <c r="I284" s="102"/>
      <c r="J284" s="102"/>
      <c r="K284" s="102"/>
      <c r="L284" s="101"/>
      <c r="M284" s="103"/>
      <c r="N284" s="102"/>
      <c r="O284" s="102"/>
      <c r="P284" s="102"/>
    </row>
    <row r="285" ht="15.75" customHeight="1">
      <c r="A285" s="97"/>
      <c r="B285" s="98"/>
      <c r="C285" s="99"/>
      <c r="D285" s="98"/>
      <c r="E285" s="100"/>
      <c r="F285" s="101"/>
      <c r="G285" s="98"/>
      <c r="H285" s="100"/>
      <c r="I285" s="102"/>
      <c r="J285" s="102"/>
      <c r="K285" s="102"/>
      <c r="L285" s="101"/>
      <c r="M285" s="103"/>
      <c r="N285" s="102"/>
      <c r="O285" s="102"/>
      <c r="P285" s="102"/>
    </row>
    <row r="286" ht="15.75" customHeight="1">
      <c r="A286" s="97"/>
      <c r="B286" s="98"/>
      <c r="C286" s="99"/>
      <c r="D286" s="98"/>
      <c r="E286" s="100"/>
      <c r="F286" s="101"/>
      <c r="G286" s="98"/>
      <c r="H286" s="100"/>
      <c r="I286" s="102"/>
      <c r="J286" s="102"/>
      <c r="K286" s="102"/>
      <c r="L286" s="101"/>
      <c r="M286" s="103"/>
      <c r="N286" s="102"/>
      <c r="O286" s="102"/>
      <c r="P286" s="102"/>
    </row>
    <row r="287" ht="15.75" customHeight="1">
      <c r="A287" s="97"/>
      <c r="B287" s="98"/>
      <c r="C287" s="99"/>
      <c r="D287" s="98"/>
      <c r="E287" s="100"/>
      <c r="F287" s="101"/>
      <c r="G287" s="98"/>
      <c r="H287" s="100"/>
      <c r="I287" s="102"/>
      <c r="J287" s="102"/>
      <c r="K287" s="102"/>
      <c r="L287" s="101"/>
      <c r="M287" s="103"/>
      <c r="N287" s="102"/>
      <c r="O287" s="102"/>
      <c r="P287" s="102"/>
    </row>
    <row r="288" ht="15.75" customHeight="1">
      <c r="A288" s="97"/>
      <c r="B288" s="98"/>
      <c r="C288" s="99"/>
      <c r="D288" s="98"/>
      <c r="E288" s="100"/>
      <c r="F288" s="101"/>
      <c r="G288" s="98"/>
      <c r="H288" s="100"/>
      <c r="I288" s="102"/>
      <c r="J288" s="102"/>
      <c r="K288" s="102"/>
      <c r="L288" s="101"/>
      <c r="M288" s="103"/>
      <c r="N288" s="102"/>
      <c r="O288" s="102"/>
      <c r="P288" s="102"/>
    </row>
    <row r="289" ht="15.75" customHeight="1">
      <c r="A289" s="97"/>
      <c r="B289" s="98"/>
      <c r="C289" s="99"/>
      <c r="D289" s="98"/>
      <c r="E289" s="100"/>
      <c r="F289" s="101"/>
      <c r="G289" s="98"/>
      <c r="H289" s="100"/>
      <c r="I289" s="102"/>
      <c r="J289" s="102"/>
      <c r="K289" s="102"/>
      <c r="L289" s="101"/>
      <c r="M289" s="103"/>
      <c r="N289" s="102"/>
      <c r="O289" s="102"/>
      <c r="P289" s="102"/>
    </row>
    <row r="290" ht="15.75" customHeight="1">
      <c r="A290" s="97"/>
      <c r="B290" s="98"/>
      <c r="C290" s="99"/>
      <c r="D290" s="98"/>
      <c r="E290" s="100"/>
      <c r="F290" s="101"/>
      <c r="G290" s="98"/>
      <c r="H290" s="100"/>
      <c r="I290" s="102"/>
      <c r="J290" s="102"/>
      <c r="K290" s="102"/>
      <c r="L290" s="101"/>
      <c r="M290" s="103"/>
      <c r="N290" s="102"/>
      <c r="O290" s="102"/>
      <c r="P290" s="102"/>
    </row>
    <row r="291" ht="15.75" customHeight="1">
      <c r="A291" s="97"/>
      <c r="B291" s="98"/>
      <c r="C291" s="99"/>
      <c r="D291" s="98"/>
      <c r="E291" s="100"/>
      <c r="F291" s="101"/>
      <c r="G291" s="98"/>
      <c r="H291" s="100"/>
      <c r="I291" s="102"/>
      <c r="J291" s="102"/>
      <c r="K291" s="102"/>
      <c r="L291" s="101"/>
      <c r="M291" s="103"/>
      <c r="N291" s="102"/>
      <c r="O291" s="102"/>
      <c r="P291" s="102"/>
    </row>
    <row r="292" ht="15.75" customHeight="1">
      <c r="A292" s="97"/>
      <c r="B292" s="98"/>
      <c r="C292" s="99"/>
      <c r="D292" s="98"/>
      <c r="E292" s="100"/>
      <c r="F292" s="101"/>
      <c r="G292" s="98"/>
      <c r="H292" s="100"/>
      <c r="I292" s="102"/>
      <c r="J292" s="102"/>
      <c r="K292" s="102"/>
      <c r="L292" s="101"/>
      <c r="M292" s="103"/>
      <c r="N292" s="102"/>
      <c r="O292" s="102"/>
      <c r="P292" s="102"/>
    </row>
    <row r="293" ht="15.75" customHeight="1">
      <c r="A293" s="97"/>
      <c r="B293" s="98"/>
      <c r="C293" s="99"/>
      <c r="D293" s="98"/>
      <c r="E293" s="100"/>
      <c r="F293" s="101"/>
      <c r="G293" s="98"/>
      <c r="H293" s="100"/>
      <c r="I293" s="102"/>
      <c r="J293" s="102"/>
      <c r="K293" s="102"/>
      <c r="L293" s="101"/>
      <c r="M293" s="103"/>
      <c r="N293" s="102"/>
      <c r="O293" s="102"/>
      <c r="P293" s="102"/>
    </row>
    <row r="294" ht="15.75" customHeight="1">
      <c r="A294" s="97"/>
      <c r="B294" s="98"/>
      <c r="C294" s="99"/>
      <c r="D294" s="98"/>
      <c r="E294" s="100"/>
      <c r="F294" s="101"/>
      <c r="G294" s="98"/>
      <c r="H294" s="100"/>
      <c r="I294" s="102"/>
      <c r="J294" s="102"/>
      <c r="K294" s="102"/>
      <c r="L294" s="101"/>
      <c r="M294" s="103"/>
      <c r="N294" s="102"/>
      <c r="O294" s="102"/>
      <c r="P294" s="102"/>
    </row>
    <row r="295" ht="15.75" customHeight="1">
      <c r="A295" s="97"/>
      <c r="B295" s="98"/>
      <c r="C295" s="99"/>
      <c r="D295" s="98"/>
      <c r="E295" s="100"/>
      <c r="F295" s="101"/>
      <c r="G295" s="98"/>
      <c r="H295" s="100"/>
      <c r="I295" s="102"/>
      <c r="J295" s="102"/>
      <c r="K295" s="102"/>
      <c r="L295" s="101"/>
      <c r="M295" s="103"/>
      <c r="N295" s="102"/>
      <c r="O295" s="102"/>
      <c r="P295" s="102"/>
    </row>
    <row r="296" ht="15.75" customHeight="1">
      <c r="A296" s="97"/>
      <c r="B296" s="98"/>
      <c r="C296" s="99"/>
      <c r="D296" s="98"/>
      <c r="E296" s="100"/>
      <c r="F296" s="101"/>
      <c r="G296" s="98"/>
      <c r="H296" s="100"/>
      <c r="I296" s="102"/>
      <c r="J296" s="102"/>
      <c r="K296" s="102"/>
      <c r="L296" s="101"/>
      <c r="M296" s="103"/>
      <c r="N296" s="102"/>
      <c r="O296" s="102"/>
      <c r="P296" s="102"/>
    </row>
    <row r="297" ht="15.75" customHeight="1">
      <c r="A297" s="97"/>
      <c r="B297" s="98"/>
      <c r="C297" s="99"/>
      <c r="D297" s="98"/>
      <c r="E297" s="100"/>
      <c r="F297" s="101"/>
      <c r="G297" s="98"/>
      <c r="H297" s="100"/>
      <c r="I297" s="102"/>
      <c r="J297" s="102"/>
      <c r="K297" s="102"/>
      <c r="L297" s="101"/>
      <c r="M297" s="103"/>
      <c r="N297" s="102"/>
      <c r="O297" s="102"/>
      <c r="P297" s="102"/>
    </row>
    <row r="298" ht="15.75" customHeight="1">
      <c r="A298" s="97"/>
      <c r="B298" s="98"/>
      <c r="C298" s="99"/>
      <c r="D298" s="98"/>
      <c r="E298" s="100"/>
      <c r="F298" s="101"/>
      <c r="G298" s="98"/>
      <c r="H298" s="100"/>
      <c r="I298" s="102"/>
      <c r="J298" s="102"/>
      <c r="K298" s="102"/>
      <c r="L298" s="101"/>
      <c r="M298" s="103"/>
      <c r="N298" s="102"/>
      <c r="O298" s="102"/>
      <c r="P298" s="102"/>
    </row>
    <row r="299" ht="15.75" customHeight="1">
      <c r="A299" s="97"/>
      <c r="B299" s="98"/>
      <c r="C299" s="99"/>
      <c r="D299" s="98"/>
      <c r="E299" s="100"/>
      <c r="F299" s="101"/>
      <c r="G299" s="98"/>
      <c r="H299" s="100"/>
      <c r="I299" s="102"/>
      <c r="J299" s="102"/>
      <c r="K299" s="102"/>
      <c r="L299" s="101"/>
      <c r="M299" s="103"/>
      <c r="N299" s="102"/>
      <c r="O299" s="102"/>
      <c r="P299" s="102"/>
    </row>
    <row r="300" ht="15.75" customHeight="1">
      <c r="A300" s="97"/>
      <c r="B300" s="98"/>
      <c r="C300" s="99"/>
      <c r="D300" s="98"/>
      <c r="E300" s="100"/>
      <c r="F300" s="101"/>
      <c r="G300" s="98"/>
      <c r="H300" s="100"/>
      <c r="I300" s="102"/>
      <c r="J300" s="102"/>
      <c r="K300" s="102"/>
      <c r="L300" s="101"/>
      <c r="M300" s="103"/>
      <c r="N300" s="102"/>
      <c r="O300" s="102"/>
      <c r="P300" s="102"/>
    </row>
    <row r="301" ht="15.75" customHeight="1">
      <c r="A301" s="97"/>
      <c r="B301" s="98"/>
      <c r="C301" s="99"/>
      <c r="D301" s="98"/>
      <c r="E301" s="100"/>
      <c r="F301" s="101"/>
      <c r="G301" s="98"/>
      <c r="H301" s="100"/>
      <c r="I301" s="102"/>
      <c r="J301" s="102"/>
      <c r="K301" s="102"/>
      <c r="L301" s="101"/>
      <c r="M301" s="103"/>
      <c r="N301" s="102"/>
      <c r="O301" s="102"/>
      <c r="P301" s="102"/>
    </row>
    <row r="302" ht="15.75" customHeight="1">
      <c r="A302" s="97"/>
      <c r="B302" s="98"/>
      <c r="C302" s="99"/>
      <c r="D302" s="98"/>
      <c r="E302" s="100"/>
      <c r="F302" s="101"/>
      <c r="G302" s="98"/>
      <c r="H302" s="100"/>
      <c r="I302" s="102"/>
      <c r="J302" s="102"/>
      <c r="K302" s="102"/>
      <c r="L302" s="101"/>
      <c r="M302" s="103"/>
      <c r="N302" s="102"/>
      <c r="O302" s="102"/>
      <c r="P302" s="102"/>
    </row>
    <row r="303" ht="15.75" customHeight="1">
      <c r="A303" s="97"/>
      <c r="B303" s="98"/>
      <c r="C303" s="99"/>
      <c r="D303" s="98"/>
      <c r="E303" s="100"/>
      <c r="F303" s="101"/>
      <c r="G303" s="98"/>
      <c r="H303" s="100"/>
      <c r="I303" s="102"/>
      <c r="J303" s="102"/>
      <c r="K303" s="102"/>
      <c r="L303" s="101"/>
      <c r="M303" s="103"/>
      <c r="N303" s="102"/>
      <c r="O303" s="102"/>
      <c r="P303" s="102"/>
    </row>
    <row r="304" ht="15.75" customHeight="1">
      <c r="A304" s="97"/>
      <c r="B304" s="98"/>
      <c r="C304" s="99"/>
      <c r="D304" s="98"/>
      <c r="E304" s="100"/>
      <c r="F304" s="101"/>
      <c r="G304" s="98"/>
      <c r="H304" s="100"/>
      <c r="I304" s="102"/>
      <c r="J304" s="102"/>
      <c r="K304" s="102"/>
      <c r="L304" s="101"/>
      <c r="M304" s="103"/>
      <c r="N304" s="102"/>
      <c r="O304" s="102"/>
      <c r="P304" s="102"/>
    </row>
    <row r="305" ht="15.75" customHeight="1">
      <c r="A305" s="97"/>
      <c r="B305" s="98"/>
      <c r="C305" s="99"/>
      <c r="D305" s="98"/>
      <c r="E305" s="100"/>
      <c r="F305" s="101"/>
      <c r="G305" s="98"/>
      <c r="H305" s="100"/>
      <c r="I305" s="102"/>
      <c r="J305" s="102"/>
      <c r="K305" s="102"/>
      <c r="L305" s="101"/>
      <c r="M305" s="103"/>
      <c r="N305" s="102"/>
      <c r="O305" s="102"/>
      <c r="P305" s="102"/>
    </row>
    <row r="306" ht="15.75" customHeight="1">
      <c r="A306" s="97"/>
      <c r="B306" s="98"/>
      <c r="C306" s="99"/>
      <c r="D306" s="98"/>
      <c r="E306" s="100"/>
      <c r="F306" s="101"/>
      <c r="G306" s="98"/>
      <c r="H306" s="100"/>
      <c r="I306" s="102"/>
      <c r="J306" s="102"/>
      <c r="K306" s="102"/>
      <c r="L306" s="101"/>
      <c r="M306" s="103"/>
      <c r="N306" s="102"/>
      <c r="O306" s="102"/>
      <c r="P306" s="102"/>
    </row>
    <row r="307" ht="15.75" customHeight="1">
      <c r="A307" s="97"/>
      <c r="B307" s="98"/>
      <c r="C307" s="99"/>
      <c r="D307" s="98"/>
      <c r="E307" s="100"/>
      <c r="F307" s="101"/>
      <c r="G307" s="98"/>
      <c r="H307" s="100"/>
      <c r="I307" s="102"/>
      <c r="J307" s="102"/>
      <c r="K307" s="102"/>
      <c r="L307" s="101"/>
      <c r="M307" s="103"/>
      <c r="N307" s="102"/>
      <c r="O307" s="102"/>
      <c r="P307" s="102"/>
    </row>
    <row r="308" ht="15.75" customHeight="1">
      <c r="A308" s="97"/>
      <c r="B308" s="98"/>
      <c r="C308" s="99"/>
      <c r="D308" s="98"/>
      <c r="E308" s="100"/>
      <c r="F308" s="101"/>
      <c r="G308" s="98"/>
      <c r="H308" s="100"/>
      <c r="I308" s="102"/>
      <c r="J308" s="102"/>
      <c r="K308" s="102"/>
      <c r="L308" s="101"/>
      <c r="M308" s="103"/>
      <c r="N308" s="102"/>
      <c r="O308" s="102"/>
      <c r="P308" s="102"/>
    </row>
    <row r="309" ht="15.75" customHeight="1">
      <c r="A309" s="97"/>
      <c r="B309" s="98"/>
      <c r="C309" s="99"/>
      <c r="D309" s="98"/>
      <c r="E309" s="100"/>
      <c r="F309" s="101"/>
      <c r="G309" s="98"/>
      <c r="H309" s="100"/>
      <c r="I309" s="102"/>
      <c r="J309" s="102"/>
      <c r="K309" s="102"/>
      <c r="L309" s="101"/>
      <c r="M309" s="103"/>
      <c r="N309" s="102"/>
      <c r="O309" s="102"/>
      <c r="P309" s="102"/>
    </row>
    <row r="310" ht="15.75" customHeight="1">
      <c r="A310" s="97"/>
      <c r="B310" s="98"/>
      <c r="C310" s="99"/>
      <c r="D310" s="98"/>
      <c r="E310" s="100"/>
      <c r="F310" s="101"/>
      <c r="G310" s="98"/>
      <c r="H310" s="100"/>
      <c r="I310" s="102"/>
      <c r="J310" s="102"/>
      <c r="K310" s="102"/>
      <c r="L310" s="101"/>
      <c r="M310" s="103"/>
      <c r="N310" s="102"/>
      <c r="O310" s="102"/>
      <c r="P310" s="102"/>
    </row>
    <row r="311" ht="15.75" customHeight="1">
      <c r="A311" s="97"/>
      <c r="B311" s="98"/>
      <c r="C311" s="99"/>
      <c r="D311" s="98"/>
      <c r="E311" s="100"/>
      <c r="F311" s="101"/>
      <c r="G311" s="98"/>
      <c r="H311" s="100"/>
      <c r="I311" s="102"/>
      <c r="J311" s="102"/>
      <c r="K311" s="102"/>
      <c r="L311" s="101"/>
      <c r="M311" s="103"/>
      <c r="N311" s="102"/>
      <c r="O311" s="102"/>
      <c r="P311" s="102"/>
    </row>
    <row r="312" ht="15.75" customHeight="1">
      <c r="A312" s="97"/>
      <c r="B312" s="98"/>
      <c r="C312" s="99"/>
      <c r="D312" s="98"/>
      <c r="E312" s="100"/>
      <c r="F312" s="101"/>
      <c r="G312" s="98"/>
      <c r="H312" s="100"/>
      <c r="I312" s="102"/>
      <c r="J312" s="102"/>
      <c r="K312" s="102"/>
      <c r="L312" s="101"/>
      <c r="M312" s="103"/>
      <c r="N312" s="102"/>
      <c r="O312" s="102"/>
      <c r="P312" s="102"/>
    </row>
    <row r="313" ht="15.75" customHeight="1">
      <c r="A313" s="97"/>
      <c r="B313" s="98"/>
      <c r="C313" s="99"/>
      <c r="D313" s="98"/>
      <c r="E313" s="100"/>
      <c r="F313" s="101"/>
      <c r="G313" s="98"/>
      <c r="H313" s="100"/>
      <c r="I313" s="102"/>
      <c r="J313" s="102"/>
      <c r="K313" s="102"/>
      <c r="L313" s="101"/>
      <c r="M313" s="103"/>
      <c r="N313" s="102"/>
      <c r="O313" s="102"/>
      <c r="P313" s="102"/>
    </row>
    <row r="314" ht="15.75" customHeight="1">
      <c r="A314" s="97"/>
      <c r="B314" s="98"/>
      <c r="C314" s="99"/>
      <c r="D314" s="98"/>
      <c r="E314" s="100"/>
      <c r="F314" s="101"/>
      <c r="G314" s="98"/>
      <c r="H314" s="100"/>
      <c r="I314" s="102"/>
      <c r="J314" s="102"/>
      <c r="K314" s="102"/>
      <c r="L314" s="101"/>
      <c r="M314" s="103"/>
      <c r="N314" s="102"/>
      <c r="O314" s="102"/>
      <c r="P314" s="102"/>
    </row>
    <row r="315" ht="15.75" customHeight="1">
      <c r="A315" s="97"/>
      <c r="B315" s="98"/>
      <c r="C315" s="99"/>
      <c r="D315" s="98"/>
      <c r="E315" s="100"/>
      <c r="F315" s="101"/>
      <c r="G315" s="98"/>
      <c r="H315" s="100"/>
      <c r="I315" s="102"/>
      <c r="J315" s="102"/>
      <c r="K315" s="102"/>
      <c r="L315" s="101"/>
      <c r="M315" s="103"/>
      <c r="N315" s="102"/>
      <c r="O315" s="102"/>
      <c r="P315" s="102"/>
    </row>
    <row r="316" ht="15.75" customHeight="1">
      <c r="A316" s="97"/>
      <c r="B316" s="98"/>
      <c r="C316" s="99"/>
      <c r="D316" s="98"/>
      <c r="E316" s="100"/>
      <c r="F316" s="101"/>
      <c r="G316" s="98"/>
      <c r="H316" s="100"/>
      <c r="I316" s="102"/>
      <c r="J316" s="102"/>
      <c r="K316" s="102"/>
      <c r="L316" s="101"/>
      <c r="M316" s="103"/>
      <c r="N316" s="102"/>
      <c r="O316" s="102"/>
      <c r="P316" s="102"/>
    </row>
    <row r="317" ht="15.75" customHeight="1">
      <c r="A317" s="97"/>
      <c r="B317" s="98"/>
      <c r="C317" s="99"/>
      <c r="D317" s="98"/>
      <c r="E317" s="100"/>
      <c r="F317" s="101"/>
      <c r="G317" s="98"/>
      <c r="H317" s="100"/>
      <c r="I317" s="102"/>
      <c r="J317" s="102"/>
      <c r="K317" s="102"/>
      <c r="L317" s="101"/>
      <c r="M317" s="103"/>
      <c r="N317" s="102"/>
      <c r="O317" s="102"/>
      <c r="P317" s="102"/>
    </row>
    <row r="318" ht="15.75" customHeight="1">
      <c r="A318" s="97"/>
      <c r="B318" s="98"/>
      <c r="C318" s="99"/>
      <c r="D318" s="98"/>
      <c r="E318" s="100"/>
      <c r="F318" s="101"/>
      <c r="G318" s="98"/>
      <c r="H318" s="100"/>
      <c r="I318" s="102"/>
      <c r="J318" s="102"/>
      <c r="K318" s="102"/>
      <c r="L318" s="101"/>
      <c r="M318" s="103"/>
      <c r="N318" s="102"/>
      <c r="O318" s="102"/>
      <c r="P318" s="102"/>
    </row>
    <row r="319" ht="15.75" customHeight="1">
      <c r="A319" s="97"/>
      <c r="B319" s="98"/>
      <c r="C319" s="99"/>
      <c r="D319" s="98"/>
      <c r="E319" s="100"/>
      <c r="F319" s="101"/>
      <c r="G319" s="98"/>
      <c r="H319" s="100"/>
      <c r="I319" s="102"/>
      <c r="J319" s="102"/>
      <c r="K319" s="102"/>
      <c r="L319" s="101"/>
      <c r="M319" s="103"/>
      <c r="N319" s="102"/>
      <c r="O319" s="102"/>
      <c r="P319" s="102"/>
    </row>
    <row r="320" ht="15.75" customHeight="1">
      <c r="A320" s="97"/>
      <c r="B320" s="98"/>
      <c r="C320" s="99"/>
      <c r="D320" s="98"/>
      <c r="E320" s="100"/>
      <c r="F320" s="101"/>
      <c r="G320" s="98"/>
      <c r="H320" s="100"/>
      <c r="I320" s="102"/>
      <c r="J320" s="102"/>
      <c r="K320" s="102"/>
      <c r="L320" s="101"/>
      <c r="M320" s="103"/>
      <c r="N320" s="102"/>
      <c r="O320" s="102"/>
      <c r="P320" s="102"/>
    </row>
    <row r="321" ht="15.75" customHeight="1">
      <c r="A321" s="97"/>
      <c r="B321" s="98"/>
      <c r="C321" s="99"/>
      <c r="D321" s="98"/>
      <c r="E321" s="100"/>
      <c r="F321" s="101"/>
      <c r="G321" s="98"/>
      <c r="H321" s="100"/>
      <c r="I321" s="102"/>
      <c r="J321" s="102"/>
      <c r="K321" s="102"/>
      <c r="L321" s="101"/>
      <c r="M321" s="103"/>
      <c r="N321" s="102"/>
      <c r="O321" s="102"/>
      <c r="P321" s="102"/>
    </row>
    <row r="322" ht="15.75" customHeight="1">
      <c r="A322" s="97"/>
      <c r="B322" s="98"/>
      <c r="C322" s="99"/>
      <c r="D322" s="98"/>
      <c r="E322" s="100"/>
      <c r="F322" s="101"/>
      <c r="G322" s="98"/>
      <c r="H322" s="100"/>
      <c r="I322" s="102"/>
      <c r="J322" s="102"/>
      <c r="K322" s="102"/>
      <c r="L322" s="101"/>
      <c r="M322" s="103"/>
      <c r="N322" s="102"/>
      <c r="O322" s="102"/>
      <c r="P322" s="102"/>
    </row>
    <row r="323" ht="15.75" customHeight="1">
      <c r="A323" s="97"/>
      <c r="B323" s="98"/>
      <c r="C323" s="99"/>
      <c r="D323" s="98"/>
      <c r="E323" s="100"/>
      <c r="F323" s="101"/>
      <c r="G323" s="98"/>
      <c r="H323" s="100"/>
      <c r="I323" s="102"/>
      <c r="J323" s="102"/>
      <c r="K323" s="102"/>
      <c r="L323" s="101"/>
      <c r="M323" s="103"/>
      <c r="N323" s="102"/>
      <c r="O323" s="102"/>
      <c r="P323" s="102"/>
    </row>
    <row r="324" ht="15.75" customHeight="1">
      <c r="A324" s="97"/>
      <c r="B324" s="98"/>
      <c r="C324" s="99"/>
      <c r="D324" s="98"/>
      <c r="E324" s="100"/>
      <c r="F324" s="101"/>
      <c r="G324" s="98"/>
      <c r="H324" s="100"/>
      <c r="I324" s="102"/>
      <c r="J324" s="102"/>
      <c r="K324" s="102"/>
      <c r="L324" s="101"/>
      <c r="M324" s="103"/>
      <c r="N324" s="102"/>
      <c r="O324" s="102"/>
      <c r="P324" s="102"/>
    </row>
    <row r="325" ht="15.75" customHeight="1">
      <c r="A325" s="97"/>
      <c r="B325" s="98"/>
      <c r="C325" s="99"/>
      <c r="D325" s="98"/>
      <c r="E325" s="100"/>
      <c r="F325" s="101"/>
      <c r="G325" s="98"/>
      <c r="H325" s="100"/>
      <c r="I325" s="102"/>
      <c r="J325" s="102"/>
      <c r="K325" s="102"/>
      <c r="L325" s="101"/>
      <c r="M325" s="103"/>
      <c r="N325" s="102"/>
      <c r="O325" s="102"/>
      <c r="P325" s="102"/>
    </row>
    <row r="326" ht="15.75" customHeight="1">
      <c r="A326" s="97"/>
      <c r="B326" s="98"/>
      <c r="C326" s="99"/>
      <c r="D326" s="98"/>
      <c r="E326" s="100"/>
      <c r="F326" s="101"/>
      <c r="G326" s="98"/>
      <c r="H326" s="100"/>
      <c r="I326" s="102"/>
      <c r="J326" s="102"/>
      <c r="K326" s="102"/>
      <c r="L326" s="101"/>
      <c r="M326" s="103"/>
      <c r="N326" s="102"/>
      <c r="O326" s="102"/>
      <c r="P326" s="102"/>
    </row>
    <row r="327" ht="15.75" customHeight="1">
      <c r="A327" s="97"/>
      <c r="B327" s="98"/>
      <c r="C327" s="99"/>
      <c r="D327" s="98"/>
      <c r="E327" s="100"/>
      <c r="F327" s="101"/>
      <c r="G327" s="98"/>
      <c r="H327" s="100"/>
      <c r="I327" s="102"/>
      <c r="J327" s="102"/>
      <c r="K327" s="102"/>
      <c r="L327" s="101"/>
      <c r="M327" s="103"/>
      <c r="N327" s="102"/>
      <c r="O327" s="102"/>
      <c r="P327" s="102"/>
    </row>
    <row r="328" ht="15.75" customHeight="1">
      <c r="A328" s="97"/>
      <c r="B328" s="98"/>
      <c r="C328" s="99"/>
      <c r="D328" s="98"/>
      <c r="E328" s="100"/>
      <c r="F328" s="101"/>
      <c r="G328" s="98"/>
      <c r="H328" s="100"/>
      <c r="I328" s="102"/>
      <c r="J328" s="102"/>
      <c r="K328" s="102"/>
      <c r="L328" s="101"/>
      <c r="M328" s="103"/>
      <c r="N328" s="102"/>
      <c r="O328" s="102"/>
      <c r="P328" s="102"/>
    </row>
    <row r="329" ht="15.75" customHeight="1">
      <c r="A329" s="97"/>
      <c r="B329" s="98"/>
      <c r="C329" s="99"/>
      <c r="D329" s="98"/>
      <c r="E329" s="100"/>
      <c r="F329" s="101"/>
      <c r="G329" s="98"/>
      <c r="H329" s="100"/>
      <c r="I329" s="102"/>
      <c r="J329" s="102"/>
      <c r="K329" s="102"/>
      <c r="L329" s="101"/>
      <c r="M329" s="103"/>
      <c r="N329" s="102"/>
      <c r="O329" s="102"/>
      <c r="P329" s="102"/>
    </row>
    <row r="330" ht="15.75" customHeight="1">
      <c r="A330" s="97"/>
      <c r="B330" s="98"/>
      <c r="C330" s="99"/>
      <c r="D330" s="98"/>
      <c r="E330" s="100"/>
      <c r="F330" s="101"/>
      <c r="G330" s="98"/>
      <c r="H330" s="100"/>
      <c r="I330" s="102"/>
      <c r="J330" s="102"/>
      <c r="K330" s="102"/>
      <c r="L330" s="101"/>
      <c r="M330" s="103"/>
      <c r="N330" s="102"/>
      <c r="O330" s="102"/>
      <c r="P330" s="102"/>
    </row>
    <row r="331" ht="15.75" customHeight="1">
      <c r="A331" s="97"/>
      <c r="B331" s="98"/>
      <c r="C331" s="99"/>
      <c r="D331" s="98"/>
      <c r="E331" s="100"/>
      <c r="F331" s="101"/>
      <c r="G331" s="98"/>
      <c r="H331" s="100"/>
      <c r="I331" s="102"/>
      <c r="J331" s="102"/>
      <c r="K331" s="102"/>
      <c r="L331" s="101"/>
      <c r="M331" s="103"/>
      <c r="N331" s="102"/>
      <c r="O331" s="102"/>
      <c r="P331" s="102"/>
    </row>
    <row r="332" ht="15.75" customHeight="1">
      <c r="A332" s="97"/>
      <c r="B332" s="98"/>
      <c r="C332" s="99"/>
      <c r="D332" s="98"/>
      <c r="E332" s="100"/>
      <c r="F332" s="101"/>
      <c r="G332" s="98"/>
      <c r="H332" s="100"/>
      <c r="I332" s="102"/>
      <c r="J332" s="102"/>
      <c r="K332" s="102"/>
      <c r="L332" s="101"/>
      <c r="M332" s="103"/>
      <c r="N332" s="102"/>
      <c r="O332" s="102"/>
      <c r="P332" s="102"/>
    </row>
    <row r="333" ht="15.75" customHeight="1">
      <c r="A333" s="97"/>
      <c r="B333" s="98"/>
      <c r="C333" s="99"/>
      <c r="D333" s="98"/>
      <c r="E333" s="100"/>
      <c r="F333" s="101"/>
      <c r="G333" s="98"/>
      <c r="H333" s="100"/>
      <c r="I333" s="102"/>
      <c r="J333" s="102"/>
      <c r="K333" s="102"/>
      <c r="L333" s="101"/>
      <c r="M333" s="103"/>
      <c r="N333" s="102"/>
      <c r="O333" s="102"/>
      <c r="P333" s="102"/>
    </row>
    <row r="334" ht="15.75" customHeight="1">
      <c r="A334" s="97"/>
      <c r="B334" s="98"/>
      <c r="C334" s="99"/>
      <c r="D334" s="98"/>
      <c r="E334" s="100"/>
      <c r="F334" s="101"/>
      <c r="G334" s="98"/>
      <c r="H334" s="100"/>
      <c r="I334" s="102"/>
      <c r="J334" s="102"/>
      <c r="K334" s="102"/>
      <c r="L334" s="101"/>
      <c r="M334" s="103"/>
      <c r="N334" s="102"/>
      <c r="O334" s="102"/>
      <c r="P334" s="102"/>
    </row>
    <row r="335" ht="15.75" customHeight="1">
      <c r="A335" s="97"/>
      <c r="B335" s="98"/>
      <c r="C335" s="99"/>
      <c r="D335" s="98"/>
      <c r="E335" s="100"/>
      <c r="F335" s="101"/>
      <c r="G335" s="98"/>
      <c r="H335" s="100"/>
      <c r="I335" s="102"/>
      <c r="J335" s="102"/>
      <c r="K335" s="102"/>
      <c r="L335" s="101"/>
      <c r="M335" s="103"/>
      <c r="N335" s="102"/>
      <c r="O335" s="102"/>
      <c r="P335" s="102"/>
    </row>
    <row r="336" ht="15.75" customHeight="1">
      <c r="A336" s="97"/>
      <c r="B336" s="98"/>
      <c r="C336" s="99"/>
      <c r="D336" s="98"/>
      <c r="E336" s="100"/>
      <c r="F336" s="101"/>
      <c r="G336" s="98"/>
      <c r="H336" s="100"/>
      <c r="I336" s="102"/>
      <c r="J336" s="102"/>
      <c r="K336" s="102"/>
      <c r="L336" s="101"/>
      <c r="M336" s="103"/>
      <c r="N336" s="102"/>
      <c r="O336" s="102"/>
      <c r="P336" s="102"/>
    </row>
    <row r="337" ht="15.75" customHeight="1">
      <c r="A337" s="97"/>
      <c r="B337" s="98"/>
      <c r="C337" s="99"/>
      <c r="D337" s="98"/>
      <c r="E337" s="100"/>
      <c r="F337" s="101"/>
      <c r="G337" s="98"/>
      <c r="H337" s="100"/>
      <c r="I337" s="102"/>
      <c r="J337" s="102"/>
      <c r="K337" s="102"/>
      <c r="L337" s="101"/>
      <c r="M337" s="103"/>
      <c r="N337" s="102"/>
      <c r="O337" s="102"/>
      <c r="P337" s="102"/>
    </row>
    <row r="338" ht="15.75" customHeight="1">
      <c r="A338" s="97"/>
      <c r="B338" s="98"/>
      <c r="C338" s="99"/>
      <c r="D338" s="98"/>
      <c r="E338" s="100"/>
      <c r="F338" s="101"/>
      <c r="G338" s="98"/>
      <c r="H338" s="100"/>
      <c r="I338" s="102"/>
      <c r="J338" s="102"/>
      <c r="K338" s="102"/>
      <c r="L338" s="101"/>
      <c r="M338" s="103"/>
      <c r="N338" s="102"/>
      <c r="O338" s="102"/>
      <c r="P338" s="102"/>
    </row>
    <row r="339" ht="15.75" customHeight="1">
      <c r="A339" s="97"/>
      <c r="B339" s="98"/>
      <c r="C339" s="99"/>
      <c r="D339" s="98"/>
      <c r="E339" s="100"/>
      <c r="F339" s="101"/>
      <c r="G339" s="98"/>
      <c r="H339" s="100"/>
      <c r="I339" s="102"/>
      <c r="J339" s="102"/>
      <c r="K339" s="102"/>
      <c r="L339" s="101"/>
      <c r="M339" s="103"/>
      <c r="N339" s="102"/>
      <c r="O339" s="102"/>
      <c r="P339" s="102"/>
    </row>
    <row r="340" ht="15.75" customHeight="1">
      <c r="A340" s="97"/>
      <c r="B340" s="98"/>
      <c r="C340" s="99"/>
      <c r="D340" s="98"/>
      <c r="E340" s="100"/>
      <c r="F340" s="101"/>
      <c r="G340" s="98"/>
      <c r="H340" s="100"/>
      <c r="I340" s="102"/>
      <c r="J340" s="102"/>
      <c r="K340" s="102"/>
      <c r="L340" s="101"/>
      <c r="M340" s="103"/>
      <c r="N340" s="102"/>
      <c r="O340" s="102"/>
      <c r="P340" s="102"/>
    </row>
    <row r="341" ht="15.75" customHeight="1">
      <c r="A341" s="97"/>
      <c r="B341" s="98"/>
      <c r="C341" s="99"/>
      <c r="D341" s="98"/>
      <c r="E341" s="100"/>
      <c r="F341" s="101"/>
      <c r="G341" s="98"/>
      <c r="H341" s="100"/>
      <c r="I341" s="102"/>
      <c r="J341" s="102"/>
      <c r="K341" s="102"/>
      <c r="L341" s="101"/>
      <c r="M341" s="103"/>
      <c r="N341" s="102"/>
      <c r="O341" s="102"/>
      <c r="P341" s="102"/>
    </row>
    <row r="342" ht="15.75" customHeight="1">
      <c r="A342" s="97"/>
      <c r="B342" s="98"/>
      <c r="C342" s="99"/>
      <c r="D342" s="98"/>
      <c r="E342" s="100"/>
      <c r="F342" s="101"/>
      <c r="G342" s="98"/>
      <c r="H342" s="100"/>
      <c r="I342" s="102"/>
      <c r="J342" s="102"/>
      <c r="K342" s="102"/>
      <c r="L342" s="101"/>
      <c r="M342" s="103"/>
      <c r="N342" s="102"/>
      <c r="O342" s="102"/>
      <c r="P342" s="102"/>
    </row>
    <row r="343" ht="15.75" customHeight="1">
      <c r="A343" s="97"/>
      <c r="B343" s="98"/>
      <c r="C343" s="99"/>
      <c r="D343" s="98"/>
      <c r="E343" s="100"/>
      <c r="F343" s="101"/>
      <c r="G343" s="98"/>
      <c r="H343" s="100"/>
      <c r="I343" s="102"/>
      <c r="J343" s="102"/>
      <c r="K343" s="102"/>
      <c r="L343" s="101"/>
      <c r="M343" s="103"/>
      <c r="N343" s="102"/>
      <c r="O343" s="102"/>
      <c r="P343" s="102"/>
    </row>
    <row r="344" ht="15.75" customHeight="1">
      <c r="A344" s="97"/>
      <c r="B344" s="98"/>
      <c r="C344" s="99"/>
      <c r="D344" s="98"/>
      <c r="E344" s="100"/>
      <c r="F344" s="101"/>
      <c r="G344" s="98"/>
      <c r="H344" s="100"/>
      <c r="I344" s="102"/>
      <c r="J344" s="102"/>
      <c r="K344" s="102"/>
      <c r="L344" s="101"/>
      <c r="M344" s="103"/>
      <c r="N344" s="102"/>
      <c r="O344" s="102"/>
      <c r="P344" s="102"/>
    </row>
    <row r="345" ht="15.75" customHeight="1">
      <c r="A345" s="97"/>
      <c r="B345" s="98"/>
      <c r="C345" s="99"/>
      <c r="D345" s="98"/>
      <c r="E345" s="100"/>
      <c r="F345" s="101"/>
      <c r="G345" s="98"/>
      <c r="H345" s="100"/>
      <c r="I345" s="102"/>
      <c r="J345" s="102"/>
      <c r="K345" s="102"/>
      <c r="L345" s="101"/>
      <c r="M345" s="103"/>
      <c r="N345" s="102"/>
      <c r="O345" s="102"/>
      <c r="P345" s="102"/>
    </row>
    <row r="346" ht="15.75" customHeight="1">
      <c r="A346" s="97"/>
      <c r="B346" s="98"/>
      <c r="C346" s="99"/>
      <c r="D346" s="98"/>
      <c r="E346" s="100"/>
      <c r="F346" s="101"/>
      <c r="G346" s="98"/>
      <c r="H346" s="100"/>
      <c r="I346" s="102"/>
      <c r="J346" s="102"/>
      <c r="K346" s="102"/>
      <c r="L346" s="101"/>
      <c r="M346" s="103"/>
      <c r="N346" s="102"/>
      <c r="O346" s="102"/>
      <c r="P346" s="102"/>
    </row>
    <row r="347" ht="15.75" customHeight="1">
      <c r="A347" s="97"/>
      <c r="B347" s="98"/>
      <c r="C347" s="99"/>
      <c r="D347" s="98"/>
      <c r="E347" s="100"/>
      <c r="F347" s="101"/>
      <c r="G347" s="98"/>
      <c r="H347" s="100"/>
      <c r="I347" s="102"/>
      <c r="J347" s="102"/>
      <c r="K347" s="102"/>
      <c r="L347" s="101"/>
      <c r="M347" s="103"/>
      <c r="N347" s="102"/>
      <c r="O347" s="102"/>
      <c r="P347" s="102"/>
    </row>
    <row r="348" ht="15.75" customHeight="1">
      <c r="A348" s="97"/>
      <c r="B348" s="98"/>
      <c r="C348" s="99"/>
      <c r="D348" s="98"/>
      <c r="E348" s="100"/>
      <c r="F348" s="101"/>
      <c r="G348" s="98"/>
      <c r="H348" s="100"/>
      <c r="I348" s="102"/>
      <c r="J348" s="102"/>
      <c r="K348" s="102"/>
      <c r="L348" s="101"/>
      <c r="M348" s="103"/>
      <c r="N348" s="102"/>
      <c r="O348" s="102"/>
      <c r="P348" s="102"/>
    </row>
    <row r="349" ht="15.75" customHeight="1">
      <c r="A349" s="97"/>
      <c r="B349" s="98"/>
      <c r="C349" s="99"/>
      <c r="D349" s="98"/>
      <c r="E349" s="100"/>
      <c r="F349" s="101"/>
      <c r="G349" s="98"/>
      <c r="H349" s="100"/>
      <c r="I349" s="102"/>
      <c r="J349" s="102"/>
      <c r="K349" s="102"/>
      <c r="L349" s="101"/>
      <c r="M349" s="103"/>
      <c r="N349" s="102"/>
      <c r="O349" s="102"/>
      <c r="P349" s="102"/>
    </row>
    <row r="350" ht="15.75" customHeight="1">
      <c r="A350" s="97"/>
      <c r="B350" s="98"/>
      <c r="C350" s="99"/>
      <c r="D350" s="98"/>
      <c r="E350" s="100"/>
      <c r="F350" s="101"/>
      <c r="G350" s="98"/>
      <c r="H350" s="100"/>
      <c r="I350" s="102"/>
      <c r="J350" s="102"/>
      <c r="K350" s="102"/>
      <c r="L350" s="101"/>
      <c r="M350" s="103"/>
      <c r="N350" s="102"/>
      <c r="O350" s="102"/>
      <c r="P350" s="102"/>
    </row>
    <row r="351" ht="15.75" customHeight="1">
      <c r="A351" s="97"/>
      <c r="B351" s="98"/>
      <c r="C351" s="99"/>
      <c r="D351" s="98"/>
      <c r="E351" s="100"/>
      <c r="F351" s="101"/>
      <c r="G351" s="98"/>
      <c r="H351" s="100"/>
      <c r="I351" s="102"/>
      <c r="J351" s="102"/>
      <c r="K351" s="102"/>
      <c r="L351" s="101"/>
      <c r="M351" s="103"/>
      <c r="N351" s="102"/>
      <c r="O351" s="102"/>
      <c r="P351" s="102"/>
    </row>
    <row r="352" ht="15.75" customHeight="1">
      <c r="A352" s="97"/>
      <c r="B352" s="98"/>
      <c r="C352" s="99"/>
      <c r="D352" s="98"/>
      <c r="E352" s="100"/>
      <c r="F352" s="101"/>
      <c r="G352" s="98"/>
      <c r="H352" s="100"/>
      <c r="I352" s="102"/>
      <c r="J352" s="102"/>
      <c r="K352" s="102"/>
      <c r="L352" s="101"/>
      <c r="M352" s="103"/>
      <c r="N352" s="102"/>
      <c r="O352" s="102"/>
      <c r="P352" s="102"/>
    </row>
    <row r="353" ht="15.75" customHeight="1">
      <c r="A353" s="97"/>
      <c r="B353" s="98"/>
      <c r="C353" s="99"/>
      <c r="D353" s="98"/>
      <c r="E353" s="100"/>
      <c r="F353" s="101"/>
      <c r="G353" s="98"/>
      <c r="H353" s="100"/>
      <c r="I353" s="102"/>
      <c r="J353" s="102"/>
      <c r="K353" s="102"/>
      <c r="L353" s="101"/>
      <c r="M353" s="103"/>
      <c r="N353" s="102"/>
      <c r="O353" s="102"/>
      <c r="P353" s="102"/>
    </row>
    <row r="354" ht="15.75" customHeight="1">
      <c r="A354" s="97"/>
      <c r="B354" s="98"/>
      <c r="C354" s="99"/>
      <c r="D354" s="98"/>
      <c r="E354" s="100"/>
      <c r="F354" s="101"/>
      <c r="G354" s="98"/>
      <c r="H354" s="100"/>
      <c r="I354" s="102"/>
      <c r="J354" s="102"/>
      <c r="K354" s="102"/>
      <c r="L354" s="101"/>
      <c r="M354" s="103"/>
      <c r="N354" s="102"/>
      <c r="O354" s="102"/>
      <c r="P354" s="102"/>
    </row>
    <row r="355" ht="15.75" customHeight="1">
      <c r="A355" s="97"/>
      <c r="B355" s="98"/>
      <c r="C355" s="99"/>
      <c r="D355" s="98"/>
      <c r="E355" s="100"/>
      <c r="F355" s="101"/>
      <c r="G355" s="98"/>
      <c r="H355" s="100"/>
      <c r="I355" s="102"/>
      <c r="J355" s="102"/>
      <c r="K355" s="102"/>
      <c r="L355" s="101"/>
      <c r="M355" s="103"/>
      <c r="N355" s="102"/>
      <c r="O355" s="102"/>
      <c r="P355" s="102"/>
    </row>
    <row r="356" ht="15.75" customHeight="1">
      <c r="A356" s="97"/>
      <c r="B356" s="98"/>
      <c r="C356" s="99"/>
      <c r="D356" s="98"/>
      <c r="E356" s="100"/>
      <c r="F356" s="101"/>
      <c r="G356" s="98"/>
      <c r="H356" s="100"/>
      <c r="I356" s="102"/>
      <c r="J356" s="102"/>
      <c r="K356" s="102"/>
      <c r="L356" s="101"/>
      <c r="M356" s="103"/>
      <c r="N356" s="102"/>
      <c r="O356" s="102"/>
      <c r="P356" s="102"/>
    </row>
    <row r="357" ht="15.75" customHeight="1">
      <c r="A357" s="97"/>
      <c r="B357" s="98"/>
      <c r="C357" s="99"/>
      <c r="D357" s="98"/>
      <c r="E357" s="100"/>
      <c r="F357" s="101"/>
      <c r="G357" s="98"/>
      <c r="H357" s="100"/>
      <c r="I357" s="102"/>
      <c r="J357" s="102"/>
      <c r="K357" s="102"/>
      <c r="L357" s="101"/>
      <c r="M357" s="103"/>
      <c r="N357" s="102"/>
      <c r="O357" s="102"/>
      <c r="P357" s="102"/>
    </row>
    <row r="358" ht="15.75" customHeight="1">
      <c r="A358" s="97"/>
      <c r="B358" s="98"/>
      <c r="C358" s="99"/>
      <c r="D358" s="98"/>
      <c r="E358" s="100"/>
      <c r="F358" s="101"/>
      <c r="G358" s="98"/>
      <c r="H358" s="100"/>
      <c r="I358" s="102"/>
      <c r="J358" s="102"/>
      <c r="K358" s="102"/>
      <c r="L358" s="101"/>
      <c r="M358" s="103"/>
      <c r="N358" s="102"/>
      <c r="O358" s="102"/>
      <c r="P358" s="102"/>
    </row>
    <row r="359" ht="15.75" customHeight="1">
      <c r="A359" s="97"/>
      <c r="B359" s="98"/>
      <c r="C359" s="99"/>
      <c r="D359" s="98"/>
      <c r="E359" s="100"/>
      <c r="F359" s="101"/>
      <c r="G359" s="98"/>
      <c r="H359" s="100"/>
      <c r="I359" s="102"/>
      <c r="J359" s="102"/>
      <c r="K359" s="102"/>
      <c r="L359" s="101"/>
      <c r="M359" s="103"/>
      <c r="N359" s="102"/>
      <c r="O359" s="102"/>
      <c r="P359" s="102"/>
    </row>
    <row r="360" ht="15.75" customHeight="1">
      <c r="A360" s="97"/>
      <c r="B360" s="98"/>
      <c r="C360" s="99"/>
      <c r="D360" s="98"/>
      <c r="E360" s="100"/>
      <c r="F360" s="101"/>
      <c r="G360" s="98"/>
      <c r="H360" s="100"/>
      <c r="I360" s="102"/>
      <c r="J360" s="102"/>
      <c r="K360" s="102"/>
      <c r="L360" s="101"/>
      <c r="M360" s="103"/>
      <c r="N360" s="102"/>
      <c r="O360" s="102"/>
      <c r="P360" s="102"/>
    </row>
    <row r="361" ht="15.75" customHeight="1">
      <c r="A361" s="97"/>
      <c r="B361" s="98"/>
      <c r="C361" s="99"/>
      <c r="D361" s="98"/>
      <c r="E361" s="100"/>
      <c r="F361" s="101"/>
      <c r="G361" s="98"/>
      <c r="H361" s="100"/>
      <c r="I361" s="102"/>
      <c r="J361" s="102"/>
      <c r="K361" s="102"/>
      <c r="L361" s="101"/>
      <c r="M361" s="103"/>
      <c r="N361" s="102"/>
      <c r="O361" s="102"/>
      <c r="P361" s="102"/>
    </row>
    <row r="362" ht="15.75" customHeight="1">
      <c r="A362" s="97"/>
      <c r="B362" s="98"/>
      <c r="C362" s="99"/>
      <c r="D362" s="98"/>
      <c r="E362" s="100"/>
      <c r="F362" s="101"/>
      <c r="G362" s="98"/>
      <c r="H362" s="100"/>
      <c r="I362" s="102"/>
      <c r="J362" s="102"/>
      <c r="K362" s="102"/>
      <c r="L362" s="101"/>
      <c r="M362" s="103"/>
      <c r="N362" s="102"/>
      <c r="O362" s="102"/>
      <c r="P362" s="102"/>
    </row>
    <row r="363" ht="15.75" customHeight="1">
      <c r="A363" s="97"/>
      <c r="B363" s="98"/>
      <c r="C363" s="99"/>
      <c r="D363" s="98"/>
      <c r="E363" s="100"/>
      <c r="F363" s="101"/>
      <c r="G363" s="98"/>
      <c r="H363" s="100"/>
      <c r="I363" s="102"/>
      <c r="J363" s="102"/>
      <c r="K363" s="102"/>
      <c r="L363" s="101"/>
      <c r="M363" s="103"/>
      <c r="N363" s="102"/>
      <c r="O363" s="102"/>
      <c r="P363" s="102"/>
    </row>
    <row r="364" ht="15.75" customHeight="1">
      <c r="A364" s="97"/>
      <c r="B364" s="98"/>
      <c r="C364" s="99"/>
      <c r="D364" s="98"/>
      <c r="E364" s="100"/>
      <c r="F364" s="101"/>
      <c r="G364" s="98"/>
      <c r="H364" s="100"/>
      <c r="I364" s="102"/>
      <c r="J364" s="102"/>
      <c r="K364" s="102"/>
      <c r="L364" s="101"/>
      <c r="M364" s="103"/>
      <c r="N364" s="102"/>
      <c r="O364" s="102"/>
      <c r="P364" s="102"/>
    </row>
    <row r="365" ht="15.75" customHeight="1">
      <c r="A365" s="97"/>
      <c r="B365" s="98"/>
      <c r="C365" s="99"/>
      <c r="D365" s="98"/>
      <c r="E365" s="100"/>
      <c r="F365" s="101"/>
      <c r="G365" s="98"/>
      <c r="H365" s="100"/>
      <c r="I365" s="102"/>
      <c r="J365" s="102"/>
      <c r="K365" s="102"/>
      <c r="L365" s="101"/>
      <c r="M365" s="103"/>
      <c r="N365" s="102"/>
      <c r="O365" s="102"/>
      <c r="P365" s="102"/>
    </row>
    <row r="366" ht="15.75" customHeight="1">
      <c r="A366" s="97"/>
      <c r="B366" s="98"/>
      <c r="C366" s="99"/>
      <c r="D366" s="98"/>
      <c r="E366" s="100"/>
      <c r="F366" s="101"/>
      <c r="G366" s="98"/>
      <c r="H366" s="100"/>
      <c r="I366" s="102"/>
      <c r="J366" s="102"/>
      <c r="K366" s="102"/>
      <c r="L366" s="101"/>
      <c r="M366" s="103"/>
      <c r="N366" s="102"/>
      <c r="O366" s="102"/>
      <c r="P366" s="102"/>
    </row>
    <row r="367" ht="15.75" customHeight="1">
      <c r="A367" s="97"/>
      <c r="B367" s="98"/>
      <c r="C367" s="99"/>
      <c r="D367" s="98"/>
      <c r="E367" s="100"/>
      <c r="F367" s="101"/>
      <c r="G367" s="98"/>
      <c r="H367" s="100"/>
      <c r="I367" s="102"/>
      <c r="J367" s="102"/>
      <c r="K367" s="102"/>
      <c r="L367" s="101"/>
      <c r="M367" s="103"/>
      <c r="N367" s="102"/>
      <c r="O367" s="102"/>
      <c r="P367" s="102"/>
    </row>
    <row r="368" ht="15.75" customHeight="1">
      <c r="A368" s="97"/>
      <c r="B368" s="98"/>
      <c r="C368" s="99"/>
      <c r="D368" s="98"/>
      <c r="E368" s="100"/>
      <c r="F368" s="101"/>
      <c r="G368" s="98"/>
      <c r="H368" s="100"/>
      <c r="I368" s="102"/>
      <c r="J368" s="102"/>
      <c r="K368" s="102"/>
      <c r="L368" s="101"/>
      <c r="M368" s="103"/>
      <c r="N368" s="102"/>
      <c r="O368" s="102"/>
      <c r="P368" s="102"/>
    </row>
    <row r="369" ht="15.75" customHeight="1">
      <c r="A369" s="97"/>
      <c r="B369" s="98"/>
      <c r="C369" s="99"/>
      <c r="D369" s="98"/>
      <c r="E369" s="100"/>
      <c r="F369" s="101"/>
      <c r="G369" s="98"/>
      <c r="H369" s="100"/>
      <c r="I369" s="102"/>
      <c r="J369" s="102"/>
      <c r="K369" s="102"/>
      <c r="L369" s="101"/>
      <c r="M369" s="103"/>
      <c r="N369" s="102"/>
      <c r="O369" s="102"/>
      <c r="P369" s="102"/>
    </row>
    <row r="370" ht="15.75" customHeight="1">
      <c r="A370" s="97"/>
      <c r="B370" s="98"/>
      <c r="C370" s="99"/>
      <c r="D370" s="98"/>
      <c r="E370" s="100"/>
      <c r="F370" s="101"/>
      <c r="G370" s="98"/>
      <c r="H370" s="100"/>
      <c r="I370" s="102"/>
      <c r="J370" s="102"/>
      <c r="K370" s="102"/>
      <c r="L370" s="101"/>
      <c r="M370" s="103"/>
      <c r="N370" s="102"/>
      <c r="O370" s="102"/>
      <c r="P370" s="102"/>
    </row>
    <row r="371" ht="15.75" customHeight="1">
      <c r="A371" s="97"/>
      <c r="B371" s="98"/>
      <c r="C371" s="99"/>
      <c r="D371" s="98"/>
      <c r="E371" s="100"/>
      <c r="F371" s="101"/>
      <c r="G371" s="98"/>
      <c r="H371" s="100"/>
      <c r="I371" s="102"/>
      <c r="J371" s="102"/>
      <c r="K371" s="102"/>
      <c r="L371" s="101"/>
      <c r="M371" s="103"/>
      <c r="N371" s="102"/>
      <c r="O371" s="102"/>
      <c r="P371" s="102"/>
    </row>
    <row r="372" ht="15.75" customHeight="1">
      <c r="A372" s="97"/>
      <c r="B372" s="98"/>
      <c r="C372" s="99"/>
      <c r="D372" s="98"/>
      <c r="E372" s="100"/>
      <c r="F372" s="101"/>
      <c r="G372" s="98"/>
      <c r="H372" s="100"/>
      <c r="I372" s="102"/>
      <c r="J372" s="102"/>
      <c r="K372" s="102"/>
      <c r="L372" s="101"/>
      <c r="M372" s="103"/>
      <c r="N372" s="102"/>
      <c r="O372" s="102"/>
      <c r="P372" s="102"/>
    </row>
    <row r="373" ht="15.75" customHeight="1">
      <c r="A373" s="97"/>
      <c r="B373" s="98"/>
      <c r="C373" s="99"/>
      <c r="D373" s="98"/>
      <c r="E373" s="100"/>
      <c r="F373" s="101"/>
      <c r="G373" s="98"/>
      <c r="H373" s="100"/>
      <c r="I373" s="102"/>
      <c r="J373" s="102"/>
      <c r="K373" s="102"/>
      <c r="L373" s="101"/>
      <c r="M373" s="103"/>
      <c r="N373" s="102"/>
      <c r="O373" s="102"/>
      <c r="P373" s="102"/>
    </row>
    <row r="374" ht="15.75" customHeight="1">
      <c r="A374" s="97"/>
      <c r="B374" s="98"/>
      <c r="C374" s="99"/>
      <c r="D374" s="98"/>
      <c r="E374" s="100"/>
      <c r="F374" s="101"/>
      <c r="G374" s="98"/>
      <c r="H374" s="100"/>
      <c r="I374" s="102"/>
      <c r="J374" s="102"/>
      <c r="K374" s="102"/>
      <c r="L374" s="101"/>
      <c r="M374" s="103"/>
      <c r="N374" s="102"/>
      <c r="O374" s="102"/>
      <c r="P374" s="102"/>
    </row>
    <row r="375" ht="15.75" customHeight="1">
      <c r="A375" s="97"/>
      <c r="B375" s="98"/>
      <c r="C375" s="99"/>
      <c r="D375" s="98"/>
      <c r="E375" s="100"/>
      <c r="F375" s="101"/>
      <c r="G375" s="98"/>
      <c r="H375" s="100"/>
      <c r="I375" s="102"/>
      <c r="J375" s="102"/>
      <c r="K375" s="102"/>
      <c r="L375" s="101"/>
      <c r="M375" s="103"/>
      <c r="N375" s="102"/>
      <c r="O375" s="102"/>
      <c r="P375" s="102"/>
    </row>
    <row r="376" ht="15.75" customHeight="1">
      <c r="A376" s="97"/>
      <c r="B376" s="98"/>
      <c r="C376" s="99"/>
      <c r="D376" s="98"/>
      <c r="E376" s="100"/>
      <c r="F376" s="101"/>
      <c r="G376" s="98"/>
      <c r="H376" s="100"/>
      <c r="I376" s="102"/>
      <c r="J376" s="102"/>
      <c r="K376" s="102"/>
      <c r="L376" s="101"/>
      <c r="M376" s="103"/>
      <c r="N376" s="102"/>
      <c r="O376" s="102"/>
      <c r="P376" s="102"/>
    </row>
    <row r="377" ht="15.75" customHeight="1">
      <c r="A377" s="97"/>
      <c r="B377" s="98"/>
      <c r="C377" s="99"/>
      <c r="D377" s="98"/>
      <c r="E377" s="100"/>
      <c r="F377" s="101"/>
      <c r="G377" s="98"/>
      <c r="H377" s="100"/>
      <c r="I377" s="102"/>
      <c r="J377" s="102"/>
      <c r="K377" s="102"/>
      <c r="L377" s="101"/>
      <c r="M377" s="103"/>
      <c r="N377" s="102"/>
      <c r="O377" s="102"/>
      <c r="P377" s="102"/>
    </row>
    <row r="378" ht="15.75" customHeight="1">
      <c r="A378" s="97"/>
      <c r="B378" s="98"/>
      <c r="C378" s="99"/>
      <c r="D378" s="98"/>
      <c r="E378" s="100"/>
      <c r="F378" s="101"/>
      <c r="G378" s="98"/>
      <c r="H378" s="100"/>
      <c r="I378" s="102"/>
      <c r="J378" s="102"/>
      <c r="K378" s="102"/>
      <c r="L378" s="101"/>
      <c r="M378" s="103"/>
      <c r="N378" s="102"/>
      <c r="O378" s="102"/>
      <c r="P378" s="102"/>
    </row>
    <row r="379" ht="15.75" customHeight="1">
      <c r="A379" s="97"/>
      <c r="B379" s="98"/>
      <c r="C379" s="99"/>
      <c r="D379" s="98"/>
      <c r="E379" s="100"/>
      <c r="F379" s="101"/>
      <c r="G379" s="98"/>
      <c r="H379" s="100"/>
      <c r="I379" s="102"/>
      <c r="J379" s="102"/>
      <c r="K379" s="102"/>
      <c r="L379" s="101"/>
      <c r="M379" s="103"/>
      <c r="N379" s="102"/>
      <c r="O379" s="102"/>
      <c r="P379" s="102"/>
    </row>
    <row r="380" ht="15.75" customHeight="1">
      <c r="A380" s="97"/>
      <c r="B380" s="98"/>
      <c r="C380" s="99"/>
      <c r="D380" s="98"/>
      <c r="E380" s="100"/>
      <c r="F380" s="101"/>
      <c r="G380" s="98"/>
      <c r="H380" s="100"/>
      <c r="I380" s="102"/>
      <c r="J380" s="102"/>
      <c r="K380" s="102"/>
      <c r="L380" s="101"/>
      <c r="M380" s="103"/>
      <c r="N380" s="102"/>
      <c r="O380" s="102"/>
      <c r="P380" s="102"/>
    </row>
    <row r="381" ht="15.75" customHeight="1">
      <c r="A381" s="97"/>
      <c r="B381" s="98"/>
      <c r="C381" s="99"/>
      <c r="D381" s="98"/>
      <c r="E381" s="100"/>
      <c r="F381" s="101"/>
      <c r="G381" s="98"/>
      <c r="H381" s="100"/>
      <c r="I381" s="102"/>
      <c r="J381" s="102"/>
      <c r="K381" s="102"/>
      <c r="L381" s="101"/>
      <c r="M381" s="103"/>
      <c r="N381" s="102"/>
      <c r="O381" s="102"/>
      <c r="P381" s="102"/>
    </row>
    <row r="382" ht="15.75" customHeight="1">
      <c r="A382" s="97"/>
      <c r="B382" s="98"/>
      <c r="C382" s="99"/>
      <c r="D382" s="98"/>
      <c r="E382" s="100"/>
      <c r="F382" s="101"/>
      <c r="G382" s="98"/>
      <c r="H382" s="100"/>
      <c r="I382" s="102"/>
      <c r="J382" s="102"/>
      <c r="K382" s="102"/>
      <c r="L382" s="101"/>
      <c r="M382" s="103"/>
      <c r="N382" s="102"/>
      <c r="O382" s="102"/>
      <c r="P382" s="102"/>
    </row>
    <row r="383" ht="15.75" customHeight="1">
      <c r="A383" s="97"/>
      <c r="B383" s="98"/>
      <c r="C383" s="99"/>
      <c r="D383" s="98"/>
      <c r="E383" s="100"/>
      <c r="F383" s="101"/>
      <c r="G383" s="98"/>
      <c r="H383" s="100"/>
      <c r="I383" s="102"/>
      <c r="J383" s="102"/>
      <c r="K383" s="102"/>
      <c r="L383" s="101"/>
      <c r="M383" s="103"/>
      <c r="N383" s="102"/>
      <c r="O383" s="102"/>
      <c r="P383" s="102"/>
    </row>
    <row r="384" ht="15.75" customHeight="1">
      <c r="A384" s="97"/>
      <c r="B384" s="98"/>
      <c r="C384" s="99"/>
      <c r="D384" s="98"/>
      <c r="E384" s="100"/>
      <c r="F384" s="101"/>
      <c r="G384" s="98"/>
      <c r="H384" s="100"/>
      <c r="I384" s="102"/>
      <c r="J384" s="102"/>
      <c r="K384" s="102"/>
      <c r="L384" s="101"/>
      <c r="M384" s="103"/>
      <c r="N384" s="102"/>
      <c r="O384" s="102"/>
      <c r="P384" s="102"/>
    </row>
    <row r="385" ht="15.75" customHeight="1">
      <c r="A385" s="97"/>
      <c r="B385" s="98"/>
      <c r="C385" s="99"/>
      <c r="D385" s="98"/>
      <c r="E385" s="100"/>
      <c r="F385" s="101"/>
      <c r="G385" s="98"/>
      <c r="H385" s="100"/>
      <c r="I385" s="102"/>
      <c r="J385" s="102"/>
      <c r="K385" s="102"/>
      <c r="L385" s="101"/>
      <c r="M385" s="103"/>
      <c r="N385" s="102"/>
      <c r="O385" s="102"/>
      <c r="P385" s="102"/>
    </row>
    <row r="386" ht="15.75" customHeight="1">
      <c r="A386" s="97"/>
      <c r="B386" s="98"/>
      <c r="C386" s="99"/>
      <c r="D386" s="98"/>
      <c r="E386" s="100"/>
      <c r="F386" s="101"/>
      <c r="G386" s="98"/>
      <c r="H386" s="100"/>
      <c r="I386" s="102"/>
      <c r="J386" s="102"/>
      <c r="K386" s="102"/>
      <c r="L386" s="101"/>
      <c r="M386" s="103"/>
      <c r="N386" s="102"/>
      <c r="O386" s="102"/>
      <c r="P386" s="102"/>
    </row>
    <row r="387" ht="15.75" customHeight="1">
      <c r="A387" s="97"/>
      <c r="B387" s="98"/>
      <c r="C387" s="99"/>
      <c r="D387" s="98"/>
      <c r="E387" s="100"/>
      <c r="F387" s="101"/>
      <c r="G387" s="98"/>
      <c r="H387" s="100"/>
      <c r="I387" s="102"/>
      <c r="J387" s="102"/>
      <c r="K387" s="102"/>
      <c r="L387" s="101"/>
      <c r="M387" s="103"/>
      <c r="N387" s="102"/>
      <c r="O387" s="102"/>
      <c r="P387" s="102"/>
    </row>
    <row r="388" ht="15.75" customHeight="1">
      <c r="A388" s="97"/>
      <c r="B388" s="98"/>
      <c r="C388" s="99"/>
      <c r="D388" s="98"/>
      <c r="E388" s="100"/>
      <c r="F388" s="101"/>
      <c r="G388" s="98"/>
      <c r="H388" s="100"/>
      <c r="I388" s="102"/>
      <c r="J388" s="102"/>
      <c r="K388" s="102"/>
      <c r="L388" s="101"/>
      <c r="M388" s="103"/>
      <c r="N388" s="102"/>
      <c r="O388" s="102"/>
      <c r="P388" s="102"/>
    </row>
    <row r="389" ht="15.75" customHeight="1">
      <c r="A389" s="97"/>
      <c r="B389" s="98"/>
      <c r="C389" s="99"/>
      <c r="D389" s="98"/>
      <c r="E389" s="100"/>
      <c r="F389" s="101"/>
      <c r="G389" s="98"/>
      <c r="H389" s="100"/>
      <c r="I389" s="102"/>
      <c r="J389" s="102"/>
      <c r="K389" s="102"/>
      <c r="L389" s="101"/>
      <c r="M389" s="103"/>
      <c r="N389" s="102"/>
      <c r="O389" s="102"/>
      <c r="P389" s="102"/>
    </row>
    <row r="390" ht="15.75" customHeight="1">
      <c r="A390" s="97"/>
      <c r="B390" s="98"/>
      <c r="C390" s="99"/>
      <c r="D390" s="98"/>
      <c r="E390" s="100"/>
      <c r="F390" s="101"/>
      <c r="G390" s="98"/>
      <c r="H390" s="100"/>
      <c r="I390" s="102"/>
      <c r="J390" s="102"/>
      <c r="K390" s="102"/>
      <c r="L390" s="101"/>
      <c r="M390" s="103"/>
      <c r="N390" s="102"/>
      <c r="O390" s="102"/>
      <c r="P390" s="102"/>
    </row>
    <row r="391" ht="15.75" customHeight="1">
      <c r="A391" s="97"/>
      <c r="B391" s="98"/>
      <c r="C391" s="99"/>
      <c r="D391" s="98"/>
      <c r="E391" s="100"/>
      <c r="F391" s="101"/>
      <c r="G391" s="98"/>
      <c r="H391" s="100"/>
      <c r="I391" s="102"/>
      <c r="J391" s="102"/>
      <c r="K391" s="102"/>
      <c r="L391" s="101"/>
      <c r="M391" s="103"/>
      <c r="N391" s="102"/>
      <c r="O391" s="102"/>
      <c r="P391" s="102"/>
    </row>
    <row r="392" ht="15.75" customHeight="1">
      <c r="A392" s="97"/>
      <c r="B392" s="98"/>
      <c r="C392" s="99"/>
      <c r="D392" s="98"/>
      <c r="E392" s="100"/>
      <c r="F392" s="101"/>
      <c r="G392" s="98"/>
      <c r="H392" s="100"/>
      <c r="I392" s="102"/>
      <c r="J392" s="102"/>
      <c r="K392" s="102"/>
      <c r="L392" s="101"/>
      <c r="M392" s="103"/>
      <c r="N392" s="102"/>
      <c r="O392" s="102"/>
      <c r="P392" s="102"/>
    </row>
    <row r="393" ht="15.75" customHeight="1">
      <c r="A393" s="97"/>
      <c r="B393" s="98"/>
      <c r="C393" s="99"/>
      <c r="D393" s="98"/>
      <c r="E393" s="100"/>
      <c r="F393" s="101"/>
      <c r="G393" s="98"/>
      <c r="H393" s="100"/>
      <c r="I393" s="102"/>
      <c r="J393" s="102"/>
      <c r="K393" s="102"/>
      <c r="L393" s="101"/>
      <c r="M393" s="103"/>
      <c r="N393" s="102"/>
      <c r="O393" s="102"/>
      <c r="P393" s="102"/>
    </row>
    <row r="394" ht="15.75" customHeight="1">
      <c r="A394" s="97"/>
      <c r="B394" s="98"/>
      <c r="C394" s="99"/>
      <c r="D394" s="98"/>
      <c r="E394" s="100"/>
      <c r="F394" s="101"/>
      <c r="G394" s="98"/>
      <c r="H394" s="100"/>
      <c r="I394" s="102"/>
      <c r="J394" s="102"/>
      <c r="K394" s="102"/>
      <c r="L394" s="101"/>
      <c r="M394" s="103"/>
      <c r="N394" s="102"/>
      <c r="O394" s="102"/>
      <c r="P394" s="102"/>
    </row>
    <row r="395" ht="15.75" customHeight="1">
      <c r="A395" s="97"/>
      <c r="B395" s="98"/>
      <c r="C395" s="99"/>
      <c r="D395" s="98"/>
      <c r="E395" s="100"/>
      <c r="F395" s="101"/>
      <c r="G395" s="98"/>
      <c r="H395" s="100"/>
      <c r="I395" s="102"/>
      <c r="J395" s="102"/>
      <c r="K395" s="102"/>
      <c r="L395" s="101"/>
      <c r="M395" s="103"/>
      <c r="N395" s="102"/>
      <c r="O395" s="102"/>
      <c r="P395" s="102"/>
    </row>
    <row r="396" ht="15.75" customHeight="1">
      <c r="A396" s="97"/>
      <c r="B396" s="98"/>
      <c r="C396" s="99"/>
      <c r="D396" s="98"/>
      <c r="E396" s="100"/>
      <c r="F396" s="101"/>
      <c r="G396" s="98"/>
      <c r="H396" s="100"/>
      <c r="I396" s="102"/>
      <c r="J396" s="102"/>
      <c r="K396" s="102"/>
      <c r="L396" s="101"/>
      <c r="M396" s="103"/>
      <c r="N396" s="102"/>
      <c r="O396" s="102"/>
      <c r="P396" s="102"/>
    </row>
    <row r="397" ht="15.75" customHeight="1">
      <c r="A397" s="97"/>
      <c r="B397" s="98"/>
      <c r="C397" s="99"/>
      <c r="D397" s="98"/>
      <c r="E397" s="100"/>
      <c r="F397" s="101"/>
      <c r="G397" s="98"/>
      <c r="H397" s="100"/>
      <c r="I397" s="102"/>
      <c r="J397" s="102"/>
      <c r="K397" s="102"/>
      <c r="L397" s="101"/>
      <c r="M397" s="103"/>
      <c r="N397" s="102"/>
      <c r="O397" s="102"/>
      <c r="P397" s="102"/>
    </row>
    <row r="398" ht="15.75" customHeight="1">
      <c r="A398" s="97"/>
      <c r="B398" s="98"/>
      <c r="C398" s="99"/>
      <c r="D398" s="98"/>
      <c r="E398" s="100"/>
      <c r="F398" s="101"/>
      <c r="G398" s="98"/>
      <c r="H398" s="100"/>
      <c r="I398" s="102"/>
      <c r="J398" s="102"/>
      <c r="K398" s="102"/>
      <c r="L398" s="101"/>
      <c r="M398" s="103"/>
      <c r="N398" s="102"/>
      <c r="O398" s="102"/>
      <c r="P398" s="102"/>
    </row>
    <row r="399" ht="15.75" customHeight="1">
      <c r="A399" s="97"/>
      <c r="B399" s="98"/>
      <c r="C399" s="99"/>
      <c r="D399" s="98"/>
      <c r="E399" s="100"/>
      <c r="F399" s="101"/>
      <c r="G399" s="98"/>
      <c r="H399" s="100"/>
      <c r="I399" s="102"/>
      <c r="J399" s="102"/>
      <c r="K399" s="102"/>
      <c r="L399" s="101"/>
      <c r="M399" s="103"/>
      <c r="N399" s="102"/>
      <c r="O399" s="102"/>
      <c r="P399" s="102"/>
    </row>
    <row r="400" ht="15.75" customHeight="1">
      <c r="A400" s="97"/>
      <c r="B400" s="98"/>
      <c r="C400" s="99"/>
      <c r="D400" s="98"/>
      <c r="E400" s="100"/>
      <c r="F400" s="101"/>
      <c r="G400" s="98"/>
      <c r="H400" s="100"/>
      <c r="I400" s="102"/>
      <c r="J400" s="102"/>
      <c r="K400" s="102"/>
      <c r="L400" s="101"/>
      <c r="M400" s="103"/>
      <c r="N400" s="102"/>
      <c r="O400" s="102"/>
      <c r="P400" s="102"/>
    </row>
    <row r="401" ht="15.75" customHeight="1">
      <c r="A401" s="97"/>
      <c r="B401" s="98"/>
      <c r="C401" s="99"/>
      <c r="D401" s="98"/>
      <c r="E401" s="100"/>
      <c r="F401" s="101"/>
      <c r="G401" s="98"/>
      <c r="H401" s="100"/>
      <c r="I401" s="102"/>
      <c r="J401" s="102"/>
      <c r="K401" s="102"/>
      <c r="L401" s="101"/>
      <c r="M401" s="103"/>
      <c r="N401" s="102"/>
      <c r="O401" s="102"/>
      <c r="P401" s="102"/>
    </row>
    <row r="402" ht="15.75" customHeight="1">
      <c r="A402" s="97"/>
      <c r="B402" s="98"/>
      <c r="C402" s="99"/>
      <c r="D402" s="98"/>
      <c r="E402" s="100"/>
      <c r="F402" s="101"/>
      <c r="G402" s="98"/>
      <c r="H402" s="100"/>
      <c r="I402" s="102"/>
      <c r="J402" s="102"/>
      <c r="K402" s="102"/>
      <c r="L402" s="101"/>
      <c r="M402" s="103"/>
      <c r="N402" s="102"/>
      <c r="O402" s="102"/>
      <c r="P402" s="102"/>
    </row>
    <row r="403" ht="15.75" customHeight="1">
      <c r="A403" s="97"/>
      <c r="B403" s="98"/>
      <c r="C403" s="99"/>
      <c r="D403" s="98"/>
      <c r="E403" s="100"/>
      <c r="F403" s="101"/>
      <c r="G403" s="98"/>
      <c r="H403" s="100"/>
      <c r="I403" s="102"/>
      <c r="J403" s="102"/>
      <c r="K403" s="102"/>
      <c r="L403" s="101"/>
      <c r="M403" s="103"/>
      <c r="N403" s="102"/>
      <c r="O403" s="102"/>
      <c r="P403" s="102"/>
    </row>
    <row r="404" ht="15.75" customHeight="1">
      <c r="A404" s="97"/>
      <c r="B404" s="98"/>
      <c r="C404" s="99"/>
      <c r="D404" s="98"/>
      <c r="E404" s="100"/>
      <c r="F404" s="101"/>
      <c r="G404" s="98"/>
      <c r="H404" s="100"/>
      <c r="I404" s="102"/>
      <c r="J404" s="102"/>
      <c r="K404" s="102"/>
      <c r="L404" s="101"/>
      <c r="M404" s="103"/>
      <c r="N404" s="102"/>
      <c r="O404" s="102"/>
      <c r="P404" s="102"/>
    </row>
    <row r="405" ht="15.75" customHeight="1">
      <c r="A405" s="97"/>
      <c r="B405" s="98"/>
      <c r="C405" s="99"/>
      <c r="D405" s="98"/>
      <c r="E405" s="100"/>
      <c r="F405" s="101"/>
      <c r="G405" s="98"/>
      <c r="H405" s="100"/>
      <c r="I405" s="102"/>
      <c r="J405" s="102"/>
      <c r="K405" s="102"/>
      <c r="L405" s="101"/>
      <c r="M405" s="103"/>
      <c r="N405" s="102"/>
      <c r="O405" s="102"/>
      <c r="P405" s="102"/>
    </row>
    <row r="406" ht="15.75" customHeight="1">
      <c r="A406" s="97"/>
      <c r="B406" s="98"/>
      <c r="C406" s="99"/>
      <c r="D406" s="98"/>
      <c r="E406" s="100"/>
      <c r="F406" s="101"/>
      <c r="G406" s="98"/>
      <c r="H406" s="100"/>
      <c r="I406" s="102"/>
      <c r="J406" s="102"/>
      <c r="K406" s="102"/>
      <c r="L406" s="101"/>
      <c r="M406" s="103"/>
      <c r="N406" s="102"/>
      <c r="O406" s="102"/>
      <c r="P406" s="102"/>
    </row>
    <row r="407" ht="15.75" customHeight="1">
      <c r="A407" s="97"/>
      <c r="B407" s="98"/>
      <c r="C407" s="99"/>
      <c r="D407" s="98"/>
      <c r="E407" s="100"/>
      <c r="F407" s="101"/>
      <c r="G407" s="98"/>
      <c r="H407" s="100"/>
      <c r="I407" s="102"/>
      <c r="J407" s="102"/>
      <c r="K407" s="102"/>
      <c r="L407" s="101"/>
      <c r="M407" s="103"/>
      <c r="N407" s="102"/>
      <c r="O407" s="102"/>
      <c r="P407" s="102"/>
    </row>
    <row r="408" ht="15.75" customHeight="1">
      <c r="A408" s="97"/>
      <c r="B408" s="98"/>
      <c r="C408" s="99"/>
      <c r="D408" s="98"/>
      <c r="E408" s="100"/>
      <c r="F408" s="101"/>
      <c r="G408" s="98"/>
      <c r="H408" s="100"/>
      <c r="I408" s="102"/>
      <c r="J408" s="102"/>
      <c r="K408" s="102"/>
      <c r="L408" s="101"/>
      <c r="M408" s="103"/>
      <c r="N408" s="102"/>
      <c r="O408" s="102"/>
      <c r="P408" s="102"/>
    </row>
    <row r="409" ht="15.75" customHeight="1">
      <c r="A409" s="97"/>
      <c r="B409" s="98"/>
      <c r="C409" s="99"/>
      <c r="D409" s="98"/>
      <c r="E409" s="100"/>
      <c r="F409" s="101"/>
      <c r="G409" s="98"/>
      <c r="H409" s="100"/>
      <c r="I409" s="102"/>
      <c r="J409" s="102"/>
      <c r="K409" s="102"/>
      <c r="L409" s="101"/>
      <c r="M409" s="103"/>
      <c r="N409" s="102"/>
      <c r="O409" s="102"/>
      <c r="P409" s="102"/>
    </row>
    <row r="410" ht="15.75" customHeight="1">
      <c r="A410" s="97"/>
      <c r="B410" s="98"/>
      <c r="C410" s="99"/>
      <c r="D410" s="98"/>
      <c r="E410" s="100"/>
      <c r="F410" s="101"/>
      <c r="G410" s="98"/>
      <c r="H410" s="100"/>
      <c r="I410" s="102"/>
      <c r="J410" s="102"/>
      <c r="K410" s="102"/>
      <c r="L410" s="101"/>
      <c r="M410" s="103"/>
      <c r="N410" s="102"/>
      <c r="O410" s="102"/>
      <c r="P410" s="102"/>
    </row>
    <row r="411" ht="15.75" customHeight="1">
      <c r="A411" s="97"/>
      <c r="B411" s="98"/>
      <c r="C411" s="99"/>
      <c r="D411" s="98"/>
      <c r="E411" s="100"/>
      <c r="F411" s="101"/>
      <c r="G411" s="98"/>
      <c r="H411" s="100"/>
      <c r="I411" s="102"/>
      <c r="J411" s="102"/>
      <c r="K411" s="102"/>
      <c r="L411" s="101"/>
      <c r="M411" s="103"/>
      <c r="N411" s="102"/>
      <c r="O411" s="102"/>
      <c r="P411" s="102"/>
    </row>
    <row r="412" ht="15.75" customHeight="1">
      <c r="A412" s="97"/>
      <c r="B412" s="98"/>
      <c r="C412" s="99"/>
      <c r="D412" s="98"/>
      <c r="E412" s="100"/>
      <c r="F412" s="101"/>
      <c r="G412" s="98"/>
      <c r="H412" s="100"/>
      <c r="I412" s="102"/>
      <c r="J412" s="102"/>
      <c r="K412" s="102"/>
      <c r="L412" s="101"/>
      <c r="M412" s="103"/>
      <c r="N412" s="102"/>
      <c r="O412" s="102"/>
      <c r="P412" s="102"/>
    </row>
    <row r="413" ht="15.75" customHeight="1">
      <c r="A413" s="97"/>
      <c r="B413" s="98"/>
      <c r="C413" s="99"/>
      <c r="D413" s="98"/>
      <c r="E413" s="100"/>
      <c r="F413" s="101"/>
      <c r="G413" s="98"/>
      <c r="H413" s="100"/>
      <c r="I413" s="102"/>
      <c r="J413" s="102"/>
      <c r="K413" s="102"/>
      <c r="L413" s="101"/>
      <c r="M413" s="103"/>
      <c r="N413" s="102"/>
      <c r="O413" s="102"/>
      <c r="P413" s="102"/>
    </row>
    <row r="414" ht="15.75" customHeight="1">
      <c r="A414" s="97"/>
      <c r="B414" s="98"/>
      <c r="C414" s="99"/>
      <c r="D414" s="98"/>
      <c r="E414" s="100"/>
      <c r="F414" s="101"/>
      <c r="G414" s="98"/>
      <c r="H414" s="100"/>
      <c r="I414" s="102"/>
      <c r="J414" s="102"/>
      <c r="K414" s="102"/>
      <c r="L414" s="101"/>
      <c r="M414" s="103"/>
      <c r="N414" s="102"/>
      <c r="O414" s="102"/>
      <c r="P414" s="102"/>
    </row>
    <row r="415" ht="15.75" customHeight="1">
      <c r="A415" s="97"/>
      <c r="B415" s="98"/>
      <c r="C415" s="99"/>
      <c r="D415" s="98"/>
      <c r="E415" s="100"/>
      <c r="F415" s="101"/>
      <c r="G415" s="98"/>
      <c r="H415" s="100"/>
      <c r="I415" s="102"/>
      <c r="J415" s="102"/>
      <c r="K415" s="102"/>
      <c r="L415" s="101"/>
      <c r="M415" s="103"/>
      <c r="N415" s="102"/>
      <c r="O415" s="102"/>
      <c r="P415" s="102"/>
    </row>
    <row r="416" ht="15.75" customHeight="1">
      <c r="A416" s="97"/>
      <c r="B416" s="98"/>
      <c r="C416" s="99"/>
      <c r="D416" s="98"/>
      <c r="E416" s="100"/>
      <c r="F416" s="101"/>
      <c r="G416" s="98"/>
      <c r="H416" s="100"/>
      <c r="I416" s="102"/>
      <c r="J416" s="102"/>
      <c r="K416" s="102"/>
      <c r="L416" s="101"/>
      <c r="M416" s="103"/>
      <c r="N416" s="102"/>
      <c r="O416" s="102"/>
      <c r="P416" s="102"/>
    </row>
    <row r="417" ht="15.75" customHeight="1">
      <c r="A417" s="97"/>
      <c r="B417" s="98"/>
      <c r="C417" s="99"/>
      <c r="D417" s="98"/>
      <c r="E417" s="100"/>
      <c r="F417" s="101"/>
      <c r="G417" s="98"/>
      <c r="H417" s="100"/>
      <c r="I417" s="102"/>
      <c r="J417" s="102"/>
      <c r="K417" s="102"/>
      <c r="L417" s="101"/>
      <c r="M417" s="103"/>
      <c r="N417" s="102"/>
      <c r="O417" s="102"/>
      <c r="P417" s="102"/>
    </row>
    <row r="418" ht="15.75" customHeight="1">
      <c r="A418" s="97"/>
      <c r="B418" s="98"/>
      <c r="C418" s="99"/>
      <c r="D418" s="98"/>
      <c r="E418" s="100"/>
      <c r="F418" s="101"/>
      <c r="G418" s="98"/>
      <c r="H418" s="100"/>
      <c r="I418" s="102"/>
      <c r="J418" s="102"/>
      <c r="K418" s="102"/>
      <c r="L418" s="101"/>
      <c r="M418" s="103"/>
      <c r="N418" s="102"/>
      <c r="O418" s="102"/>
      <c r="P418" s="102"/>
    </row>
    <row r="419" ht="15.75" customHeight="1">
      <c r="A419" s="97"/>
      <c r="B419" s="98"/>
      <c r="C419" s="99"/>
      <c r="D419" s="98"/>
      <c r="E419" s="100"/>
      <c r="F419" s="101"/>
      <c r="G419" s="98"/>
      <c r="H419" s="100"/>
      <c r="I419" s="102"/>
      <c r="J419" s="102"/>
      <c r="K419" s="102"/>
      <c r="L419" s="101"/>
      <c r="M419" s="103"/>
      <c r="N419" s="102"/>
      <c r="O419" s="102"/>
      <c r="P419" s="102"/>
    </row>
    <row r="420" ht="15.75" customHeight="1">
      <c r="A420" s="97"/>
      <c r="B420" s="98"/>
      <c r="C420" s="99"/>
      <c r="D420" s="98"/>
      <c r="E420" s="100"/>
      <c r="F420" s="101"/>
      <c r="G420" s="98"/>
      <c r="H420" s="100"/>
      <c r="I420" s="102"/>
      <c r="J420" s="102"/>
      <c r="K420" s="102"/>
      <c r="L420" s="101"/>
      <c r="M420" s="103"/>
      <c r="N420" s="102"/>
      <c r="O420" s="102"/>
      <c r="P420" s="102"/>
    </row>
    <row r="421" ht="15.75" customHeight="1">
      <c r="A421" s="97"/>
      <c r="B421" s="98"/>
      <c r="C421" s="99"/>
      <c r="D421" s="98"/>
      <c r="E421" s="100"/>
      <c r="F421" s="101"/>
      <c r="G421" s="98"/>
      <c r="H421" s="100"/>
      <c r="I421" s="102"/>
      <c r="J421" s="102"/>
      <c r="K421" s="102"/>
      <c r="L421" s="101"/>
      <c r="M421" s="103"/>
      <c r="N421" s="102"/>
      <c r="O421" s="102"/>
      <c r="P421" s="102"/>
    </row>
    <row r="422" ht="15.75" customHeight="1">
      <c r="A422" s="97"/>
      <c r="B422" s="98"/>
      <c r="C422" s="99"/>
      <c r="D422" s="98"/>
      <c r="E422" s="100"/>
      <c r="F422" s="101"/>
      <c r="G422" s="98"/>
      <c r="H422" s="100"/>
      <c r="I422" s="102"/>
      <c r="J422" s="102"/>
      <c r="K422" s="102"/>
      <c r="L422" s="101"/>
      <c r="M422" s="103"/>
      <c r="N422" s="102"/>
      <c r="O422" s="102"/>
      <c r="P422" s="102"/>
    </row>
    <row r="423" ht="15.75" customHeight="1">
      <c r="A423" s="97"/>
      <c r="B423" s="98"/>
      <c r="C423" s="99"/>
      <c r="D423" s="98"/>
      <c r="E423" s="100"/>
      <c r="F423" s="101"/>
      <c r="G423" s="98"/>
      <c r="H423" s="100"/>
      <c r="I423" s="102"/>
      <c r="J423" s="102"/>
      <c r="K423" s="102"/>
      <c r="L423" s="101"/>
      <c r="M423" s="103"/>
      <c r="N423" s="102"/>
      <c r="O423" s="102"/>
      <c r="P423" s="102"/>
    </row>
    <row r="424" ht="15.75" customHeight="1">
      <c r="A424" s="97"/>
      <c r="B424" s="98"/>
      <c r="C424" s="99"/>
      <c r="D424" s="98"/>
      <c r="E424" s="100"/>
      <c r="F424" s="101"/>
      <c r="G424" s="98"/>
      <c r="H424" s="100"/>
      <c r="I424" s="102"/>
      <c r="J424" s="102"/>
      <c r="K424" s="102"/>
      <c r="L424" s="101"/>
      <c r="M424" s="103"/>
      <c r="N424" s="102"/>
      <c r="O424" s="102"/>
      <c r="P424" s="102"/>
    </row>
    <row r="425" ht="15.75" customHeight="1">
      <c r="A425" s="97"/>
      <c r="B425" s="98"/>
      <c r="C425" s="99"/>
      <c r="D425" s="98"/>
      <c r="E425" s="100"/>
      <c r="F425" s="101"/>
      <c r="G425" s="98"/>
      <c r="H425" s="100"/>
      <c r="I425" s="102"/>
      <c r="J425" s="102"/>
      <c r="K425" s="102"/>
      <c r="L425" s="101"/>
      <c r="M425" s="103"/>
      <c r="N425" s="102"/>
      <c r="O425" s="102"/>
      <c r="P425" s="102"/>
    </row>
    <row r="426" ht="15.75" customHeight="1">
      <c r="A426" s="97"/>
      <c r="B426" s="98"/>
      <c r="C426" s="99"/>
      <c r="D426" s="98"/>
      <c r="E426" s="100"/>
      <c r="F426" s="101"/>
      <c r="G426" s="98"/>
      <c r="H426" s="100"/>
      <c r="I426" s="102"/>
      <c r="J426" s="102"/>
      <c r="K426" s="102"/>
      <c r="L426" s="101"/>
      <c r="M426" s="103"/>
      <c r="N426" s="102"/>
      <c r="O426" s="102"/>
      <c r="P426" s="102"/>
    </row>
    <row r="427" ht="15.75" customHeight="1">
      <c r="A427" s="97"/>
      <c r="B427" s="98"/>
      <c r="C427" s="99"/>
      <c r="D427" s="98"/>
      <c r="E427" s="100"/>
      <c r="F427" s="101"/>
      <c r="G427" s="98"/>
      <c r="H427" s="100"/>
      <c r="I427" s="102"/>
      <c r="J427" s="102"/>
      <c r="K427" s="102"/>
      <c r="L427" s="101"/>
      <c r="M427" s="103"/>
      <c r="N427" s="102"/>
      <c r="O427" s="102"/>
      <c r="P427" s="102"/>
    </row>
    <row r="428" ht="15.75" customHeight="1">
      <c r="A428" s="97"/>
      <c r="B428" s="98"/>
      <c r="C428" s="99"/>
      <c r="D428" s="98"/>
      <c r="E428" s="100"/>
      <c r="F428" s="101"/>
      <c r="G428" s="98"/>
      <c r="H428" s="100"/>
      <c r="I428" s="102"/>
      <c r="J428" s="102"/>
      <c r="K428" s="102"/>
      <c r="L428" s="101"/>
      <c r="M428" s="103"/>
      <c r="N428" s="102"/>
      <c r="O428" s="102"/>
      <c r="P428" s="102"/>
    </row>
    <row r="429" ht="15.75" customHeight="1">
      <c r="A429" s="97"/>
      <c r="B429" s="98"/>
      <c r="C429" s="99"/>
      <c r="D429" s="98"/>
      <c r="E429" s="100"/>
      <c r="F429" s="101"/>
      <c r="G429" s="98"/>
      <c r="H429" s="100"/>
      <c r="I429" s="102"/>
      <c r="J429" s="102"/>
      <c r="K429" s="102"/>
      <c r="L429" s="101"/>
      <c r="M429" s="103"/>
      <c r="N429" s="102"/>
      <c r="O429" s="102"/>
      <c r="P429" s="102"/>
    </row>
    <row r="430" ht="15.75" customHeight="1">
      <c r="A430" s="97"/>
      <c r="B430" s="98"/>
      <c r="C430" s="99"/>
      <c r="D430" s="98"/>
      <c r="E430" s="100"/>
      <c r="F430" s="101"/>
      <c r="G430" s="98"/>
      <c r="H430" s="100"/>
      <c r="I430" s="102"/>
      <c r="J430" s="102"/>
      <c r="K430" s="102"/>
      <c r="L430" s="101"/>
      <c r="M430" s="103"/>
      <c r="N430" s="102"/>
      <c r="O430" s="102"/>
      <c r="P430" s="102"/>
    </row>
    <row r="431" ht="15.75" customHeight="1">
      <c r="A431" s="97"/>
      <c r="B431" s="98"/>
      <c r="C431" s="99"/>
      <c r="D431" s="98"/>
      <c r="E431" s="100"/>
      <c r="F431" s="101"/>
      <c r="G431" s="98"/>
      <c r="H431" s="100"/>
      <c r="I431" s="102"/>
      <c r="J431" s="102"/>
      <c r="K431" s="102"/>
      <c r="L431" s="101"/>
      <c r="M431" s="103"/>
      <c r="N431" s="102"/>
      <c r="O431" s="102"/>
      <c r="P431" s="102"/>
    </row>
    <row r="432" ht="15.75" customHeight="1">
      <c r="A432" s="97"/>
      <c r="B432" s="98"/>
      <c r="C432" s="99"/>
      <c r="D432" s="98"/>
      <c r="E432" s="100"/>
      <c r="F432" s="101"/>
      <c r="G432" s="98"/>
      <c r="H432" s="100"/>
      <c r="I432" s="102"/>
      <c r="J432" s="102"/>
      <c r="K432" s="102"/>
      <c r="L432" s="101"/>
      <c r="M432" s="103"/>
      <c r="N432" s="102"/>
      <c r="O432" s="102"/>
      <c r="P432" s="102"/>
    </row>
    <row r="433" ht="15.75" customHeight="1">
      <c r="A433" s="97"/>
      <c r="B433" s="98"/>
      <c r="C433" s="99"/>
      <c r="D433" s="98"/>
      <c r="E433" s="100"/>
      <c r="F433" s="101"/>
      <c r="G433" s="98"/>
      <c r="H433" s="100"/>
      <c r="I433" s="102"/>
      <c r="J433" s="102"/>
      <c r="K433" s="102"/>
      <c r="L433" s="101"/>
      <c r="M433" s="103"/>
      <c r="N433" s="102"/>
      <c r="O433" s="102"/>
      <c r="P433" s="102"/>
    </row>
    <row r="434" ht="15.75" customHeight="1">
      <c r="A434" s="97"/>
      <c r="B434" s="98"/>
      <c r="C434" s="99"/>
      <c r="D434" s="98"/>
      <c r="E434" s="100"/>
      <c r="F434" s="101"/>
      <c r="G434" s="98"/>
      <c r="H434" s="100"/>
      <c r="I434" s="102"/>
      <c r="J434" s="102"/>
      <c r="K434" s="102"/>
      <c r="L434" s="101"/>
      <c r="M434" s="103"/>
      <c r="N434" s="102"/>
      <c r="O434" s="102"/>
      <c r="P434" s="102"/>
    </row>
    <row r="435" ht="15.75" customHeight="1">
      <c r="A435" s="97"/>
      <c r="B435" s="98"/>
      <c r="C435" s="99"/>
      <c r="D435" s="98"/>
      <c r="E435" s="100"/>
      <c r="F435" s="101"/>
      <c r="G435" s="98"/>
      <c r="H435" s="100"/>
      <c r="I435" s="102"/>
      <c r="J435" s="102"/>
      <c r="K435" s="102"/>
      <c r="L435" s="101"/>
      <c r="M435" s="103"/>
      <c r="N435" s="102"/>
      <c r="O435" s="102"/>
      <c r="P435" s="102"/>
    </row>
    <row r="436" ht="15.75" customHeight="1">
      <c r="A436" s="97"/>
      <c r="B436" s="98"/>
      <c r="C436" s="99"/>
      <c r="D436" s="98"/>
      <c r="E436" s="100"/>
      <c r="F436" s="101"/>
      <c r="G436" s="98"/>
      <c r="H436" s="100"/>
      <c r="I436" s="102"/>
      <c r="J436" s="102"/>
      <c r="K436" s="102"/>
      <c r="L436" s="101"/>
      <c r="M436" s="103"/>
      <c r="N436" s="102"/>
      <c r="O436" s="102"/>
      <c r="P436" s="102"/>
    </row>
    <row r="437" ht="15.75" customHeight="1">
      <c r="A437" s="97"/>
      <c r="B437" s="98"/>
      <c r="C437" s="99"/>
      <c r="D437" s="98"/>
      <c r="E437" s="100"/>
      <c r="F437" s="101"/>
      <c r="G437" s="98"/>
      <c r="H437" s="100"/>
      <c r="I437" s="102"/>
      <c r="J437" s="102"/>
      <c r="K437" s="102"/>
      <c r="L437" s="101"/>
      <c r="M437" s="103"/>
      <c r="N437" s="102"/>
      <c r="O437" s="102"/>
      <c r="P437" s="102"/>
    </row>
    <row r="438" ht="15.75" customHeight="1">
      <c r="A438" s="97"/>
      <c r="B438" s="98"/>
      <c r="C438" s="99"/>
      <c r="D438" s="98"/>
      <c r="E438" s="100"/>
      <c r="F438" s="101"/>
      <c r="G438" s="98"/>
      <c r="H438" s="100"/>
      <c r="I438" s="102"/>
      <c r="J438" s="102"/>
      <c r="K438" s="102"/>
      <c r="L438" s="101"/>
      <c r="M438" s="103"/>
      <c r="N438" s="102"/>
      <c r="O438" s="102"/>
      <c r="P438" s="102"/>
    </row>
    <row r="439" ht="15.75" customHeight="1">
      <c r="A439" s="97"/>
      <c r="B439" s="98"/>
      <c r="C439" s="99"/>
      <c r="D439" s="98"/>
      <c r="E439" s="100"/>
      <c r="F439" s="101"/>
      <c r="G439" s="98"/>
      <c r="H439" s="100"/>
      <c r="I439" s="102"/>
      <c r="J439" s="102"/>
      <c r="K439" s="102"/>
      <c r="L439" s="101"/>
      <c r="M439" s="103"/>
      <c r="N439" s="102"/>
      <c r="O439" s="102"/>
      <c r="P439" s="102"/>
    </row>
    <row r="440" ht="15.75" customHeight="1">
      <c r="A440" s="97"/>
      <c r="B440" s="98"/>
      <c r="C440" s="99"/>
      <c r="D440" s="98"/>
      <c r="E440" s="100"/>
      <c r="F440" s="101"/>
      <c r="G440" s="98"/>
      <c r="H440" s="100"/>
      <c r="I440" s="102"/>
      <c r="J440" s="102"/>
      <c r="K440" s="102"/>
      <c r="L440" s="101"/>
      <c r="M440" s="103"/>
      <c r="N440" s="102"/>
      <c r="O440" s="102"/>
      <c r="P440" s="102"/>
    </row>
    <row r="441" ht="15.75" customHeight="1">
      <c r="A441" s="97"/>
      <c r="B441" s="98"/>
      <c r="C441" s="99"/>
      <c r="D441" s="98"/>
      <c r="E441" s="100"/>
      <c r="F441" s="101"/>
      <c r="G441" s="98"/>
      <c r="H441" s="100"/>
      <c r="I441" s="102"/>
      <c r="J441" s="102"/>
      <c r="K441" s="102"/>
      <c r="L441" s="101"/>
      <c r="M441" s="103"/>
      <c r="N441" s="102"/>
      <c r="O441" s="102"/>
      <c r="P441" s="102"/>
    </row>
    <row r="442" ht="15.75" customHeight="1">
      <c r="A442" s="97"/>
      <c r="B442" s="98"/>
      <c r="C442" s="99"/>
      <c r="D442" s="98"/>
      <c r="E442" s="100"/>
      <c r="F442" s="101"/>
      <c r="G442" s="98"/>
      <c r="H442" s="100"/>
      <c r="I442" s="102"/>
      <c r="J442" s="102"/>
      <c r="K442" s="102"/>
      <c r="L442" s="101"/>
      <c r="M442" s="103"/>
      <c r="N442" s="102"/>
      <c r="O442" s="102"/>
      <c r="P442" s="102"/>
    </row>
    <row r="443" ht="15.75" customHeight="1">
      <c r="A443" s="97"/>
      <c r="B443" s="98"/>
      <c r="C443" s="99"/>
      <c r="D443" s="98"/>
      <c r="E443" s="100"/>
      <c r="F443" s="101"/>
      <c r="G443" s="98"/>
      <c r="H443" s="100"/>
      <c r="I443" s="102"/>
      <c r="J443" s="102"/>
      <c r="K443" s="102"/>
      <c r="L443" s="101"/>
      <c r="M443" s="103"/>
      <c r="N443" s="102"/>
      <c r="O443" s="102"/>
      <c r="P443" s="102"/>
    </row>
    <row r="444" ht="15.75" customHeight="1">
      <c r="A444" s="97"/>
      <c r="B444" s="98"/>
      <c r="C444" s="99"/>
      <c r="D444" s="98"/>
      <c r="E444" s="100"/>
      <c r="F444" s="101"/>
      <c r="G444" s="98"/>
      <c r="H444" s="100"/>
      <c r="I444" s="102"/>
      <c r="J444" s="102"/>
      <c r="K444" s="102"/>
      <c r="L444" s="101"/>
      <c r="M444" s="103"/>
      <c r="N444" s="102"/>
      <c r="O444" s="102"/>
      <c r="P444" s="102"/>
    </row>
    <row r="445" ht="15.75" customHeight="1">
      <c r="A445" s="97"/>
      <c r="B445" s="98"/>
      <c r="C445" s="99"/>
      <c r="D445" s="98"/>
      <c r="E445" s="100"/>
      <c r="F445" s="101"/>
      <c r="G445" s="98"/>
      <c r="H445" s="100"/>
      <c r="I445" s="102"/>
      <c r="J445" s="102"/>
      <c r="K445" s="102"/>
      <c r="L445" s="101"/>
      <c r="M445" s="103"/>
      <c r="N445" s="102"/>
      <c r="O445" s="102"/>
      <c r="P445" s="102"/>
    </row>
    <row r="446" ht="15.75" customHeight="1">
      <c r="A446" s="97"/>
      <c r="B446" s="98"/>
      <c r="C446" s="99"/>
      <c r="D446" s="98"/>
      <c r="E446" s="100"/>
      <c r="F446" s="101"/>
      <c r="G446" s="98"/>
      <c r="H446" s="100"/>
      <c r="I446" s="102"/>
      <c r="J446" s="102"/>
      <c r="K446" s="102"/>
      <c r="L446" s="101"/>
      <c r="M446" s="103"/>
      <c r="N446" s="102"/>
      <c r="O446" s="102"/>
      <c r="P446" s="102"/>
    </row>
    <row r="447" ht="15.75" customHeight="1">
      <c r="A447" s="97"/>
      <c r="B447" s="98"/>
      <c r="C447" s="99"/>
      <c r="D447" s="98"/>
      <c r="E447" s="100"/>
      <c r="F447" s="101"/>
      <c r="G447" s="98"/>
      <c r="H447" s="100"/>
      <c r="I447" s="102"/>
      <c r="J447" s="102"/>
      <c r="K447" s="102"/>
      <c r="L447" s="101"/>
      <c r="M447" s="103"/>
      <c r="N447" s="102"/>
      <c r="O447" s="102"/>
      <c r="P447" s="102"/>
    </row>
    <row r="448" ht="15.75" customHeight="1">
      <c r="A448" s="97"/>
      <c r="B448" s="98"/>
      <c r="C448" s="99"/>
      <c r="D448" s="98"/>
      <c r="E448" s="100"/>
      <c r="F448" s="101"/>
      <c r="G448" s="98"/>
      <c r="H448" s="100"/>
      <c r="I448" s="102"/>
      <c r="J448" s="102"/>
      <c r="K448" s="102"/>
      <c r="L448" s="101"/>
      <c r="M448" s="103"/>
      <c r="N448" s="102"/>
      <c r="O448" s="102"/>
      <c r="P448" s="102"/>
    </row>
    <row r="449" ht="15.75" customHeight="1">
      <c r="A449" s="97"/>
      <c r="B449" s="98"/>
      <c r="C449" s="99"/>
      <c r="D449" s="98"/>
      <c r="E449" s="100"/>
      <c r="F449" s="101"/>
      <c r="G449" s="98"/>
      <c r="H449" s="100"/>
      <c r="I449" s="102"/>
      <c r="J449" s="102"/>
      <c r="K449" s="102"/>
      <c r="L449" s="101"/>
      <c r="M449" s="103"/>
      <c r="N449" s="102"/>
      <c r="O449" s="102"/>
      <c r="P449" s="102"/>
    </row>
    <row r="450" ht="15.75" customHeight="1">
      <c r="A450" s="97"/>
      <c r="B450" s="98"/>
      <c r="C450" s="99"/>
      <c r="D450" s="98"/>
      <c r="E450" s="100"/>
      <c r="F450" s="101"/>
      <c r="G450" s="98"/>
      <c r="H450" s="100"/>
      <c r="I450" s="102"/>
      <c r="J450" s="102"/>
      <c r="K450" s="102"/>
      <c r="L450" s="101"/>
      <c r="M450" s="103"/>
      <c r="N450" s="102"/>
      <c r="O450" s="102"/>
      <c r="P450" s="102"/>
    </row>
    <row r="451" ht="15.75" customHeight="1">
      <c r="A451" s="97"/>
      <c r="B451" s="98"/>
      <c r="C451" s="99"/>
      <c r="D451" s="98"/>
      <c r="E451" s="100"/>
      <c r="F451" s="101"/>
      <c r="G451" s="98"/>
      <c r="H451" s="100"/>
      <c r="I451" s="102"/>
      <c r="J451" s="102"/>
      <c r="K451" s="102"/>
      <c r="L451" s="101"/>
      <c r="M451" s="103"/>
      <c r="N451" s="102"/>
      <c r="O451" s="102"/>
      <c r="P451" s="102"/>
    </row>
    <row r="452" ht="15.75" customHeight="1">
      <c r="A452" s="97"/>
      <c r="B452" s="98"/>
      <c r="C452" s="99"/>
      <c r="D452" s="98"/>
      <c r="E452" s="100"/>
      <c r="F452" s="101"/>
      <c r="G452" s="98"/>
      <c r="H452" s="100"/>
      <c r="I452" s="102"/>
      <c r="J452" s="102"/>
      <c r="K452" s="102"/>
      <c r="L452" s="101"/>
      <c r="M452" s="103"/>
      <c r="N452" s="102"/>
      <c r="O452" s="102"/>
      <c r="P452" s="102"/>
    </row>
    <row r="453" ht="15.75" customHeight="1">
      <c r="A453" s="97"/>
      <c r="B453" s="98"/>
      <c r="C453" s="99"/>
      <c r="D453" s="98"/>
      <c r="E453" s="100"/>
      <c r="F453" s="101"/>
      <c r="G453" s="98"/>
      <c r="H453" s="100"/>
      <c r="I453" s="102"/>
      <c r="J453" s="102"/>
      <c r="K453" s="102"/>
      <c r="L453" s="101"/>
      <c r="M453" s="103"/>
      <c r="N453" s="102"/>
      <c r="O453" s="102"/>
      <c r="P453" s="102"/>
    </row>
    <row r="454" ht="15.75" customHeight="1">
      <c r="A454" s="97"/>
      <c r="B454" s="98"/>
      <c r="C454" s="99"/>
      <c r="D454" s="98"/>
      <c r="E454" s="100"/>
      <c r="F454" s="101"/>
      <c r="G454" s="98"/>
      <c r="H454" s="100"/>
      <c r="I454" s="102"/>
      <c r="J454" s="102"/>
      <c r="K454" s="102"/>
      <c r="L454" s="101"/>
      <c r="M454" s="103"/>
      <c r="N454" s="102"/>
      <c r="O454" s="102"/>
      <c r="P454" s="102"/>
    </row>
    <row r="455" ht="15.75" customHeight="1">
      <c r="A455" s="97"/>
      <c r="B455" s="98"/>
      <c r="C455" s="99"/>
      <c r="D455" s="98"/>
      <c r="E455" s="100"/>
      <c r="F455" s="101"/>
      <c r="G455" s="98"/>
      <c r="H455" s="100"/>
      <c r="I455" s="102"/>
      <c r="J455" s="102"/>
      <c r="K455" s="102"/>
      <c r="L455" s="101"/>
      <c r="M455" s="103"/>
      <c r="N455" s="102"/>
      <c r="O455" s="102"/>
      <c r="P455" s="102"/>
    </row>
    <row r="456" ht="15.75" customHeight="1">
      <c r="A456" s="97"/>
      <c r="B456" s="98"/>
      <c r="C456" s="99"/>
      <c r="D456" s="98"/>
      <c r="E456" s="100"/>
      <c r="F456" s="101"/>
      <c r="G456" s="98"/>
      <c r="H456" s="100"/>
      <c r="I456" s="102"/>
      <c r="J456" s="102"/>
      <c r="K456" s="102"/>
      <c r="L456" s="101"/>
      <c r="M456" s="103"/>
      <c r="N456" s="102"/>
      <c r="O456" s="102"/>
      <c r="P456" s="102"/>
    </row>
    <row r="457" ht="15.75" customHeight="1">
      <c r="A457" s="97"/>
      <c r="B457" s="98"/>
      <c r="C457" s="99"/>
      <c r="D457" s="98"/>
      <c r="E457" s="100"/>
      <c r="F457" s="101"/>
      <c r="G457" s="98"/>
      <c r="H457" s="100"/>
      <c r="I457" s="102"/>
      <c r="J457" s="102"/>
      <c r="K457" s="102"/>
      <c r="L457" s="101"/>
      <c r="M457" s="103"/>
      <c r="N457" s="102"/>
      <c r="O457" s="102"/>
      <c r="P457" s="102"/>
    </row>
    <row r="458" ht="15.75" customHeight="1">
      <c r="A458" s="97"/>
      <c r="B458" s="98"/>
      <c r="C458" s="99"/>
      <c r="D458" s="98"/>
      <c r="E458" s="100"/>
      <c r="F458" s="101"/>
      <c r="G458" s="98"/>
      <c r="H458" s="100"/>
      <c r="I458" s="102"/>
      <c r="J458" s="102"/>
      <c r="K458" s="102"/>
      <c r="L458" s="101"/>
      <c r="M458" s="103"/>
      <c r="N458" s="102"/>
      <c r="O458" s="102"/>
      <c r="P458" s="102"/>
    </row>
    <row r="459" ht="15.75" customHeight="1">
      <c r="A459" s="97"/>
      <c r="B459" s="98"/>
      <c r="C459" s="99"/>
      <c r="D459" s="98"/>
      <c r="E459" s="100"/>
      <c r="F459" s="101"/>
      <c r="G459" s="98"/>
      <c r="H459" s="100"/>
      <c r="I459" s="102"/>
      <c r="J459" s="102"/>
      <c r="K459" s="102"/>
      <c r="L459" s="101"/>
      <c r="M459" s="103"/>
      <c r="N459" s="102"/>
      <c r="O459" s="102"/>
      <c r="P459" s="102"/>
    </row>
    <row r="460" ht="15.75" customHeight="1">
      <c r="A460" s="97"/>
      <c r="B460" s="98"/>
      <c r="C460" s="99"/>
      <c r="D460" s="98"/>
      <c r="E460" s="100"/>
      <c r="F460" s="101"/>
      <c r="G460" s="98"/>
      <c r="H460" s="100"/>
      <c r="I460" s="102"/>
      <c r="J460" s="102"/>
      <c r="K460" s="102"/>
      <c r="L460" s="101"/>
      <c r="M460" s="103"/>
      <c r="N460" s="102"/>
      <c r="O460" s="102"/>
      <c r="P460" s="102"/>
    </row>
    <row r="461" ht="15.75" customHeight="1">
      <c r="A461" s="97"/>
      <c r="B461" s="98"/>
      <c r="C461" s="99"/>
      <c r="D461" s="98"/>
      <c r="E461" s="100"/>
      <c r="F461" s="101"/>
      <c r="G461" s="98"/>
      <c r="H461" s="100"/>
      <c r="I461" s="102"/>
      <c r="J461" s="102"/>
      <c r="K461" s="102"/>
      <c r="L461" s="101"/>
      <c r="M461" s="103"/>
      <c r="N461" s="102"/>
      <c r="O461" s="102"/>
      <c r="P461" s="102"/>
    </row>
    <row r="462" ht="15.75" customHeight="1">
      <c r="A462" s="97"/>
      <c r="B462" s="98"/>
      <c r="C462" s="99"/>
      <c r="D462" s="98"/>
      <c r="E462" s="100"/>
      <c r="F462" s="101"/>
      <c r="G462" s="98"/>
      <c r="H462" s="100"/>
      <c r="I462" s="102"/>
      <c r="J462" s="102"/>
      <c r="K462" s="102"/>
      <c r="L462" s="101"/>
      <c r="M462" s="103"/>
      <c r="N462" s="102"/>
      <c r="O462" s="102"/>
      <c r="P462" s="102"/>
    </row>
    <row r="463" ht="15.75" customHeight="1">
      <c r="A463" s="97"/>
      <c r="B463" s="98"/>
      <c r="C463" s="99"/>
      <c r="D463" s="98"/>
      <c r="E463" s="100"/>
      <c r="F463" s="101"/>
      <c r="G463" s="98"/>
      <c r="H463" s="100"/>
      <c r="I463" s="102"/>
      <c r="J463" s="102"/>
      <c r="K463" s="102"/>
      <c r="L463" s="101"/>
      <c r="M463" s="103"/>
      <c r="N463" s="102"/>
      <c r="O463" s="102"/>
      <c r="P463" s="102"/>
    </row>
    <row r="464" ht="15.75" customHeight="1">
      <c r="A464" s="97"/>
      <c r="B464" s="98"/>
      <c r="C464" s="99"/>
      <c r="D464" s="98"/>
      <c r="E464" s="100"/>
      <c r="F464" s="101"/>
      <c r="G464" s="98"/>
      <c r="H464" s="100"/>
      <c r="I464" s="102"/>
      <c r="J464" s="102"/>
      <c r="K464" s="102"/>
      <c r="L464" s="101"/>
      <c r="M464" s="103"/>
      <c r="N464" s="102"/>
      <c r="O464" s="102"/>
      <c r="P464" s="102"/>
    </row>
    <row r="465" ht="15.75" customHeight="1">
      <c r="A465" s="97"/>
      <c r="B465" s="98"/>
      <c r="C465" s="99"/>
      <c r="D465" s="98"/>
      <c r="E465" s="100"/>
      <c r="F465" s="101"/>
      <c r="G465" s="98"/>
      <c r="H465" s="100"/>
      <c r="I465" s="102"/>
      <c r="J465" s="102"/>
      <c r="K465" s="102"/>
      <c r="L465" s="101"/>
      <c r="M465" s="103"/>
      <c r="N465" s="102"/>
      <c r="O465" s="102"/>
      <c r="P465" s="102"/>
    </row>
    <row r="466" ht="15.75" customHeight="1">
      <c r="A466" s="97"/>
      <c r="B466" s="98"/>
      <c r="C466" s="99"/>
      <c r="D466" s="98"/>
      <c r="E466" s="100"/>
      <c r="F466" s="101"/>
      <c r="G466" s="98"/>
      <c r="H466" s="100"/>
      <c r="I466" s="102"/>
      <c r="J466" s="102"/>
      <c r="K466" s="102"/>
      <c r="L466" s="101"/>
      <c r="M466" s="103"/>
      <c r="N466" s="102"/>
      <c r="O466" s="102"/>
      <c r="P466" s="102"/>
    </row>
    <row r="467" ht="15.75" customHeight="1">
      <c r="A467" s="97"/>
      <c r="B467" s="98"/>
      <c r="C467" s="99"/>
      <c r="D467" s="98"/>
      <c r="E467" s="100"/>
      <c r="F467" s="101"/>
      <c r="G467" s="98"/>
      <c r="H467" s="100"/>
      <c r="I467" s="102"/>
      <c r="J467" s="102"/>
      <c r="K467" s="102"/>
      <c r="L467" s="101"/>
      <c r="M467" s="103"/>
      <c r="N467" s="102"/>
      <c r="O467" s="102"/>
      <c r="P467" s="102"/>
    </row>
    <row r="468" ht="15.75" customHeight="1">
      <c r="A468" s="97"/>
      <c r="B468" s="98"/>
      <c r="C468" s="99"/>
      <c r="D468" s="98"/>
      <c r="E468" s="100"/>
      <c r="F468" s="101"/>
      <c r="G468" s="98"/>
      <c r="H468" s="100"/>
      <c r="I468" s="102"/>
      <c r="J468" s="102"/>
      <c r="K468" s="102"/>
      <c r="L468" s="101"/>
      <c r="M468" s="103"/>
      <c r="N468" s="102"/>
      <c r="O468" s="102"/>
      <c r="P468" s="102"/>
    </row>
    <row r="469" ht="15.75" customHeight="1">
      <c r="A469" s="97"/>
      <c r="B469" s="98"/>
      <c r="C469" s="99"/>
      <c r="D469" s="98"/>
      <c r="E469" s="100"/>
      <c r="F469" s="101"/>
      <c r="G469" s="98"/>
      <c r="H469" s="100"/>
      <c r="I469" s="102"/>
      <c r="J469" s="102"/>
      <c r="K469" s="102"/>
      <c r="L469" s="101"/>
      <c r="M469" s="103"/>
      <c r="N469" s="102"/>
      <c r="O469" s="102"/>
      <c r="P469" s="102"/>
    </row>
    <row r="470" ht="15.75" customHeight="1">
      <c r="A470" s="97"/>
      <c r="B470" s="98"/>
      <c r="C470" s="99"/>
      <c r="D470" s="98"/>
      <c r="E470" s="100"/>
      <c r="F470" s="101"/>
      <c r="G470" s="98"/>
      <c r="H470" s="100"/>
      <c r="I470" s="102"/>
      <c r="J470" s="102"/>
      <c r="K470" s="102"/>
      <c r="L470" s="101"/>
      <c r="M470" s="103"/>
      <c r="N470" s="102"/>
      <c r="O470" s="102"/>
      <c r="P470" s="102"/>
    </row>
    <row r="471" ht="15.75" customHeight="1">
      <c r="A471" s="97"/>
      <c r="B471" s="98"/>
      <c r="C471" s="99"/>
      <c r="D471" s="98"/>
      <c r="E471" s="100"/>
      <c r="F471" s="101"/>
      <c r="G471" s="98"/>
      <c r="H471" s="100"/>
      <c r="I471" s="102"/>
      <c r="J471" s="102"/>
      <c r="K471" s="102"/>
      <c r="L471" s="101"/>
      <c r="M471" s="103"/>
      <c r="N471" s="102"/>
      <c r="O471" s="102"/>
      <c r="P471" s="102"/>
    </row>
    <row r="472" ht="15.75" customHeight="1">
      <c r="A472" s="97"/>
      <c r="B472" s="98"/>
      <c r="C472" s="99"/>
      <c r="D472" s="98"/>
      <c r="E472" s="100"/>
      <c r="F472" s="101"/>
      <c r="G472" s="98"/>
      <c r="H472" s="100"/>
      <c r="I472" s="102"/>
      <c r="J472" s="102"/>
      <c r="K472" s="102"/>
      <c r="L472" s="101"/>
      <c r="M472" s="103"/>
      <c r="N472" s="102"/>
      <c r="O472" s="102"/>
      <c r="P472" s="102"/>
    </row>
    <row r="473" ht="15.75" customHeight="1">
      <c r="A473" s="97"/>
      <c r="B473" s="98"/>
      <c r="C473" s="99"/>
      <c r="D473" s="98"/>
      <c r="E473" s="100"/>
      <c r="F473" s="101"/>
      <c r="G473" s="98"/>
      <c r="H473" s="100"/>
      <c r="I473" s="102"/>
      <c r="J473" s="102"/>
      <c r="K473" s="102"/>
      <c r="L473" s="101"/>
      <c r="M473" s="103"/>
      <c r="N473" s="102"/>
      <c r="O473" s="102"/>
      <c r="P473" s="102"/>
    </row>
    <row r="474" ht="15.75" customHeight="1">
      <c r="A474" s="97"/>
      <c r="B474" s="98"/>
      <c r="C474" s="99"/>
      <c r="D474" s="98"/>
      <c r="E474" s="100"/>
      <c r="F474" s="101"/>
      <c r="G474" s="98"/>
      <c r="H474" s="100"/>
      <c r="I474" s="102"/>
      <c r="J474" s="102"/>
      <c r="K474" s="102"/>
      <c r="L474" s="101"/>
      <c r="M474" s="103"/>
      <c r="N474" s="102"/>
      <c r="O474" s="102"/>
      <c r="P474" s="102"/>
    </row>
    <row r="475" ht="15.75" customHeight="1">
      <c r="A475" s="97"/>
      <c r="B475" s="98"/>
      <c r="C475" s="99"/>
      <c r="D475" s="98"/>
      <c r="E475" s="100"/>
      <c r="F475" s="101"/>
      <c r="G475" s="98"/>
      <c r="H475" s="100"/>
      <c r="I475" s="102"/>
      <c r="J475" s="102"/>
      <c r="K475" s="102"/>
      <c r="L475" s="101"/>
      <c r="M475" s="103"/>
      <c r="N475" s="102"/>
      <c r="O475" s="102"/>
      <c r="P475" s="102"/>
    </row>
    <row r="476" ht="15.75" customHeight="1">
      <c r="A476" s="97"/>
      <c r="B476" s="98"/>
      <c r="C476" s="99"/>
      <c r="D476" s="98"/>
      <c r="E476" s="100"/>
      <c r="F476" s="101"/>
      <c r="G476" s="98"/>
      <c r="H476" s="100"/>
      <c r="I476" s="102"/>
      <c r="J476" s="102"/>
      <c r="K476" s="102"/>
      <c r="L476" s="101"/>
      <c r="M476" s="103"/>
      <c r="N476" s="102"/>
      <c r="O476" s="102"/>
      <c r="P476" s="102"/>
    </row>
    <row r="477" ht="15.75" customHeight="1">
      <c r="A477" s="97"/>
      <c r="B477" s="98"/>
      <c r="C477" s="99"/>
      <c r="D477" s="98"/>
      <c r="E477" s="100"/>
      <c r="F477" s="101"/>
      <c r="G477" s="98"/>
      <c r="H477" s="100"/>
      <c r="I477" s="102"/>
      <c r="J477" s="102"/>
      <c r="K477" s="102"/>
      <c r="L477" s="101"/>
      <c r="M477" s="103"/>
      <c r="N477" s="102"/>
      <c r="O477" s="102"/>
      <c r="P477" s="102"/>
    </row>
    <row r="478" ht="15.75" customHeight="1">
      <c r="A478" s="97"/>
      <c r="B478" s="98"/>
      <c r="C478" s="99"/>
      <c r="D478" s="98"/>
      <c r="E478" s="100"/>
      <c r="F478" s="101"/>
      <c r="G478" s="98"/>
      <c r="H478" s="100"/>
      <c r="I478" s="102"/>
      <c r="J478" s="102"/>
      <c r="K478" s="102"/>
      <c r="L478" s="101"/>
      <c r="M478" s="103"/>
      <c r="N478" s="102"/>
      <c r="O478" s="102"/>
      <c r="P478" s="102"/>
    </row>
    <row r="479" ht="15.75" customHeight="1">
      <c r="A479" s="97"/>
      <c r="B479" s="98"/>
      <c r="C479" s="99"/>
      <c r="D479" s="98"/>
      <c r="E479" s="100"/>
      <c r="F479" s="101"/>
      <c r="G479" s="98"/>
      <c r="H479" s="100"/>
      <c r="I479" s="102"/>
      <c r="J479" s="102"/>
      <c r="K479" s="102"/>
      <c r="L479" s="101"/>
      <c r="M479" s="103"/>
      <c r="N479" s="102"/>
      <c r="O479" s="102"/>
      <c r="P479" s="102"/>
    </row>
    <row r="480" ht="15.75" customHeight="1">
      <c r="A480" s="97"/>
      <c r="B480" s="98"/>
      <c r="C480" s="99"/>
      <c r="D480" s="98"/>
      <c r="E480" s="100"/>
      <c r="F480" s="101"/>
      <c r="G480" s="98"/>
      <c r="H480" s="100"/>
      <c r="I480" s="102"/>
      <c r="J480" s="102"/>
      <c r="K480" s="102"/>
      <c r="L480" s="101"/>
      <c r="M480" s="103"/>
      <c r="N480" s="102"/>
      <c r="O480" s="102"/>
      <c r="P480" s="102"/>
    </row>
    <row r="481" ht="15.75" customHeight="1">
      <c r="A481" s="97"/>
      <c r="B481" s="98"/>
      <c r="C481" s="99"/>
      <c r="D481" s="98"/>
      <c r="E481" s="100"/>
      <c r="F481" s="101"/>
      <c r="G481" s="98"/>
      <c r="H481" s="100"/>
      <c r="I481" s="102"/>
      <c r="J481" s="102"/>
      <c r="K481" s="102"/>
      <c r="L481" s="101"/>
      <c r="M481" s="103"/>
      <c r="N481" s="102"/>
      <c r="O481" s="102"/>
      <c r="P481" s="102"/>
    </row>
    <row r="482" ht="15.75" customHeight="1">
      <c r="A482" s="97"/>
      <c r="B482" s="98"/>
      <c r="C482" s="99"/>
      <c r="D482" s="98"/>
      <c r="E482" s="100"/>
      <c r="F482" s="101"/>
      <c r="G482" s="98"/>
      <c r="H482" s="100"/>
      <c r="I482" s="102"/>
      <c r="J482" s="102"/>
      <c r="K482" s="102"/>
      <c r="L482" s="101"/>
      <c r="M482" s="103"/>
      <c r="N482" s="102"/>
      <c r="O482" s="102"/>
      <c r="P482" s="102"/>
    </row>
    <row r="483" ht="15.75" customHeight="1">
      <c r="A483" s="97"/>
      <c r="B483" s="98"/>
      <c r="C483" s="99"/>
      <c r="D483" s="98"/>
      <c r="E483" s="100"/>
      <c r="F483" s="101"/>
      <c r="G483" s="98"/>
      <c r="H483" s="100"/>
      <c r="I483" s="102"/>
      <c r="J483" s="102"/>
      <c r="K483" s="102"/>
      <c r="L483" s="101"/>
      <c r="M483" s="103"/>
      <c r="N483" s="102"/>
      <c r="O483" s="102"/>
      <c r="P483" s="102"/>
    </row>
    <row r="484" ht="15.75" customHeight="1">
      <c r="A484" s="97"/>
      <c r="B484" s="98"/>
      <c r="C484" s="99"/>
      <c r="D484" s="98"/>
      <c r="E484" s="100"/>
      <c r="F484" s="101"/>
      <c r="G484" s="98"/>
      <c r="H484" s="100"/>
      <c r="I484" s="102"/>
      <c r="J484" s="102"/>
      <c r="K484" s="102"/>
      <c r="L484" s="101"/>
      <c r="M484" s="103"/>
      <c r="N484" s="102"/>
      <c r="O484" s="102"/>
      <c r="P484" s="102"/>
    </row>
    <row r="485" ht="15.75" customHeight="1">
      <c r="A485" s="97"/>
      <c r="B485" s="98"/>
      <c r="C485" s="99"/>
      <c r="D485" s="98"/>
      <c r="E485" s="100"/>
      <c r="F485" s="101"/>
      <c r="G485" s="98"/>
      <c r="H485" s="100"/>
      <c r="I485" s="102"/>
      <c r="J485" s="102"/>
      <c r="K485" s="102"/>
      <c r="L485" s="101"/>
      <c r="M485" s="103"/>
      <c r="N485" s="102"/>
      <c r="O485" s="102"/>
      <c r="P485" s="102"/>
    </row>
    <row r="486" ht="15.75" customHeight="1">
      <c r="A486" s="97"/>
      <c r="B486" s="98"/>
      <c r="C486" s="99"/>
      <c r="D486" s="98"/>
      <c r="E486" s="100"/>
      <c r="F486" s="101"/>
      <c r="G486" s="98"/>
      <c r="H486" s="100"/>
      <c r="I486" s="102"/>
      <c r="J486" s="102"/>
      <c r="K486" s="102"/>
      <c r="L486" s="101"/>
      <c r="M486" s="103"/>
      <c r="N486" s="102"/>
      <c r="O486" s="102"/>
      <c r="P486" s="102"/>
    </row>
    <row r="487" ht="15.75" customHeight="1">
      <c r="A487" s="97"/>
      <c r="B487" s="98"/>
      <c r="C487" s="99"/>
      <c r="D487" s="98"/>
      <c r="E487" s="100"/>
      <c r="F487" s="101"/>
      <c r="G487" s="98"/>
      <c r="H487" s="100"/>
      <c r="I487" s="102"/>
      <c r="J487" s="102"/>
      <c r="K487" s="102"/>
      <c r="L487" s="101"/>
      <c r="M487" s="103"/>
      <c r="N487" s="102"/>
      <c r="O487" s="102"/>
      <c r="P487" s="102"/>
    </row>
    <row r="488" ht="15.75" customHeight="1">
      <c r="A488" s="97"/>
      <c r="B488" s="98"/>
      <c r="C488" s="99"/>
      <c r="D488" s="98"/>
      <c r="E488" s="100"/>
      <c r="F488" s="101"/>
      <c r="G488" s="98"/>
      <c r="H488" s="100"/>
      <c r="I488" s="102"/>
      <c r="J488" s="102"/>
      <c r="K488" s="102"/>
      <c r="L488" s="101"/>
      <c r="M488" s="103"/>
      <c r="N488" s="102"/>
      <c r="O488" s="102"/>
      <c r="P488" s="102"/>
    </row>
    <row r="489" ht="15.75" customHeight="1">
      <c r="A489" s="97"/>
      <c r="B489" s="98"/>
      <c r="C489" s="99"/>
      <c r="D489" s="98"/>
      <c r="E489" s="100"/>
      <c r="F489" s="101"/>
      <c r="G489" s="98"/>
      <c r="H489" s="100"/>
      <c r="I489" s="102"/>
      <c r="J489" s="102"/>
      <c r="K489" s="102"/>
      <c r="L489" s="101"/>
      <c r="M489" s="103"/>
      <c r="N489" s="102"/>
      <c r="O489" s="102"/>
      <c r="P489" s="102"/>
    </row>
    <row r="490" ht="15.75" customHeight="1">
      <c r="A490" s="97"/>
      <c r="B490" s="98"/>
      <c r="C490" s="99"/>
      <c r="D490" s="98"/>
      <c r="E490" s="100"/>
      <c r="F490" s="101"/>
      <c r="G490" s="98"/>
      <c r="H490" s="100"/>
      <c r="I490" s="102"/>
      <c r="J490" s="102"/>
      <c r="K490" s="102"/>
      <c r="L490" s="101"/>
      <c r="M490" s="103"/>
      <c r="N490" s="102"/>
      <c r="O490" s="102"/>
      <c r="P490" s="102"/>
    </row>
    <row r="491" ht="15.75" customHeight="1">
      <c r="A491" s="97"/>
      <c r="B491" s="98"/>
      <c r="C491" s="99"/>
      <c r="D491" s="98"/>
      <c r="E491" s="100"/>
      <c r="F491" s="101"/>
      <c r="G491" s="98"/>
      <c r="H491" s="100"/>
      <c r="I491" s="102"/>
      <c r="J491" s="102"/>
      <c r="K491" s="102"/>
      <c r="L491" s="101"/>
      <c r="M491" s="103"/>
      <c r="N491" s="102"/>
      <c r="O491" s="102"/>
      <c r="P491" s="102"/>
    </row>
    <row r="492" ht="15.75" customHeight="1">
      <c r="A492" s="97"/>
      <c r="B492" s="98"/>
      <c r="C492" s="99"/>
      <c r="D492" s="98"/>
      <c r="E492" s="100"/>
      <c r="F492" s="101"/>
      <c r="G492" s="98"/>
      <c r="H492" s="100"/>
      <c r="I492" s="102"/>
      <c r="J492" s="102"/>
      <c r="K492" s="102"/>
      <c r="L492" s="101"/>
      <c r="M492" s="103"/>
      <c r="N492" s="102"/>
      <c r="O492" s="102"/>
      <c r="P492" s="102"/>
    </row>
    <row r="493" ht="15.75" customHeight="1">
      <c r="A493" s="97"/>
      <c r="B493" s="98"/>
      <c r="C493" s="99"/>
      <c r="D493" s="98"/>
      <c r="E493" s="100"/>
      <c r="F493" s="101"/>
      <c r="G493" s="98"/>
      <c r="H493" s="100"/>
      <c r="I493" s="102"/>
      <c r="J493" s="102"/>
      <c r="K493" s="102"/>
      <c r="L493" s="101"/>
      <c r="M493" s="103"/>
      <c r="N493" s="102"/>
      <c r="O493" s="102"/>
      <c r="P493" s="102"/>
    </row>
    <row r="494" ht="15.75" customHeight="1">
      <c r="A494" s="97"/>
      <c r="B494" s="98"/>
      <c r="C494" s="99"/>
      <c r="D494" s="98"/>
      <c r="E494" s="100"/>
      <c r="F494" s="101"/>
      <c r="G494" s="98"/>
      <c r="H494" s="100"/>
      <c r="I494" s="102"/>
      <c r="J494" s="102"/>
      <c r="K494" s="102"/>
      <c r="L494" s="101"/>
      <c r="M494" s="103"/>
      <c r="N494" s="102"/>
      <c r="O494" s="102"/>
      <c r="P494" s="102"/>
    </row>
    <row r="495" ht="15.75" customHeight="1">
      <c r="A495" s="97"/>
      <c r="B495" s="98"/>
      <c r="C495" s="99"/>
      <c r="D495" s="98"/>
      <c r="E495" s="100"/>
      <c r="F495" s="101"/>
      <c r="G495" s="98"/>
      <c r="H495" s="100"/>
      <c r="I495" s="102"/>
      <c r="J495" s="102"/>
      <c r="K495" s="102"/>
      <c r="L495" s="101"/>
      <c r="M495" s="103"/>
      <c r="N495" s="102"/>
      <c r="O495" s="102"/>
      <c r="P495" s="102"/>
    </row>
    <row r="496" ht="15.75" customHeight="1">
      <c r="A496" s="97"/>
      <c r="B496" s="98"/>
      <c r="C496" s="99"/>
      <c r="D496" s="98"/>
      <c r="E496" s="100"/>
      <c r="F496" s="101"/>
      <c r="G496" s="98"/>
      <c r="H496" s="100"/>
      <c r="I496" s="102"/>
      <c r="J496" s="102"/>
      <c r="K496" s="102"/>
      <c r="L496" s="101"/>
      <c r="M496" s="103"/>
      <c r="N496" s="102"/>
      <c r="O496" s="102"/>
      <c r="P496" s="102"/>
    </row>
    <row r="497" ht="15.75" customHeight="1">
      <c r="A497" s="97"/>
      <c r="B497" s="98"/>
      <c r="C497" s="99"/>
      <c r="D497" s="98"/>
      <c r="E497" s="100"/>
      <c r="F497" s="101"/>
      <c r="G497" s="98"/>
      <c r="H497" s="100"/>
      <c r="I497" s="102"/>
      <c r="J497" s="102"/>
      <c r="K497" s="102"/>
      <c r="L497" s="101"/>
      <c r="M497" s="103"/>
      <c r="N497" s="102"/>
      <c r="O497" s="102"/>
      <c r="P497" s="102"/>
    </row>
    <row r="498" ht="15.75" customHeight="1">
      <c r="A498" s="97"/>
      <c r="B498" s="98"/>
      <c r="C498" s="99"/>
      <c r="D498" s="98"/>
      <c r="E498" s="100"/>
      <c r="F498" s="101"/>
      <c r="G498" s="98"/>
      <c r="H498" s="100"/>
      <c r="I498" s="102"/>
      <c r="J498" s="102"/>
      <c r="K498" s="102"/>
      <c r="L498" s="101"/>
      <c r="M498" s="103"/>
      <c r="N498" s="102"/>
      <c r="O498" s="102"/>
      <c r="P498" s="102"/>
    </row>
    <row r="499" ht="15.75" customHeight="1">
      <c r="A499" s="97"/>
      <c r="B499" s="98"/>
      <c r="C499" s="99"/>
      <c r="D499" s="98"/>
      <c r="E499" s="100"/>
      <c r="F499" s="101"/>
      <c r="G499" s="98"/>
      <c r="H499" s="100"/>
      <c r="I499" s="102"/>
      <c r="J499" s="102"/>
      <c r="K499" s="102"/>
      <c r="L499" s="101"/>
      <c r="M499" s="103"/>
      <c r="N499" s="102"/>
      <c r="O499" s="102"/>
      <c r="P499" s="102"/>
    </row>
    <row r="500" ht="15.75" customHeight="1">
      <c r="A500" s="97"/>
      <c r="B500" s="98"/>
      <c r="C500" s="99"/>
      <c r="D500" s="98"/>
      <c r="E500" s="100"/>
      <c r="F500" s="101"/>
      <c r="G500" s="98"/>
      <c r="H500" s="100"/>
      <c r="I500" s="102"/>
      <c r="J500" s="102"/>
      <c r="K500" s="102"/>
      <c r="L500" s="101"/>
      <c r="M500" s="103"/>
      <c r="N500" s="102"/>
      <c r="O500" s="102"/>
      <c r="P500" s="102"/>
    </row>
    <row r="501" ht="15.75" customHeight="1">
      <c r="A501" s="97"/>
      <c r="B501" s="98"/>
      <c r="C501" s="99"/>
      <c r="D501" s="98"/>
      <c r="E501" s="100"/>
      <c r="F501" s="101"/>
      <c r="G501" s="98"/>
      <c r="H501" s="100"/>
      <c r="I501" s="102"/>
      <c r="J501" s="102"/>
      <c r="K501" s="102"/>
      <c r="L501" s="101"/>
      <c r="M501" s="103"/>
      <c r="N501" s="102"/>
      <c r="O501" s="102"/>
      <c r="P501" s="102"/>
    </row>
    <row r="502" ht="15.75" customHeight="1">
      <c r="A502" s="97"/>
      <c r="B502" s="98"/>
      <c r="C502" s="99"/>
      <c r="D502" s="98"/>
      <c r="E502" s="100"/>
      <c r="F502" s="101"/>
      <c r="G502" s="98"/>
      <c r="H502" s="100"/>
      <c r="I502" s="102"/>
      <c r="J502" s="102"/>
      <c r="K502" s="102"/>
      <c r="L502" s="101"/>
      <c r="M502" s="103"/>
      <c r="N502" s="102"/>
      <c r="O502" s="102"/>
      <c r="P502" s="102"/>
    </row>
    <row r="503" ht="15.75" customHeight="1">
      <c r="A503" s="97"/>
      <c r="B503" s="98"/>
      <c r="C503" s="99"/>
      <c r="D503" s="98"/>
      <c r="E503" s="100"/>
      <c r="F503" s="101"/>
      <c r="G503" s="98"/>
      <c r="H503" s="100"/>
      <c r="I503" s="102"/>
      <c r="J503" s="102"/>
      <c r="K503" s="102"/>
      <c r="L503" s="101"/>
      <c r="M503" s="103"/>
      <c r="N503" s="102"/>
      <c r="O503" s="102"/>
      <c r="P503" s="102"/>
    </row>
    <row r="504" ht="15.75" customHeight="1">
      <c r="A504" s="97"/>
      <c r="B504" s="98"/>
      <c r="C504" s="99"/>
      <c r="D504" s="98"/>
      <c r="E504" s="100"/>
      <c r="F504" s="101"/>
      <c r="G504" s="98"/>
      <c r="H504" s="100"/>
      <c r="I504" s="102"/>
      <c r="J504" s="102"/>
      <c r="K504" s="102"/>
      <c r="L504" s="101"/>
      <c r="M504" s="103"/>
      <c r="N504" s="102"/>
      <c r="O504" s="102"/>
      <c r="P504" s="102"/>
    </row>
    <row r="505" ht="15.75" customHeight="1">
      <c r="A505" s="97"/>
      <c r="B505" s="98"/>
      <c r="C505" s="99"/>
      <c r="D505" s="98"/>
      <c r="E505" s="100"/>
      <c r="F505" s="101"/>
      <c r="G505" s="98"/>
      <c r="H505" s="100"/>
      <c r="I505" s="102"/>
      <c r="J505" s="102"/>
      <c r="K505" s="102"/>
      <c r="L505" s="101"/>
      <c r="M505" s="103"/>
      <c r="N505" s="102"/>
      <c r="O505" s="102"/>
      <c r="P505" s="102"/>
    </row>
    <row r="506" ht="15.75" customHeight="1">
      <c r="A506" s="97"/>
      <c r="B506" s="98"/>
      <c r="C506" s="99"/>
      <c r="D506" s="98"/>
      <c r="E506" s="100"/>
      <c r="F506" s="101"/>
      <c r="G506" s="98"/>
      <c r="H506" s="100"/>
      <c r="I506" s="102"/>
      <c r="J506" s="102"/>
      <c r="K506" s="102"/>
      <c r="L506" s="101"/>
      <c r="M506" s="103"/>
      <c r="N506" s="102"/>
      <c r="O506" s="102"/>
      <c r="P506" s="102"/>
    </row>
    <row r="507" ht="15.75" customHeight="1">
      <c r="A507" s="97"/>
      <c r="B507" s="98"/>
      <c r="C507" s="99"/>
      <c r="D507" s="98"/>
      <c r="E507" s="100"/>
      <c r="F507" s="101"/>
      <c r="G507" s="98"/>
      <c r="H507" s="100"/>
      <c r="I507" s="102"/>
      <c r="J507" s="102"/>
      <c r="K507" s="102"/>
      <c r="L507" s="101"/>
      <c r="M507" s="103"/>
      <c r="N507" s="102"/>
      <c r="O507" s="102"/>
      <c r="P507" s="102"/>
    </row>
    <row r="508" ht="15.75" customHeight="1">
      <c r="A508" s="97"/>
      <c r="B508" s="98"/>
      <c r="C508" s="99"/>
      <c r="D508" s="98"/>
      <c r="E508" s="100"/>
      <c r="F508" s="101"/>
      <c r="G508" s="98"/>
      <c r="H508" s="100"/>
      <c r="I508" s="102"/>
      <c r="J508" s="102"/>
      <c r="K508" s="102"/>
      <c r="L508" s="101"/>
      <c r="M508" s="103"/>
      <c r="N508" s="102"/>
      <c r="O508" s="102"/>
      <c r="P508" s="102"/>
    </row>
    <row r="509" ht="15.75" customHeight="1">
      <c r="A509" s="97"/>
      <c r="B509" s="98"/>
      <c r="C509" s="99"/>
      <c r="D509" s="98"/>
      <c r="E509" s="100"/>
      <c r="F509" s="101"/>
      <c r="G509" s="98"/>
      <c r="H509" s="100"/>
      <c r="I509" s="102"/>
      <c r="J509" s="102"/>
      <c r="K509" s="102"/>
      <c r="L509" s="101"/>
      <c r="M509" s="103"/>
      <c r="N509" s="102"/>
      <c r="O509" s="102"/>
      <c r="P509" s="102"/>
    </row>
    <row r="510" ht="15.75" customHeight="1">
      <c r="A510" s="97"/>
      <c r="B510" s="98"/>
      <c r="C510" s="99"/>
      <c r="D510" s="98"/>
      <c r="E510" s="100"/>
      <c r="F510" s="101"/>
      <c r="G510" s="98"/>
      <c r="H510" s="100"/>
      <c r="I510" s="102"/>
      <c r="J510" s="102"/>
      <c r="K510" s="102"/>
      <c r="L510" s="101"/>
      <c r="M510" s="103"/>
      <c r="N510" s="102"/>
      <c r="O510" s="102"/>
      <c r="P510" s="102"/>
    </row>
    <row r="511" ht="15.75" customHeight="1">
      <c r="A511" s="97"/>
      <c r="B511" s="98"/>
      <c r="C511" s="99"/>
      <c r="D511" s="98"/>
      <c r="E511" s="100"/>
      <c r="F511" s="101"/>
      <c r="G511" s="98"/>
      <c r="H511" s="100"/>
      <c r="I511" s="102"/>
      <c r="J511" s="102"/>
      <c r="K511" s="102"/>
      <c r="L511" s="101"/>
      <c r="M511" s="103"/>
      <c r="N511" s="102"/>
      <c r="O511" s="102"/>
      <c r="P511" s="102"/>
    </row>
    <row r="512" ht="15.75" customHeight="1">
      <c r="A512" s="97"/>
      <c r="B512" s="98"/>
      <c r="C512" s="99"/>
      <c r="D512" s="98"/>
      <c r="E512" s="100"/>
      <c r="F512" s="101"/>
      <c r="G512" s="98"/>
      <c r="H512" s="100"/>
      <c r="I512" s="102"/>
      <c r="J512" s="102"/>
      <c r="K512" s="102"/>
      <c r="L512" s="101"/>
      <c r="M512" s="103"/>
      <c r="N512" s="102"/>
      <c r="O512" s="102"/>
      <c r="P512" s="102"/>
    </row>
    <row r="513" ht="15.75" customHeight="1">
      <c r="A513" s="97"/>
      <c r="B513" s="98"/>
      <c r="C513" s="99"/>
      <c r="D513" s="98"/>
      <c r="E513" s="100"/>
      <c r="F513" s="101"/>
      <c r="G513" s="98"/>
      <c r="H513" s="100"/>
      <c r="I513" s="102"/>
      <c r="J513" s="102"/>
      <c r="K513" s="102"/>
      <c r="L513" s="101"/>
      <c r="M513" s="103"/>
      <c r="N513" s="102"/>
      <c r="O513" s="102"/>
      <c r="P513" s="102"/>
    </row>
    <row r="514" ht="15.75" customHeight="1">
      <c r="A514" s="97"/>
      <c r="B514" s="98"/>
      <c r="C514" s="99"/>
      <c r="D514" s="98"/>
      <c r="E514" s="100"/>
      <c r="F514" s="101"/>
      <c r="G514" s="98"/>
      <c r="H514" s="100"/>
      <c r="I514" s="102"/>
      <c r="J514" s="102"/>
      <c r="K514" s="102"/>
      <c r="L514" s="101"/>
      <c r="M514" s="103"/>
      <c r="N514" s="102"/>
      <c r="O514" s="102"/>
      <c r="P514" s="102"/>
    </row>
    <row r="515" ht="15.75" customHeight="1">
      <c r="A515" s="97"/>
      <c r="B515" s="98"/>
      <c r="C515" s="99"/>
      <c r="D515" s="98"/>
      <c r="E515" s="100"/>
      <c r="F515" s="101"/>
      <c r="G515" s="98"/>
      <c r="H515" s="100"/>
      <c r="I515" s="102"/>
      <c r="J515" s="102"/>
      <c r="K515" s="102"/>
      <c r="L515" s="101"/>
      <c r="M515" s="103"/>
      <c r="N515" s="102"/>
      <c r="O515" s="102"/>
      <c r="P515" s="102"/>
    </row>
    <row r="516" ht="15.75" customHeight="1">
      <c r="A516" s="97"/>
      <c r="B516" s="98"/>
      <c r="C516" s="99"/>
      <c r="D516" s="98"/>
      <c r="E516" s="100"/>
      <c r="F516" s="101"/>
      <c r="G516" s="98"/>
      <c r="H516" s="100"/>
      <c r="I516" s="102"/>
      <c r="J516" s="102"/>
      <c r="K516" s="102"/>
      <c r="L516" s="101"/>
      <c r="M516" s="103"/>
      <c r="N516" s="102"/>
      <c r="O516" s="102"/>
      <c r="P516" s="102"/>
    </row>
    <row r="517" ht="15.75" customHeight="1">
      <c r="A517" s="97"/>
      <c r="B517" s="98"/>
      <c r="C517" s="99"/>
      <c r="D517" s="98"/>
      <c r="E517" s="100"/>
      <c r="F517" s="101"/>
      <c r="G517" s="98"/>
      <c r="H517" s="100"/>
      <c r="I517" s="102"/>
      <c r="J517" s="102"/>
      <c r="K517" s="102"/>
      <c r="L517" s="101"/>
      <c r="M517" s="103"/>
      <c r="N517" s="102"/>
      <c r="O517" s="102"/>
      <c r="P517" s="102"/>
    </row>
    <row r="518" ht="15.75" customHeight="1">
      <c r="A518" s="97"/>
      <c r="B518" s="98"/>
      <c r="C518" s="99"/>
      <c r="D518" s="98"/>
      <c r="E518" s="100"/>
      <c r="F518" s="101"/>
      <c r="G518" s="98"/>
      <c r="H518" s="100"/>
      <c r="I518" s="102"/>
      <c r="J518" s="102"/>
      <c r="K518" s="102"/>
      <c r="L518" s="101"/>
      <c r="M518" s="103"/>
      <c r="N518" s="102"/>
      <c r="O518" s="102"/>
      <c r="P518" s="102"/>
    </row>
    <row r="519" ht="15.75" customHeight="1">
      <c r="A519" s="97"/>
      <c r="B519" s="98"/>
      <c r="C519" s="99"/>
      <c r="D519" s="98"/>
      <c r="E519" s="100"/>
      <c r="F519" s="101"/>
      <c r="G519" s="98"/>
      <c r="H519" s="100"/>
      <c r="I519" s="102"/>
      <c r="J519" s="102"/>
      <c r="K519" s="102"/>
      <c r="L519" s="101"/>
      <c r="M519" s="103"/>
      <c r="N519" s="102"/>
      <c r="O519" s="102"/>
      <c r="P519" s="102"/>
    </row>
    <row r="520" ht="15.75" customHeight="1">
      <c r="A520" s="97"/>
      <c r="B520" s="98"/>
      <c r="C520" s="99"/>
      <c r="D520" s="98"/>
      <c r="E520" s="100"/>
      <c r="F520" s="101"/>
      <c r="G520" s="98"/>
      <c r="H520" s="100"/>
      <c r="I520" s="102"/>
      <c r="J520" s="102"/>
      <c r="K520" s="102"/>
      <c r="L520" s="101"/>
      <c r="M520" s="103"/>
      <c r="N520" s="102"/>
      <c r="O520" s="102"/>
      <c r="P520" s="102"/>
    </row>
    <row r="521" ht="15.75" customHeight="1">
      <c r="A521" s="97"/>
      <c r="B521" s="98"/>
      <c r="C521" s="99"/>
      <c r="D521" s="98"/>
      <c r="E521" s="100"/>
      <c r="F521" s="101"/>
      <c r="G521" s="98"/>
      <c r="H521" s="100"/>
      <c r="I521" s="102"/>
      <c r="J521" s="102"/>
      <c r="K521" s="102"/>
      <c r="L521" s="101"/>
      <c r="M521" s="103"/>
      <c r="N521" s="102"/>
      <c r="O521" s="102"/>
      <c r="P521" s="102"/>
    </row>
    <row r="522" ht="15.75" customHeight="1">
      <c r="A522" s="97"/>
      <c r="B522" s="98"/>
      <c r="C522" s="99"/>
      <c r="D522" s="98"/>
      <c r="E522" s="100"/>
      <c r="F522" s="101"/>
      <c r="G522" s="98"/>
      <c r="H522" s="100"/>
      <c r="I522" s="102"/>
      <c r="J522" s="102"/>
      <c r="K522" s="102"/>
      <c r="L522" s="101"/>
      <c r="M522" s="103"/>
      <c r="N522" s="102"/>
      <c r="O522" s="102"/>
      <c r="P522" s="102"/>
    </row>
    <row r="523" ht="15.75" customHeight="1">
      <c r="A523" s="97"/>
      <c r="B523" s="98"/>
      <c r="C523" s="99"/>
      <c r="D523" s="98"/>
      <c r="E523" s="100"/>
      <c r="F523" s="101"/>
      <c r="G523" s="98"/>
      <c r="H523" s="100"/>
      <c r="I523" s="102"/>
      <c r="J523" s="102"/>
      <c r="K523" s="102"/>
      <c r="L523" s="101"/>
      <c r="M523" s="103"/>
      <c r="N523" s="102"/>
      <c r="O523" s="102"/>
      <c r="P523" s="102"/>
    </row>
    <row r="524" ht="15.75" customHeight="1">
      <c r="A524" s="97"/>
      <c r="B524" s="98"/>
      <c r="C524" s="99"/>
      <c r="D524" s="98"/>
      <c r="E524" s="100"/>
      <c r="F524" s="101"/>
      <c r="G524" s="98"/>
      <c r="H524" s="100"/>
      <c r="I524" s="102"/>
      <c r="J524" s="102"/>
      <c r="K524" s="102"/>
      <c r="L524" s="101"/>
      <c r="M524" s="103"/>
      <c r="N524" s="102"/>
      <c r="O524" s="102"/>
      <c r="P524" s="102"/>
    </row>
    <row r="525" ht="15.75" customHeight="1">
      <c r="A525" s="97"/>
      <c r="B525" s="98"/>
      <c r="C525" s="99"/>
      <c r="D525" s="98"/>
      <c r="E525" s="100"/>
      <c r="F525" s="101"/>
      <c r="G525" s="98"/>
      <c r="H525" s="100"/>
      <c r="I525" s="102"/>
      <c r="J525" s="102"/>
      <c r="K525" s="102"/>
      <c r="L525" s="101"/>
      <c r="M525" s="103"/>
      <c r="N525" s="102"/>
      <c r="O525" s="102"/>
      <c r="P525" s="102"/>
    </row>
    <row r="526" ht="15.75" customHeight="1">
      <c r="A526" s="97"/>
      <c r="B526" s="98"/>
      <c r="C526" s="99"/>
      <c r="D526" s="98"/>
      <c r="E526" s="100"/>
      <c r="F526" s="101"/>
      <c r="G526" s="98"/>
      <c r="H526" s="100"/>
      <c r="I526" s="102"/>
      <c r="J526" s="102"/>
      <c r="K526" s="102"/>
      <c r="L526" s="101"/>
      <c r="M526" s="103"/>
      <c r="N526" s="102"/>
      <c r="O526" s="102"/>
      <c r="P526" s="102"/>
    </row>
    <row r="527" ht="15.75" customHeight="1">
      <c r="A527" s="97"/>
      <c r="B527" s="98"/>
      <c r="C527" s="99"/>
      <c r="D527" s="98"/>
      <c r="E527" s="100"/>
      <c r="F527" s="101"/>
      <c r="G527" s="98"/>
      <c r="H527" s="100"/>
      <c r="I527" s="102"/>
      <c r="J527" s="102"/>
      <c r="K527" s="102"/>
      <c r="L527" s="101"/>
      <c r="M527" s="103"/>
      <c r="N527" s="102"/>
      <c r="O527" s="102"/>
      <c r="P527" s="102"/>
    </row>
    <row r="528" ht="15.75" customHeight="1">
      <c r="A528" s="97"/>
      <c r="B528" s="98"/>
      <c r="C528" s="99"/>
      <c r="D528" s="98"/>
      <c r="E528" s="100"/>
      <c r="F528" s="101"/>
      <c r="G528" s="98"/>
      <c r="H528" s="100"/>
      <c r="I528" s="102"/>
      <c r="J528" s="102"/>
      <c r="K528" s="102"/>
      <c r="L528" s="101"/>
      <c r="M528" s="103"/>
      <c r="N528" s="102"/>
      <c r="O528" s="102"/>
      <c r="P528" s="102"/>
    </row>
    <row r="529" ht="15.75" customHeight="1">
      <c r="A529" s="97"/>
      <c r="B529" s="98"/>
      <c r="C529" s="99"/>
      <c r="D529" s="98"/>
      <c r="E529" s="100"/>
      <c r="F529" s="101"/>
      <c r="G529" s="98"/>
      <c r="H529" s="100"/>
      <c r="I529" s="102"/>
      <c r="J529" s="102"/>
      <c r="K529" s="102"/>
      <c r="L529" s="101"/>
      <c r="M529" s="103"/>
      <c r="N529" s="102"/>
      <c r="O529" s="102"/>
      <c r="P529" s="102"/>
    </row>
    <row r="530" ht="15.75" customHeight="1">
      <c r="A530" s="97"/>
      <c r="B530" s="98"/>
      <c r="C530" s="99"/>
      <c r="D530" s="98"/>
      <c r="E530" s="100"/>
      <c r="F530" s="101"/>
      <c r="G530" s="98"/>
      <c r="H530" s="100"/>
      <c r="I530" s="102"/>
      <c r="J530" s="102"/>
      <c r="K530" s="102"/>
      <c r="L530" s="101"/>
      <c r="M530" s="103"/>
      <c r="N530" s="102"/>
      <c r="O530" s="102"/>
      <c r="P530" s="102"/>
    </row>
    <row r="531" ht="15.75" customHeight="1">
      <c r="A531" s="97"/>
      <c r="B531" s="98"/>
      <c r="C531" s="99"/>
      <c r="D531" s="98"/>
      <c r="E531" s="100"/>
      <c r="F531" s="101"/>
      <c r="G531" s="98"/>
      <c r="H531" s="100"/>
      <c r="I531" s="102"/>
      <c r="J531" s="102"/>
      <c r="K531" s="102"/>
      <c r="L531" s="101"/>
      <c r="M531" s="103"/>
      <c r="N531" s="102"/>
      <c r="O531" s="102"/>
      <c r="P531" s="102"/>
    </row>
    <row r="532" ht="15.75" customHeight="1">
      <c r="A532" s="97"/>
      <c r="B532" s="98"/>
      <c r="C532" s="99"/>
      <c r="D532" s="98"/>
      <c r="E532" s="100"/>
      <c r="F532" s="101"/>
      <c r="G532" s="98"/>
      <c r="H532" s="100"/>
      <c r="I532" s="102"/>
      <c r="J532" s="102"/>
      <c r="K532" s="102"/>
      <c r="L532" s="101"/>
      <c r="M532" s="103"/>
      <c r="N532" s="102"/>
      <c r="O532" s="102"/>
      <c r="P532" s="102"/>
    </row>
    <row r="533" ht="15.75" customHeight="1">
      <c r="A533" s="97"/>
      <c r="B533" s="98"/>
      <c r="C533" s="99"/>
      <c r="D533" s="98"/>
      <c r="E533" s="100"/>
      <c r="F533" s="101"/>
      <c r="G533" s="98"/>
      <c r="H533" s="100"/>
      <c r="I533" s="102"/>
      <c r="J533" s="102"/>
      <c r="K533" s="102"/>
      <c r="L533" s="101"/>
      <c r="M533" s="103"/>
      <c r="N533" s="102"/>
      <c r="O533" s="102"/>
      <c r="P533" s="102"/>
    </row>
    <row r="534" ht="15.75" customHeight="1">
      <c r="A534" s="97"/>
      <c r="B534" s="98"/>
      <c r="C534" s="99"/>
      <c r="D534" s="98"/>
      <c r="E534" s="100"/>
      <c r="F534" s="101"/>
      <c r="G534" s="98"/>
      <c r="H534" s="100"/>
      <c r="I534" s="102"/>
      <c r="J534" s="102"/>
      <c r="K534" s="102"/>
      <c r="L534" s="101"/>
      <c r="M534" s="103"/>
      <c r="N534" s="102"/>
      <c r="O534" s="102"/>
      <c r="P534" s="102"/>
    </row>
    <row r="535" ht="15.75" customHeight="1">
      <c r="A535" s="97"/>
      <c r="B535" s="98"/>
      <c r="C535" s="99"/>
      <c r="D535" s="98"/>
      <c r="E535" s="100"/>
      <c r="F535" s="101"/>
      <c r="G535" s="98"/>
      <c r="H535" s="100"/>
      <c r="I535" s="102"/>
      <c r="J535" s="102"/>
      <c r="K535" s="102"/>
      <c r="L535" s="101"/>
      <c r="M535" s="103"/>
      <c r="N535" s="102"/>
      <c r="O535" s="102"/>
      <c r="P535" s="102"/>
    </row>
    <row r="536" ht="15.75" customHeight="1">
      <c r="A536" s="97"/>
      <c r="B536" s="98"/>
      <c r="C536" s="99"/>
      <c r="D536" s="98"/>
      <c r="E536" s="100"/>
      <c r="F536" s="101"/>
      <c r="G536" s="98"/>
      <c r="H536" s="100"/>
      <c r="I536" s="102"/>
      <c r="J536" s="102"/>
      <c r="K536" s="102"/>
      <c r="L536" s="101"/>
      <c r="M536" s="103"/>
      <c r="N536" s="102"/>
      <c r="O536" s="102"/>
      <c r="P536" s="102"/>
    </row>
    <row r="537" ht="15.75" customHeight="1">
      <c r="A537" s="97"/>
      <c r="B537" s="98"/>
      <c r="C537" s="99"/>
      <c r="D537" s="98"/>
      <c r="E537" s="100"/>
      <c r="F537" s="101"/>
      <c r="G537" s="98"/>
      <c r="H537" s="100"/>
      <c r="I537" s="102"/>
      <c r="J537" s="102"/>
      <c r="K537" s="102"/>
      <c r="L537" s="101"/>
      <c r="M537" s="103"/>
      <c r="N537" s="102"/>
      <c r="O537" s="102"/>
      <c r="P537" s="102"/>
    </row>
    <row r="538" ht="15.75" customHeight="1">
      <c r="A538" s="97"/>
      <c r="B538" s="98"/>
      <c r="C538" s="99"/>
      <c r="D538" s="98"/>
      <c r="E538" s="100"/>
      <c r="F538" s="101"/>
      <c r="G538" s="98"/>
      <c r="H538" s="100"/>
      <c r="I538" s="102"/>
      <c r="J538" s="102"/>
      <c r="K538" s="102"/>
      <c r="L538" s="101"/>
      <c r="M538" s="103"/>
      <c r="N538" s="102"/>
      <c r="O538" s="102"/>
      <c r="P538" s="102"/>
    </row>
    <row r="539" ht="15.75" customHeight="1">
      <c r="A539" s="97"/>
      <c r="B539" s="98"/>
      <c r="C539" s="99"/>
      <c r="D539" s="98"/>
      <c r="E539" s="100"/>
      <c r="F539" s="101"/>
      <c r="G539" s="98"/>
      <c r="H539" s="100"/>
      <c r="I539" s="102"/>
      <c r="J539" s="102"/>
      <c r="K539" s="102"/>
      <c r="L539" s="101"/>
      <c r="M539" s="103"/>
      <c r="N539" s="102"/>
      <c r="O539" s="102"/>
      <c r="P539" s="102"/>
    </row>
    <row r="540" ht="15.75" customHeight="1">
      <c r="A540" s="97"/>
      <c r="B540" s="98"/>
      <c r="C540" s="99"/>
      <c r="D540" s="98"/>
      <c r="E540" s="100"/>
      <c r="F540" s="101"/>
      <c r="G540" s="98"/>
      <c r="H540" s="100"/>
      <c r="I540" s="102"/>
      <c r="J540" s="102"/>
      <c r="K540" s="102"/>
      <c r="L540" s="101"/>
      <c r="M540" s="103"/>
      <c r="N540" s="102"/>
      <c r="O540" s="102"/>
      <c r="P540" s="102"/>
    </row>
    <row r="541" ht="15.75" customHeight="1">
      <c r="A541" s="97"/>
      <c r="B541" s="98"/>
      <c r="C541" s="99"/>
      <c r="D541" s="98"/>
      <c r="E541" s="100"/>
      <c r="F541" s="101"/>
      <c r="G541" s="98"/>
      <c r="H541" s="100"/>
      <c r="I541" s="102"/>
      <c r="J541" s="102"/>
      <c r="K541" s="102"/>
      <c r="L541" s="101"/>
      <c r="M541" s="103"/>
      <c r="N541" s="102"/>
      <c r="O541" s="102"/>
      <c r="P541" s="102"/>
    </row>
    <row r="542" ht="15.75" customHeight="1">
      <c r="A542" s="97"/>
      <c r="B542" s="98"/>
      <c r="C542" s="99"/>
      <c r="D542" s="98"/>
      <c r="E542" s="100"/>
      <c r="F542" s="101"/>
      <c r="G542" s="98"/>
      <c r="H542" s="100"/>
      <c r="I542" s="102"/>
      <c r="J542" s="102"/>
      <c r="K542" s="102"/>
      <c r="L542" s="101"/>
      <c r="M542" s="103"/>
      <c r="N542" s="102"/>
      <c r="O542" s="102"/>
      <c r="P542" s="102"/>
    </row>
    <row r="543" ht="15.75" customHeight="1">
      <c r="A543" s="97"/>
      <c r="B543" s="98"/>
      <c r="C543" s="99"/>
      <c r="D543" s="98"/>
      <c r="E543" s="100"/>
      <c r="F543" s="101"/>
      <c r="G543" s="98"/>
      <c r="H543" s="100"/>
      <c r="I543" s="102"/>
      <c r="J543" s="102"/>
      <c r="K543" s="102"/>
      <c r="L543" s="101"/>
      <c r="M543" s="103"/>
      <c r="N543" s="102"/>
      <c r="O543" s="102"/>
      <c r="P543" s="102"/>
    </row>
    <row r="544" ht="15.75" customHeight="1">
      <c r="A544" s="97"/>
      <c r="B544" s="98"/>
      <c r="C544" s="99"/>
      <c r="D544" s="98"/>
      <c r="E544" s="100"/>
      <c r="F544" s="101"/>
      <c r="G544" s="98"/>
      <c r="H544" s="100"/>
      <c r="I544" s="102"/>
      <c r="J544" s="102"/>
      <c r="K544" s="102"/>
      <c r="L544" s="101"/>
      <c r="M544" s="103"/>
      <c r="N544" s="102"/>
      <c r="O544" s="102"/>
      <c r="P544" s="102"/>
    </row>
    <row r="545" ht="15.75" customHeight="1">
      <c r="A545" s="97"/>
      <c r="B545" s="98"/>
      <c r="C545" s="99"/>
      <c r="D545" s="98"/>
      <c r="E545" s="100"/>
      <c r="F545" s="101"/>
      <c r="G545" s="98"/>
      <c r="H545" s="100"/>
      <c r="I545" s="102"/>
      <c r="J545" s="102"/>
      <c r="K545" s="102"/>
      <c r="L545" s="101"/>
      <c r="M545" s="103"/>
      <c r="N545" s="102"/>
      <c r="O545" s="102"/>
      <c r="P545" s="102"/>
    </row>
    <row r="546" ht="15.75" customHeight="1">
      <c r="A546" s="97"/>
      <c r="B546" s="98"/>
      <c r="C546" s="99"/>
      <c r="D546" s="98"/>
      <c r="E546" s="100"/>
      <c r="F546" s="101"/>
      <c r="G546" s="98"/>
      <c r="H546" s="100"/>
      <c r="I546" s="102"/>
      <c r="J546" s="102"/>
      <c r="K546" s="102"/>
      <c r="L546" s="101"/>
      <c r="M546" s="103"/>
      <c r="N546" s="102"/>
      <c r="O546" s="102"/>
      <c r="P546" s="102"/>
    </row>
    <row r="547" ht="15.75" customHeight="1">
      <c r="A547" s="97"/>
      <c r="B547" s="98"/>
      <c r="C547" s="99"/>
      <c r="D547" s="98"/>
      <c r="E547" s="100"/>
      <c r="F547" s="101"/>
      <c r="G547" s="98"/>
      <c r="H547" s="100"/>
      <c r="I547" s="102"/>
      <c r="J547" s="102"/>
      <c r="K547" s="102"/>
      <c r="L547" s="101"/>
      <c r="M547" s="103"/>
      <c r="N547" s="102"/>
      <c r="O547" s="102"/>
      <c r="P547" s="102"/>
    </row>
    <row r="548" ht="15.75" customHeight="1">
      <c r="A548" s="97"/>
      <c r="B548" s="98"/>
      <c r="C548" s="99"/>
      <c r="D548" s="98"/>
      <c r="E548" s="100"/>
      <c r="F548" s="101"/>
      <c r="G548" s="98"/>
      <c r="H548" s="100"/>
      <c r="I548" s="102"/>
      <c r="J548" s="102"/>
      <c r="K548" s="102"/>
      <c r="L548" s="101"/>
      <c r="M548" s="103"/>
      <c r="N548" s="102"/>
      <c r="O548" s="102"/>
      <c r="P548" s="102"/>
    </row>
    <row r="549" ht="15.75" customHeight="1">
      <c r="A549" s="97"/>
      <c r="B549" s="98"/>
      <c r="C549" s="99"/>
      <c r="D549" s="98"/>
      <c r="E549" s="100"/>
      <c r="F549" s="101"/>
      <c r="G549" s="98"/>
      <c r="H549" s="100"/>
      <c r="I549" s="102"/>
      <c r="J549" s="102"/>
      <c r="K549" s="102"/>
      <c r="L549" s="101"/>
      <c r="M549" s="103"/>
      <c r="N549" s="102"/>
      <c r="O549" s="102"/>
      <c r="P549" s="102"/>
    </row>
    <row r="550" ht="15.75" customHeight="1">
      <c r="A550" s="97"/>
      <c r="B550" s="98"/>
      <c r="C550" s="99"/>
      <c r="D550" s="98"/>
      <c r="E550" s="100"/>
      <c r="F550" s="101"/>
      <c r="G550" s="98"/>
      <c r="H550" s="100"/>
      <c r="I550" s="102"/>
      <c r="J550" s="102"/>
      <c r="K550" s="102"/>
      <c r="L550" s="101"/>
      <c r="M550" s="103"/>
      <c r="N550" s="102"/>
      <c r="O550" s="102"/>
      <c r="P550" s="102"/>
    </row>
    <row r="551" ht="15.75" customHeight="1">
      <c r="A551" s="97"/>
      <c r="B551" s="98"/>
      <c r="C551" s="99"/>
      <c r="D551" s="98"/>
      <c r="E551" s="100"/>
      <c r="F551" s="101"/>
      <c r="G551" s="98"/>
      <c r="H551" s="100"/>
      <c r="I551" s="102"/>
      <c r="J551" s="102"/>
      <c r="K551" s="102"/>
      <c r="L551" s="101"/>
      <c r="M551" s="103"/>
      <c r="N551" s="102"/>
      <c r="O551" s="102"/>
      <c r="P551" s="102"/>
    </row>
    <row r="552" ht="15.75" customHeight="1">
      <c r="A552" s="97"/>
      <c r="B552" s="98"/>
      <c r="C552" s="99"/>
      <c r="D552" s="98"/>
      <c r="E552" s="100"/>
      <c r="F552" s="101"/>
      <c r="G552" s="98"/>
      <c r="H552" s="100"/>
      <c r="I552" s="102"/>
      <c r="J552" s="102"/>
      <c r="K552" s="102"/>
      <c r="L552" s="101"/>
      <c r="M552" s="103"/>
      <c r="N552" s="102"/>
      <c r="O552" s="102"/>
      <c r="P552" s="102"/>
    </row>
    <row r="553" ht="15.75" customHeight="1">
      <c r="A553" s="97"/>
      <c r="B553" s="98"/>
      <c r="C553" s="99"/>
      <c r="D553" s="98"/>
      <c r="E553" s="100"/>
      <c r="F553" s="101"/>
      <c r="G553" s="98"/>
      <c r="H553" s="100"/>
      <c r="I553" s="102"/>
      <c r="J553" s="102"/>
      <c r="K553" s="102"/>
      <c r="L553" s="101"/>
      <c r="M553" s="103"/>
      <c r="N553" s="102"/>
      <c r="O553" s="102"/>
      <c r="P553" s="102"/>
    </row>
    <row r="554" ht="15.75" customHeight="1">
      <c r="A554" s="97"/>
      <c r="B554" s="98"/>
      <c r="C554" s="99"/>
      <c r="D554" s="98"/>
      <c r="E554" s="100"/>
      <c r="F554" s="101"/>
      <c r="G554" s="98"/>
      <c r="H554" s="100"/>
      <c r="I554" s="102"/>
      <c r="J554" s="102"/>
      <c r="K554" s="102"/>
      <c r="L554" s="101"/>
      <c r="M554" s="103"/>
      <c r="N554" s="102"/>
      <c r="O554" s="102"/>
      <c r="P554" s="102"/>
    </row>
    <row r="555" ht="15.75" customHeight="1">
      <c r="A555" s="97"/>
      <c r="B555" s="98"/>
      <c r="C555" s="99"/>
      <c r="D555" s="98"/>
      <c r="E555" s="100"/>
      <c r="F555" s="101"/>
      <c r="G555" s="98"/>
      <c r="H555" s="100"/>
      <c r="I555" s="102"/>
      <c r="J555" s="102"/>
      <c r="K555" s="102"/>
      <c r="L555" s="101"/>
      <c r="M555" s="103"/>
      <c r="N555" s="102"/>
      <c r="O555" s="102"/>
      <c r="P555" s="102"/>
    </row>
    <row r="556" ht="15.75" customHeight="1">
      <c r="A556" s="97"/>
      <c r="B556" s="98"/>
      <c r="C556" s="99"/>
      <c r="D556" s="98"/>
      <c r="E556" s="100"/>
      <c r="F556" s="101"/>
      <c r="G556" s="98"/>
      <c r="H556" s="100"/>
      <c r="I556" s="102"/>
      <c r="J556" s="102"/>
      <c r="K556" s="102"/>
      <c r="L556" s="101"/>
      <c r="M556" s="103"/>
      <c r="N556" s="102"/>
      <c r="O556" s="102"/>
      <c r="P556" s="102"/>
    </row>
    <row r="557" ht="15.75" customHeight="1">
      <c r="A557" s="97"/>
      <c r="B557" s="98"/>
      <c r="C557" s="99"/>
      <c r="D557" s="98"/>
      <c r="E557" s="100"/>
      <c r="F557" s="101"/>
      <c r="G557" s="98"/>
      <c r="H557" s="100"/>
      <c r="I557" s="102"/>
      <c r="J557" s="102"/>
      <c r="K557" s="102"/>
      <c r="L557" s="101"/>
      <c r="M557" s="103"/>
      <c r="N557" s="102"/>
      <c r="O557" s="102"/>
      <c r="P557" s="102"/>
    </row>
    <row r="558" ht="15.75" customHeight="1">
      <c r="A558" s="97"/>
      <c r="B558" s="98"/>
      <c r="C558" s="99"/>
      <c r="D558" s="98"/>
      <c r="E558" s="100"/>
      <c r="F558" s="101"/>
      <c r="G558" s="98"/>
      <c r="H558" s="100"/>
      <c r="I558" s="102"/>
      <c r="J558" s="102"/>
      <c r="K558" s="102"/>
      <c r="L558" s="101"/>
      <c r="M558" s="103"/>
      <c r="N558" s="102"/>
      <c r="O558" s="102"/>
      <c r="P558" s="102"/>
    </row>
    <row r="559" ht="15.75" customHeight="1">
      <c r="A559" s="97"/>
      <c r="B559" s="98"/>
      <c r="C559" s="99"/>
      <c r="D559" s="98"/>
      <c r="E559" s="100"/>
      <c r="F559" s="101"/>
      <c r="G559" s="98"/>
      <c r="H559" s="100"/>
      <c r="I559" s="102"/>
      <c r="J559" s="102"/>
      <c r="K559" s="102"/>
      <c r="L559" s="101"/>
      <c r="M559" s="103"/>
      <c r="N559" s="102"/>
      <c r="O559" s="102"/>
      <c r="P559" s="102"/>
    </row>
    <row r="560" ht="15.75" customHeight="1">
      <c r="A560" s="97"/>
      <c r="B560" s="98"/>
      <c r="C560" s="99"/>
      <c r="D560" s="98"/>
      <c r="E560" s="100"/>
      <c r="F560" s="101"/>
      <c r="G560" s="98"/>
      <c r="H560" s="100"/>
      <c r="I560" s="102"/>
      <c r="J560" s="102"/>
      <c r="K560" s="102"/>
      <c r="L560" s="101"/>
      <c r="M560" s="103"/>
      <c r="N560" s="102"/>
      <c r="O560" s="102"/>
      <c r="P560" s="102"/>
    </row>
    <row r="561" ht="15.75" customHeight="1">
      <c r="A561" s="97"/>
      <c r="B561" s="98"/>
      <c r="C561" s="99"/>
      <c r="D561" s="98"/>
      <c r="E561" s="100"/>
      <c r="F561" s="101"/>
      <c r="G561" s="98"/>
      <c r="H561" s="100"/>
      <c r="I561" s="102"/>
      <c r="J561" s="102"/>
      <c r="K561" s="102"/>
      <c r="L561" s="101"/>
      <c r="M561" s="103"/>
      <c r="N561" s="102"/>
      <c r="O561" s="102"/>
      <c r="P561" s="102"/>
    </row>
    <row r="562" ht="15.75" customHeight="1">
      <c r="A562" s="97"/>
      <c r="B562" s="98"/>
      <c r="C562" s="99"/>
      <c r="D562" s="98"/>
      <c r="E562" s="100"/>
      <c r="F562" s="101"/>
      <c r="G562" s="98"/>
      <c r="H562" s="100"/>
      <c r="I562" s="102"/>
      <c r="J562" s="102"/>
      <c r="K562" s="102"/>
      <c r="L562" s="101"/>
      <c r="M562" s="103"/>
      <c r="N562" s="102"/>
      <c r="O562" s="102"/>
      <c r="P562" s="102"/>
    </row>
    <row r="563" ht="15.75" customHeight="1">
      <c r="A563" s="97"/>
      <c r="B563" s="98"/>
      <c r="C563" s="99"/>
      <c r="D563" s="98"/>
      <c r="E563" s="100"/>
      <c r="F563" s="101"/>
      <c r="G563" s="98"/>
      <c r="H563" s="100"/>
      <c r="I563" s="102"/>
      <c r="J563" s="102"/>
      <c r="K563" s="102"/>
      <c r="L563" s="101"/>
      <c r="M563" s="103"/>
      <c r="N563" s="102"/>
      <c r="O563" s="102"/>
      <c r="P563" s="102"/>
    </row>
    <row r="564" ht="15.75" customHeight="1">
      <c r="A564" s="97"/>
      <c r="B564" s="98"/>
      <c r="C564" s="99"/>
      <c r="D564" s="98"/>
      <c r="E564" s="100"/>
      <c r="F564" s="101"/>
      <c r="G564" s="98"/>
      <c r="H564" s="100"/>
      <c r="I564" s="102"/>
      <c r="J564" s="102"/>
      <c r="K564" s="102"/>
      <c r="L564" s="101"/>
      <c r="M564" s="103"/>
      <c r="N564" s="102"/>
      <c r="O564" s="102"/>
      <c r="P564" s="102"/>
    </row>
    <row r="565" ht="15.75" customHeight="1">
      <c r="A565" s="97"/>
      <c r="B565" s="98"/>
      <c r="C565" s="99"/>
      <c r="D565" s="98"/>
      <c r="E565" s="100"/>
      <c r="F565" s="101"/>
      <c r="G565" s="98"/>
      <c r="H565" s="100"/>
      <c r="I565" s="102"/>
      <c r="J565" s="102"/>
      <c r="K565" s="102"/>
      <c r="L565" s="101"/>
      <c r="M565" s="103"/>
      <c r="N565" s="102"/>
      <c r="O565" s="102"/>
      <c r="P565" s="102"/>
    </row>
    <row r="566" ht="15.75" customHeight="1">
      <c r="A566" s="97"/>
      <c r="B566" s="98"/>
      <c r="C566" s="99"/>
      <c r="D566" s="98"/>
      <c r="E566" s="100"/>
      <c r="F566" s="101"/>
      <c r="G566" s="98"/>
      <c r="H566" s="100"/>
      <c r="I566" s="102"/>
      <c r="J566" s="102"/>
      <c r="K566" s="102"/>
      <c r="L566" s="101"/>
      <c r="M566" s="103"/>
      <c r="N566" s="102"/>
      <c r="O566" s="102"/>
      <c r="P566" s="102"/>
    </row>
    <row r="567" ht="15.75" customHeight="1">
      <c r="A567" s="97"/>
      <c r="B567" s="98"/>
      <c r="C567" s="99"/>
      <c r="D567" s="98"/>
      <c r="E567" s="100"/>
      <c r="F567" s="101"/>
      <c r="G567" s="98"/>
      <c r="H567" s="100"/>
      <c r="I567" s="102"/>
      <c r="J567" s="102"/>
      <c r="K567" s="102"/>
      <c r="L567" s="101"/>
      <c r="M567" s="103"/>
      <c r="N567" s="102"/>
      <c r="O567" s="102"/>
      <c r="P567" s="102"/>
    </row>
    <row r="568" ht="15.75" customHeight="1">
      <c r="A568" s="97"/>
      <c r="B568" s="98"/>
      <c r="C568" s="99"/>
      <c r="D568" s="98"/>
      <c r="E568" s="100"/>
      <c r="F568" s="101"/>
      <c r="G568" s="98"/>
      <c r="H568" s="100"/>
      <c r="I568" s="102"/>
      <c r="J568" s="102"/>
      <c r="K568" s="102"/>
      <c r="L568" s="101"/>
      <c r="M568" s="103"/>
      <c r="N568" s="102"/>
      <c r="O568" s="102"/>
      <c r="P568" s="102"/>
    </row>
    <row r="569" ht="15.75" customHeight="1">
      <c r="A569" s="97"/>
      <c r="B569" s="98"/>
      <c r="C569" s="99"/>
      <c r="D569" s="98"/>
      <c r="E569" s="100"/>
      <c r="F569" s="101"/>
      <c r="G569" s="98"/>
      <c r="H569" s="100"/>
      <c r="I569" s="102"/>
      <c r="J569" s="102"/>
      <c r="K569" s="102"/>
      <c r="L569" s="101"/>
      <c r="M569" s="103"/>
      <c r="N569" s="102"/>
      <c r="O569" s="102"/>
      <c r="P569" s="102"/>
    </row>
    <row r="570" ht="15.75" customHeight="1">
      <c r="A570" s="97"/>
      <c r="B570" s="98"/>
      <c r="C570" s="99"/>
      <c r="D570" s="98"/>
      <c r="E570" s="100"/>
      <c r="F570" s="101"/>
      <c r="G570" s="98"/>
      <c r="H570" s="100"/>
      <c r="I570" s="102"/>
      <c r="J570" s="102"/>
      <c r="K570" s="102"/>
      <c r="L570" s="101"/>
      <c r="M570" s="103"/>
      <c r="N570" s="102"/>
      <c r="O570" s="102"/>
      <c r="P570" s="102"/>
    </row>
    <row r="571" ht="15.75" customHeight="1">
      <c r="A571" s="97"/>
      <c r="B571" s="98"/>
      <c r="C571" s="99"/>
      <c r="D571" s="98"/>
      <c r="E571" s="100"/>
      <c r="F571" s="101"/>
      <c r="G571" s="98"/>
      <c r="H571" s="100"/>
      <c r="I571" s="102"/>
      <c r="J571" s="102"/>
      <c r="K571" s="102"/>
      <c r="L571" s="101"/>
      <c r="M571" s="103"/>
      <c r="N571" s="102"/>
      <c r="O571" s="102"/>
      <c r="P571" s="102"/>
    </row>
    <row r="572" ht="15.75" customHeight="1">
      <c r="A572" s="97"/>
      <c r="B572" s="98"/>
      <c r="C572" s="99"/>
      <c r="D572" s="98"/>
      <c r="E572" s="100"/>
      <c r="F572" s="101"/>
      <c r="G572" s="98"/>
      <c r="H572" s="100"/>
      <c r="I572" s="102"/>
      <c r="J572" s="102"/>
      <c r="K572" s="102"/>
      <c r="L572" s="101"/>
      <c r="M572" s="103"/>
      <c r="N572" s="102"/>
      <c r="O572" s="102"/>
      <c r="P572" s="102"/>
    </row>
    <row r="573" ht="15.75" customHeight="1">
      <c r="A573" s="97"/>
      <c r="B573" s="98"/>
      <c r="C573" s="99"/>
      <c r="D573" s="98"/>
      <c r="E573" s="100"/>
      <c r="F573" s="101"/>
      <c r="G573" s="98"/>
      <c r="H573" s="100"/>
      <c r="I573" s="102"/>
      <c r="J573" s="102"/>
      <c r="K573" s="102"/>
      <c r="L573" s="101"/>
      <c r="M573" s="103"/>
      <c r="N573" s="102"/>
      <c r="O573" s="102"/>
      <c r="P573" s="102"/>
    </row>
    <row r="574" ht="15.75" customHeight="1">
      <c r="A574" s="97"/>
      <c r="B574" s="98"/>
      <c r="C574" s="99"/>
      <c r="D574" s="98"/>
      <c r="E574" s="100"/>
      <c r="F574" s="101"/>
      <c r="G574" s="98"/>
      <c r="H574" s="100"/>
      <c r="I574" s="102"/>
      <c r="J574" s="102"/>
      <c r="K574" s="102"/>
      <c r="L574" s="101"/>
      <c r="M574" s="103"/>
      <c r="N574" s="102"/>
      <c r="O574" s="102"/>
      <c r="P574" s="102"/>
    </row>
    <row r="575" ht="15.75" customHeight="1">
      <c r="A575" s="97"/>
      <c r="B575" s="98"/>
      <c r="C575" s="99"/>
      <c r="D575" s="98"/>
      <c r="E575" s="100"/>
      <c r="F575" s="101"/>
      <c r="G575" s="98"/>
      <c r="H575" s="100"/>
      <c r="I575" s="102"/>
      <c r="J575" s="102"/>
      <c r="K575" s="102"/>
      <c r="L575" s="101"/>
      <c r="M575" s="103"/>
      <c r="N575" s="102"/>
      <c r="O575" s="102"/>
      <c r="P575" s="102"/>
    </row>
    <row r="576" ht="15.75" customHeight="1">
      <c r="A576" s="97"/>
      <c r="B576" s="98"/>
      <c r="C576" s="99"/>
      <c r="D576" s="98"/>
      <c r="E576" s="100"/>
      <c r="F576" s="101"/>
      <c r="G576" s="98"/>
      <c r="H576" s="100"/>
      <c r="I576" s="102"/>
      <c r="J576" s="102"/>
      <c r="K576" s="102"/>
      <c r="L576" s="101"/>
      <c r="M576" s="103"/>
      <c r="N576" s="102"/>
      <c r="O576" s="102"/>
      <c r="P576" s="102"/>
    </row>
    <row r="577" ht="15.75" customHeight="1">
      <c r="A577" s="97"/>
      <c r="B577" s="98"/>
      <c r="C577" s="99"/>
      <c r="D577" s="98"/>
      <c r="E577" s="100"/>
      <c r="F577" s="101"/>
      <c r="G577" s="98"/>
      <c r="H577" s="100"/>
      <c r="I577" s="102"/>
      <c r="J577" s="102"/>
      <c r="K577" s="102"/>
      <c r="L577" s="101"/>
      <c r="M577" s="103"/>
      <c r="N577" s="102"/>
      <c r="O577" s="102"/>
      <c r="P577" s="102"/>
    </row>
    <row r="578" ht="15.75" customHeight="1">
      <c r="A578" s="97"/>
      <c r="B578" s="98"/>
      <c r="C578" s="99"/>
      <c r="D578" s="98"/>
      <c r="E578" s="100"/>
      <c r="F578" s="101"/>
      <c r="G578" s="98"/>
      <c r="H578" s="100"/>
      <c r="I578" s="102"/>
      <c r="J578" s="102"/>
      <c r="K578" s="102"/>
      <c r="L578" s="101"/>
      <c r="M578" s="103"/>
      <c r="N578" s="102"/>
      <c r="O578" s="102"/>
      <c r="P578" s="102"/>
    </row>
    <row r="579" ht="15.75" customHeight="1">
      <c r="A579" s="97"/>
      <c r="B579" s="98"/>
      <c r="C579" s="99"/>
      <c r="D579" s="98"/>
      <c r="E579" s="100"/>
      <c r="F579" s="101"/>
      <c r="G579" s="98"/>
      <c r="H579" s="100"/>
      <c r="I579" s="102"/>
      <c r="J579" s="102"/>
      <c r="K579" s="102"/>
      <c r="L579" s="101"/>
      <c r="M579" s="103"/>
      <c r="N579" s="102"/>
      <c r="O579" s="102"/>
      <c r="P579" s="102"/>
    </row>
    <row r="580" ht="15.75" customHeight="1">
      <c r="A580" s="97"/>
      <c r="B580" s="98"/>
      <c r="C580" s="99"/>
      <c r="D580" s="98"/>
      <c r="E580" s="100"/>
      <c r="F580" s="101"/>
      <c r="G580" s="98"/>
      <c r="H580" s="100"/>
      <c r="I580" s="102"/>
      <c r="J580" s="102"/>
      <c r="K580" s="102"/>
      <c r="L580" s="101"/>
      <c r="M580" s="103"/>
      <c r="N580" s="102"/>
      <c r="O580" s="102"/>
      <c r="P580" s="102"/>
    </row>
    <row r="581" ht="15.75" customHeight="1">
      <c r="A581" s="97"/>
      <c r="B581" s="98"/>
      <c r="C581" s="99"/>
      <c r="D581" s="98"/>
      <c r="E581" s="100"/>
      <c r="F581" s="101"/>
      <c r="G581" s="98"/>
      <c r="H581" s="100"/>
      <c r="I581" s="102"/>
      <c r="J581" s="102"/>
      <c r="K581" s="102"/>
      <c r="L581" s="101"/>
      <c r="M581" s="103"/>
      <c r="N581" s="102"/>
      <c r="O581" s="102"/>
      <c r="P581" s="102"/>
    </row>
    <row r="582" ht="15.75" customHeight="1">
      <c r="A582" s="97"/>
      <c r="B582" s="98"/>
      <c r="C582" s="99"/>
      <c r="D582" s="98"/>
      <c r="E582" s="100"/>
      <c r="F582" s="101"/>
      <c r="G582" s="98"/>
      <c r="H582" s="100"/>
      <c r="I582" s="102"/>
      <c r="J582" s="102"/>
      <c r="K582" s="102"/>
      <c r="L582" s="101"/>
      <c r="M582" s="103"/>
      <c r="N582" s="102"/>
      <c r="O582" s="102"/>
      <c r="P582" s="102"/>
    </row>
    <row r="583" ht="15.75" customHeight="1">
      <c r="A583" s="97"/>
      <c r="B583" s="98"/>
      <c r="C583" s="99"/>
      <c r="D583" s="98"/>
      <c r="E583" s="100"/>
      <c r="F583" s="101"/>
      <c r="G583" s="98"/>
      <c r="H583" s="100"/>
      <c r="I583" s="102"/>
      <c r="J583" s="102"/>
      <c r="K583" s="102"/>
      <c r="L583" s="101"/>
      <c r="M583" s="103"/>
      <c r="N583" s="102"/>
      <c r="O583" s="102"/>
      <c r="P583" s="102"/>
    </row>
    <row r="584" ht="15.75" customHeight="1">
      <c r="A584" s="97"/>
      <c r="B584" s="98"/>
      <c r="C584" s="99"/>
      <c r="D584" s="98"/>
      <c r="E584" s="100"/>
      <c r="F584" s="101"/>
      <c r="G584" s="98"/>
      <c r="H584" s="100"/>
      <c r="I584" s="102"/>
      <c r="J584" s="102"/>
      <c r="K584" s="102"/>
      <c r="L584" s="101"/>
      <c r="M584" s="103"/>
      <c r="N584" s="102"/>
      <c r="O584" s="102"/>
      <c r="P584" s="102"/>
    </row>
    <row r="585" ht="15.75" customHeight="1">
      <c r="A585" s="97"/>
      <c r="B585" s="98"/>
      <c r="C585" s="99"/>
      <c r="D585" s="98"/>
      <c r="E585" s="100"/>
      <c r="F585" s="101"/>
      <c r="G585" s="98"/>
      <c r="H585" s="100"/>
      <c r="I585" s="102"/>
      <c r="J585" s="102"/>
      <c r="K585" s="102"/>
      <c r="L585" s="101"/>
      <c r="M585" s="103"/>
      <c r="N585" s="102"/>
      <c r="O585" s="102"/>
      <c r="P585" s="102"/>
    </row>
    <row r="586" ht="15.75" customHeight="1">
      <c r="A586" s="97"/>
      <c r="B586" s="98"/>
      <c r="C586" s="99"/>
      <c r="D586" s="98"/>
      <c r="E586" s="100"/>
      <c r="F586" s="101"/>
      <c r="G586" s="98"/>
      <c r="H586" s="100"/>
      <c r="I586" s="102"/>
      <c r="J586" s="102"/>
      <c r="K586" s="102"/>
      <c r="L586" s="101"/>
      <c r="M586" s="103"/>
      <c r="N586" s="102"/>
      <c r="O586" s="102"/>
      <c r="P586" s="102"/>
    </row>
    <row r="587" ht="15.75" customHeight="1">
      <c r="A587" s="97"/>
      <c r="B587" s="98"/>
      <c r="C587" s="99"/>
      <c r="D587" s="98"/>
      <c r="E587" s="100"/>
      <c r="F587" s="101"/>
      <c r="G587" s="98"/>
      <c r="H587" s="100"/>
      <c r="I587" s="102"/>
      <c r="J587" s="102"/>
      <c r="K587" s="102"/>
      <c r="L587" s="101"/>
      <c r="M587" s="103"/>
      <c r="N587" s="102"/>
      <c r="O587" s="102"/>
      <c r="P587" s="102"/>
    </row>
    <row r="588" ht="15.75" customHeight="1">
      <c r="A588" s="97"/>
      <c r="B588" s="98"/>
      <c r="C588" s="99"/>
      <c r="D588" s="98"/>
      <c r="E588" s="100"/>
      <c r="F588" s="101"/>
      <c r="G588" s="98"/>
      <c r="H588" s="100"/>
      <c r="I588" s="102"/>
      <c r="J588" s="102"/>
      <c r="K588" s="102"/>
      <c r="L588" s="101"/>
      <c r="M588" s="103"/>
      <c r="N588" s="102"/>
      <c r="O588" s="102"/>
      <c r="P588" s="102"/>
    </row>
    <row r="589" ht="15.75" customHeight="1">
      <c r="A589" s="97"/>
      <c r="B589" s="98"/>
      <c r="C589" s="99"/>
      <c r="D589" s="98"/>
      <c r="E589" s="100"/>
      <c r="F589" s="101"/>
      <c r="G589" s="98"/>
      <c r="H589" s="100"/>
      <c r="I589" s="102"/>
      <c r="J589" s="102"/>
      <c r="K589" s="102"/>
      <c r="L589" s="101"/>
      <c r="M589" s="103"/>
      <c r="N589" s="102"/>
      <c r="O589" s="102"/>
      <c r="P589" s="102"/>
    </row>
    <row r="590" ht="15.75" customHeight="1">
      <c r="A590" s="97"/>
      <c r="B590" s="98"/>
      <c r="C590" s="99"/>
      <c r="D590" s="98"/>
      <c r="E590" s="100"/>
      <c r="F590" s="101"/>
      <c r="G590" s="98"/>
      <c r="H590" s="100"/>
      <c r="I590" s="102"/>
      <c r="J590" s="102"/>
      <c r="K590" s="102"/>
      <c r="L590" s="101"/>
      <c r="M590" s="103"/>
      <c r="N590" s="102"/>
      <c r="O590" s="102"/>
      <c r="P590" s="102"/>
    </row>
    <row r="591" ht="15.75" customHeight="1">
      <c r="A591" s="97"/>
      <c r="B591" s="98"/>
      <c r="C591" s="99"/>
      <c r="D591" s="98"/>
      <c r="E591" s="100"/>
      <c r="F591" s="101"/>
      <c r="G591" s="98"/>
      <c r="H591" s="100"/>
      <c r="I591" s="102"/>
      <c r="J591" s="102"/>
      <c r="K591" s="102"/>
      <c r="L591" s="101"/>
      <c r="M591" s="103"/>
      <c r="N591" s="102"/>
      <c r="O591" s="102"/>
      <c r="P591" s="102"/>
    </row>
    <row r="592" ht="15.75" customHeight="1">
      <c r="A592" s="97"/>
      <c r="B592" s="98"/>
      <c r="C592" s="99"/>
      <c r="D592" s="98"/>
      <c r="E592" s="100"/>
      <c r="F592" s="101"/>
      <c r="G592" s="98"/>
      <c r="H592" s="100"/>
      <c r="I592" s="102"/>
      <c r="J592" s="102"/>
      <c r="K592" s="102"/>
      <c r="L592" s="101"/>
      <c r="M592" s="103"/>
      <c r="N592" s="102"/>
      <c r="O592" s="102"/>
      <c r="P592" s="102"/>
    </row>
    <row r="593" ht="15.75" customHeight="1">
      <c r="A593" s="97"/>
      <c r="B593" s="98"/>
      <c r="C593" s="99"/>
      <c r="D593" s="98"/>
      <c r="E593" s="100"/>
      <c r="F593" s="101"/>
      <c r="G593" s="98"/>
      <c r="H593" s="100"/>
      <c r="I593" s="102"/>
      <c r="J593" s="102"/>
      <c r="K593" s="102"/>
      <c r="L593" s="101"/>
      <c r="M593" s="103"/>
      <c r="N593" s="102"/>
      <c r="O593" s="102"/>
      <c r="P593" s="102"/>
    </row>
    <row r="594" ht="15.75" customHeight="1">
      <c r="A594" s="97"/>
      <c r="B594" s="98"/>
      <c r="C594" s="99"/>
      <c r="D594" s="98"/>
      <c r="E594" s="100"/>
      <c r="F594" s="101"/>
      <c r="G594" s="98"/>
      <c r="H594" s="100"/>
      <c r="I594" s="102"/>
      <c r="J594" s="102"/>
      <c r="K594" s="102"/>
      <c r="L594" s="101"/>
      <c r="M594" s="103"/>
      <c r="N594" s="102"/>
      <c r="O594" s="102"/>
      <c r="P594" s="102"/>
    </row>
    <row r="595" ht="15.75" customHeight="1">
      <c r="A595" s="97"/>
      <c r="B595" s="98"/>
      <c r="C595" s="99"/>
      <c r="D595" s="98"/>
      <c r="E595" s="100"/>
      <c r="F595" s="101"/>
      <c r="G595" s="98"/>
      <c r="H595" s="100"/>
      <c r="I595" s="102"/>
      <c r="J595" s="102"/>
      <c r="K595" s="102"/>
      <c r="L595" s="101"/>
      <c r="M595" s="103"/>
      <c r="N595" s="102"/>
      <c r="O595" s="102"/>
      <c r="P595" s="102"/>
    </row>
    <row r="596" ht="15.75" customHeight="1">
      <c r="A596" s="97"/>
      <c r="B596" s="98"/>
      <c r="C596" s="99"/>
      <c r="D596" s="98"/>
      <c r="E596" s="100"/>
      <c r="F596" s="101"/>
      <c r="G596" s="98"/>
      <c r="H596" s="100"/>
      <c r="I596" s="102"/>
      <c r="J596" s="102"/>
      <c r="K596" s="102"/>
      <c r="L596" s="101"/>
      <c r="M596" s="103"/>
      <c r="N596" s="102"/>
      <c r="O596" s="102"/>
      <c r="P596" s="102"/>
    </row>
    <row r="597" ht="15.75" customHeight="1">
      <c r="A597" s="97"/>
      <c r="B597" s="98"/>
      <c r="C597" s="99"/>
      <c r="D597" s="98"/>
      <c r="E597" s="100"/>
      <c r="F597" s="101"/>
      <c r="G597" s="98"/>
      <c r="H597" s="100"/>
      <c r="I597" s="102"/>
      <c r="J597" s="102"/>
      <c r="K597" s="102"/>
      <c r="L597" s="101"/>
      <c r="M597" s="103"/>
      <c r="N597" s="102"/>
      <c r="O597" s="102"/>
      <c r="P597" s="102"/>
    </row>
    <row r="598" ht="15.75" customHeight="1">
      <c r="A598" s="97"/>
      <c r="B598" s="98"/>
      <c r="C598" s="99"/>
      <c r="D598" s="98"/>
      <c r="E598" s="100"/>
      <c r="F598" s="101"/>
      <c r="G598" s="98"/>
      <c r="H598" s="100"/>
      <c r="I598" s="102"/>
      <c r="J598" s="102"/>
      <c r="K598" s="102"/>
      <c r="L598" s="101"/>
      <c r="M598" s="103"/>
      <c r="N598" s="102"/>
      <c r="O598" s="102"/>
      <c r="P598" s="102"/>
    </row>
    <row r="599" ht="15.75" customHeight="1">
      <c r="A599" s="97"/>
      <c r="B599" s="98"/>
      <c r="C599" s="99"/>
      <c r="D599" s="98"/>
      <c r="E599" s="100"/>
      <c r="F599" s="101"/>
      <c r="G599" s="98"/>
      <c r="H599" s="100"/>
      <c r="I599" s="102"/>
      <c r="J599" s="102"/>
      <c r="K599" s="102"/>
      <c r="L599" s="101"/>
      <c r="M599" s="103"/>
      <c r="N599" s="102"/>
      <c r="O599" s="102"/>
      <c r="P599" s="102"/>
    </row>
    <row r="600" ht="15.75" customHeight="1">
      <c r="A600" s="97"/>
      <c r="B600" s="98"/>
      <c r="C600" s="99"/>
      <c r="D600" s="98"/>
      <c r="E600" s="100"/>
      <c r="F600" s="101"/>
      <c r="G600" s="98"/>
      <c r="H600" s="100"/>
      <c r="I600" s="102"/>
      <c r="J600" s="102"/>
      <c r="K600" s="102"/>
      <c r="L600" s="101"/>
      <c r="M600" s="103"/>
      <c r="N600" s="102"/>
      <c r="O600" s="102"/>
      <c r="P600" s="102"/>
    </row>
    <row r="601" ht="15.75" customHeight="1">
      <c r="A601" s="97"/>
      <c r="B601" s="98"/>
      <c r="C601" s="99"/>
      <c r="D601" s="98"/>
      <c r="E601" s="100"/>
      <c r="F601" s="101"/>
      <c r="G601" s="98"/>
      <c r="H601" s="100"/>
      <c r="I601" s="102"/>
      <c r="J601" s="102"/>
      <c r="K601" s="102"/>
      <c r="L601" s="101"/>
      <c r="M601" s="103"/>
      <c r="N601" s="102"/>
      <c r="O601" s="102"/>
      <c r="P601" s="102"/>
    </row>
    <row r="602" ht="15.75" customHeight="1">
      <c r="A602" s="97"/>
      <c r="B602" s="98"/>
      <c r="C602" s="99"/>
      <c r="D602" s="98"/>
      <c r="E602" s="100"/>
      <c r="F602" s="101"/>
      <c r="G602" s="98"/>
      <c r="H602" s="100"/>
      <c r="I602" s="102"/>
      <c r="J602" s="102"/>
      <c r="K602" s="102"/>
      <c r="L602" s="101"/>
      <c r="M602" s="103"/>
      <c r="N602" s="102"/>
      <c r="O602" s="102"/>
      <c r="P602" s="102"/>
    </row>
    <row r="603" ht="15.75" customHeight="1">
      <c r="A603" s="97"/>
      <c r="B603" s="98"/>
      <c r="C603" s="99"/>
      <c r="D603" s="98"/>
      <c r="E603" s="100"/>
      <c r="F603" s="101"/>
      <c r="G603" s="98"/>
      <c r="H603" s="100"/>
      <c r="I603" s="102"/>
      <c r="J603" s="102"/>
      <c r="K603" s="102"/>
      <c r="L603" s="101"/>
      <c r="M603" s="103"/>
      <c r="N603" s="102"/>
      <c r="O603" s="102"/>
      <c r="P603" s="102"/>
    </row>
    <row r="604" ht="15.75" customHeight="1">
      <c r="A604" s="97"/>
      <c r="B604" s="98"/>
      <c r="C604" s="99"/>
      <c r="D604" s="98"/>
      <c r="E604" s="100"/>
      <c r="F604" s="101"/>
      <c r="G604" s="98"/>
      <c r="H604" s="100"/>
      <c r="I604" s="102"/>
      <c r="J604" s="102"/>
      <c r="K604" s="102"/>
      <c r="L604" s="101"/>
      <c r="M604" s="103"/>
      <c r="N604" s="102"/>
      <c r="O604" s="102"/>
      <c r="P604" s="102"/>
    </row>
    <row r="605" ht="15.75" customHeight="1">
      <c r="A605" s="97"/>
      <c r="B605" s="98"/>
      <c r="C605" s="99"/>
      <c r="D605" s="98"/>
      <c r="E605" s="100"/>
      <c r="F605" s="101"/>
      <c r="G605" s="98"/>
      <c r="H605" s="100"/>
      <c r="I605" s="102"/>
      <c r="J605" s="102"/>
      <c r="K605" s="102"/>
      <c r="L605" s="101"/>
      <c r="M605" s="103"/>
      <c r="N605" s="102"/>
      <c r="O605" s="102"/>
      <c r="P605" s="102"/>
    </row>
    <row r="606" ht="15.75" customHeight="1">
      <c r="A606" s="97"/>
      <c r="B606" s="98"/>
      <c r="C606" s="99"/>
      <c r="D606" s="98"/>
      <c r="E606" s="100"/>
      <c r="F606" s="101"/>
      <c r="G606" s="98"/>
      <c r="H606" s="100"/>
      <c r="I606" s="102"/>
      <c r="J606" s="102"/>
      <c r="K606" s="102"/>
      <c r="L606" s="101"/>
      <c r="M606" s="103"/>
      <c r="N606" s="102"/>
      <c r="O606" s="102"/>
      <c r="P606" s="102"/>
    </row>
    <row r="607" ht="15.75" customHeight="1">
      <c r="A607" s="97"/>
      <c r="B607" s="98"/>
      <c r="C607" s="99"/>
      <c r="D607" s="98"/>
      <c r="E607" s="100"/>
      <c r="F607" s="101"/>
      <c r="G607" s="98"/>
      <c r="H607" s="100"/>
      <c r="I607" s="102"/>
      <c r="J607" s="102"/>
      <c r="K607" s="102"/>
      <c r="L607" s="101"/>
      <c r="M607" s="103"/>
      <c r="N607" s="102"/>
      <c r="O607" s="102"/>
      <c r="P607" s="102"/>
    </row>
    <row r="608" ht="15.75" customHeight="1">
      <c r="A608" s="97"/>
      <c r="B608" s="98"/>
      <c r="C608" s="99"/>
      <c r="D608" s="98"/>
      <c r="E608" s="100"/>
      <c r="F608" s="101"/>
      <c r="G608" s="98"/>
      <c r="H608" s="100"/>
      <c r="I608" s="102"/>
      <c r="J608" s="102"/>
      <c r="K608" s="102"/>
      <c r="L608" s="101"/>
      <c r="M608" s="103"/>
      <c r="N608" s="102"/>
      <c r="O608" s="102"/>
      <c r="P608" s="102"/>
    </row>
    <row r="609" ht="15.75" customHeight="1">
      <c r="A609" s="97"/>
      <c r="B609" s="98"/>
      <c r="C609" s="99"/>
      <c r="D609" s="98"/>
      <c r="E609" s="100"/>
      <c r="F609" s="101"/>
      <c r="G609" s="98"/>
      <c r="H609" s="100"/>
      <c r="I609" s="102"/>
      <c r="J609" s="102"/>
      <c r="K609" s="102"/>
      <c r="L609" s="101"/>
      <c r="M609" s="103"/>
      <c r="N609" s="102"/>
      <c r="O609" s="102"/>
      <c r="P609" s="102"/>
    </row>
    <row r="610" ht="15.75" customHeight="1">
      <c r="A610" s="97"/>
      <c r="B610" s="98"/>
      <c r="C610" s="99"/>
      <c r="D610" s="98"/>
      <c r="E610" s="100"/>
      <c r="F610" s="101"/>
      <c r="G610" s="98"/>
      <c r="H610" s="100"/>
      <c r="I610" s="102"/>
      <c r="J610" s="102"/>
      <c r="K610" s="102"/>
      <c r="L610" s="101"/>
      <c r="M610" s="103"/>
      <c r="N610" s="102"/>
      <c r="O610" s="102"/>
      <c r="P610" s="102"/>
    </row>
    <row r="611" ht="15.75" customHeight="1">
      <c r="A611" s="97"/>
      <c r="B611" s="98"/>
      <c r="C611" s="99"/>
      <c r="D611" s="98"/>
      <c r="E611" s="100"/>
      <c r="F611" s="101"/>
      <c r="G611" s="98"/>
      <c r="H611" s="100"/>
      <c r="I611" s="102"/>
      <c r="J611" s="102"/>
      <c r="K611" s="102"/>
      <c r="L611" s="101"/>
      <c r="M611" s="103"/>
      <c r="N611" s="102"/>
      <c r="O611" s="102"/>
      <c r="P611" s="102"/>
    </row>
    <row r="612" ht="15.75" customHeight="1">
      <c r="A612" s="97"/>
      <c r="B612" s="98"/>
      <c r="C612" s="99"/>
      <c r="D612" s="98"/>
      <c r="E612" s="100"/>
      <c r="F612" s="101"/>
      <c r="G612" s="98"/>
      <c r="H612" s="100"/>
      <c r="I612" s="102"/>
      <c r="J612" s="102"/>
      <c r="K612" s="102"/>
      <c r="L612" s="101"/>
      <c r="M612" s="103"/>
      <c r="N612" s="102"/>
      <c r="O612" s="102"/>
      <c r="P612" s="102"/>
    </row>
    <row r="613" ht="15.75" customHeight="1">
      <c r="A613" s="97"/>
      <c r="B613" s="98"/>
      <c r="C613" s="99"/>
      <c r="D613" s="98"/>
      <c r="E613" s="100"/>
      <c r="F613" s="101"/>
      <c r="G613" s="98"/>
      <c r="H613" s="100"/>
      <c r="I613" s="102"/>
      <c r="J613" s="102"/>
      <c r="K613" s="102"/>
      <c r="L613" s="101"/>
      <c r="M613" s="103"/>
      <c r="N613" s="102"/>
      <c r="O613" s="102"/>
      <c r="P613" s="102"/>
    </row>
    <row r="614" ht="15.75" customHeight="1">
      <c r="A614" s="97"/>
      <c r="B614" s="98"/>
      <c r="C614" s="99"/>
      <c r="D614" s="98"/>
      <c r="E614" s="100"/>
      <c r="F614" s="101"/>
      <c r="G614" s="98"/>
      <c r="H614" s="100"/>
      <c r="I614" s="102"/>
      <c r="J614" s="102"/>
      <c r="K614" s="102"/>
      <c r="L614" s="101"/>
      <c r="M614" s="103"/>
      <c r="N614" s="102"/>
      <c r="O614" s="102"/>
      <c r="P614" s="102"/>
    </row>
    <row r="615" ht="15.75" customHeight="1">
      <c r="A615" s="97"/>
      <c r="B615" s="98"/>
      <c r="C615" s="99"/>
      <c r="D615" s="98"/>
      <c r="E615" s="100"/>
      <c r="F615" s="101"/>
      <c r="G615" s="98"/>
      <c r="H615" s="100"/>
      <c r="I615" s="102"/>
      <c r="J615" s="102"/>
      <c r="K615" s="102"/>
      <c r="L615" s="101"/>
      <c r="M615" s="103"/>
      <c r="N615" s="102"/>
      <c r="O615" s="102"/>
      <c r="P615" s="102"/>
    </row>
    <row r="616" ht="15.75" customHeight="1">
      <c r="A616" s="97"/>
      <c r="B616" s="98"/>
      <c r="C616" s="99"/>
      <c r="D616" s="98"/>
      <c r="E616" s="100"/>
      <c r="F616" s="101"/>
      <c r="G616" s="98"/>
      <c r="H616" s="100"/>
      <c r="I616" s="102"/>
      <c r="J616" s="102"/>
      <c r="K616" s="102"/>
      <c r="L616" s="101"/>
      <c r="M616" s="103"/>
      <c r="N616" s="102"/>
      <c r="O616" s="102"/>
      <c r="P616" s="102"/>
    </row>
    <row r="617" ht="15.75" customHeight="1">
      <c r="A617" s="97"/>
      <c r="B617" s="98"/>
      <c r="C617" s="99"/>
      <c r="D617" s="98"/>
      <c r="E617" s="100"/>
      <c r="F617" s="101"/>
      <c r="G617" s="98"/>
      <c r="H617" s="100"/>
      <c r="I617" s="102"/>
      <c r="J617" s="102"/>
      <c r="K617" s="102"/>
      <c r="L617" s="101"/>
      <c r="M617" s="103"/>
      <c r="N617" s="102"/>
      <c r="O617" s="102"/>
      <c r="P617" s="102"/>
    </row>
    <row r="618" ht="15.75" customHeight="1">
      <c r="A618" s="97"/>
      <c r="B618" s="98"/>
      <c r="C618" s="99"/>
      <c r="D618" s="98"/>
      <c r="E618" s="100"/>
      <c r="F618" s="101"/>
      <c r="G618" s="98"/>
      <c r="H618" s="100"/>
      <c r="I618" s="102"/>
      <c r="J618" s="102"/>
      <c r="K618" s="102"/>
      <c r="L618" s="101"/>
      <c r="M618" s="103"/>
      <c r="N618" s="102"/>
      <c r="O618" s="102"/>
      <c r="P618" s="102"/>
    </row>
    <row r="619" ht="15.75" customHeight="1">
      <c r="A619" s="97"/>
      <c r="B619" s="98"/>
      <c r="C619" s="99"/>
      <c r="D619" s="98"/>
      <c r="E619" s="100"/>
      <c r="F619" s="101"/>
      <c r="G619" s="98"/>
      <c r="H619" s="100"/>
      <c r="I619" s="102"/>
      <c r="J619" s="102"/>
      <c r="K619" s="102"/>
      <c r="L619" s="101"/>
      <c r="M619" s="103"/>
      <c r="N619" s="102"/>
      <c r="O619" s="102"/>
      <c r="P619" s="102"/>
    </row>
    <row r="620" ht="15.75" customHeight="1">
      <c r="A620" s="97"/>
      <c r="B620" s="98"/>
      <c r="C620" s="99"/>
      <c r="D620" s="98"/>
      <c r="E620" s="100"/>
      <c r="F620" s="101"/>
      <c r="G620" s="98"/>
      <c r="H620" s="100"/>
      <c r="I620" s="102"/>
      <c r="J620" s="102"/>
      <c r="K620" s="102"/>
      <c r="L620" s="101"/>
      <c r="M620" s="103"/>
      <c r="N620" s="102"/>
      <c r="O620" s="102"/>
      <c r="P620" s="102"/>
    </row>
    <row r="621" ht="15.75" customHeight="1">
      <c r="A621" s="97"/>
      <c r="B621" s="98"/>
      <c r="C621" s="99"/>
      <c r="D621" s="98"/>
      <c r="E621" s="100"/>
      <c r="F621" s="101"/>
      <c r="G621" s="98"/>
      <c r="H621" s="100"/>
      <c r="I621" s="102"/>
      <c r="J621" s="102"/>
      <c r="K621" s="102"/>
      <c r="L621" s="101"/>
      <c r="M621" s="103"/>
      <c r="N621" s="102"/>
      <c r="O621" s="102"/>
      <c r="P621" s="102"/>
    </row>
    <row r="622" ht="15.75" customHeight="1">
      <c r="A622" s="97"/>
      <c r="B622" s="98"/>
      <c r="C622" s="99"/>
      <c r="D622" s="98"/>
      <c r="E622" s="100"/>
      <c r="F622" s="101"/>
      <c r="G622" s="98"/>
      <c r="H622" s="100"/>
      <c r="I622" s="102"/>
      <c r="J622" s="102"/>
      <c r="K622" s="102"/>
      <c r="L622" s="101"/>
      <c r="M622" s="103"/>
      <c r="N622" s="102"/>
      <c r="O622" s="102"/>
      <c r="P622" s="102"/>
    </row>
    <row r="623" ht="15.75" customHeight="1">
      <c r="A623" s="97"/>
      <c r="B623" s="98"/>
      <c r="C623" s="99"/>
      <c r="D623" s="98"/>
      <c r="E623" s="100"/>
      <c r="F623" s="101"/>
      <c r="G623" s="98"/>
      <c r="H623" s="100"/>
      <c r="I623" s="102"/>
      <c r="J623" s="102"/>
      <c r="K623" s="102"/>
      <c r="L623" s="101"/>
      <c r="M623" s="103"/>
      <c r="N623" s="102"/>
      <c r="O623" s="102"/>
      <c r="P623" s="102"/>
    </row>
    <row r="624" ht="15.75" customHeight="1">
      <c r="A624" s="97"/>
      <c r="B624" s="98"/>
      <c r="C624" s="99"/>
      <c r="D624" s="98"/>
      <c r="E624" s="100"/>
      <c r="F624" s="101"/>
      <c r="G624" s="98"/>
      <c r="H624" s="100"/>
      <c r="I624" s="102"/>
      <c r="J624" s="102"/>
      <c r="K624" s="102"/>
      <c r="L624" s="101"/>
      <c r="M624" s="103"/>
      <c r="N624" s="102"/>
      <c r="O624" s="102"/>
      <c r="P624" s="102"/>
    </row>
    <row r="625" ht="15.75" customHeight="1">
      <c r="A625" s="97"/>
      <c r="B625" s="98"/>
      <c r="C625" s="99"/>
      <c r="D625" s="98"/>
      <c r="E625" s="100"/>
      <c r="F625" s="101"/>
      <c r="G625" s="98"/>
      <c r="H625" s="100"/>
      <c r="I625" s="102"/>
      <c r="J625" s="102"/>
      <c r="K625" s="102"/>
      <c r="L625" s="101"/>
      <c r="M625" s="103"/>
      <c r="N625" s="102"/>
      <c r="O625" s="102"/>
      <c r="P625" s="102"/>
    </row>
    <row r="626" ht="15.75" customHeight="1">
      <c r="A626" s="97"/>
      <c r="B626" s="98"/>
      <c r="C626" s="99"/>
      <c r="D626" s="98"/>
      <c r="E626" s="100"/>
      <c r="F626" s="101"/>
      <c r="G626" s="98"/>
      <c r="H626" s="100"/>
      <c r="I626" s="102"/>
      <c r="J626" s="102"/>
      <c r="K626" s="102"/>
      <c r="L626" s="101"/>
      <c r="M626" s="103"/>
      <c r="N626" s="102"/>
      <c r="O626" s="102"/>
      <c r="P626" s="102"/>
    </row>
    <row r="627" ht="15.75" customHeight="1">
      <c r="A627" s="97"/>
      <c r="B627" s="98"/>
      <c r="C627" s="99"/>
      <c r="D627" s="98"/>
      <c r="E627" s="100"/>
      <c r="F627" s="101"/>
      <c r="G627" s="98"/>
      <c r="H627" s="100"/>
      <c r="I627" s="102"/>
      <c r="J627" s="102"/>
      <c r="K627" s="102"/>
      <c r="L627" s="101"/>
      <c r="M627" s="103"/>
      <c r="N627" s="102"/>
      <c r="O627" s="102"/>
      <c r="P627" s="102"/>
    </row>
    <row r="628" ht="15.75" customHeight="1">
      <c r="A628" s="97"/>
      <c r="B628" s="98"/>
      <c r="C628" s="99"/>
      <c r="D628" s="98"/>
      <c r="E628" s="100"/>
      <c r="F628" s="101"/>
      <c r="G628" s="98"/>
      <c r="H628" s="100"/>
      <c r="I628" s="102"/>
      <c r="J628" s="102"/>
      <c r="K628" s="102"/>
      <c r="L628" s="101"/>
      <c r="M628" s="103"/>
      <c r="N628" s="102"/>
      <c r="O628" s="102"/>
      <c r="P628" s="102"/>
    </row>
    <row r="629" ht="15.75" customHeight="1">
      <c r="A629" s="97"/>
      <c r="B629" s="98"/>
      <c r="C629" s="99"/>
      <c r="D629" s="98"/>
      <c r="E629" s="100"/>
      <c r="F629" s="101"/>
      <c r="G629" s="98"/>
      <c r="H629" s="100"/>
      <c r="I629" s="102"/>
      <c r="J629" s="102"/>
      <c r="K629" s="102"/>
      <c r="L629" s="101"/>
      <c r="M629" s="103"/>
      <c r="N629" s="102"/>
      <c r="O629" s="102"/>
      <c r="P629" s="102"/>
    </row>
    <row r="630" ht="15.75" customHeight="1">
      <c r="A630" s="97"/>
      <c r="B630" s="98"/>
      <c r="C630" s="99"/>
      <c r="D630" s="98"/>
      <c r="E630" s="100"/>
      <c r="F630" s="101"/>
      <c r="G630" s="98"/>
      <c r="H630" s="100"/>
      <c r="I630" s="102"/>
      <c r="J630" s="102"/>
      <c r="K630" s="102"/>
      <c r="L630" s="101"/>
      <c r="M630" s="103"/>
      <c r="N630" s="102"/>
      <c r="O630" s="102"/>
      <c r="P630" s="102"/>
    </row>
    <row r="631" ht="15.75" customHeight="1">
      <c r="A631" s="97"/>
      <c r="B631" s="98"/>
      <c r="C631" s="99"/>
      <c r="D631" s="98"/>
      <c r="E631" s="100"/>
      <c r="F631" s="101"/>
      <c r="G631" s="98"/>
      <c r="H631" s="100"/>
      <c r="I631" s="102"/>
      <c r="J631" s="102"/>
      <c r="K631" s="102"/>
      <c r="L631" s="101"/>
      <c r="M631" s="103"/>
      <c r="N631" s="102"/>
      <c r="O631" s="102"/>
      <c r="P631" s="102"/>
    </row>
    <row r="632" ht="15.75" customHeight="1">
      <c r="A632" s="97"/>
      <c r="B632" s="98"/>
      <c r="C632" s="99"/>
      <c r="D632" s="98"/>
      <c r="E632" s="100"/>
      <c r="F632" s="101"/>
      <c r="G632" s="98"/>
      <c r="H632" s="100"/>
      <c r="I632" s="102"/>
      <c r="J632" s="102"/>
      <c r="K632" s="102"/>
      <c r="L632" s="101"/>
      <c r="M632" s="103"/>
      <c r="N632" s="102"/>
      <c r="O632" s="102"/>
      <c r="P632" s="102"/>
    </row>
    <row r="633" ht="15.75" customHeight="1">
      <c r="A633" s="97"/>
      <c r="B633" s="98"/>
      <c r="C633" s="99"/>
      <c r="D633" s="98"/>
      <c r="E633" s="100"/>
      <c r="F633" s="101"/>
      <c r="G633" s="98"/>
      <c r="H633" s="100"/>
      <c r="I633" s="102"/>
      <c r="J633" s="102"/>
      <c r="K633" s="102"/>
      <c r="L633" s="101"/>
      <c r="M633" s="103"/>
      <c r="N633" s="102"/>
      <c r="O633" s="102"/>
      <c r="P633" s="102"/>
    </row>
    <row r="634" ht="15.75" customHeight="1">
      <c r="A634" s="97"/>
      <c r="B634" s="98"/>
      <c r="C634" s="99"/>
      <c r="D634" s="98"/>
      <c r="E634" s="100"/>
      <c r="F634" s="101"/>
      <c r="G634" s="98"/>
      <c r="H634" s="100"/>
      <c r="I634" s="102"/>
      <c r="J634" s="102"/>
      <c r="K634" s="102"/>
      <c r="L634" s="101"/>
      <c r="M634" s="103"/>
      <c r="N634" s="102"/>
      <c r="O634" s="102"/>
      <c r="P634" s="102"/>
    </row>
    <row r="635" ht="15.75" customHeight="1">
      <c r="A635" s="97"/>
      <c r="B635" s="98"/>
      <c r="C635" s="99"/>
      <c r="D635" s="98"/>
      <c r="E635" s="100"/>
      <c r="F635" s="101"/>
      <c r="G635" s="98"/>
      <c r="H635" s="100"/>
      <c r="I635" s="102"/>
      <c r="J635" s="102"/>
      <c r="K635" s="102"/>
      <c r="L635" s="101"/>
      <c r="M635" s="103"/>
      <c r="N635" s="102"/>
      <c r="O635" s="102"/>
      <c r="P635" s="102"/>
    </row>
    <row r="636" ht="15.75" customHeight="1">
      <c r="A636" s="97"/>
      <c r="B636" s="98"/>
      <c r="C636" s="99"/>
      <c r="D636" s="98"/>
      <c r="E636" s="100"/>
      <c r="F636" s="101"/>
      <c r="G636" s="98"/>
      <c r="H636" s="100"/>
      <c r="I636" s="102"/>
      <c r="J636" s="102"/>
      <c r="K636" s="102"/>
      <c r="L636" s="101"/>
      <c r="M636" s="103"/>
      <c r="N636" s="102"/>
      <c r="O636" s="102"/>
      <c r="P636" s="102"/>
    </row>
    <row r="637" ht="15.75" customHeight="1">
      <c r="A637" s="97"/>
      <c r="B637" s="98"/>
      <c r="C637" s="99"/>
      <c r="D637" s="98"/>
      <c r="E637" s="100"/>
      <c r="F637" s="101"/>
      <c r="G637" s="98"/>
      <c r="H637" s="100"/>
      <c r="I637" s="102"/>
      <c r="J637" s="102"/>
      <c r="K637" s="102"/>
      <c r="L637" s="101"/>
      <c r="M637" s="103"/>
      <c r="N637" s="102"/>
      <c r="O637" s="102"/>
      <c r="P637" s="102"/>
    </row>
    <row r="638" ht="15.75" customHeight="1">
      <c r="A638" s="97"/>
      <c r="B638" s="98"/>
      <c r="C638" s="99"/>
      <c r="D638" s="98"/>
      <c r="E638" s="100"/>
      <c r="F638" s="101"/>
      <c r="G638" s="98"/>
      <c r="H638" s="100"/>
      <c r="I638" s="102"/>
      <c r="J638" s="102"/>
      <c r="K638" s="102"/>
      <c r="L638" s="101"/>
      <c r="M638" s="103"/>
      <c r="N638" s="102"/>
      <c r="O638" s="102"/>
      <c r="P638" s="102"/>
    </row>
    <row r="639" ht="15.75" customHeight="1">
      <c r="A639" s="97"/>
      <c r="B639" s="98"/>
      <c r="C639" s="99"/>
      <c r="D639" s="98"/>
      <c r="E639" s="100"/>
      <c r="F639" s="101"/>
      <c r="G639" s="98"/>
      <c r="H639" s="100"/>
      <c r="I639" s="102"/>
      <c r="J639" s="102"/>
      <c r="K639" s="102"/>
      <c r="L639" s="101"/>
      <c r="M639" s="103"/>
      <c r="N639" s="102"/>
      <c r="O639" s="102"/>
      <c r="P639" s="102"/>
    </row>
    <row r="640" ht="15.75" customHeight="1">
      <c r="A640" s="97"/>
      <c r="B640" s="98"/>
      <c r="C640" s="99"/>
      <c r="D640" s="98"/>
      <c r="E640" s="100"/>
      <c r="F640" s="101"/>
      <c r="G640" s="98"/>
      <c r="H640" s="100"/>
      <c r="I640" s="102"/>
      <c r="J640" s="102"/>
      <c r="K640" s="102"/>
      <c r="L640" s="101"/>
      <c r="M640" s="103"/>
      <c r="N640" s="102"/>
      <c r="O640" s="102"/>
      <c r="P640" s="102"/>
    </row>
    <row r="641" ht="15.75" customHeight="1">
      <c r="A641" s="97"/>
      <c r="B641" s="98"/>
      <c r="C641" s="99"/>
      <c r="D641" s="98"/>
      <c r="E641" s="100"/>
      <c r="F641" s="101"/>
      <c r="G641" s="98"/>
      <c r="H641" s="100"/>
      <c r="I641" s="102"/>
      <c r="J641" s="102"/>
      <c r="K641" s="102"/>
      <c r="L641" s="101"/>
      <c r="M641" s="103"/>
      <c r="N641" s="102"/>
      <c r="O641" s="102"/>
      <c r="P641" s="102"/>
    </row>
    <row r="642" ht="15.75" customHeight="1">
      <c r="A642" s="97"/>
      <c r="B642" s="98"/>
      <c r="C642" s="99"/>
      <c r="D642" s="98"/>
      <c r="E642" s="100"/>
      <c r="F642" s="101"/>
      <c r="G642" s="98"/>
      <c r="H642" s="100"/>
      <c r="I642" s="102"/>
      <c r="J642" s="102"/>
      <c r="K642" s="102"/>
      <c r="L642" s="101"/>
      <c r="M642" s="103"/>
      <c r="N642" s="102"/>
      <c r="O642" s="102"/>
      <c r="P642" s="102"/>
    </row>
    <row r="643" ht="15.75" customHeight="1">
      <c r="A643" s="97"/>
      <c r="B643" s="98"/>
      <c r="C643" s="99"/>
      <c r="D643" s="98"/>
      <c r="E643" s="100"/>
      <c r="F643" s="101"/>
      <c r="G643" s="98"/>
      <c r="H643" s="100"/>
      <c r="I643" s="102"/>
      <c r="J643" s="102"/>
      <c r="K643" s="102"/>
      <c r="L643" s="101"/>
      <c r="M643" s="103"/>
      <c r="N643" s="102"/>
      <c r="O643" s="102"/>
      <c r="P643" s="102"/>
    </row>
    <row r="644" ht="15.75" customHeight="1">
      <c r="A644" s="97"/>
      <c r="B644" s="98"/>
      <c r="C644" s="99"/>
      <c r="D644" s="98"/>
      <c r="E644" s="100"/>
      <c r="F644" s="101"/>
      <c r="G644" s="98"/>
      <c r="H644" s="100"/>
      <c r="I644" s="102"/>
      <c r="J644" s="102"/>
      <c r="K644" s="102"/>
      <c r="L644" s="101"/>
      <c r="M644" s="103"/>
      <c r="N644" s="102"/>
      <c r="O644" s="102"/>
      <c r="P644" s="102"/>
    </row>
    <row r="645" ht="15.75" customHeight="1">
      <c r="A645" s="97"/>
      <c r="B645" s="98"/>
      <c r="C645" s="99"/>
      <c r="D645" s="98"/>
      <c r="E645" s="100"/>
      <c r="F645" s="101"/>
      <c r="G645" s="98"/>
      <c r="H645" s="100"/>
      <c r="I645" s="102"/>
      <c r="J645" s="102"/>
      <c r="K645" s="102"/>
      <c r="L645" s="101"/>
      <c r="M645" s="103"/>
      <c r="N645" s="102"/>
      <c r="O645" s="102"/>
      <c r="P645" s="102"/>
    </row>
    <row r="646" ht="15.75" customHeight="1">
      <c r="A646" s="97"/>
      <c r="B646" s="98"/>
      <c r="C646" s="99"/>
      <c r="D646" s="98"/>
      <c r="E646" s="100"/>
      <c r="F646" s="101"/>
      <c r="G646" s="98"/>
      <c r="H646" s="100"/>
      <c r="I646" s="102"/>
      <c r="J646" s="102"/>
      <c r="K646" s="102"/>
      <c r="L646" s="101"/>
      <c r="M646" s="103"/>
      <c r="N646" s="102"/>
      <c r="O646" s="102"/>
      <c r="P646" s="102"/>
    </row>
    <row r="647" ht="15.75" customHeight="1">
      <c r="A647" s="97"/>
      <c r="B647" s="98"/>
      <c r="C647" s="99"/>
      <c r="D647" s="98"/>
      <c r="E647" s="100"/>
      <c r="F647" s="101"/>
      <c r="G647" s="98"/>
      <c r="H647" s="100"/>
      <c r="I647" s="102"/>
      <c r="J647" s="102"/>
      <c r="K647" s="102"/>
      <c r="L647" s="101"/>
      <c r="M647" s="103"/>
      <c r="N647" s="102"/>
      <c r="O647" s="102"/>
      <c r="P647" s="102"/>
    </row>
    <row r="648" ht="15.75" customHeight="1">
      <c r="A648" s="97"/>
      <c r="B648" s="98"/>
      <c r="C648" s="99"/>
      <c r="D648" s="98"/>
      <c r="E648" s="100"/>
      <c r="F648" s="101"/>
      <c r="G648" s="98"/>
      <c r="H648" s="100"/>
      <c r="I648" s="102"/>
      <c r="J648" s="102"/>
      <c r="K648" s="102"/>
      <c r="L648" s="101"/>
      <c r="M648" s="103"/>
      <c r="N648" s="102"/>
      <c r="O648" s="102"/>
      <c r="P648" s="102"/>
    </row>
    <row r="649" ht="15.75" customHeight="1">
      <c r="A649" s="97"/>
      <c r="B649" s="98"/>
      <c r="C649" s="99"/>
      <c r="D649" s="98"/>
      <c r="E649" s="100"/>
      <c r="F649" s="101"/>
      <c r="G649" s="98"/>
      <c r="H649" s="100"/>
      <c r="I649" s="102"/>
      <c r="J649" s="102"/>
      <c r="K649" s="102"/>
      <c r="L649" s="101"/>
      <c r="M649" s="103"/>
      <c r="N649" s="102"/>
      <c r="O649" s="102"/>
      <c r="P649" s="102"/>
    </row>
    <row r="650" ht="15.75" customHeight="1">
      <c r="A650" s="97"/>
      <c r="B650" s="98"/>
      <c r="C650" s="99"/>
      <c r="D650" s="98"/>
      <c r="E650" s="100"/>
      <c r="F650" s="101"/>
      <c r="G650" s="98"/>
      <c r="H650" s="100"/>
      <c r="I650" s="102"/>
      <c r="J650" s="102"/>
      <c r="K650" s="102"/>
      <c r="L650" s="101"/>
      <c r="M650" s="103"/>
      <c r="N650" s="102"/>
      <c r="O650" s="102"/>
      <c r="P650" s="102"/>
    </row>
    <row r="651" ht="15.75" customHeight="1">
      <c r="A651" s="97"/>
      <c r="B651" s="98"/>
      <c r="C651" s="99"/>
      <c r="D651" s="98"/>
      <c r="E651" s="100"/>
      <c r="F651" s="101"/>
      <c r="G651" s="98"/>
      <c r="H651" s="100"/>
      <c r="I651" s="102"/>
      <c r="J651" s="102"/>
      <c r="K651" s="102"/>
      <c r="L651" s="101"/>
      <c r="M651" s="103"/>
      <c r="N651" s="102"/>
      <c r="O651" s="102"/>
      <c r="P651" s="102"/>
    </row>
    <row r="652" ht="15.75" customHeight="1">
      <c r="A652" s="97"/>
      <c r="B652" s="98"/>
      <c r="C652" s="99"/>
      <c r="D652" s="98"/>
      <c r="E652" s="100"/>
      <c r="F652" s="101"/>
      <c r="G652" s="98"/>
      <c r="H652" s="100"/>
      <c r="I652" s="102"/>
      <c r="J652" s="102"/>
      <c r="K652" s="102"/>
      <c r="L652" s="101"/>
      <c r="M652" s="103"/>
      <c r="N652" s="102"/>
      <c r="O652" s="102"/>
      <c r="P652" s="102"/>
    </row>
    <row r="653" ht="15.75" customHeight="1">
      <c r="A653" s="97"/>
      <c r="B653" s="98"/>
      <c r="C653" s="99"/>
      <c r="D653" s="98"/>
      <c r="E653" s="100"/>
      <c r="F653" s="101"/>
      <c r="G653" s="98"/>
      <c r="H653" s="100"/>
      <c r="I653" s="102"/>
      <c r="J653" s="102"/>
      <c r="K653" s="102"/>
      <c r="L653" s="101"/>
      <c r="M653" s="103"/>
      <c r="N653" s="102"/>
      <c r="O653" s="102"/>
      <c r="P653" s="102"/>
    </row>
    <row r="654" ht="15.75" customHeight="1">
      <c r="A654" s="97"/>
      <c r="B654" s="98"/>
      <c r="C654" s="99"/>
      <c r="D654" s="98"/>
      <c r="E654" s="100"/>
      <c r="F654" s="101"/>
      <c r="G654" s="98"/>
      <c r="H654" s="100"/>
      <c r="I654" s="102"/>
      <c r="J654" s="102"/>
      <c r="K654" s="102"/>
      <c r="L654" s="101"/>
      <c r="M654" s="103"/>
      <c r="N654" s="102"/>
      <c r="O654" s="102"/>
      <c r="P654" s="102"/>
    </row>
    <row r="655" ht="15.75" customHeight="1">
      <c r="A655" s="97"/>
      <c r="B655" s="98"/>
      <c r="C655" s="99"/>
      <c r="D655" s="98"/>
      <c r="E655" s="100"/>
      <c r="F655" s="101"/>
      <c r="G655" s="98"/>
      <c r="H655" s="100"/>
      <c r="I655" s="102"/>
      <c r="J655" s="102"/>
      <c r="K655" s="102"/>
      <c r="L655" s="101"/>
      <c r="M655" s="103"/>
      <c r="N655" s="102"/>
      <c r="O655" s="102"/>
      <c r="P655" s="102"/>
    </row>
    <row r="656" ht="15.75" customHeight="1">
      <c r="A656" s="97"/>
      <c r="B656" s="98"/>
      <c r="C656" s="99"/>
      <c r="D656" s="98"/>
      <c r="E656" s="100"/>
      <c r="F656" s="101"/>
      <c r="G656" s="98"/>
      <c r="H656" s="100"/>
      <c r="I656" s="102"/>
      <c r="J656" s="102"/>
      <c r="K656" s="102"/>
      <c r="L656" s="101"/>
      <c r="M656" s="103"/>
      <c r="N656" s="102"/>
      <c r="O656" s="102"/>
      <c r="P656" s="102"/>
    </row>
    <row r="657" ht="15.75" customHeight="1">
      <c r="A657" s="97"/>
      <c r="B657" s="98"/>
      <c r="C657" s="99"/>
      <c r="D657" s="98"/>
      <c r="E657" s="100"/>
      <c r="F657" s="101"/>
      <c r="G657" s="98"/>
      <c r="H657" s="100"/>
      <c r="I657" s="102"/>
      <c r="J657" s="102"/>
      <c r="K657" s="102"/>
      <c r="L657" s="101"/>
      <c r="M657" s="103"/>
      <c r="N657" s="102"/>
      <c r="O657" s="102"/>
      <c r="P657" s="102"/>
    </row>
    <row r="658" ht="15.75" customHeight="1">
      <c r="A658" s="97"/>
      <c r="B658" s="98"/>
      <c r="C658" s="99"/>
      <c r="D658" s="98"/>
      <c r="E658" s="100"/>
      <c r="F658" s="101"/>
      <c r="G658" s="98"/>
      <c r="H658" s="100"/>
      <c r="I658" s="102"/>
      <c r="J658" s="102"/>
      <c r="K658" s="102"/>
      <c r="L658" s="101"/>
      <c r="M658" s="103"/>
      <c r="N658" s="102"/>
      <c r="O658" s="102"/>
      <c r="P658" s="102"/>
    </row>
    <row r="659" ht="15.75" customHeight="1">
      <c r="A659" s="97"/>
      <c r="B659" s="98"/>
      <c r="C659" s="99"/>
      <c r="D659" s="98"/>
      <c r="E659" s="100"/>
      <c r="F659" s="101"/>
      <c r="G659" s="98"/>
      <c r="H659" s="100"/>
      <c r="I659" s="102"/>
      <c r="J659" s="102"/>
      <c r="K659" s="102"/>
      <c r="L659" s="101"/>
      <c r="M659" s="103"/>
      <c r="N659" s="102"/>
      <c r="O659" s="102"/>
      <c r="P659" s="102"/>
    </row>
    <row r="660" ht="15.75" customHeight="1">
      <c r="A660" s="97"/>
      <c r="B660" s="98"/>
      <c r="C660" s="99"/>
      <c r="D660" s="98"/>
      <c r="E660" s="100"/>
      <c r="F660" s="101"/>
      <c r="G660" s="98"/>
      <c r="H660" s="100"/>
      <c r="I660" s="102"/>
      <c r="J660" s="102"/>
      <c r="K660" s="102"/>
      <c r="L660" s="101"/>
      <c r="M660" s="103"/>
      <c r="N660" s="102"/>
      <c r="O660" s="102"/>
      <c r="P660" s="102"/>
    </row>
    <row r="661" ht="15.75" customHeight="1">
      <c r="A661" s="97"/>
      <c r="B661" s="98"/>
      <c r="C661" s="99"/>
      <c r="D661" s="98"/>
      <c r="E661" s="100"/>
      <c r="F661" s="101"/>
      <c r="G661" s="98"/>
      <c r="H661" s="100"/>
      <c r="I661" s="102"/>
      <c r="J661" s="102"/>
      <c r="K661" s="102"/>
      <c r="L661" s="101"/>
      <c r="M661" s="103"/>
      <c r="N661" s="102"/>
      <c r="O661" s="102"/>
      <c r="P661" s="102"/>
    </row>
    <row r="662" ht="15.75" customHeight="1">
      <c r="A662" s="97"/>
      <c r="B662" s="98"/>
      <c r="C662" s="99"/>
      <c r="D662" s="98"/>
      <c r="E662" s="100"/>
      <c r="F662" s="101"/>
      <c r="G662" s="98"/>
      <c r="H662" s="100"/>
      <c r="I662" s="102"/>
      <c r="J662" s="102"/>
      <c r="K662" s="102"/>
      <c r="L662" s="101"/>
      <c r="M662" s="103"/>
      <c r="N662" s="102"/>
      <c r="O662" s="102"/>
      <c r="P662" s="102"/>
    </row>
    <row r="663" ht="15.75" customHeight="1">
      <c r="A663" s="97"/>
      <c r="B663" s="98"/>
      <c r="C663" s="99"/>
      <c r="D663" s="98"/>
      <c r="E663" s="100"/>
      <c r="F663" s="101"/>
      <c r="G663" s="98"/>
      <c r="H663" s="100"/>
      <c r="I663" s="102"/>
      <c r="J663" s="102"/>
      <c r="K663" s="102"/>
      <c r="L663" s="101"/>
      <c r="M663" s="103"/>
      <c r="N663" s="102"/>
      <c r="O663" s="102"/>
      <c r="P663" s="102"/>
    </row>
    <row r="664" ht="15.75" customHeight="1">
      <c r="A664" s="97"/>
      <c r="B664" s="98"/>
      <c r="C664" s="99"/>
      <c r="D664" s="98"/>
      <c r="E664" s="100"/>
      <c r="F664" s="101"/>
      <c r="G664" s="98"/>
      <c r="H664" s="100"/>
      <c r="I664" s="102"/>
      <c r="J664" s="102"/>
      <c r="K664" s="102"/>
      <c r="L664" s="101"/>
      <c r="M664" s="103"/>
      <c r="N664" s="102"/>
      <c r="O664" s="102"/>
      <c r="P664" s="102"/>
    </row>
    <row r="665" ht="15.75" customHeight="1">
      <c r="A665" s="97"/>
      <c r="B665" s="98"/>
      <c r="C665" s="99"/>
      <c r="D665" s="98"/>
      <c r="E665" s="100"/>
      <c r="F665" s="101"/>
      <c r="G665" s="98"/>
      <c r="H665" s="100"/>
      <c r="I665" s="102"/>
      <c r="J665" s="102"/>
      <c r="K665" s="102"/>
      <c r="L665" s="101"/>
      <c r="M665" s="103"/>
      <c r="N665" s="102"/>
      <c r="O665" s="102"/>
      <c r="P665" s="102"/>
    </row>
    <row r="666" ht="15.75" customHeight="1">
      <c r="A666" s="97"/>
      <c r="B666" s="98"/>
      <c r="C666" s="99"/>
      <c r="D666" s="98"/>
      <c r="E666" s="100"/>
      <c r="F666" s="101"/>
      <c r="G666" s="98"/>
      <c r="H666" s="100"/>
      <c r="I666" s="102"/>
      <c r="J666" s="102"/>
      <c r="K666" s="102"/>
      <c r="L666" s="101"/>
      <c r="M666" s="103"/>
      <c r="N666" s="102"/>
      <c r="O666" s="102"/>
      <c r="P666" s="102"/>
    </row>
    <row r="667" ht="15.75" customHeight="1">
      <c r="A667" s="97"/>
      <c r="B667" s="98"/>
      <c r="C667" s="99"/>
      <c r="D667" s="98"/>
      <c r="E667" s="100"/>
      <c r="F667" s="101"/>
      <c r="G667" s="98"/>
      <c r="H667" s="100"/>
      <c r="I667" s="102"/>
      <c r="J667" s="102"/>
      <c r="K667" s="102"/>
      <c r="L667" s="101"/>
      <c r="M667" s="103"/>
      <c r="N667" s="102"/>
      <c r="O667" s="102"/>
      <c r="P667" s="102"/>
    </row>
    <row r="668" ht="15.75" customHeight="1">
      <c r="A668" s="97"/>
      <c r="B668" s="98"/>
      <c r="C668" s="99"/>
      <c r="D668" s="98"/>
      <c r="E668" s="100"/>
      <c r="F668" s="101"/>
      <c r="G668" s="98"/>
      <c r="H668" s="100"/>
      <c r="I668" s="102"/>
      <c r="J668" s="102"/>
      <c r="K668" s="102"/>
      <c r="L668" s="101"/>
      <c r="M668" s="103"/>
      <c r="N668" s="102"/>
      <c r="O668" s="102"/>
      <c r="P668" s="102"/>
    </row>
    <row r="669" ht="15.75" customHeight="1">
      <c r="A669" s="97"/>
      <c r="B669" s="98"/>
      <c r="C669" s="99"/>
      <c r="D669" s="98"/>
      <c r="E669" s="100"/>
      <c r="F669" s="101"/>
      <c r="G669" s="98"/>
      <c r="H669" s="100"/>
      <c r="I669" s="102"/>
      <c r="J669" s="102"/>
      <c r="K669" s="102"/>
      <c r="L669" s="101"/>
      <c r="M669" s="103"/>
      <c r="N669" s="102"/>
      <c r="O669" s="102"/>
      <c r="P669" s="102"/>
    </row>
    <row r="670" ht="15.75" customHeight="1">
      <c r="A670" s="97"/>
      <c r="B670" s="98"/>
      <c r="C670" s="99"/>
      <c r="D670" s="98"/>
      <c r="E670" s="100"/>
      <c r="F670" s="101"/>
      <c r="G670" s="98"/>
      <c r="H670" s="100"/>
      <c r="I670" s="102"/>
      <c r="J670" s="102"/>
      <c r="K670" s="102"/>
      <c r="L670" s="101"/>
      <c r="M670" s="103"/>
      <c r="N670" s="102"/>
      <c r="O670" s="102"/>
      <c r="P670" s="102"/>
    </row>
    <row r="671" ht="15.75" customHeight="1">
      <c r="A671" s="97"/>
      <c r="B671" s="98"/>
      <c r="C671" s="99"/>
      <c r="D671" s="98"/>
      <c r="E671" s="100"/>
      <c r="F671" s="101"/>
      <c r="G671" s="98"/>
      <c r="H671" s="100"/>
      <c r="I671" s="102"/>
      <c r="J671" s="102"/>
      <c r="K671" s="102"/>
      <c r="L671" s="101"/>
      <c r="M671" s="103"/>
      <c r="N671" s="102"/>
      <c r="O671" s="102"/>
      <c r="P671" s="102"/>
    </row>
    <row r="672" ht="15.75" customHeight="1">
      <c r="A672" s="97"/>
      <c r="B672" s="98"/>
      <c r="C672" s="99"/>
      <c r="D672" s="98"/>
      <c r="E672" s="100"/>
      <c r="F672" s="101"/>
      <c r="G672" s="98"/>
      <c r="H672" s="100"/>
      <c r="I672" s="102"/>
      <c r="J672" s="102"/>
      <c r="K672" s="102"/>
      <c r="L672" s="101"/>
      <c r="M672" s="103"/>
      <c r="N672" s="102"/>
      <c r="O672" s="102"/>
      <c r="P672" s="102"/>
    </row>
    <row r="673" ht="15.75" customHeight="1">
      <c r="A673" s="97"/>
      <c r="B673" s="98"/>
      <c r="C673" s="99"/>
      <c r="D673" s="98"/>
      <c r="E673" s="100"/>
      <c r="F673" s="101"/>
      <c r="G673" s="98"/>
      <c r="H673" s="100"/>
      <c r="I673" s="102"/>
      <c r="J673" s="102"/>
      <c r="K673" s="102"/>
      <c r="L673" s="101"/>
      <c r="M673" s="103"/>
      <c r="N673" s="102"/>
      <c r="O673" s="102"/>
      <c r="P673" s="102"/>
    </row>
    <row r="674" ht="15.75" customHeight="1">
      <c r="A674" s="97"/>
      <c r="B674" s="98"/>
      <c r="C674" s="99"/>
      <c r="D674" s="98"/>
      <c r="E674" s="100"/>
      <c r="F674" s="101"/>
      <c r="G674" s="98"/>
      <c r="H674" s="100"/>
      <c r="I674" s="102"/>
      <c r="J674" s="102"/>
      <c r="K674" s="102"/>
      <c r="L674" s="101"/>
      <c r="M674" s="103"/>
      <c r="N674" s="102"/>
      <c r="O674" s="102"/>
      <c r="P674" s="102"/>
    </row>
    <row r="675" ht="15.75" customHeight="1">
      <c r="A675" s="97"/>
      <c r="B675" s="98"/>
      <c r="C675" s="99"/>
      <c r="D675" s="98"/>
      <c r="E675" s="100"/>
      <c r="F675" s="101"/>
      <c r="G675" s="98"/>
      <c r="H675" s="100"/>
      <c r="I675" s="102"/>
      <c r="J675" s="102"/>
      <c r="K675" s="102"/>
      <c r="L675" s="101"/>
      <c r="M675" s="103"/>
      <c r="N675" s="102"/>
      <c r="O675" s="102"/>
      <c r="P675" s="102"/>
    </row>
    <row r="676" ht="15.75" customHeight="1">
      <c r="A676" s="97"/>
      <c r="B676" s="98"/>
      <c r="C676" s="99"/>
      <c r="D676" s="98"/>
      <c r="E676" s="100"/>
      <c r="F676" s="101"/>
      <c r="G676" s="98"/>
      <c r="H676" s="100"/>
      <c r="I676" s="102"/>
      <c r="J676" s="102"/>
      <c r="K676" s="102"/>
      <c r="L676" s="101"/>
      <c r="M676" s="103"/>
      <c r="N676" s="102"/>
      <c r="O676" s="102"/>
      <c r="P676" s="102"/>
    </row>
    <row r="677" ht="15.75" customHeight="1">
      <c r="A677" s="97"/>
      <c r="B677" s="98"/>
      <c r="C677" s="99"/>
      <c r="D677" s="98"/>
      <c r="E677" s="100"/>
      <c r="F677" s="101"/>
      <c r="G677" s="98"/>
      <c r="H677" s="100"/>
      <c r="I677" s="102"/>
      <c r="J677" s="102"/>
      <c r="K677" s="102"/>
      <c r="L677" s="101"/>
      <c r="M677" s="103"/>
      <c r="N677" s="102"/>
      <c r="O677" s="102"/>
      <c r="P677" s="102"/>
    </row>
    <row r="678" ht="15.75" customHeight="1">
      <c r="A678" s="97"/>
      <c r="B678" s="98"/>
      <c r="C678" s="99"/>
      <c r="D678" s="98"/>
      <c r="E678" s="100"/>
      <c r="F678" s="101"/>
      <c r="G678" s="98"/>
      <c r="H678" s="100"/>
      <c r="I678" s="102"/>
      <c r="J678" s="102"/>
      <c r="K678" s="102"/>
      <c r="L678" s="101"/>
      <c r="M678" s="103"/>
      <c r="N678" s="102"/>
      <c r="O678" s="102"/>
      <c r="P678" s="102"/>
    </row>
    <row r="679" ht="15.75" customHeight="1">
      <c r="A679" s="97"/>
      <c r="B679" s="98"/>
      <c r="C679" s="99"/>
      <c r="D679" s="98"/>
      <c r="E679" s="100"/>
      <c r="F679" s="101"/>
      <c r="G679" s="98"/>
      <c r="H679" s="100"/>
      <c r="I679" s="102"/>
      <c r="J679" s="102"/>
      <c r="K679" s="102"/>
      <c r="L679" s="101"/>
      <c r="M679" s="103"/>
      <c r="N679" s="102"/>
      <c r="O679" s="102"/>
      <c r="P679" s="102"/>
    </row>
    <row r="680" ht="15.75" customHeight="1">
      <c r="A680" s="97"/>
      <c r="B680" s="98"/>
      <c r="C680" s="99"/>
      <c r="D680" s="98"/>
      <c r="E680" s="100"/>
      <c r="F680" s="101"/>
      <c r="G680" s="98"/>
      <c r="H680" s="100"/>
      <c r="I680" s="102"/>
      <c r="J680" s="102"/>
      <c r="K680" s="102"/>
      <c r="L680" s="101"/>
      <c r="M680" s="103"/>
      <c r="N680" s="102"/>
      <c r="O680" s="102"/>
      <c r="P680" s="102"/>
    </row>
    <row r="681" ht="15.75" customHeight="1">
      <c r="A681" s="97"/>
      <c r="B681" s="98"/>
      <c r="C681" s="99"/>
      <c r="D681" s="98"/>
      <c r="E681" s="100"/>
      <c r="F681" s="101"/>
      <c r="G681" s="98"/>
      <c r="H681" s="100"/>
      <c r="I681" s="102"/>
      <c r="J681" s="102"/>
      <c r="K681" s="102"/>
      <c r="L681" s="101"/>
      <c r="M681" s="103"/>
      <c r="N681" s="102"/>
      <c r="O681" s="102"/>
      <c r="P681" s="102"/>
    </row>
    <row r="682" ht="15.75" customHeight="1">
      <c r="A682" s="97"/>
      <c r="B682" s="98"/>
      <c r="C682" s="99"/>
      <c r="D682" s="98"/>
      <c r="E682" s="100"/>
      <c r="F682" s="101"/>
      <c r="G682" s="98"/>
      <c r="H682" s="100"/>
      <c r="I682" s="102"/>
      <c r="J682" s="102"/>
      <c r="K682" s="102"/>
      <c r="L682" s="101"/>
      <c r="M682" s="103"/>
      <c r="N682" s="102"/>
      <c r="O682" s="102"/>
      <c r="P682" s="102"/>
    </row>
    <row r="683" ht="15.75" customHeight="1">
      <c r="A683" s="97"/>
      <c r="B683" s="98"/>
      <c r="C683" s="99"/>
      <c r="D683" s="98"/>
      <c r="E683" s="100"/>
      <c r="F683" s="101"/>
      <c r="G683" s="98"/>
      <c r="H683" s="100"/>
      <c r="I683" s="102"/>
      <c r="J683" s="102"/>
      <c r="K683" s="102"/>
      <c r="L683" s="101"/>
      <c r="M683" s="103"/>
      <c r="N683" s="102"/>
      <c r="O683" s="102"/>
      <c r="P683" s="102"/>
    </row>
    <row r="684" ht="15.75" customHeight="1">
      <c r="A684" s="97"/>
      <c r="B684" s="98"/>
      <c r="C684" s="99"/>
      <c r="D684" s="98"/>
      <c r="E684" s="100"/>
      <c r="F684" s="101"/>
      <c r="G684" s="98"/>
      <c r="H684" s="100"/>
      <c r="I684" s="102"/>
      <c r="J684" s="102"/>
      <c r="K684" s="102"/>
      <c r="L684" s="101"/>
      <c r="M684" s="103"/>
      <c r="N684" s="102"/>
      <c r="O684" s="102"/>
      <c r="P684" s="102"/>
    </row>
    <row r="685" ht="15.75" customHeight="1">
      <c r="A685" s="97"/>
      <c r="B685" s="98"/>
      <c r="C685" s="99"/>
      <c r="D685" s="98"/>
      <c r="E685" s="100"/>
      <c r="F685" s="101"/>
      <c r="G685" s="98"/>
      <c r="H685" s="100"/>
      <c r="I685" s="102"/>
      <c r="J685" s="102"/>
      <c r="K685" s="102"/>
      <c r="L685" s="101"/>
      <c r="M685" s="103"/>
      <c r="N685" s="102"/>
      <c r="O685" s="102"/>
      <c r="P685" s="102"/>
    </row>
    <row r="686" ht="15.75" customHeight="1">
      <c r="A686" s="97"/>
      <c r="B686" s="98"/>
      <c r="C686" s="99"/>
      <c r="D686" s="98"/>
      <c r="E686" s="100"/>
      <c r="F686" s="101"/>
      <c r="G686" s="98"/>
      <c r="H686" s="100"/>
      <c r="I686" s="102"/>
      <c r="J686" s="102"/>
      <c r="K686" s="102"/>
      <c r="L686" s="101"/>
      <c r="M686" s="103"/>
      <c r="N686" s="102"/>
      <c r="O686" s="102"/>
      <c r="P686" s="102"/>
    </row>
    <row r="687" ht="15.75" customHeight="1">
      <c r="A687" s="97"/>
      <c r="B687" s="98"/>
      <c r="C687" s="99"/>
      <c r="D687" s="98"/>
      <c r="E687" s="100"/>
      <c r="F687" s="101"/>
      <c r="G687" s="98"/>
      <c r="H687" s="100"/>
      <c r="I687" s="102"/>
      <c r="J687" s="102"/>
      <c r="K687" s="102"/>
      <c r="L687" s="101"/>
      <c r="M687" s="103"/>
      <c r="N687" s="102"/>
      <c r="O687" s="102"/>
      <c r="P687" s="102"/>
    </row>
    <row r="688" ht="15.75" customHeight="1">
      <c r="A688" s="97"/>
      <c r="B688" s="98"/>
      <c r="C688" s="99"/>
      <c r="D688" s="98"/>
      <c r="E688" s="100"/>
      <c r="F688" s="101"/>
      <c r="G688" s="98"/>
      <c r="H688" s="100"/>
      <c r="I688" s="102"/>
      <c r="J688" s="102"/>
      <c r="K688" s="102"/>
      <c r="L688" s="101"/>
      <c r="M688" s="103"/>
      <c r="N688" s="102"/>
      <c r="O688" s="102"/>
      <c r="P688" s="102"/>
    </row>
    <row r="689" ht="15.75" customHeight="1">
      <c r="A689" s="97"/>
      <c r="B689" s="98"/>
      <c r="C689" s="99"/>
      <c r="D689" s="98"/>
      <c r="E689" s="100"/>
      <c r="F689" s="101"/>
      <c r="G689" s="98"/>
      <c r="H689" s="100"/>
      <c r="I689" s="102"/>
      <c r="J689" s="102"/>
      <c r="K689" s="102"/>
      <c r="L689" s="101"/>
      <c r="M689" s="103"/>
      <c r="N689" s="102"/>
      <c r="O689" s="102"/>
      <c r="P689" s="102"/>
    </row>
    <row r="690" ht="15.75" customHeight="1">
      <c r="A690" s="97"/>
      <c r="B690" s="98"/>
      <c r="C690" s="99"/>
      <c r="D690" s="98"/>
      <c r="E690" s="100"/>
      <c r="F690" s="101"/>
      <c r="G690" s="98"/>
      <c r="H690" s="100"/>
      <c r="I690" s="102"/>
      <c r="J690" s="102"/>
      <c r="K690" s="102"/>
      <c r="L690" s="101"/>
      <c r="M690" s="103"/>
      <c r="N690" s="102"/>
      <c r="O690" s="102"/>
      <c r="P690" s="102"/>
    </row>
    <row r="691" ht="15.75" customHeight="1">
      <c r="A691" s="97"/>
      <c r="B691" s="98"/>
      <c r="C691" s="99"/>
      <c r="D691" s="98"/>
      <c r="E691" s="100"/>
      <c r="F691" s="101"/>
      <c r="G691" s="98"/>
      <c r="H691" s="100"/>
      <c r="I691" s="102"/>
      <c r="J691" s="102"/>
      <c r="K691" s="102"/>
      <c r="L691" s="101"/>
      <c r="M691" s="103"/>
      <c r="N691" s="102"/>
      <c r="O691" s="102"/>
      <c r="P691" s="102"/>
    </row>
    <row r="692" ht="15.75" customHeight="1">
      <c r="A692" s="97"/>
      <c r="B692" s="98"/>
      <c r="C692" s="99"/>
      <c r="D692" s="98"/>
      <c r="E692" s="100"/>
      <c r="F692" s="101"/>
      <c r="G692" s="98"/>
      <c r="H692" s="100"/>
      <c r="I692" s="102"/>
      <c r="J692" s="102"/>
      <c r="K692" s="102"/>
      <c r="L692" s="101"/>
      <c r="M692" s="103"/>
      <c r="N692" s="102"/>
      <c r="O692" s="102"/>
      <c r="P692" s="102"/>
    </row>
    <row r="693" ht="15.75" customHeight="1">
      <c r="A693" s="97"/>
      <c r="B693" s="98"/>
      <c r="C693" s="99"/>
      <c r="D693" s="98"/>
      <c r="E693" s="100"/>
      <c r="F693" s="101"/>
      <c r="G693" s="98"/>
      <c r="H693" s="100"/>
      <c r="I693" s="102"/>
      <c r="J693" s="102"/>
      <c r="K693" s="102"/>
      <c r="L693" s="101"/>
      <c r="M693" s="103"/>
      <c r="N693" s="102"/>
      <c r="O693" s="102"/>
      <c r="P693" s="102"/>
    </row>
    <row r="694" ht="15.75" customHeight="1">
      <c r="A694" s="97"/>
      <c r="B694" s="98"/>
      <c r="C694" s="99"/>
      <c r="D694" s="98"/>
      <c r="E694" s="100"/>
      <c r="F694" s="101"/>
      <c r="G694" s="98"/>
      <c r="H694" s="100"/>
      <c r="I694" s="102"/>
      <c r="J694" s="102"/>
      <c r="K694" s="102"/>
      <c r="L694" s="101"/>
      <c r="M694" s="103"/>
      <c r="N694" s="102"/>
      <c r="O694" s="102"/>
      <c r="P694" s="102"/>
    </row>
    <row r="695" ht="15.75" customHeight="1">
      <c r="A695" s="97"/>
      <c r="B695" s="98"/>
      <c r="C695" s="99"/>
      <c r="D695" s="98"/>
      <c r="E695" s="100"/>
      <c r="F695" s="101"/>
      <c r="G695" s="98"/>
      <c r="H695" s="100"/>
      <c r="I695" s="102"/>
      <c r="J695" s="102"/>
      <c r="K695" s="102"/>
      <c r="L695" s="101"/>
      <c r="M695" s="103"/>
      <c r="N695" s="102"/>
      <c r="O695" s="102"/>
      <c r="P695" s="102"/>
    </row>
    <row r="696" ht="15.75" customHeight="1">
      <c r="A696" s="97"/>
      <c r="B696" s="98"/>
      <c r="C696" s="99"/>
      <c r="D696" s="98"/>
      <c r="E696" s="100"/>
      <c r="F696" s="101"/>
      <c r="G696" s="98"/>
      <c r="H696" s="100"/>
      <c r="I696" s="102"/>
      <c r="J696" s="102"/>
      <c r="K696" s="102"/>
      <c r="L696" s="101"/>
      <c r="M696" s="103"/>
      <c r="N696" s="102"/>
      <c r="O696" s="102"/>
      <c r="P696" s="102"/>
    </row>
    <row r="697" ht="15.75" customHeight="1">
      <c r="A697" s="97"/>
      <c r="B697" s="98"/>
      <c r="C697" s="99"/>
      <c r="D697" s="98"/>
      <c r="E697" s="100"/>
      <c r="F697" s="101"/>
      <c r="G697" s="98"/>
      <c r="H697" s="100"/>
      <c r="I697" s="102"/>
      <c r="J697" s="102"/>
      <c r="K697" s="102"/>
      <c r="L697" s="101"/>
      <c r="M697" s="103"/>
      <c r="N697" s="102"/>
      <c r="O697" s="102"/>
      <c r="P697" s="102"/>
    </row>
    <row r="698" ht="15.75" customHeight="1">
      <c r="A698" s="97"/>
      <c r="B698" s="98"/>
      <c r="C698" s="99"/>
      <c r="D698" s="98"/>
      <c r="E698" s="100"/>
      <c r="F698" s="101"/>
      <c r="G698" s="98"/>
      <c r="H698" s="100"/>
      <c r="I698" s="102"/>
      <c r="J698" s="102"/>
      <c r="K698" s="102"/>
      <c r="L698" s="101"/>
      <c r="M698" s="103"/>
      <c r="N698" s="102"/>
      <c r="O698" s="102"/>
      <c r="P698" s="102"/>
    </row>
    <row r="699" ht="15.75" customHeight="1">
      <c r="A699" s="97"/>
      <c r="B699" s="98"/>
      <c r="C699" s="99"/>
      <c r="D699" s="98"/>
      <c r="E699" s="100"/>
      <c r="F699" s="101"/>
      <c r="G699" s="98"/>
      <c r="H699" s="100"/>
      <c r="I699" s="102"/>
      <c r="J699" s="102"/>
      <c r="K699" s="102"/>
      <c r="L699" s="101"/>
      <c r="M699" s="103"/>
      <c r="N699" s="102"/>
      <c r="O699" s="102"/>
      <c r="P699" s="102"/>
    </row>
    <row r="700" ht="15.75" customHeight="1">
      <c r="A700" s="97"/>
      <c r="B700" s="98"/>
      <c r="C700" s="99"/>
      <c r="D700" s="98"/>
      <c r="E700" s="100"/>
      <c r="F700" s="101"/>
      <c r="G700" s="98"/>
      <c r="H700" s="100"/>
      <c r="I700" s="102"/>
      <c r="J700" s="102"/>
      <c r="K700" s="102"/>
      <c r="L700" s="101"/>
      <c r="M700" s="103"/>
      <c r="N700" s="102"/>
      <c r="O700" s="102"/>
      <c r="P700" s="102"/>
    </row>
    <row r="701" ht="15.75" customHeight="1">
      <c r="A701" s="97"/>
      <c r="B701" s="98"/>
      <c r="C701" s="99"/>
      <c r="D701" s="98"/>
      <c r="E701" s="100"/>
      <c r="F701" s="101"/>
      <c r="G701" s="98"/>
      <c r="H701" s="100"/>
      <c r="I701" s="102"/>
      <c r="J701" s="102"/>
      <c r="K701" s="102"/>
      <c r="L701" s="101"/>
      <c r="M701" s="103"/>
      <c r="N701" s="102"/>
      <c r="O701" s="102"/>
      <c r="P701" s="102"/>
    </row>
    <row r="702" ht="15.75" customHeight="1">
      <c r="A702" s="97"/>
      <c r="B702" s="98"/>
      <c r="C702" s="99"/>
      <c r="D702" s="98"/>
      <c r="E702" s="100"/>
      <c r="F702" s="101"/>
      <c r="G702" s="98"/>
      <c r="H702" s="100"/>
      <c r="I702" s="102"/>
      <c r="J702" s="102"/>
      <c r="K702" s="102"/>
      <c r="L702" s="101"/>
      <c r="M702" s="103"/>
      <c r="N702" s="102"/>
      <c r="O702" s="102"/>
      <c r="P702" s="102"/>
    </row>
    <row r="703" ht="15.75" customHeight="1">
      <c r="A703" s="97"/>
      <c r="B703" s="98"/>
      <c r="C703" s="99"/>
      <c r="D703" s="98"/>
      <c r="E703" s="100"/>
      <c r="F703" s="101"/>
      <c r="G703" s="98"/>
      <c r="H703" s="100"/>
      <c r="I703" s="102"/>
      <c r="J703" s="102"/>
      <c r="K703" s="102"/>
      <c r="L703" s="101"/>
      <c r="M703" s="103"/>
      <c r="N703" s="102"/>
      <c r="O703" s="102"/>
      <c r="P703" s="102"/>
    </row>
    <row r="704" ht="15.75" customHeight="1">
      <c r="A704" s="97"/>
      <c r="B704" s="98"/>
      <c r="C704" s="99"/>
      <c r="D704" s="98"/>
      <c r="E704" s="100"/>
      <c r="F704" s="101"/>
      <c r="G704" s="98"/>
      <c r="H704" s="100"/>
      <c r="I704" s="102"/>
      <c r="J704" s="102"/>
      <c r="K704" s="102"/>
      <c r="L704" s="101"/>
      <c r="M704" s="103"/>
      <c r="N704" s="102"/>
      <c r="O704" s="102"/>
      <c r="P704" s="102"/>
    </row>
    <row r="705" ht="15.75" customHeight="1">
      <c r="A705" s="97"/>
      <c r="B705" s="98"/>
      <c r="C705" s="99"/>
      <c r="D705" s="98"/>
      <c r="E705" s="100"/>
      <c r="F705" s="101"/>
      <c r="G705" s="98"/>
      <c r="H705" s="100"/>
      <c r="I705" s="102"/>
      <c r="J705" s="102"/>
      <c r="K705" s="102"/>
      <c r="L705" s="101"/>
      <c r="M705" s="103"/>
      <c r="N705" s="102"/>
      <c r="O705" s="102"/>
      <c r="P705" s="102"/>
    </row>
    <row r="706" ht="15.75" customHeight="1">
      <c r="A706" s="97"/>
      <c r="B706" s="98"/>
      <c r="C706" s="99"/>
      <c r="D706" s="98"/>
      <c r="E706" s="100"/>
      <c r="F706" s="101"/>
      <c r="G706" s="98"/>
      <c r="H706" s="100"/>
      <c r="I706" s="102"/>
      <c r="J706" s="102"/>
      <c r="K706" s="102"/>
      <c r="L706" s="101"/>
      <c r="M706" s="103"/>
      <c r="N706" s="102"/>
      <c r="O706" s="102"/>
      <c r="P706" s="102"/>
    </row>
    <row r="707" ht="15.75" customHeight="1">
      <c r="A707" s="97"/>
      <c r="B707" s="98"/>
      <c r="C707" s="99"/>
      <c r="D707" s="98"/>
      <c r="E707" s="100"/>
      <c r="F707" s="101"/>
      <c r="G707" s="98"/>
      <c r="H707" s="100"/>
      <c r="I707" s="102"/>
      <c r="J707" s="102"/>
      <c r="K707" s="102"/>
      <c r="L707" s="101"/>
      <c r="M707" s="103"/>
      <c r="N707" s="102"/>
      <c r="O707" s="102"/>
      <c r="P707" s="102"/>
    </row>
    <row r="708" ht="15.75" customHeight="1">
      <c r="A708" s="97"/>
      <c r="B708" s="98"/>
      <c r="C708" s="99"/>
      <c r="D708" s="98"/>
      <c r="E708" s="100"/>
      <c r="F708" s="101"/>
      <c r="G708" s="98"/>
      <c r="H708" s="100"/>
      <c r="I708" s="102"/>
      <c r="J708" s="102"/>
      <c r="K708" s="102"/>
      <c r="L708" s="101"/>
      <c r="M708" s="103"/>
      <c r="N708" s="102"/>
      <c r="O708" s="102"/>
      <c r="P708" s="102"/>
    </row>
    <row r="709" ht="15.75" customHeight="1">
      <c r="A709" s="97"/>
      <c r="B709" s="98"/>
      <c r="C709" s="99"/>
      <c r="D709" s="98"/>
      <c r="E709" s="100"/>
      <c r="F709" s="101"/>
      <c r="G709" s="98"/>
      <c r="H709" s="100"/>
      <c r="I709" s="102"/>
      <c r="J709" s="102"/>
      <c r="K709" s="102"/>
      <c r="L709" s="101"/>
      <c r="M709" s="103"/>
      <c r="N709" s="102"/>
      <c r="O709" s="102"/>
      <c r="P709" s="102"/>
    </row>
    <row r="710" ht="15.75" customHeight="1">
      <c r="A710" s="97"/>
      <c r="B710" s="98"/>
      <c r="C710" s="99"/>
      <c r="D710" s="98"/>
      <c r="E710" s="100"/>
      <c r="F710" s="101"/>
      <c r="G710" s="98"/>
      <c r="H710" s="100"/>
      <c r="I710" s="102"/>
      <c r="J710" s="102"/>
      <c r="K710" s="102"/>
      <c r="L710" s="101"/>
      <c r="M710" s="103"/>
      <c r="N710" s="102"/>
      <c r="O710" s="102"/>
      <c r="P710" s="102"/>
    </row>
    <row r="711" ht="15.75" customHeight="1">
      <c r="A711" s="97"/>
      <c r="B711" s="98"/>
      <c r="C711" s="99"/>
      <c r="D711" s="98"/>
      <c r="E711" s="100"/>
      <c r="F711" s="101"/>
      <c r="G711" s="98"/>
      <c r="H711" s="100"/>
      <c r="I711" s="102"/>
      <c r="J711" s="102"/>
      <c r="K711" s="102"/>
      <c r="L711" s="101"/>
      <c r="M711" s="103"/>
      <c r="N711" s="102"/>
      <c r="O711" s="102"/>
      <c r="P711" s="102"/>
    </row>
    <row r="712" ht="15.75" customHeight="1">
      <c r="A712" s="97"/>
      <c r="B712" s="98"/>
      <c r="C712" s="99"/>
      <c r="D712" s="98"/>
      <c r="E712" s="100"/>
      <c r="F712" s="101"/>
      <c r="G712" s="98"/>
      <c r="H712" s="100"/>
      <c r="I712" s="102"/>
      <c r="J712" s="102"/>
      <c r="K712" s="102"/>
      <c r="L712" s="101"/>
      <c r="M712" s="103"/>
      <c r="N712" s="102"/>
      <c r="O712" s="102"/>
      <c r="P712" s="102"/>
    </row>
    <row r="713" ht="15.75" customHeight="1">
      <c r="A713" s="97"/>
      <c r="B713" s="98"/>
      <c r="C713" s="99"/>
      <c r="D713" s="98"/>
      <c r="E713" s="100"/>
      <c r="F713" s="101"/>
      <c r="G713" s="98"/>
      <c r="H713" s="100"/>
      <c r="I713" s="102"/>
      <c r="J713" s="102"/>
      <c r="K713" s="102"/>
      <c r="L713" s="101"/>
      <c r="M713" s="103"/>
      <c r="N713" s="102"/>
      <c r="O713" s="102"/>
      <c r="P713" s="102"/>
    </row>
    <row r="714" ht="15.75" customHeight="1">
      <c r="A714" s="97"/>
      <c r="B714" s="98"/>
      <c r="C714" s="99"/>
      <c r="D714" s="98"/>
      <c r="E714" s="100"/>
      <c r="F714" s="101"/>
      <c r="G714" s="98"/>
      <c r="H714" s="100"/>
      <c r="I714" s="102"/>
      <c r="J714" s="102"/>
      <c r="K714" s="102"/>
      <c r="L714" s="101"/>
      <c r="M714" s="103"/>
      <c r="N714" s="102"/>
      <c r="O714" s="102"/>
      <c r="P714" s="102"/>
    </row>
    <row r="715" ht="15.75" customHeight="1">
      <c r="A715" s="97"/>
      <c r="B715" s="98"/>
      <c r="C715" s="99"/>
      <c r="D715" s="98"/>
      <c r="E715" s="100"/>
      <c r="F715" s="101"/>
      <c r="G715" s="98"/>
      <c r="H715" s="100"/>
      <c r="I715" s="102"/>
      <c r="J715" s="102"/>
      <c r="K715" s="102"/>
      <c r="L715" s="101"/>
      <c r="M715" s="103"/>
      <c r="N715" s="102"/>
      <c r="O715" s="102"/>
      <c r="P715" s="102"/>
    </row>
    <row r="716" ht="15.75" customHeight="1">
      <c r="A716" s="97"/>
      <c r="B716" s="98"/>
      <c r="C716" s="99"/>
      <c r="D716" s="98"/>
      <c r="E716" s="100"/>
      <c r="F716" s="101"/>
      <c r="G716" s="98"/>
      <c r="H716" s="100"/>
      <c r="I716" s="102"/>
      <c r="J716" s="102"/>
      <c r="K716" s="102"/>
      <c r="L716" s="101"/>
      <c r="M716" s="103"/>
      <c r="N716" s="102"/>
      <c r="O716" s="102"/>
      <c r="P716" s="102"/>
    </row>
    <row r="717" ht="15.75" customHeight="1">
      <c r="A717" s="97"/>
      <c r="B717" s="98"/>
      <c r="C717" s="99"/>
      <c r="D717" s="98"/>
      <c r="E717" s="100"/>
      <c r="F717" s="101"/>
      <c r="G717" s="98"/>
      <c r="H717" s="100"/>
      <c r="I717" s="102"/>
      <c r="J717" s="102"/>
      <c r="K717" s="102"/>
      <c r="L717" s="101"/>
      <c r="M717" s="103"/>
      <c r="N717" s="102"/>
      <c r="O717" s="102"/>
      <c r="P717" s="102"/>
    </row>
    <row r="718" ht="15.75" customHeight="1">
      <c r="A718" s="97"/>
      <c r="B718" s="98"/>
      <c r="C718" s="99"/>
      <c r="D718" s="98"/>
      <c r="E718" s="100"/>
      <c r="F718" s="101"/>
      <c r="G718" s="98"/>
      <c r="H718" s="100"/>
      <c r="I718" s="102"/>
      <c r="J718" s="102"/>
      <c r="K718" s="102"/>
      <c r="L718" s="101"/>
      <c r="M718" s="103"/>
      <c r="N718" s="102"/>
      <c r="O718" s="102"/>
      <c r="P718" s="102"/>
    </row>
    <row r="719" ht="15.75" customHeight="1">
      <c r="A719" s="97"/>
      <c r="B719" s="98"/>
      <c r="C719" s="99"/>
      <c r="D719" s="98"/>
      <c r="E719" s="100"/>
      <c r="F719" s="101"/>
      <c r="G719" s="98"/>
      <c r="H719" s="100"/>
      <c r="I719" s="102"/>
      <c r="J719" s="102"/>
      <c r="K719" s="102"/>
      <c r="L719" s="101"/>
      <c r="M719" s="103"/>
      <c r="N719" s="102"/>
      <c r="O719" s="102"/>
      <c r="P719" s="102"/>
    </row>
    <row r="720" ht="15.75" customHeight="1">
      <c r="A720" s="97"/>
      <c r="B720" s="98"/>
      <c r="C720" s="99"/>
      <c r="D720" s="98"/>
      <c r="E720" s="100"/>
      <c r="F720" s="101"/>
      <c r="G720" s="98"/>
      <c r="H720" s="100"/>
      <c r="I720" s="102"/>
      <c r="J720" s="102"/>
      <c r="K720" s="102"/>
      <c r="L720" s="101"/>
      <c r="M720" s="103"/>
      <c r="N720" s="102"/>
      <c r="O720" s="102"/>
      <c r="P720" s="102"/>
    </row>
    <row r="721" ht="15.75" customHeight="1">
      <c r="A721" s="97"/>
      <c r="B721" s="98"/>
      <c r="C721" s="99"/>
      <c r="D721" s="98"/>
      <c r="E721" s="100"/>
      <c r="F721" s="101"/>
      <c r="G721" s="98"/>
      <c r="H721" s="100"/>
      <c r="I721" s="102"/>
      <c r="J721" s="102"/>
      <c r="K721" s="102"/>
      <c r="L721" s="101"/>
      <c r="M721" s="103"/>
      <c r="N721" s="102"/>
      <c r="O721" s="102"/>
      <c r="P721" s="102"/>
    </row>
    <row r="722" ht="15.75" customHeight="1">
      <c r="A722" s="97"/>
      <c r="B722" s="98"/>
      <c r="C722" s="99"/>
      <c r="D722" s="98"/>
      <c r="E722" s="100"/>
      <c r="F722" s="101"/>
      <c r="G722" s="98"/>
      <c r="H722" s="100"/>
      <c r="I722" s="102"/>
      <c r="J722" s="102"/>
      <c r="K722" s="102"/>
      <c r="L722" s="101"/>
      <c r="M722" s="103"/>
      <c r="N722" s="102"/>
      <c r="O722" s="102"/>
      <c r="P722" s="102"/>
    </row>
    <row r="723" ht="15.75" customHeight="1">
      <c r="A723" s="97"/>
      <c r="B723" s="98"/>
      <c r="C723" s="99"/>
      <c r="D723" s="98"/>
      <c r="E723" s="100"/>
      <c r="F723" s="101"/>
      <c r="G723" s="98"/>
      <c r="H723" s="100"/>
      <c r="I723" s="102"/>
      <c r="J723" s="102"/>
      <c r="K723" s="102"/>
      <c r="L723" s="101"/>
      <c r="M723" s="103"/>
      <c r="N723" s="102"/>
      <c r="O723" s="102"/>
      <c r="P723" s="102"/>
    </row>
    <row r="724" ht="15.75" customHeight="1">
      <c r="A724" s="97"/>
      <c r="B724" s="98"/>
      <c r="C724" s="99"/>
      <c r="D724" s="98"/>
      <c r="E724" s="100"/>
      <c r="F724" s="101"/>
      <c r="G724" s="98"/>
      <c r="H724" s="100"/>
      <c r="I724" s="102"/>
      <c r="J724" s="102"/>
      <c r="K724" s="102"/>
      <c r="L724" s="101"/>
      <c r="M724" s="103"/>
      <c r="N724" s="102"/>
      <c r="O724" s="102"/>
      <c r="P724" s="102"/>
    </row>
    <row r="725" ht="15.75" customHeight="1">
      <c r="A725" s="97"/>
      <c r="B725" s="98"/>
      <c r="C725" s="99"/>
      <c r="D725" s="98"/>
      <c r="E725" s="100"/>
      <c r="F725" s="101"/>
      <c r="G725" s="98"/>
      <c r="H725" s="100"/>
      <c r="I725" s="102"/>
      <c r="J725" s="102"/>
      <c r="K725" s="102"/>
      <c r="L725" s="101"/>
      <c r="M725" s="103"/>
      <c r="N725" s="102"/>
      <c r="O725" s="102"/>
      <c r="P725" s="102"/>
    </row>
    <row r="726" ht="15.75" customHeight="1">
      <c r="A726" s="97"/>
      <c r="B726" s="98"/>
      <c r="C726" s="99"/>
      <c r="D726" s="98"/>
      <c r="E726" s="100"/>
      <c r="F726" s="101"/>
      <c r="G726" s="98"/>
      <c r="H726" s="100"/>
      <c r="I726" s="102"/>
      <c r="J726" s="102"/>
      <c r="K726" s="102"/>
      <c r="L726" s="101"/>
      <c r="M726" s="103"/>
      <c r="N726" s="102"/>
      <c r="O726" s="102"/>
      <c r="P726" s="102"/>
    </row>
    <row r="727" ht="15.75" customHeight="1">
      <c r="A727" s="97"/>
      <c r="B727" s="98"/>
      <c r="C727" s="99"/>
      <c r="D727" s="98"/>
      <c r="E727" s="100"/>
      <c r="F727" s="101"/>
      <c r="G727" s="98"/>
      <c r="H727" s="100"/>
      <c r="I727" s="102"/>
      <c r="J727" s="102"/>
      <c r="K727" s="102"/>
      <c r="L727" s="101"/>
      <c r="M727" s="103"/>
      <c r="N727" s="102"/>
      <c r="O727" s="102"/>
      <c r="P727" s="102"/>
    </row>
    <row r="728" ht="15.75" customHeight="1">
      <c r="A728" s="97"/>
      <c r="B728" s="98"/>
      <c r="C728" s="99"/>
      <c r="D728" s="98"/>
      <c r="E728" s="100"/>
      <c r="F728" s="101"/>
      <c r="G728" s="98"/>
      <c r="H728" s="100"/>
      <c r="I728" s="102"/>
      <c r="J728" s="102"/>
      <c r="K728" s="102"/>
      <c r="L728" s="101"/>
      <c r="M728" s="103"/>
      <c r="N728" s="102"/>
      <c r="O728" s="102"/>
      <c r="P728" s="102"/>
    </row>
    <row r="729" ht="15.75" customHeight="1">
      <c r="A729" s="97"/>
      <c r="B729" s="98"/>
      <c r="C729" s="99"/>
      <c r="D729" s="98"/>
      <c r="E729" s="100"/>
      <c r="F729" s="101"/>
      <c r="G729" s="98"/>
      <c r="H729" s="100"/>
      <c r="I729" s="102"/>
      <c r="J729" s="102"/>
      <c r="K729" s="102"/>
      <c r="L729" s="101"/>
      <c r="M729" s="103"/>
      <c r="N729" s="102"/>
      <c r="O729" s="102"/>
      <c r="P729" s="102"/>
    </row>
    <row r="730" ht="15.75" customHeight="1">
      <c r="A730" s="97"/>
      <c r="B730" s="98"/>
      <c r="C730" s="99"/>
      <c r="D730" s="98"/>
      <c r="E730" s="100"/>
      <c r="F730" s="101"/>
      <c r="G730" s="98"/>
      <c r="H730" s="100"/>
      <c r="I730" s="102"/>
      <c r="J730" s="102"/>
      <c r="K730" s="102"/>
      <c r="L730" s="101"/>
      <c r="M730" s="103"/>
      <c r="N730" s="102"/>
      <c r="O730" s="102"/>
      <c r="P730" s="102"/>
    </row>
    <row r="731" ht="15.75" customHeight="1">
      <c r="A731" s="97"/>
      <c r="B731" s="98"/>
      <c r="C731" s="99"/>
      <c r="D731" s="98"/>
      <c r="E731" s="100"/>
      <c r="F731" s="101"/>
      <c r="G731" s="98"/>
      <c r="H731" s="100"/>
      <c r="I731" s="102"/>
      <c r="J731" s="102"/>
      <c r="K731" s="102"/>
      <c r="L731" s="101"/>
      <c r="M731" s="103"/>
      <c r="N731" s="102"/>
      <c r="O731" s="102"/>
      <c r="P731" s="102"/>
    </row>
    <row r="732" ht="15.75" customHeight="1">
      <c r="A732" s="97"/>
      <c r="B732" s="98"/>
      <c r="C732" s="99"/>
      <c r="D732" s="98"/>
      <c r="E732" s="100"/>
      <c r="F732" s="101"/>
      <c r="G732" s="98"/>
      <c r="H732" s="100"/>
      <c r="I732" s="102"/>
      <c r="J732" s="102"/>
      <c r="K732" s="102"/>
      <c r="L732" s="101"/>
      <c r="M732" s="103"/>
      <c r="N732" s="102"/>
      <c r="O732" s="102"/>
      <c r="P732" s="102"/>
    </row>
    <row r="733" ht="15.75" customHeight="1">
      <c r="A733" s="97"/>
      <c r="B733" s="98"/>
      <c r="C733" s="99"/>
      <c r="D733" s="98"/>
      <c r="E733" s="100"/>
      <c r="F733" s="101"/>
      <c r="G733" s="98"/>
      <c r="H733" s="100"/>
      <c r="I733" s="102"/>
      <c r="J733" s="102"/>
      <c r="K733" s="102"/>
      <c r="L733" s="101"/>
      <c r="M733" s="103"/>
      <c r="N733" s="102"/>
      <c r="O733" s="102"/>
      <c r="P733" s="102"/>
    </row>
    <row r="734" ht="15.75" customHeight="1">
      <c r="A734" s="97"/>
      <c r="B734" s="98"/>
      <c r="C734" s="99"/>
      <c r="D734" s="98"/>
      <c r="E734" s="100"/>
      <c r="F734" s="101"/>
      <c r="G734" s="98"/>
      <c r="H734" s="100"/>
      <c r="I734" s="102"/>
      <c r="J734" s="102"/>
      <c r="K734" s="102"/>
      <c r="L734" s="101"/>
      <c r="M734" s="103"/>
      <c r="N734" s="102"/>
      <c r="O734" s="102"/>
      <c r="P734" s="102"/>
    </row>
    <row r="735" ht="15.75" customHeight="1">
      <c r="A735" s="97"/>
      <c r="B735" s="98"/>
      <c r="C735" s="99"/>
      <c r="D735" s="98"/>
      <c r="E735" s="100"/>
      <c r="F735" s="101"/>
      <c r="G735" s="98"/>
      <c r="H735" s="100"/>
      <c r="I735" s="102"/>
      <c r="J735" s="102"/>
      <c r="K735" s="102"/>
      <c r="L735" s="101"/>
      <c r="M735" s="103"/>
      <c r="N735" s="102"/>
      <c r="O735" s="102"/>
      <c r="P735" s="102"/>
    </row>
    <row r="736" ht="15.75" customHeight="1">
      <c r="A736" s="97"/>
      <c r="B736" s="98"/>
      <c r="C736" s="99"/>
      <c r="D736" s="98"/>
      <c r="E736" s="100"/>
      <c r="F736" s="101"/>
      <c r="G736" s="98"/>
      <c r="H736" s="100"/>
      <c r="I736" s="102"/>
      <c r="J736" s="102"/>
      <c r="K736" s="102"/>
      <c r="L736" s="101"/>
      <c r="M736" s="103"/>
      <c r="N736" s="102"/>
      <c r="O736" s="102"/>
      <c r="P736" s="102"/>
    </row>
    <row r="737" ht="15.75" customHeight="1">
      <c r="A737" s="97"/>
      <c r="B737" s="98"/>
      <c r="C737" s="99"/>
      <c r="D737" s="98"/>
      <c r="E737" s="100"/>
      <c r="F737" s="101"/>
      <c r="G737" s="98"/>
      <c r="H737" s="100"/>
      <c r="I737" s="102"/>
      <c r="J737" s="102"/>
      <c r="K737" s="102"/>
      <c r="L737" s="101"/>
      <c r="M737" s="103"/>
      <c r="N737" s="102"/>
      <c r="O737" s="102"/>
      <c r="P737" s="102"/>
    </row>
    <row r="738" ht="15.75" customHeight="1">
      <c r="A738" s="97"/>
      <c r="B738" s="98"/>
      <c r="C738" s="99"/>
      <c r="D738" s="98"/>
      <c r="E738" s="100"/>
      <c r="F738" s="101"/>
      <c r="G738" s="98"/>
      <c r="H738" s="100"/>
      <c r="I738" s="102"/>
      <c r="J738" s="102"/>
      <c r="K738" s="102"/>
      <c r="L738" s="101"/>
      <c r="M738" s="103"/>
      <c r="N738" s="102"/>
      <c r="O738" s="102"/>
      <c r="P738" s="102"/>
    </row>
    <row r="739" ht="15.75" customHeight="1">
      <c r="A739" s="97"/>
      <c r="B739" s="98"/>
      <c r="C739" s="99"/>
      <c r="D739" s="98"/>
      <c r="E739" s="100"/>
      <c r="F739" s="101"/>
      <c r="G739" s="98"/>
      <c r="H739" s="100"/>
      <c r="I739" s="102"/>
      <c r="J739" s="102"/>
      <c r="K739" s="102"/>
      <c r="L739" s="101"/>
      <c r="M739" s="103"/>
      <c r="N739" s="102"/>
      <c r="O739" s="102"/>
      <c r="P739" s="102"/>
    </row>
    <row r="740" ht="15.75" customHeight="1">
      <c r="A740" s="97"/>
      <c r="B740" s="98"/>
      <c r="C740" s="99"/>
      <c r="D740" s="98"/>
      <c r="E740" s="100"/>
      <c r="F740" s="101"/>
      <c r="G740" s="98"/>
      <c r="H740" s="100"/>
      <c r="I740" s="102"/>
      <c r="J740" s="102"/>
      <c r="K740" s="102"/>
      <c r="L740" s="101"/>
      <c r="M740" s="103"/>
      <c r="N740" s="102"/>
      <c r="O740" s="102"/>
      <c r="P740" s="102"/>
    </row>
    <row r="741" ht="15.75" customHeight="1">
      <c r="A741" s="97"/>
      <c r="B741" s="98"/>
      <c r="C741" s="99"/>
      <c r="D741" s="98"/>
      <c r="E741" s="100"/>
      <c r="F741" s="101"/>
      <c r="G741" s="98"/>
      <c r="H741" s="100"/>
      <c r="I741" s="102"/>
      <c r="J741" s="102"/>
      <c r="K741" s="102"/>
      <c r="L741" s="101"/>
      <c r="M741" s="103"/>
      <c r="N741" s="102"/>
      <c r="O741" s="102"/>
      <c r="P741" s="102"/>
    </row>
    <row r="742" ht="15.75" customHeight="1">
      <c r="A742" s="97"/>
      <c r="B742" s="98"/>
      <c r="C742" s="99"/>
      <c r="D742" s="98"/>
      <c r="E742" s="100"/>
      <c r="F742" s="101"/>
      <c r="G742" s="98"/>
      <c r="H742" s="100"/>
      <c r="I742" s="102"/>
      <c r="J742" s="102"/>
      <c r="K742" s="102"/>
      <c r="L742" s="101"/>
      <c r="M742" s="103"/>
      <c r="N742" s="102"/>
      <c r="O742" s="102"/>
      <c r="P742" s="102"/>
    </row>
    <row r="743" ht="15.75" customHeight="1">
      <c r="A743" s="97"/>
      <c r="B743" s="98"/>
      <c r="C743" s="99"/>
      <c r="D743" s="98"/>
      <c r="E743" s="100"/>
      <c r="F743" s="101"/>
      <c r="G743" s="98"/>
      <c r="H743" s="100"/>
      <c r="I743" s="102"/>
      <c r="J743" s="102"/>
      <c r="K743" s="102"/>
      <c r="L743" s="101"/>
      <c r="M743" s="103"/>
      <c r="N743" s="102"/>
      <c r="O743" s="102"/>
      <c r="P743" s="102"/>
    </row>
    <row r="744" ht="15.75" customHeight="1">
      <c r="A744" s="97"/>
      <c r="B744" s="98"/>
      <c r="C744" s="99"/>
      <c r="D744" s="98"/>
      <c r="E744" s="100"/>
      <c r="F744" s="101"/>
      <c r="G744" s="98"/>
      <c r="H744" s="100"/>
      <c r="I744" s="102"/>
      <c r="J744" s="102"/>
      <c r="K744" s="102"/>
      <c r="L744" s="101"/>
      <c r="M744" s="103"/>
      <c r="N744" s="102"/>
      <c r="O744" s="102"/>
      <c r="P744" s="102"/>
    </row>
    <row r="745" ht="15.75" customHeight="1">
      <c r="A745" s="97"/>
      <c r="B745" s="98"/>
      <c r="C745" s="99"/>
      <c r="D745" s="98"/>
      <c r="E745" s="100"/>
      <c r="F745" s="101"/>
      <c r="G745" s="98"/>
      <c r="H745" s="100"/>
      <c r="I745" s="102"/>
      <c r="J745" s="102"/>
      <c r="K745" s="102"/>
      <c r="L745" s="101"/>
      <c r="M745" s="103"/>
      <c r="N745" s="102"/>
      <c r="O745" s="102"/>
      <c r="P745" s="102"/>
    </row>
    <row r="746" ht="15.75" customHeight="1">
      <c r="A746" s="97"/>
      <c r="B746" s="98"/>
      <c r="C746" s="99"/>
      <c r="D746" s="98"/>
      <c r="E746" s="100"/>
      <c r="F746" s="101"/>
      <c r="G746" s="98"/>
      <c r="H746" s="100"/>
      <c r="I746" s="102"/>
      <c r="J746" s="102"/>
      <c r="K746" s="102"/>
      <c r="L746" s="101"/>
      <c r="M746" s="103"/>
      <c r="N746" s="102"/>
      <c r="O746" s="102"/>
      <c r="P746" s="102"/>
    </row>
    <row r="747" ht="15.75" customHeight="1">
      <c r="A747" s="97"/>
      <c r="B747" s="98"/>
      <c r="C747" s="99"/>
      <c r="D747" s="98"/>
      <c r="E747" s="100"/>
      <c r="F747" s="101"/>
      <c r="G747" s="98"/>
      <c r="H747" s="100"/>
      <c r="I747" s="102"/>
      <c r="J747" s="102"/>
      <c r="K747" s="102"/>
      <c r="L747" s="101"/>
      <c r="M747" s="103"/>
      <c r="N747" s="102"/>
      <c r="O747" s="102"/>
      <c r="P747" s="102"/>
    </row>
    <row r="748" ht="15.75" customHeight="1">
      <c r="A748" s="97"/>
      <c r="B748" s="98"/>
      <c r="C748" s="99"/>
      <c r="D748" s="98"/>
      <c r="E748" s="100"/>
      <c r="F748" s="101"/>
      <c r="G748" s="98"/>
      <c r="H748" s="100"/>
      <c r="I748" s="102"/>
      <c r="J748" s="102"/>
      <c r="K748" s="102"/>
      <c r="L748" s="101"/>
      <c r="M748" s="103"/>
      <c r="N748" s="102"/>
      <c r="O748" s="102"/>
      <c r="P748" s="102"/>
    </row>
    <row r="749" ht="15.75" customHeight="1">
      <c r="A749" s="97"/>
      <c r="B749" s="98"/>
      <c r="C749" s="99"/>
      <c r="D749" s="98"/>
      <c r="E749" s="100"/>
      <c r="F749" s="101"/>
      <c r="G749" s="98"/>
      <c r="H749" s="100"/>
      <c r="I749" s="102"/>
      <c r="J749" s="102"/>
      <c r="K749" s="102"/>
      <c r="L749" s="101"/>
      <c r="M749" s="103"/>
      <c r="N749" s="102"/>
      <c r="O749" s="102"/>
      <c r="P749" s="102"/>
    </row>
    <row r="750" ht="15.75" customHeight="1">
      <c r="A750" s="97"/>
      <c r="B750" s="98"/>
      <c r="C750" s="99"/>
      <c r="D750" s="98"/>
      <c r="E750" s="100"/>
      <c r="F750" s="101"/>
      <c r="G750" s="98"/>
      <c r="H750" s="100"/>
      <c r="I750" s="102"/>
      <c r="J750" s="102"/>
      <c r="K750" s="102"/>
      <c r="L750" s="101"/>
      <c r="M750" s="103"/>
      <c r="N750" s="102"/>
      <c r="O750" s="102"/>
      <c r="P750" s="102"/>
    </row>
    <row r="751" ht="15.75" customHeight="1">
      <c r="A751" s="97"/>
      <c r="B751" s="98"/>
      <c r="C751" s="99"/>
      <c r="D751" s="98"/>
      <c r="E751" s="100"/>
      <c r="F751" s="101"/>
      <c r="G751" s="98"/>
      <c r="H751" s="100"/>
      <c r="I751" s="102"/>
      <c r="J751" s="102"/>
      <c r="K751" s="102"/>
      <c r="L751" s="101"/>
      <c r="M751" s="103"/>
      <c r="N751" s="102"/>
      <c r="O751" s="102"/>
      <c r="P751" s="102"/>
    </row>
    <row r="752" ht="15.75" customHeight="1">
      <c r="A752" s="97"/>
      <c r="B752" s="98"/>
      <c r="C752" s="99"/>
      <c r="D752" s="98"/>
      <c r="E752" s="100"/>
      <c r="F752" s="101"/>
      <c r="G752" s="98"/>
      <c r="H752" s="100"/>
      <c r="I752" s="102"/>
      <c r="J752" s="102"/>
      <c r="K752" s="102"/>
      <c r="L752" s="101"/>
      <c r="M752" s="103"/>
      <c r="N752" s="102"/>
      <c r="O752" s="102"/>
      <c r="P752" s="102"/>
    </row>
    <row r="753" ht="15.75" customHeight="1">
      <c r="A753" s="97"/>
      <c r="B753" s="98"/>
      <c r="C753" s="99"/>
      <c r="D753" s="98"/>
      <c r="E753" s="100"/>
      <c r="F753" s="101"/>
      <c r="G753" s="98"/>
      <c r="H753" s="100"/>
      <c r="I753" s="102"/>
      <c r="J753" s="102"/>
      <c r="K753" s="102"/>
      <c r="L753" s="101"/>
      <c r="M753" s="103"/>
      <c r="N753" s="102"/>
      <c r="O753" s="102"/>
      <c r="P753" s="102"/>
    </row>
    <row r="754" ht="15.75" customHeight="1">
      <c r="A754" s="97"/>
      <c r="B754" s="98"/>
      <c r="C754" s="99"/>
      <c r="D754" s="98"/>
      <c r="E754" s="100"/>
      <c r="F754" s="101"/>
      <c r="G754" s="98"/>
      <c r="H754" s="100"/>
      <c r="I754" s="102"/>
      <c r="J754" s="102"/>
      <c r="K754" s="102"/>
      <c r="L754" s="101"/>
      <c r="M754" s="103"/>
      <c r="N754" s="102"/>
      <c r="O754" s="102"/>
      <c r="P754" s="102"/>
    </row>
    <row r="755" ht="15.75" customHeight="1">
      <c r="A755" s="97"/>
      <c r="B755" s="98"/>
      <c r="C755" s="99"/>
      <c r="D755" s="98"/>
      <c r="E755" s="100"/>
      <c r="F755" s="101"/>
      <c r="G755" s="98"/>
      <c r="H755" s="100"/>
      <c r="I755" s="102"/>
      <c r="J755" s="102"/>
      <c r="K755" s="102"/>
      <c r="L755" s="101"/>
      <c r="M755" s="103"/>
      <c r="N755" s="102"/>
      <c r="O755" s="102"/>
      <c r="P755" s="102"/>
    </row>
    <row r="756" ht="15.75" customHeight="1">
      <c r="A756" s="97"/>
      <c r="B756" s="98"/>
      <c r="C756" s="99"/>
      <c r="D756" s="98"/>
      <c r="E756" s="100"/>
      <c r="F756" s="101"/>
      <c r="G756" s="98"/>
      <c r="H756" s="100"/>
      <c r="I756" s="102"/>
      <c r="J756" s="102"/>
      <c r="K756" s="102"/>
      <c r="L756" s="101"/>
      <c r="M756" s="103"/>
      <c r="N756" s="102"/>
      <c r="O756" s="102"/>
      <c r="P756" s="102"/>
    </row>
    <row r="757" ht="15.75" customHeight="1">
      <c r="A757" s="97"/>
      <c r="B757" s="98"/>
      <c r="C757" s="99"/>
      <c r="D757" s="98"/>
      <c r="E757" s="100"/>
      <c r="F757" s="101"/>
      <c r="G757" s="98"/>
      <c r="H757" s="100"/>
      <c r="I757" s="102"/>
      <c r="J757" s="102"/>
      <c r="K757" s="102"/>
      <c r="L757" s="101"/>
      <c r="M757" s="103"/>
      <c r="N757" s="102"/>
      <c r="O757" s="102"/>
      <c r="P757" s="102"/>
    </row>
    <row r="758" ht="15.75" customHeight="1">
      <c r="A758" s="97"/>
      <c r="B758" s="98"/>
      <c r="C758" s="99"/>
      <c r="D758" s="98"/>
      <c r="E758" s="100"/>
      <c r="F758" s="101"/>
      <c r="G758" s="98"/>
      <c r="H758" s="100"/>
      <c r="I758" s="102"/>
      <c r="J758" s="102"/>
      <c r="K758" s="102"/>
      <c r="L758" s="101"/>
      <c r="M758" s="103"/>
      <c r="N758" s="102"/>
      <c r="O758" s="102"/>
      <c r="P758" s="102"/>
    </row>
    <row r="759" ht="15.75" customHeight="1">
      <c r="A759" s="97"/>
      <c r="B759" s="98"/>
      <c r="C759" s="99"/>
      <c r="D759" s="98"/>
      <c r="E759" s="100"/>
      <c r="F759" s="101"/>
      <c r="G759" s="98"/>
      <c r="H759" s="100"/>
      <c r="I759" s="102"/>
      <c r="J759" s="102"/>
      <c r="K759" s="102"/>
      <c r="L759" s="101"/>
      <c r="M759" s="103"/>
      <c r="N759" s="102"/>
      <c r="O759" s="102"/>
      <c r="P759" s="102"/>
    </row>
    <row r="760" ht="15.75" customHeight="1">
      <c r="A760" s="97"/>
      <c r="B760" s="98"/>
      <c r="C760" s="99"/>
      <c r="D760" s="98"/>
      <c r="E760" s="100"/>
      <c r="F760" s="101"/>
      <c r="G760" s="98"/>
      <c r="H760" s="100"/>
      <c r="I760" s="102"/>
      <c r="J760" s="102"/>
      <c r="K760" s="102"/>
      <c r="L760" s="101"/>
      <c r="M760" s="103"/>
      <c r="N760" s="102"/>
      <c r="O760" s="102"/>
      <c r="P760" s="102"/>
    </row>
    <row r="761" ht="15.75" customHeight="1">
      <c r="A761" s="97"/>
      <c r="B761" s="98"/>
      <c r="C761" s="99"/>
      <c r="D761" s="98"/>
      <c r="E761" s="100"/>
      <c r="F761" s="101"/>
      <c r="G761" s="98"/>
      <c r="H761" s="100"/>
      <c r="I761" s="102"/>
      <c r="J761" s="102"/>
      <c r="K761" s="102"/>
      <c r="L761" s="101"/>
      <c r="M761" s="103"/>
      <c r="N761" s="102"/>
      <c r="O761" s="102"/>
      <c r="P761" s="102"/>
    </row>
    <row r="762" ht="15.75" customHeight="1">
      <c r="A762" s="97"/>
      <c r="B762" s="98"/>
      <c r="C762" s="99"/>
      <c r="D762" s="98"/>
      <c r="E762" s="100"/>
      <c r="F762" s="101"/>
      <c r="G762" s="98"/>
      <c r="H762" s="100"/>
      <c r="I762" s="102"/>
      <c r="J762" s="102"/>
      <c r="K762" s="102"/>
      <c r="L762" s="101"/>
      <c r="M762" s="103"/>
      <c r="N762" s="102"/>
      <c r="O762" s="102"/>
      <c r="P762" s="102"/>
    </row>
    <row r="763" ht="15.75" customHeight="1">
      <c r="A763" s="97"/>
      <c r="B763" s="98"/>
      <c r="C763" s="99"/>
      <c r="D763" s="98"/>
      <c r="E763" s="100"/>
      <c r="F763" s="101"/>
      <c r="G763" s="98"/>
      <c r="H763" s="100"/>
      <c r="I763" s="102"/>
      <c r="J763" s="102"/>
      <c r="K763" s="102"/>
      <c r="L763" s="101"/>
      <c r="M763" s="103"/>
      <c r="N763" s="102"/>
      <c r="O763" s="102"/>
      <c r="P763" s="102"/>
    </row>
    <row r="764" ht="15.75" customHeight="1">
      <c r="A764" s="97"/>
      <c r="B764" s="98"/>
      <c r="C764" s="99"/>
      <c r="D764" s="98"/>
      <c r="E764" s="100"/>
      <c r="F764" s="101"/>
      <c r="G764" s="98"/>
      <c r="H764" s="100"/>
      <c r="I764" s="102"/>
      <c r="J764" s="102"/>
      <c r="K764" s="102"/>
      <c r="L764" s="101"/>
      <c r="M764" s="103"/>
      <c r="N764" s="102"/>
      <c r="O764" s="102"/>
      <c r="P764" s="102"/>
    </row>
    <row r="765" ht="15.75" customHeight="1">
      <c r="A765" s="97"/>
      <c r="B765" s="98"/>
      <c r="C765" s="99"/>
      <c r="D765" s="98"/>
      <c r="E765" s="100"/>
      <c r="F765" s="101"/>
      <c r="G765" s="98"/>
      <c r="H765" s="100"/>
      <c r="I765" s="102"/>
      <c r="J765" s="102"/>
      <c r="K765" s="102"/>
      <c r="L765" s="101"/>
      <c r="M765" s="103"/>
      <c r="N765" s="102"/>
      <c r="O765" s="102"/>
      <c r="P765" s="102"/>
    </row>
    <row r="766" ht="15.75" customHeight="1">
      <c r="A766" s="97"/>
      <c r="B766" s="98"/>
      <c r="C766" s="99"/>
      <c r="D766" s="98"/>
      <c r="E766" s="100"/>
      <c r="F766" s="101"/>
      <c r="G766" s="98"/>
      <c r="H766" s="100"/>
      <c r="I766" s="102"/>
      <c r="J766" s="102"/>
      <c r="K766" s="102"/>
      <c r="L766" s="101"/>
      <c r="M766" s="103"/>
      <c r="N766" s="102"/>
      <c r="O766" s="102"/>
      <c r="P766" s="102"/>
    </row>
    <row r="767" ht="15.75" customHeight="1">
      <c r="A767" s="97"/>
      <c r="B767" s="98"/>
      <c r="C767" s="99"/>
      <c r="D767" s="98"/>
      <c r="E767" s="100"/>
      <c r="F767" s="101"/>
      <c r="G767" s="98"/>
      <c r="H767" s="100"/>
      <c r="I767" s="102"/>
      <c r="J767" s="102"/>
      <c r="K767" s="102"/>
      <c r="L767" s="101"/>
      <c r="M767" s="103"/>
      <c r="N767" s="102"/>
      <c r="O767" s="102"/>
      <c r="P767" s="102"/>
    </row>
    <row r="768" ht="15.75" customHeight="1">
      <c r="A768" s="97"/>
      <c r="B768" s="98"/>
      <c r="C768" s="99"/>
      <c r="D768" s="98"/>
      <c r="E768" s="100"/>
      <c r="F768" s="101"/>
      <c r="G768" s="98"/>
      <c r="H768" s="100"/>
      <c r="I768" s="102"/>
      <c r="J768" s="102"/>
      <c r="K768" s="102"/>
      <c r="L768" s="101"/>
      <c r="M768" s="103"/>
      <c r="N768" s="102"/>
      <c r="O768" s="102"/>
      <c r="P768" s="102"/>
    </row>
    <row r="769" ht="15.75" customHeight="1">
      <c r="A769" s="97"/>
      <c r="B769" s="98"/>
      <c r="C769" s="99"/>
      <c r="D769" s="98"/>
      <c r="E769" s="100"/>
      <c r="F769" s="101"/>
      <c r="G769" s="98"/>
      <c r="H769" s="100"/>
      <c r="I769" s="102"/>
      <c r="J769" s="102"/>
      <c r="K769" s="102"/>
      <c r="L769" s="101"/>
      <c r="M769" s="103"/>
      <c r="N769" s="102"/>
      <c r="O769" s="102"/>
      <c r="P769" s="102"/>
    </row>
    <row r="770" ht="15.75" customHeight="1">
      <c r="A770" s="97"/>
      <c r="B770" s="98"/>
      <c r="C770" s="99"/>
      <c r="D770" s="98"/>
      <c r="E770" s="100"/>
      <c r="F770" s="101"/>
      <c r="G770" s="98"/>
      <c r="H770" s="100"/>
      <c r="I770" s="102"/>
      <c r="J770" s="102"/>
      <c r="K770" s="102"/>
      <c r="L770" s="101"/>
      <c r="M770" s="103"/>
      <c r="N770" s="102"/>
      <c r="O770" s="102"/>
      <c r="P770" s="102"/>
    </row>
    <row r="771" ht="15.75" customHeight="1">
      <c r="A771" s="97"/>
      <c r="B771" s="98"/>
      <c r="C771" s="99"/>
      <c r="D771" s="98"/>
      <c r="E771" s="100"/>
      <c r="F771" s="101"/>
      <c r="G771" s="98"/>
      <c r="H771" s="100"/>
      <c r="I771" s="102"/>
      <c r="J771" s="102"/>
      <c r="K771" s="102"/>
      <c r="L771" s="101"/>
      <c r="M771" s="103"/>
      <c r="N771" s="102"/>
      <c r="O771" s="102"/>
      <c r="P771" s="102"/>
    </row>
    <row r="772" ht="15.75" customHeight="1">
      <c r="A772" s="97"/>
      <c r="B772" s="98"/>
      <c r="C772" s="99"/>
      <c r="D772" s="98"/>
      <c r="E772" s="100"/>
      <c r="F772" s="101"/>
      <c r="G772" s="98"/>
      <c r="H772" s="100"/>
      <c r="I772" s="102"/>
      <c r="J772" s="102"/>
      <c r="K772" s="102"/>
      <c r="L772" s="101"/>
      <c r="M772" s="103"/>
      <c r="N772" s="102"/>
      <c r="O772" s="102"/>
      <c r="P772" s="102"/>
    </row>
    <row r="773" ht="15.75" customHeight="1">
      <c r="A773" s="97"/>
      <c r="B773" s="98"/>
      <c r="C773" s="99"/>
      <c r="D773" s="98"/>
      <c r="E773" s="100"/>
      <c r="F773" s="101"/>
      <c r="G773" s="98"/>
      <c r="H773" s="100"/>
      <c r="I773" s="102"/>
      <c r="J773" s="102"/>
      <c r="K773" s="102"/>
      <c r="L773" s="101"/>
      <c r="M773" s="103"/>
      <c r="N773" s="102"/>
      <c r="O773" s="102"/>
      <c r="P773" s="102"/>
    </row>
    <row r="774" ht="15.75" customHeight="1">
      <c r="A774" s="97"/>
      <c r="B774" s="98"/>
      <c r="C774" s="99"/>
      <c r="D774" s="98"/>
      <c r="E774" s="100"/>
      <c r="F774" s="101"/>
      <c r="G774" s="98"/>
      <c r="H774" s="100"/>
      <c r="I774" s="102"/>
      <c r="J774" s="102"/>
      <c r="K774" s="102"/>
      <c r="L774" s="101"/>
      <c r="M774" s="103"/>
      <c r="N774" s="102"/>
      <c r="O774" s="102"/>
      <c r="P774" s="102"/>
    </row>
    <row r="775" ht="15.75" customHeight="1">
      <c r="A775" s="97"/>
      <c r="B775" s="98"/>
      <c r="C775" s="99"/>
      <c r="D775" s="98"/>
      <c r="E775" s="100"/>
      <c r="F775" s="101"/>
      <c r="G775" s="98"/>
      <c r="H775" s="100"/>
      <c r="I775" s="102"/>
      <c r="J775" s="102"/>
      <c r="K775" s="102"/>
      <c r="L775" s="101"/>
      <c r="M775" s="103"/>
      <c r="N775" s="102"/>
      <c r="O775" s="102"/>
      <c r="P775" s="102"/>
    </row>
    <row r="776" ht="15.75" customHeight="1">
      <c r="A776" s="97"/>
      <c r="B776" s="98"/>
      <c r="C776" s="99"/>
      <c r="D776" s="98"/>
      <c r="E776" s="100"/>
      <c r="F776" s="101"/>
      <c r="G776" s="98"/>
      <c r="H776" s="100"/>
      <c r="I776" s="102"/>
      <c r="J776" s="102"/>
      <c r="K776" s="102"/>
      <c r="L776" s="101"/>
      <c r="M776" s="103"/>
      <c r="N776" s="102"/>
      <c r="O776" s="102"/>
      <c r="P776" s="102"/>
    </row>
    <row r="777" ht="15.75" customHeight="1">
      <c r="A777" s="97"/>
      <c r="B777" s="98"/>
      <c r="C777" s="99"/>
      <c r="D777" s="98"/>
      <c r="E777" s="100"/>
      <c r="F777" s="101"/>
      <c r="G777" s="98"/>
      <c r="H777" s="100"/>
      <c r="I777" s="102"/>
      <c r="J777" s="102"/>
      <c r="K777" s="102"/>
      <c r="L777" s="101"/>
      <c r="M777" s="103"/>
      <c r="N777" s="102"/>
      <c r="O777" s="102"/>
      <c r="P777" s="102"/>
    </row>
    <row r="778" ht="15.75" customHeight="1">
      <c r="A778" s="97"/>
      <c r="B778" s="98"/>
      <c r="C778" s="99"/>
      <c r="D778" s="98"/>
      <c r="E778" s="100"/>
      <c r="F778" s="101"/>
      <c r="G778" s="98"/>
      <c r="H778" s="100"/>
      <c r="I778" s="102"/>
      <c r="J778" s="102"/>
      <c r="K778" s="102"/>
      <c r="L778" s="101"/>
      <c r="M778" s="103"/>
      <c r="N778" s="102"/>
      <c r="O778" s="102"/>
      <c r="P778" s="102"/>
    </row>
    <row r="779" ht="15.75" customHeight="1">
      <c r="A779" s="97"/>
      <c r="B779" s="98"/>
      <c r="C779" s="99"/>
      <c r="D779" s="98"/>
      <c r="E779" s="100"/>
      <c r="F779" s="101"/>
      <c r="G779" s="98"/>
      <c r="H779" s="100"/>
      <c r="I779" s="102"/>
      <c r="J779" s="102"/>
      <c r="K779" s="102"/>
      <c r="L779" s="101"/>
      <c r="M779" s="103"/>
      <c r="N779" s="102"/>
      <c r="O779" s="102"/>
      <c r="P779" s="102"/>
    </row>
    <row r="780" ht="15.75" customHeight="1">
      <c r="A780" s="97"/>
      <c r="B780" s="98"/>
      <c r="C780" s="99"/>
      <c r="D780" s="98"/>
      <c r="E780" s="100"/>
      <c r="F780" s="101"/>
      <c r="G780" s="98"/>
      <c r="H780" s="100"/>
      <c r="I780" s="102"/>
      <c r="J780" s="102"/>
      <c r="K780" s="102"/>
      <c r="L780" s="101"/>
      <c r="M780" s="103"/>
      <c r="N780" s="102"/>
      <c r="O780" s="102"/>
      <c r="P780" s="102"/>
    </row>
    <row r="781" ht="15.75" customHeight="1">
      <c r="A781" s="97"/>
      <c r="B781" s="98"/>
      <c r="C781" s="99"/>
      <c r="D781" s="98"/>
      <c r="E781" s="100"/>
      <c r="F781" s="101"/>
      <c r="G781" s="98"/>
      <c r="H781" s="100"/>
      <c r="I781" s="102"/>
      <c r="J781" s="102"/>
      <c r="K781" s="102"/>
      <c r="L781" s="101"/>
      <c r="M781" s="103"/>
      <c r="N781" s="102"/>
      <c r="O781" s="102"/>
      <c r="P781" s="102"/>
    </row>
    <row r="782" ht="15.75" customHeight="1">
      <c r="A782" s="97"/>
      <c r="B782" s="98"/>
      <c r="C782" s="99"/>
      <c r="D782" s="98"/>
      <c r="E782" s="100"/>
      <c r="F782" s="101"/>
      <c r="G782" s="98"/>
      <c r="H782" s="100"/>
      <c r="I782" s="102"/>
      <c r="J782" s="102"/>
      <c r="K782" s="102"/>
      <c r="L782" s="101"/>
      <c r="M782" s="103"/>
      <c r="N782" s="102"/>
      <c r="O782" s="102"/>
      <c r="P782" s="102"/>
    </row>
    <row r="783" ht="15.75" customHeight="1">
      <c r="A783" s="97"/>
      <c r="B783" s="98"/>
      <c r="C783" s="99"/>
      <c r="D783" s="98"/>
      <c r="E783" s="100"/>
      <c r="F783" s="101"/>
      <c r="G783" s="98"/>
      <c r="H783" s="100"/>
      <c r="I783" s="102"/>
      <c r="J783" s="102"/>
      <c r="K783" s="102"/>
      <c r="L783" s="101"/>
      <c r="M783" s="103"/>
      <c r="N783" s="102"/>
      <c r="O783" s="102"/>
      <c r="P783" s="102"/>
    </row>
    <row r="784" ht="15.75" customHeight="1">
      <c r="A784" s="97"/>
      <c r="B784" s="98"/>
      <c r="C784" s="99"/>
      <c r="D784" s="98"/>
      <c r="E784" s="100"/>
      <c r="F784" s="101"/>
      <c r="G784" s="98"/>
      <c r="H784" s="100"/>
      <c r="I784" s="102"/>
      <c r="J784" s="102"/>
      <c r="K784" s="102"/>
      <c r="L784" s="101"/>
      <c r="M784" s="103"/>
      <c r="N784" s="102"/>
      <c r="O784" s="102"/>
      <c r="P784" s="102"/>
    </row>
    <row r="785" ht="15.75" customHeight="1">
      <c r="A785" s="97"/>
      <c r="B785" s="98"/>
      <c r="C785" s="99"/>
      <c r="D785" s="98"/>
      <c r="E785" s="100"/>
      <c r="F785" s="101"/>
      <c r="G785" s="98"/>
      <c r="H785" s="100"/>
      <c r="I785" s="102"/>
      <c r="J785" s="102"/>
      <c r="K785" s="102"/>
      <c r="L785" s="101"/>
      <c r="M785" s="103"/>
      <c r="N785" s="102"/>
      <c r="O785" s="102"/>
      <c r="P785" s="102"/>
    </row>
    <row r="786" ht="15.75" customHeight="1">
      <c r="A786" s="97"/>
      <c r="B786" s="98"/>
      <c r="C786" s="99"/>
      <c r="D786" s="98"/>
      <c r="E786" s="100"/>
      <c r="F786" s="101"/>
      <c r="G786" s="98"/>
      <c r="H786" s="100"/>
      <c r="I786" s="102"/>
      <c r="J786" s="102"/>
      <c r="K786" s="102"/>
      <c r="L786" s="101"/>
      <c r="M786" s="103"/>
      <c r="N786" s="102"/>
      <c r="O786" s="102"/>
      <c r="P786" s="102"/>
    </row>
    <row r="787" ht="15.75" customHeight="1">
      <c r="A787" s="97"/>
      <c r="B787" s="98"/>
      <c r="C787" s="99"/>
      <c r="D787" s="98"/>
      <c r="E787" s="100"/>
      <c r="F787" s="101"/>
      <c r="G787" s="98"/>
      <c r="H787" s="100"/>
      <c r="I787" s="102"/>
      <c r="J787" s="102"/>
      <c r="K787" s="102"/>
      <c r="L787" s="101"/>
      <c r="M787" s="103"/>
      <c r="N787" s="102"/>
      <c r="O787" s="102"/>
      <c r="P787" s="102"/>
    </row>
    <row r="788" ht="15.75" customHeight="1">
      <c r="A788" s="97"/>
      <c r="B788" s="98"/>
      <c r="C788" s="99"/>
      <c r="D788" s="98"/>
      <c r="E788" s="100"/>
      <c r="F788" s="101"/>
      <c r="G788" s="98"/>
      <c r="H788" s="100"/>
      <c r="I788" s="102"/>
      <c r="J788" s="102"/>
      <c r="K788" s="102"/>
      <c r="L788" s="101"/>
      <c r="M788" s="103"/>
      <c r="N788" s="102"/>
      <c r="O788" s="102"/>
      <c r="P788" s="102"/>
    </row>
    <row r="789" ht="15.75" customHeight="1">
      <c r="A789" s="97"/>
      <c r="B789" s="98"/>
      <c r="C789" s="99"/>
      <c r="D789" s="98"/>
      <c r="E789" s="100"/>
      <c r="F789" s="101"/>
      <c r="G789" s="98"/>
      <c r="H789" s="100"/>
      <c r="I789" s="102"/>
      <c r="J789" s="102"/>
      <c r="K789" s="102"/>
      <c r="L789" s="101"/>
      <c r="M789" s="103"/>
      <c r="N789" s="102"/>
      <c r="O789" s="102"/>
      <c r="P789" s="102"/>
    </row>
    <row r="790" ht="15.75" customHeight="1">
      <c r="A790" s="97"/>
      <c r="B790" s="98"/>
      <c r="C790" s="99"/>
      <c r="D790" s="98"/>
      <c r="E790" s="100"/>
      <c r="F790" s="101"/>
      <c r="G790" s="98"/>
      <c r="H790" s="100"/>
      <c r="I790" s="102"/>
      <c r="J790" s="102"/>
      <c r="K790" s="102"/>
      <c r="L790" s="101"/>
      <c r="M790" s="103"/>
      <c r="N790" s="102"/>
      <c r="O790" s="102"/>
      <c r="P790" s="102"/>
    </row>
    <row r="791" ht="15.75" customHeight="1">
      <c r="A791" s="97"/>
      <c r="B791" s="98"/>
      <c r="C791" s="99"/>
      <c r="D791" s="98"/>
      <c r="E791" s="100"/>
      <c r="F791" s="101"/>
      <c r="G791" s="98"/>
      <c r="H791" s="100"/>
      <c r="I791" s="102"/>
      <c r="J791" s="102"/>
      <c r="K791" s="102"/>
      <c r="L791" s="101"/>
      <c r="M791" s="103"/>
      <c r="N791" s="102"/>
      <c r="O791" s="102"/>
      <c r="P791" s="102"/>
    </row>
    <row r="792" ht="15.75" customHeight="1">
      <c r="A792" s="97"/>
      <c r="B792" s="98"/>
      <c r="C792" s="99"/>
      <c r="D792" s="98"/>
      <c r="E792" s="100"/>
      <c r="F792" s="101"/>
      <c r="G792" s="98"/>
      <c r="H792" s="100"/>
      <c r="I792" s="102"/>
      <c r="J792" s="102"/>
      <c r="K792" s="102"/>
      <c r="L792" s="101"/>
      <c r="M792" s="103"/>
      <c r="N792" s="102"/>
      <c r="O792" s="102"/>
      <c r="P792" s="102"/>
    </row>
    <row r="793" ht="15.75" customHeight="1">
      <c r="A793" s="97"/>
      <c r="B793" s="98"/>
      <c r="C793" s="99"/>
      <c r="D793" s="98"/>
      <c r="E793" s="100"/>
      <c r="F793" s="101"/>
      <c r="G793" s="98"/>
      <c r="H793" s="100"/>
      <c r="I793" s="102"/>
      <c r="J793" s="102"/>
      <c r="K793" s="102"/>
      <c r="L793" s="101"/>
      <c r="M793" s="103"/>
      <c r="N793" s="102"/>
      <c r="O793" s="102"/>
      <c r="P793" s="102"/>
    </row>
    <row r="794" ht="15.75" customHeight="1">
      <c r="A794" s="97"/>
      <c r="B794" s="98"/>
      <c r="C794" s="99"/>
      <c r="D794" s="98"/>
      <c r="E794" s="100"/>
      <c r="F794" s="101"/>
      <c r="G794" s="98"/>
      <c r="H794" s="100"/>
      <c r="I794" s="102"/>
      <c r="J794" s="102"/>
      <c r="K794" s="102"/>
      <c r="L794" s="101"/>
      <c r="M794" s="103"/>
      <c r="N794" s="102"/>
      <c r="O794" s="102"/>
      <c r="P794" s="102"/>
    </row>
    <row r="795" ht="15.75" customHeight="1">
      <c r="A795" s="97"/>
      <c r="B795" s="98"/>
      <c r="C795" s="99"/>
      <c r="D795" s="98"/>
      <c r="E795" s="100"/>
      <c r="F795" s="101"/>
      <c r="G795" s="98"/>
      <c r="H795" s="100"/>
      <c r="I795" s="102"/>
      <c r="J795" s="102"/>
      <c r="K795" s="102"/>
      <c r="L795" s="101"/>
      <c r="M795" s="103"/>
      <c r="N795" s="102"/>
      <c r="O795" s="102"/>
      <c r="P795" s="102"/>
    </row>
    <row r="796" ht="15.75" customHeight="1">
      <c r="A796" s="97"/>
      <c r="B796" s="98"/>
      <c r="C796" s="99"/>
      <c r="D796" s="98"/>
      <c r="E796" s="100"/>
      <c r="F796" s="101"/>
      <c r="G796" s="98"/>
      <c r="H796" s="100"/>
      <c r="I796" s="102"/>
      <c r="J796" s="102"/>
      <c r="K796" s="102"/>
      <c r="L796" s="101"/>
      <c r="M796" s="103"/>
      <c r="N796" s="102"/>
      <c r="O796" s="102"/>
      <c r="P796" s="102"/>
    </row>
    <row r="797" ht="15.75" customHeight="1">
      <c r="A797" s="97"/>
      <c r="B797" s="98"/>
      <c r="C797" s="99"/>
      <c r="D797" s="98"/>
      <c r="E797" s="100"/>
      <c r="F797" s="101"/>
      <c r="G797" s="98"/>
      <c r="H797" s="100"/>
      <c r="I797" s="102"/>
      <c r="J797" s="102"/>
      <c r="K797" s="102"/>
      <c r="L797" s="101"/>
      <c r="M797" s="103"/>
      <c r="N797" s="102"/>
      <c r="O797" s="102"/>
      <c r="P797" s="102"/>
    </row>
    <row r="798" ht="15.75" customHeight="1">
      <c r="A798" s="97"/>
      <c r="B798" s="98"/>
      <c r="C798" s="99"/>
      <c r="D798" s="98"/>
      <c r="E798" s="100"/>
      <c r="F798" s="101"/>
      <c r="G798" s="98"/>
      <c r="H798" s="100"/>
      <c r="I798" s="102"/>
      <c r="J798" s="102"/>
      <c r="K798" s="102"/>
      <c r="L798" s="101"/>
      <c r="M798" s="103"/>
      <c r="N798" s="102"/>
      <c r="O798" s="102"/>
      <c r="P798" s="102"/>
    </row>
    <row r="799" ht="15.75" customHeight="1">
      <c r="A799" s="97"/>
      <c r="B799" s="98"/>
      <c r="C799" s="99"/>
      <c r="D799" s="98"/>
      <c r="E799" s="100"/>
      <c r="F799" s="101"/>
      <c r="G799" s="98"/>
      <c r="H799" s="100"/>
      <c r="I799" s="102"/>
      <c r="J799" s="102"/>
      <c r="K799" s="102"/>
      <c r="L799" s="101"/>
      <c r="M799" s="103"/>
      <c r="N799" s="102"/>
      <c r="O799" s="102"/>
      <c r="P799" s="102"/>
    </row>
    <row r="800" ht="15.75" customHeight="1">
      <c r="A800" s="97"/>
      <c r="B800" s="98"/>
      <c r="C800" s="99"/>
      <c r="D800" s="98"/>
      <c r="E800" s="100"/>
      <c r="F800" s="101"/>
      <c r="G800" s="98"/>
      <c r="H800" s="100"/>
      <c r="I800" s="102"/>
      <c r="J800" s="102"/>
      <c r="K800" s="102"/>
      <c r="L800" s="101"/>
      <c r="M800" s="103"/>
      <c r="N800" s="102"/>
      <c r="O800" s="102"/>
      <c r="P800" s="102"/>
    </row>
    <row r="801" ht="15.75" customHeight="1">
      <c r="A801" s="97"/>
      <c r="B801" s="98"/>
      <c r="C801" s="99"/>
      <c r="D801" s="98"/>
      <c r="E801" s="100"/>
      <c r="F801" s="101"/>
      <c r="G801" s="98"/>
      <c r="H801" s="100"/>
      <c r="I801" s="102"/>
      <c r="J801" s="102"/>
      <c r="K801" s="102"/>
      <c r="L801" s="101"/>
      <c r="M801" s="103"/>
      <c r="N801" s="102"/>
      <c r="O801" s="102"/>
      <c r="P801" s="102"/>
    </row>
    <row r="802" ht="15.75" customHeight="1">
      <c r="A802" s="97"/>
      <c r="B802" s="98"/>
      <c r="C802" s="99"/>
      <c r="D802" s="98"/>
      <c r="E802" s="100"/>
      <c r="F802" s="101"/>
      <c r="G802" s="98"/>
      <c r="H802" s="100"/>
      <c r="I802" s="102"/>
      <c r="J802" s="102"/>
      <c r="K802" s="102"/>
      <c r="L802" s="101"/>
      <c r="M802" s="103"/>
      <c r="N802" s="102"/>
      <c r="O802" s="102"/>
      <c r="P802" s="102"/>
    </row>
    <row r="803" ht="15.75" customHeight="1">
      <c r="A803" s="97"/>
      <c r="B803" s="98"/>
      <c r="C803" s="99"/>
      <c r="D803" s="98"/>
      <c r="E803" s="100"/>
      <c r="F803" s="101"/>
      <c r="G803" s="98"/>
      <c r="H803" s="100"/>
      <c r="I803" s="102"/>
      <c r="J803" s="102"/>
      <c r="K803" s="102"/>
      <c r="L803" s="101"/>
      <c r="M803" s="103"/>
      <c r="N803" s="102"/>
      <c r="O803" s="102"/>
      <c r="P803" s="102"/>
    </row>
    <row r="804" ht="15.75" customHeight="1">
      <c r="A804" s="97"/>
      <c r="B804" s="98"/>
      <c r="C804" s="99"/>
      <c r="D804" s="98"/>
      <c r="E804" s="100"/>
      <c r="F804" s="101"/>
      <c r="G804" s="98"/>
      <c r="H804" s="100"/>
      <c r="I804" s="102"/>
      <c r="J804" s="102"/>
      <c r="K804" s="102"/>
      <c r="L804" s="101"/>
      <c r="M804" s="103"/>
      <c r="N804" s="102"/>
      <c r="O804" s="102"/>
      <c r="P804" s="102"/>
    </row>
    <row r="805" ht="15.75" customHeight="1">
      <c r="A805" s="97"/>
      <c r="B805" s="98"/>
      <c r="C805" s="99"/>
      <c r="D805" s="98"/>
      <c r="E805" s="100"/>
      <c r="F805" s="101"/>
      <c r="G805" s="98"/>
      <c r="H805" s="100"/>
      <c r="I805" s="102"/>
      <c r="J805" s="102"/>
      <c r="K805" s="102"/>
      <c r="L805" s="101"/>
      <c r="M805" s="103"/>
      <c r="N805" s="102"/>
      <c r="O805" s="102"/>
      <c r="P805" s="102"/>
    </row>
    <row r="806" ht="15.75" customHeight="1">
      <c r="A806" s="97"/>
      <c r="B806" s="98"/>
      <c r="C806" s="99"/>
      <c r="D806" s="98"/>
      <c r="E806" s="100"/>
      <c r="F806" s="101"/>
      <c r="G806" s="98"/>
      <c r="H806" s="100"/>
      <c r="I806" s="102"/>
      <c r="J806" s="102"/>
      <c r="K806" s="102"/>
      <c r="L806" s="101"/>
      <c r="M806" s="103"/>
      <c r="N806" s="102"/>
      <c r="O806" s="102"/>
      <c r="P806" s="102"/>
    </row>
    <row r="807" ht="15.75" customHeight="1">
      <c r="A807" s="97"/>
      <c r="B807" s="98"/>
      <c r="C807" s="99"/>
      <c r="D807" s="98"/>
      <c r="E807" s="100"/>
      <c r="F807" s="101"/>
      <c r="G807" s="98"/>
      <c r="H807" s="100"/>
      <c r="I807" s="102"/>
      <c r="J807" s="102"/>
      <c r="K807" s="102"/>
      <c r="L807" s="101"/>
      <c r="M807" s="103"/>
      <c r="N807" s="102"/>
      <c r="O807" s="102"/>
      <c r="P807" s="102"/>
    </row>
    <row r="808" ht="15.75" customHeight="1">
      <c r="A808" s="97"/>
      <c r="B808" s="98"/>
      <c r="C808" s="99"/>
      <c r="D808" s="98"/>
      <c r="E808" s="100"/>
      <c r="F808" s="101"/>
      <c r="G808" s="98"/>
      <c r="H808" s="100"/>
      <c r="I808" s="102"/>
      <c r="J808" s="102"/>
      <c r="K808" s="102"/>
      <c r="L808" s="101"/>
      <c r="M808" s="103"/>
      <c r="N808" s="102"/>
      <c r="O808" s="102"/>
      <c r="P808" s="102"/>
    </row>
    <row r="809" ht="15.75" customHeight="1">
      <c r="A809" s="97"/>
      <c r="B809" s="98"/>
      <c r="C809" s="99"/>
      <c r="D809" s="98"/>
      <c r="E809" s="100"/>
      <c r="F809" s="101"/>
      <c r="G809" s="98"/>
      <c r="H809" s="100"/>
      <c r="I809" s="102"/>
      <c r="J809" s="102"/>
      <c r="K809" s="102"/>
      <c r="L809" s="101"/>
      <c r="M809" s="103"/>
      <c r="N809" s="102"/>
      <c r="O809" s="102"/>
      <c r="P809" s="102"/>
    </row>
    <row r="810" ht="15.75" customHeight="1">
      <c r="A810" s="97"/>
      <c r="B810" s="98"/>
      <c r="C810" s="99"/>
      <c r="D810" s="98"/>
      <c r="E810" s="100"/>
      <c r="F810" s="101"/>
      <c r="G810" s="98"/>
      <c r="H810" s="100"/>
      <c r="I810" s="102"/>
      <c r="J810" s="102"/>
      <c r="K810" s="102"/>
      <c r="L810" s="101"/>
      <c r="M810" s="103"/>
      <c r="N810" s="102"/>
      <c r="O810" s="102"/>
      <c r="P810" s="102"/>
    </row>
    <row r="811" ht="15.75" customHeight="1">
      <c r="A811" s="97"/>
      <c r="B811" s="98"/>
      <c r="C811" s="99"/>
      <c r="D811" s="98"/>
      <c r="E811" s="100"/>
      <c r="F811" s="101"/>
      <c r="G811" s="98"/>
      <c r="H811" s="100"/>
      <c r="I811" s="102"/>
      <c r="J811" s="102"/>
      <c r="K811" s="102"/>
      <c r="L811" s="101"/>
      <c r="M811" s="103"/>
      <c r="N811" s="102"/>
      <c r="O811" s="102"/>
      <c r="P811" s="102"/>
    </row>
    <row r="812" ht="15.75" customHeight="1">
      <c r="A812" s="97"/>
      <c r="B812" s="98"/>
      <c r="C812" s="99"/>
      <c r="D812" s="98"/>
      <c r="E812" s="100"/>
      <c r="F812" s="101"/>
      <c r="G812" s="98"/>
      <c r="H812" s="100"/>
      <c r="I812" s="102"/>
      <c r="J812" s="102"/>
      <c r="K812" s="102"/>
      <c r="L812" s="101"/>
      <c r="M812" s="103"/>
      <c r="N812" s="102"/>
      <c r="O812" s="102"/>
      <c r="P812" s="102"/>
    </row>
    <row r="813" ht="15.75" customHeight="1">
      <c r="A813" s="97"/>
      <c r="B813" s="98"/>
      <c r="C813" s="99"/>
      <c r="D813" s="98"/>
      <c r="E813" s="100"/>
      <c r="F813" s="101"/>
      <c r="G813" s="98"/>
      <c r="H813" s="100"/>
      <c r="I813" s="102"/>
      <c r="J813" s="102"/>
      <c r="K813" s="102"/>
      <c r="L813" s="101"/>
      <c r="M813" s="103"/>
      <c r="N813" s="102"/>
      <c r="O813" s="102"/>
      <c r="P813" s="102"/>
    </row>
    <row r="814" ht="15.75" customHeight="1">
      <c r="A814" s="97"/>
      <c r="B814" s="98"/>
      <c r="C814" s="99"/>
      <c r="D814" s="98"/>
      <c r="E814" s="100"/>
      <c r="F814" s="101"/>
      <c r="G814" s="98"/>
      <c r="H814" s="100"/>
      <c r="I814" s="102"/>
      <c r="J814" s="102"/>
      <c r="K814" s="102"/>
      <c r="L814" s="101"/>
      <c r="M814" s="103"/>
      <c r="N814" s="102"/>
      <c r="O814" s="102"/>
      <c r="P814" s="102"/>
    </row>
    <row r="815" ht="15.75" customHeight="1">
      <c r="A815" s="97"/>
      <c r="B815" s="98"/>
      <c r="C815" s="99"/>
      <c r="D815" s="98"/>
      <c r="E815" s="100"/>
      <c r="F815" s="101"/>
      <c r="G815" s="98"/>
      <c r="H815" s="100"/>
      <c r="I815" s="102"/>
      <c r="J815" s="102"/>
      <c r="K815" s="102"/>
      <c r="L815" s="101"/>
      <c r="M815" s="103"/>
      <c r="N815" s="102"/>
      <c r="O815" s="102"/>
      <c r="P815" s="102"/>
    </row>
    <row r="816" ht="15.75" customHeight="1">
      <c r="A816" s="97"/>
      <c r="B816" s="98"/>
      <c r="C816" s="99"/>
      <c r="D816" s="98"/>
      <c r="E816" s="100"/>
      <c r="F816" s="101"/>
      <c r="G816" s="98"/>
      <c r="H816" s="100"/>
      <c r="I816" s="102"/>
      <c r="J816" s="102"/>
      <c r="K816" s="102"/>
      <c r="L816" s="101"/>
      <c r="M816" s="103"/>
      <c r="N816" s="102"/>
      <c r="O816" s="102"/>
      <c r="P816" s="102"/>
    </row>
    <row r="817" ht="15.75" customHeight="1">
      <c r="A817" s="97"/>
      <c r="B817" s="98"/>
      <c r="C817" s="99"/>
      <c r="D817" s="98"/>
      <c r="E817" s="100"/>
      <c r="F817" s="101"/>
      <c r="G817" s="98"/>
      <c r="H817" s="100"/>
      <c r="I817" s="102"/>
      <c r="J817" s="102"/>
      <c r="K817" s="102"/>
      <c r="L817" s="101"/>
      <c r="M817" s="103"/>
      <c r="N817" s="102"/>
      <c r="O817" s="102"/>
      <c r="P817" s="102"/>
    </row>
    <row r="818" ht="15.75" customHeight="1">
      <c r="A818" s="97"/>
      <c r="B818" s="98"/>
      <c r="C818" s="99"/>
      <c r="D818" s="98"/>
      <c r="E818" s="100"/>
      <c r="F818" s="101"/>
      <c r="G818" s="98"/>
      <c r="H818" s="100"/>
      <c r="I818" s="102"/>
      <c r="J818" s="102"/>
      <c r="K818" s="102"/>
      <c r="L818" s="101"/>
      <c r="M818" s="103"/>
      <c r="N818" s="102"/>
      <c r="O818" s="102"/>
      <c r="P818" s="102"/>
    </row>
    <row r="819" ht="15.75" customHeight="1">
      <c r="A819" s="97"/>
      <c r="B819" s="98"/>
      <c r="C819" s="99"/>
      <c r="D819" s="98"/>
      <c r="E819" s="100"/>
      <c r="F819" s="101"/>
      <c r="G819" s="98"/>
      <c r="H819" s="100"/>
      <c r="I819" s="102"/>
      <c r="J819" s="102"/>
      <c r="K819" s="102"/>
      <c r="L819" s="101"/>
      <c r="M819" s="103"/>
      <c r="N819" s="102"/>
      <c r="O819" s="102"/>
      <c r="P819" s="102"/>
    </row>
    <row r="820" ht="15.75" customHeight="1">
      <c r="A820" s="97"/>
      <c r="B820" s="98"/>
      <c r="C820" s="99"/>
      <c r="D820" s="98"/>
      <c r="E820" s="100"/>
      <c r="F820" s="101"/>
      <c r="G820" s="98"/>
      <c r="H820" s="100"/>
      <c r="I820" s="102"/>
      <c r="J820" s="102"/>
      <c r="K820" s="102"/>
      <c r="L820" s="101"/>
      <c r="M820" s="103"/>
      <c r="N820" s="102"/>
      <c r="O820" s="102"/>
      <c r="P820" s="102"/>
    </row>
    <row r="821" ht="15.75" customHeight="1">
      <c r="A821" s="97"/>
      <c r="B821" s="98"/>
      <c r="C821" s="99"/>
      <c r="D821" s="98"/>
      <c r="E821" s="100"/>
      <c r="F821" s="101"/>
      <c r="G821" s="98"/>
      <c r="H821" s="100"/>
      <c r="I821" s="102"/>
      <c r="J821" s="102"/>
      <c r="K821" s="102"/>
      <c r="L821" s="101"/>
      <c r="M821" s="103"/>
      <c r="N821" s="102"/>
      <c r="O821" s="102"/>
      <c r="P821" s="102"/>
    </row>
    <row r="822" ht="15.75" customHeight="1">
      <c r="A822" s="97"/>
      <c r="B822" s="98"/>
      <c r="C822" s="99"/>
      <c r="D822" s="98"/>
      <c r="E822" s="100"/>
      <c r="F822" s="101"/>
      <c r="G822" s="98"/>
      <c r="H822" s="100"/>
      <c r="I822" s="102"/>
      <c r="J822" s="102"/>
      <c r="K822" s="102"/>
      <c r="L822" s="101"/>
      <c r="M822" s="103"/>
      <c r="N822" s="102"/>
      <c r="O822" s="102"/>
      <c r="P822" s="102"/>
    </row>
    <row r="823" ht="15.75" customHeight="1">
      <c r="A823" s="97"/>
      <c r="B823" s="98"/>
      <c r="C823" s="99"/>
      <c r="D823" s="98"/>
      <c r="E823" s="100"/>
      <c r="F823" s="101"/>
      <c r="G823" s="98"/>
      <c r="H823" s="100"/>
      <c r="I823" s="102"/>
      <c r="J823" s="102"/>
      <c r="K823" s="102"/>
      <c r="L823" s="101"/>
      <c r="M823" s="103"/>
      <c r="N823" s="102"/>
      <c r="O823" s="102"/>
      <c r="P823" s="102"/>
    </row>
    <row r="824" ht="15.75" customHeight="1">
      <c r="A824" s="97"/>
      <c r="B824" s="98"/>
      <c r="C824" s="99"/>
      <c r="D824" s="98"/>
      <c r="E824" s="100"/>
      <c r="F824" s="101"/>
      <c r="G824" s="98"/>
      <c r="H824" s="100"/>
      <c r="I824" s="102"/>
      <c r="J824" s="102"/>
      <c r="K824" s="102"/>
      <c r="L824" s="101"/>
      <c r="M824" s="103"/>
      <c r="N824" s="102"/>
      <c r="O824" s="102"/>
      <c r="P824" s="102"/>
    </row>
    <row r="825" ht="15.75" customHeight="1">
      <c r="A825" s="97"/>
      <c r="B825" s="98"/>
      <c r="C825" s="99"/>
      <c r="D825" s="98"/>
      <c r="E825" s="100"/>
      <c r="F825" s="101"/>
      <c r="G825" s="98"/>
      <c r="H825" s="100"/>
      <c r="I825" s="102"/>
      <c r="J825" s="102"/>
      <c r="K825" s="102"/>
      <c r="L825" s="101"/>
      <c r="M825" s="103"/>
      <c r="N825" s="102"/>
      <c r="O825" s="102"/>
      <c r="P825" s="102"/>
    </row>
    <row r="826" ht="15.75" customHeight="1">
      <c r="A826" s="97"/>
      <c r="B826" s="98"/>
      <c r="C826" s="99"/>
      <c r="D826" s="98"/>
      <c r="E826" s="100"/>
      <c r="F826" s="101"/>
      <c r="G826" s="98"/>
      <c r="H826" s="100"/>
      <c r="I826" s="102"/>
      <c r="J826" s="102"/>
      <c r="K826" s="102"/>
      <c r="L826" s="101"/>
      <c r="M826" s="103"/>
      <c r="N826" s="102"/>
      <c r="O826" s="102"/>
      <c r="P826" s="102"/>
    </row>
    <row r="827" ht="15.75" customHeight="1">
      <c r="A827" s="97"/>
      <c r="B827" s="98"/>
      <c r="C827" s="99"/>
      <c r="D827" s="98"/>
      <c r="E827" s="100"/>
      <c r="F827" s="101"/>
      <c r="G827" s="98"/>
      <c r="H827" s="100"/>
      <c r="I827" s="102"/>
      <c r="J827" s="102"/>
      <c r="K827" s="102"/>
      <c r="L827" s="101"/>
      <c r="M827" s="103"/>
      <c r="N827" s="102"/>
      <c r="O827" s="102"/>
      <c r="P827" s="102"/>
    </row>
    <row r="828" ht="15.75" customHeight="1">
      <c r="A828" s="97"/>
      <c r="B828" s="98"/>
      <c r="C828" s="99"/>
      <c r="D828" s="98"/>
      <c r="E828" s="100"/>
      <c r="F828" s="101"/>
      <c r="G828" s="98"/>
      <c r="H828" s="100"/>
      <c r="I828" s="102"/>
      <c r="J828" s="102"/>
      <c r="K828" s="102"/>
      <c r="L828" s="101"/>
      <c r="M828" s="103"/>
      <c r="N828" s="102"/>
      <c r="O828" s="102"/>
      <c r="P828" s="102"/>
    </row>
    <row r="829" ht="15.75" customHeight="1">
      <c r="A829" s="97"/>
      <c r="B829" s="98"/>
      <c r="C829" s="99"/>
      <c r="D829" s="98"/>
      <c r="E829" s="100"/>
      <c r="F829" s="101"/>
      <c r="G829" s="98"/>
      <c r="H829" s="100"/>
      <c r="I829" s="102"/>
      <c r="J829" s="102"/>
      <c r="K829" s="102"/>
      <c r="L829" s="101"/>
      <c r="M829" s="103"/>
      <c r="N829" s="102"/>
      <c r="O829" s="102"/>
      <c r="P829" s="102"/>
    </row>
    <row r="830" ht="15.75" customHeight="1">
      <c r="A830" s="97"/>
      <c r="B830" s="98"/>
      <c r="C830" s="99"/>
      <c r="D830" s="98"/>
      <c r="E830" s="100"/>
      <c r="F830" s="101"/>
      <c r="G830" s="98"/>
      <c r="H830" s="100"/>
      <c r="I830" s="102"/>
      <c r="J830" s="102"/>
      <c r="K830" s="102"/>
      <c r="L830" s="101"/>
      <c r="M830" s="103"/>
      <c r="N830" s="102"/>
      <c r="O830" s="102"/>
      <c r="P830" s="102"/>
    </row>
    <row r="831" ht="15.75" customHeight="1">
      <c r="A831" s="97"/>
      <c r="B831" s="98"/>
      <c r="C831" s="99"/>
      <c r="D831" s="98"/>
      <c r="E831" s="100"/>
      <c r="F831" s="101"/>
      <c r="G831" s="98"/>
      <c r="H831" s="100"/>
      <c r="I831" s="102"/>
      <c r="J831" s="102"/>
      <c r="K831" s="102"/>
      <c r="L831" s="101"/>
      <c r="M831" s="103"/>
      <c r="N831" s="102"/>
      <c r="O831" s="102"/>
      <c r="P831" s="102"/>
    </row>
    <row r="832" ht="15.75" customHeight="1">
      <c r="A832" s="97"/>
      <c r="B832" s="98"/>
      <c r="C832" s="99"/>
      <c r="D832" s="98"/>
      <c r="E832" s="100"/>
      <c r="F832" s="101"/>
      <c r="G832" s="98"/>
      <c r="H832" s="100"/>
      <c r="I832" s="102"/>
      <c r="J832" s="102"/>
      <c r="K832" s="102"/>
      <c r="L832" s="101"/>
      <c r="M832" s="103"/>
      <c r="N832" s="102"/>
      <c r="O832" s="102"/>
      <c r="P832" s="102"/>
    </row>
    <row r="833" ht="15.75" customHeight="1">
      <c r="A833" s="97"/>
      <c r="B833" s="98"/>
      <c r="C833" s="99"/>
      <c r="D833" s="98"/>
      <c r="E833" s="100"/>
      <c r="F833" s="101"/>
      <c r="G833" s="98"/>
      <c r="H833" s="100"/>
      <c r="I833" s="102"/>
      <c r="J833" s="102"/>
      <c r="K833" s="102"/>
      <c r="L833" s="101"/>
      <c r="M833" s="103"/>
      <c r="N833" s="102"/>
      <c r="O833" s="102"/>
      <c r="P833" s="102"/>
    </row>
    <row r="834" ht="15.75" customHeight="1">
      <c r="A834" s="97"/>
      <c r="B834" s="98"/>
      <c r="C834" s="99"/>
      <c r="D834" s="98"/>
      <c r="E834" s="100"/>
      <c r="F834" s="101"/>
      <c r="G834" s="98"/>
      <c r="H834" s="100"/>
      <c r="I834" s="102"/>
      <c r="J834" s="102"/>
      <c r="K834" s="102"/>
      <c r="L834" s="101"/>
      <c r="M834" s="103"/>
      <c r="N834" s="102"/>
      <c r="O834" s="102"/>
      <c r="P834" s="102"/>
    </row>
    <row r="835" ht="15.75" customHeight="1">
      <c r="A835" s="97"/>
      <c r="B835" s="98"/>
      <c r="C835" s="99"/>
      <c r="D835" s="98"/>
      <c r="E835" s="100"/>
      <c r="F835" s="101"/>
      <c r="G835" s="98"/>
      <c r="H835" s="100"/>
      <c r="I835" s="102"/>
      <c r="J835" s="102"/>
      <c r="K835" s="102"/>
      <c r="L835" s="101"/>
      <c r="M835" s="103"/>
      <c r="N835" s="102"/>
      <c r="O835" s="102"/>
      <c r="P835" s="102"/>
    </row>
    <row r="836" ht="15.75" customHeight="1">
      <c r="A836" s="97"/>
      <c r="B836" s="98"/>
      <c r="C836" s="99"/>
      <c r="D836" s="98"/>
      <c r="E836" s="100"/>
      <c r="F836" s="101"/>
      <c r="G836" s="98"/>
      <c r="H836" s="100"/>
      <c r="I836" s="102"/>
      <c r="J836" s="102"/>
      <c r="K836" s="102"/>
      <c r="L836" s="101"/>
      <c r="M836" s="103"/>
      <c r="N836" s="102"/>
      <c r="O836" s="102"/>
      <c r="P836" s="102"/>
    </row>
    <row r="837" ht="15.75" customHeight="1">
      <c r="A837" s="97"/>
      <c r="B837" s="98"/>
      <c r="C837" s="99"/>
      <c r="D837" s="98"/>
      <c r="E837" s="100"/>
      <c r="F837" s="101"/>
      <c r="G837" s="98"/>
      <c r="H837" s="100"/>
      <c r="I837" s="102"/>
      <c r="J837" s="102"/>
      <c r="K837" s="102"/>
      <c r="L837" s="101"/>
      <c r="M837" s="103"/>
      <c r="N837" s="102"/>
      <c r="O837" s="102"/>
      <c r="P837" s="102"/>
    </row>
    <row r="838" ht="15.75" customHeight="1">
      <c r="A838" s="97"/>
      <c r="B838" s="98"/>
      <c r="C838" s="99"/>
      <c r="D838" s="98"/>
      <c r="E838" s="100"/>
      <c r="F838" s="101"/>
      <c r="G838" s="98"/>
      <c r="H838" s="100"/>
      <c r="I838" s="102"/>
      <c r="J838" s="102"/>
      <c r="K838" s="102"/>
      <c r="L838" s="101"/>
      <c r="M838" s="103"/>
      <c r="N838" s="102"/>
      <c r="O838" s="102"/>
      <c r="P838" s="102"/>
    </row>
    <row r="839" ht="15.75" customHeight="1">
      <c r="A839" s="97"/>
      <c r="B839" s="98"/>
      <c r="C839" s="99"/>
      <c r="D839" s="98"/>
      <c r="E839" s="100"/>
      <c r="F839" s="101"/>
      <c r="G839" s="98"/>
      <c r="H839" s="100"/>
      <c r="I839" s="102"/>
      <c r="J839" s="102"/>
      <c r="K839" s="102"/>
      <c r="L839" s="101"/>
      <c r="M839" s="103"/>
      <c r="N839" s="102"/>
      <c r="O839" s="102"/>
      <c r="P839" s="102"/>
    </row>
    <row r="840" ht="15.75" customHeight="1">
      <c r="A840" s="97"/>
      <c r="B840" s="98"/>
      <c r="C840" s="99"/>
      <c r="D840" s="98"/>
      <c r="E840" s="100"/>
      <c r="F840" s="101"/>
      <c r="G840" s="98"/>
      <c r="H840" s="100"/>
      <c r="I840" s="102"/>
      <c r="J840" s="102"/>
      <c r="K840" s="102"/>
      <c r="L840" s="101"/>
      <c r="M840" s="103"/>
      <c r="N840" s="102"/>
      <c r="O840" s="102"/>
      <c r="P840" s="102"/>
    </row>
    <row r="841" ht="15.75" customHeight="1">
      <c r="A841" s="97"/>
      <c r="B841" s="98"/>
      <c r="C841" s="99"/>
      <c r="D841" s="98"/>
      <c r="E841" s="100"/>
      <c r="F841" s="101"/>
      <c r="G841" s="98"/>
      <c r="H841" s="100"/>
      <c r="I841" s="102"/>
      <c r="J841" s="102"/>
      <c r="K841" s="102"/>
      <c r="L841" s="101"/>
      <c r="M841" s="103"/>
      <c r="N841" s="102"/>
      <c r="O841" s="102"/>
      <c r="P841" s="102"/>
    </row>
    <row r="842" ht="15.75" customHeight="1">
      <c r="A842" s="97"/>
      <c r="B842" s="98"/>
      <c r="C842" s="99"/>
      <c r="D842" s="98"/>
      <c r="E842" s="100"/>
      <c r="F842" s="101"/>
      <c r="G842" s="98"/>
      <c r="H842" s="100"/>
      <c r="I842" s="102"/>
      <c r="J842" s="102"/>
      <c r="K842" s="102"/>
      <c r="L842" s="101"/>
      <c r="M842" s="103"/>
      <c r="N842" s="102"/>
      <c r="O842" s="102"/>
      <c r="P842" s="102"/>
    </row>
    <row r="843" ht="15.75" customHeight="1">
      <c r="A843" s="97"/>
      <c r="B843" s="98"/>
      <c r="C843" s="99"/>
      <c r="D843" s="98"/>
      <c r="E843" s="100"/>
      <c r="F843" s="101"/>
      <c r="G843" s="98"/>
      <c r="H843" s="100"/>
      <c r="I843" s="102"/>
      <c r="J843" s="102"/>
      <c r="K843" s="102"/>
      <c r="L843" s="101"/>
      <c r="M843" s="103"/>
      <c r="N843" s="102"/>
      <c r="O843" s="102"/>
      <c r="P843" s="102"/>
    </row>
    <row r="844" ht="15.75" customHeight="1">
      <c r="A844" s="97"/>
      <c r="B844" s="98"/>
      <c r="C844" s="99"/>
      <c r="D844" s="98"/>
      <c r="E844" s="100"/>
      <c r="F844" s="101"/>
      <c r="G844" s="98"/>
      <c r="H844" s="100"/>
      <c r="I844" s="102"/>
      <c r="J844" s="102"/>
      <c r="K844" s="102"/>
      <c r="L844" s="101"/>
      <c r="M844" s="103"/>
      <c r="N844" s="102"/>
      <c r="O844" s="102"/>
      <c r="P844" s="102"/>
    </row>
    <row r="845" ht="15.75" customHeight="1">
      <c r="A845" s="97"/>
      <c r="B845" s="98"/>
      <c r="C845" s="99"/>
      <c r="D845" s="98"/>
      <c r="E845" s="100"/>
      <c r="F845" s="101"/>
      <c r="G845" s="98"/>
      <c r="H845" s="100"/>
      <c r="I845" s="102"/>
      <c r="J845" s="102"/>
      <c r="K845" s="102"/>
      <c r="L845" s="101"/>
      <c r="M845" s="103"/>
      <c r="N845" s="102"/>
      <c r="O845" s="102"/>
      <c r="P845" s="102"/>
    </row>
    <row r="846" ht="15.75" customHeight="1">
      <c r="A846" s="97"/>
      <c r="B846" s="98"/>
      <c r="C846" s="99"/>
      <c r="D846" s="98"/>
      <c r="E846" s="100"/>
      <c r="F846" s="101"/>
      <c r="G846" s="98"/>
      <c r="H846" s="100"/>
      <c r="I846" s="102"/>
      <c r="J846" s="102"/>
      <c r="K846" s="102"/>
      <c r="L846" s="101"/>
      <c r="M846" s="103"/>
      <c r="N846" s="102"/>
      <c r="O846" s="102"/>
      <c r="P846" s="102"/>
    </row>
    <row r="847" ht="15.75" customHeight="1">
      <c r="A847" s="97"/>
      <c r="B847" s="98"/>
      <c r="C847" s="99"/>
      <c r="D847" s="98"/>
      <c r="E847" s="100"/>
      <c r="F847" s="101"/>
      <c r="G847" s="98"/>
      <c r="H847" s="100"/>
      <c r="I847" s="102"/>
      <c r="J847" s="102"/>
      <c r="K847" s="102"/>
      <c r="L847" s="101"/>
      <c r="M847" s="103"/>
      <c r="N847" s="102"/>
      <c r="O847" s="102"/>
      <c r="P847" s="102"/>
    </row>
    <row r="848" ht="15.75" customHeight="1">
      <c r="A848" s="97"/>
      <c r="B848" s="98"/>
      <c r="C848" s="99"/>
      <c r="D848" s="98"/>
      <c r="E848" s="100"/>
      <c r="F848" s="101"/>
      <c r="G848" s="98"/>
      <c r="H848" s="100"/>
      <c r="I848" s="102"/>
      <c r="J848" s="102"/>
      <c r="K848" s="102"/>
      <c r="L848" s="101"/>
      <c r="M848" s="103"/>
      <c r="N848" s="102"/>
      <c r="O848" s="102"/>
      <c r="P848" s="102"/>
    </row>
    <row r="849" ht="15.75" customHeight="1">
      <c r="A849" s="97"/>
      <c r="B849" s="98"/>
      <c r="C849" s="99"/>
      <c r="D849" s="98"/>
      <c r="E849" s="100"/>
      <c r="F849" s="101"/>
      <c r="G849" s="98"/>
      <c r="H849" s="100"/>
      <c r="I849" s="102"/>
      <c r="J849" s="102"/>
      <c r="K849" s="102"/>
      <c r="L849" s="101"/>
      <c r="M849" s="103"/>
      <c r="N849" s="102"/>
      <c r="O849" s="102"/>
      <c r="P849" s="102"/>
    </row>
    <row r="850" ht="15.75" customHeight="1">
      <c r="A850" s="97"/>
      <c r="B850" s="98"/>
      <c r="C850" s="99"/>
      <c r="D850" s="98"/>
      <c r="E850" s="100"/>
      <c r="F850" s="101"/>
      <c r="G850" s="98"/>
      <c r="H850" s="100"/>
      <c r="I850" s="102"/>
      <c r="J850" s="102"/>
      <c r="K850" s="102"/>
      <c r="L850" s="101"/>
      <c r="M850" s="103"/>
      <c r="N850" s="102"/>
      <c r="O850" s="102"/>
      <c r="P850" s="102"/>
    </row>
    <row r="851" ht="15.75" customHeight="1">
      <c r="A851" s="97"/>
      <c r="B851" s="98"/>
      <c r="C851" s="99"/>
      <c r="D851" s="98"/>
      <c r="E851" s="100"/>
      <c r="F851" s="101"/>
      <c r="G851" s="98"/>
      <c r="H851" s="100"/>
      <c r="I851" s="102"/>
      <c r="J851" s="102"/>
      <c r="K851" s="102"/>
      <c r="L851" s="101"/>
      <c r="M851" s="103"/>
      <c r="N851" s="102"/>
      <c r="O851" s="102"/>
      <c r="P851" s="102"/>
    </row>
    <row r="852" ht="15.75" customHeight="1">
      <c r="A852" s="97"/>
      <c r="B852" s="98"/>
      <c r="C852" s="99"/>
      <c r="D852" s="98"/>
      <c r="E852" s="100"/>
      <c r="F852" s="101"/>
      <c r="G852" s="98"/>
      <c r="H852" s="100"/>
      <c r="I852" s="102"/>
      <c r="J852" s="102"/>
      <c r="K852" s="102"/>
      <c r="L852" s="101"/>
      <c r="M852" s="103"/>
      <c r="N852" s="102"/>
      <c r="O852" s="102"/>
      <c r="P852" s="102"/>
    </row>
    <row r="853" ht="15.75" customHeight="1">
      <c r="A853" s="97"/>
      <c r="B853" s="98"/>
      <c r="C853" s="99"/>
      <c r="D853" s="98"/>
      <c r="E853" s="100"/>
      <c r="F853" s="101"/>
      <c r="G853" s="98"/>
      <c r="H853" s="100"/>
      <c r="I853" s="102"/>
      <c r="J853" s="102"/>
      <c r="K853" s="102"/>
      <c r="L853" s="101"/>
      <c r="M853" s="103"/>
      <c r="N853" s="102"/>
      <c r="O853" s="102"/>
      <c r="P853" s="102"/>
    </row>
    <row r="854" ht="15.75" customHeight="1">
      <c r="A854" s="97"/>
      <c r="B854" s="98"/>
      <c r="C854" s="99"/>
      <c r="D854" s="98"/>
      <c r="E854" s="100"/>
      <c r="F854" s="101"/>
      <c r="G854" s="98"/>
      <c r="H854" s="100"/>
      <c r="I854" s="102"/>
      <c r="J854" s="102"/>
      <c r="K854" s="102"/>
      <c r="L854" s="101"/>
      <c r="M854" s="103"/>
      <c r="N854" s="102"/>
      <c r="O854" s="102"/>
      <c r="P854" s="102"/>
    </row>
    <row r="855" ht="15.75" customHeight="1">
      <c r="A855" s="97"/>
      <c r="B855" s="98"/>
      <c r="C855" s="99"/>
      <c r="D855" s="98"/>
      <c r="E855" s="100"/>
      <c r="F855" s="101"/>
      <c r="G855" s="98"/>
      <c r="H855" s="100"/>
      <c r="I855" s="102"/>
      <c r="J855" s="102"/>
      <c r="K855" s="102"/>
      <c r="L855" s="101"/>
      <c r="M855" s="103"/>
      <c r="N855" s="102"/>
      <c r="O855" s="102"/>
      <c r="P855" s="102"/>
    </row>
    <row r="856" ht="15.75" customHeight="1">
      <c r="A856" s="97"/>
      <c r="B856" s="98"/>
      <c r="C856" s="99"/>
      <c r="D856" s="98"/>
      <c r="E856" s="100"/>
      <c r="F856" s="101"/>
      <c r="G856" s="98"/>
      <c r="H856" s="100"/>
      <c r="I856" s="102"/>
      <c r="J856" s="102"/>
      <c r="K856" s="102"/>
      <c r="L856" s="101"/>
      <c r="M856" s="103"/>
      <c r="N856" s="102"/>
      <c r="O856" s="102"/>
      <c r="P856" s="102"/>
    </row>
    <row r="857" ht="15.75" customHeight="1">
      <c r="A857" s="97"/>
      <c r="B857" s="98"/>
      <c r="C857" s="99"/>
      <c r="D857" s="98"/>
      <c r="E857" s="100"/>
      <c r="F857" s="101"/>
      <c r="G857" s="98"/>
      <c r="H857" s="100"/>
      <c r="I857" s="102"/>
      <c r="J857" s="102"/>
      <c r="K857" s="102"/>
      <c r="L857" s="101"/>
      <c r="M857" s="103"/>
      <c r="N857" s="102"/>
      <c r="O857" s="102"/>
      <c r="P857" s="102"/>
    </row>
    <row r="858" ht="15.75" customHeight="1">
      <c r="A858" s="97"/>
      <c r="B858" s="98"/>
      <c r="C858" s="99"/>
      <c r="D858" s="98"/>
      <c r="E858" s="100"/>
      <c r="F858" s="101"/>
      <c r="G858" s="98"/>
      <c r="H858" s="100"/>
      <c r="I858" s="102"/>
      <c r="J858" s="102"/>
      <c r="K858" s="102"/>
      <c r="L858" s="101"/>
      <c r="M858" s="103"/>
      <c r="N858" s="102"/>
      <c r="O858" s="102"/>
      <c r="P858" s="102"/>
    </row>
    <row r="859" ht="15.75" customHeight="1">
      <c r="A859" s="97"/>
      <c r="B859" s="98"/>
      <c r="C859" s="99"/>
      <c r="D859" s="98"/>
      <c r="E859" s="100"/>
      <c r="F859" s="101"/>
      <c r="G859" s="98"/>
      <c r="H859" s="100"/>
      <c r="I859" s="102"/>
      <c r="J859" s="102"/>
      <c r="K859" s="102"/>
      <c r="L859" s="101"/>
      <c r="M859" s="103"/>
      <c r="N859" s="102"/>
      <c r="O859" s="102"/>
      <c r="P859" s="102"/>
    </row>
    <row r="860" ht="15.75" customHeight="1">
      <c r="A860" s="97"/>
      <c r="B860" s="98"/>
      <c r="C860" s="99"/>
      <c r="D860" s="98"/>
      <c r="E860" s="100"/>
      <c r="F860" s="101"/>
      <c r="G860" s="98"/>
      <c r="H860" s="100"/>
      <c r="I860" s="102"/>
      <c r="J860" s="102"/>
      <c r="K860" s="102"/>
      <c r="L860" s="101"/>
      <c r="M860" s="103"/>
      <c r="N860" s="102"/>
      <c r="O860" s="102"/>
      <c r="P860" s="102"/>
    </row>
    <row r="861" ht="15.75" customHeight="1">
      <c r="A861" s="97"/>
      <c r="B861" s="98"/>
      <c r="C861" s="99"/>
      <c r="D861" s="98"/>
      <c r="E861" s="100"/>
      <c r="F861" s="101"/>
      <c r="G861" s="98"/>
      <c r="H861" s="100"/>
      <c r="I861" s="102"/>
      <c r="J861" s="102"/>
      <c r="K861" s="102"/>
      <c r="L861" s="101"/>
      <c r="M861" s="103"/>
      <c r="N861" s="102"/>
      <c r="O861" s="102"/>
      <c r="P861" s="102"/>
    </row>
    <row r="862" ht="15.75" customHeight="1">
      <c r="A862" s="97"/>
      <c r="B862" s="98"/>
      <c r="C862" s="99"/>
      <c r="D862" s="98"/>
      <c r="E862" s="100"/>
      <c r="F862" s="101"/>
      <c r="G862" s="98"/>
      <c r="H862" s="100"/>
      <c r="I862" s="102"/>
      <c r="J862" s="102"/>
      <c r="K862" s="102"/>
      <c r="L862" s="101"/>
      <c r="M862" s="103"/>
      <c r="N862" s="102"/>
      <c r="O862" s="102"/>
      <c r="P862" s="102"/>
    </row>
    <row r="863" ht="15.75" customHeight="1">
      <c r="A863" s="97"/>
      <c r="B863" s="98"/>
      <c r="C863" s="99"/>
      <c r="D863" s="98"/>
      <c r="E863" s="100"/>
      <c r="F863" s="101"/>
      <c r="G863" s="98"/>
      <c r="H863" s="100"/>
      <c r="I863" s="102"/>
      <c r="J863" s="102"/>
      <c r="K863" s="102"/>
      <c r="L863" s="101"/>
      <c r="M863" s="103"/>
      <c r="N863" s="102"/>
      <c r="O863" s="102"/>
      <c r="P863" s="102"/>
    </row>
    <row r="864" ht="15.75" customHeight="1">
      <c r="A864" s="97"/>
      <c r="B864" s="98"/>
      <c r="C864" s="99"/>
      <c r="D864" s="98"/>
      <c r="E864" s="100"/>
      <c r="F864" s="101"/>
      <c r="G864" s="98"/>
      <c r="H864" s="100"/>
      <c r="I864" s="102"/>
      <c r="J864" s="102"/>
      <c r="K864" s="102"/>
      <c r="L864" s="101"/>
      <c r="M864" s="103"/>
      <c r="N864" s="102"/>
      <c r="O864" s="102"/>
      <c r="P864" s="102"/>
    </row>
    <row r="865" ht="15.75" customHeight="1">
      <c r="A865" s="97"/>
      <c r="B865" s="98"/>
      <c r="C865" s="99"/>
      <c r="D865" s="98"/>
      <c r="E865" s="100"/>
      <c r="F865" s="101"/>
      <c r="G865" s="98"/>
      <c r="H865" s="100"/>
      <c r="I865" s="102"/>
      <c r="J865" s="102"/>
      <c r="K865" s="102"/>
      <c r="L865" s="101"/>
      <c r="M865" s="103"/>
      <c r="N865" s="102"/>
      <c r="O865" s="102"/>
      <c r="P865" s="102"/>
    </row>
    <row r="866" ht="15.75" customHeight="1">
      <c r="A866" s="97"/>
      <c r="B866" s="98"/>
      <c r="C866" s="99"/>
      <c r="D866" s="98"/>
      <c r="E866" s="100"/>
      <c r="F866" s="101"/>
      <c r="G866" s="98"/>
      <c r="H866" s="100"/>
      <c r="I866" s="102"/>
      <c r="J866" s="102"/>
      <c r="K866" s="102"/>
      <c r="L866" s="101"/>
      <c r="M866" s="103"/>
      <c r="N866" s="102"/>
      <c r="O866" s="102"/>
      <c r="P866" s="102"/>
    </row>
    <row r="867" ht="15.75" customHeight="1">
      <c r="A867" s="97"/>
      <c r="B867" s="98"/>
      <c r="C867" s="99"/>
      <c r="D867" s="98"/>
      <c r="E867" s="100"/>
      <c r="F867" s="101"/>
      <c r="G867" s="98"/>
      <c r="H867" s="100"/>
      <c r="I867" s="102"/>
      <c r="J867" s="102"/>
      <c r="K867" s="102"/>
      <c r="L867" s="101"/>
      <c r="M867" s="103"/>
      <c r="N867" s="102"/>
      <c r="O867" s="102"/>
      <c r="P867" s="102"/>
    </row>
    <row r="868" ht="15.75" customHeight="1">
      <c r="A868" s="97"/>
      <c r="B868" s="98"/>
      <c r="C868" s="99"/>
      <c r="D868" s="98"/>
      <c r="E868" s="100"/>
      <c r="F868" s="101"/>
      <c r="G868" s="98"/>
      <c r="H868" s="100"/>
      <c r="I868" s="102"/>
      <c r="J868" s="102"/>
      <c r="K868" s="102"/>
      <c r="L868" s="101"/>
      <c r="M868" s="103"/>
      <c r="N868" s="102"/>
      <c r="O868" s="102"/>
      <c r="P868" s="102"/>
    </row>
    <row r="869" ht="15.75" customHeight="1">
      <c r="A869" s="97"/>
      <c r="B869" s="98"/>
      <c r="C869" s="99"/>
      <c r="D869" s="98"/>
      <c r="E869" s="100"/>
      <c r="F869" s="101"/>
      <c r="G869" s="98"/>
      <c r="H869" s="100"/>
      <c r="I869" s="102"/>
      <c r="J869" s="102"/>
      <c r="K869" s="102"/>
      <c r="L869" s="101"/>
      <c r="M869" s="103"/>
      <c r="N869" s="102"/>
      <c r="O869" s="102"/>
      <c r="P869" s="102"/>
    </row>
    <row r="870" ht="15.75" customHeight="1">
      <c r="A870" s="97"/>
      <c r="B870" s="98"/>
      <c r="C870" s="99"/>
      <c r="D870" s="98"/>
      <c r="E870" s="100"/>
      <c r="F870" s="101"/>
      <c r="G870" s="98"/>
      <c r="H870" s="100"/>
      <c r="I870" s="102"/>
      <c r="J870" s="102"/>
      <c r="K870" s="102"/>
      <c r="L870" s="101"/>
      <c r="M870" s="103"/>
      <c r="N870" s="102"/>
      <c r="O870" s="102"/>
      <c r="P870" s="102"/>
    </row>
    <row r="871" ht="15.75" customHeight="1">
      <c r="A871" s="97"/>
      <c r="B871" s="98"/>
      <c r="C871" s="99"/>
      <c r="D871" s="98"/>
      <c r="E871" s="100"/>
      <c r="F871" s="101"/>
      <c r="G871" s="98"/>
      <c r="H871" s="100"/>
      <c r="I871" s="102"/>
      <c r="J871" s="102"/>
      <c r="K871" s="102"/>
      <c r="L871" s="101"/>
      <c r="M871" s="103"/>
      <c r="N871" s="102"/>
      <c r="O871" s="102"/>
      <c r="P871" s="102"/>
    </row>
    <row r="872" ht="15.75" customHeight="1">
      <c r="A872" s="97"/>
      <c r="B872" s="98"/>
      <c r="C872" s="99"/>
      <c r="D872" s="98"/>
      <c r="E872" s="100"/>
      <c r="F872" s="101"/>
      <c r="G872" s="98"/>
      <c r="H872" s="100"/>
      <c r="I872" s="102"/>
      <c r="J872" s="102"/>
      <c r="K872" s="102"/>
      <c r="L872" s="101"/>
      <c r="M872" s="103"/>
      <c r="N872" s="102"/>
      <c r="O872" s="102"/>
      <c r="P872" s="102"/>
    </row>
    <row r="873" ht="15.75" customHeight="1">
      <c r="A873" s="97"/>
      <c r="B873" s="98"/>
      <c r="C873" s="99"/>
      <c r="D873" s="98"/>
      <c r="E873" s="100"/>
      <c r="F873" s="101"/>
      <c r="G873" s="98"/>
      <c r="H873" s="100"/>
      <c r="I873" s="102"/>
      <c r="J873" s="102"/>
      <c r="K873" s="102"/>
      <c r="L873" s="101"/>
      <c r="M873" s="103"/>
      <c r="N873" s="102"/>
      <c r="O873" s="102"/>
      <c r="P873" s="102"/>
    </row>
    <row r="874" ht="15.75" customHeight="1">
      <c r="A874" s="97"/>
      <c r="B874" s="98"/>
      <c r="C874" s="99"/>
      <c r="D874" s="98"/>
      <c r="E874" s="100"/>
      <c r="F874" s="101"/>
      <c r="G874" s="98"/>
      <c r="H874" s="100"/>
      <c r="I874" s="102"/>
      <c r="J874" s="102"/>
      <c r="K874" s="102"/>
      <c r="L874" s="101"/>
      <c r="M874" s="103"/>
      <c r="N874" s="102"/>
      <c r="O874" s="102"/>
      <c r="P874" s="102"/>
    </row>
    <row r="875" ht="15.75" customHeight="1">
      <c r="A875" s="97"/>
      <c r="B875" s="98"/>
      <c r="C875" s="99"/>
      <c r="D875" s="98"/>
      <c r="E875" s="100"/>
      <c r="F875" s="101"/>
      <c r="G875" s="98"/>
      <c r="H875" s="100"/>
      <c r="I875" s="102"/>
      <c r="J875" s="102"/>
      <c r="K875" s="102"/>
      <c r="L875" s="101"/>
      <c r="M875" s="103"/>
      <c r="N875" s="102"/>
      <c r="O875" s="102"/>
      <c r="P875" s="102"/>
    </row>
    <row r="876" ht="15.75" customHeight="1">
      <c r="A876" s="97"/>
      <c r="B876" s="98"/>
      <c r="C876" s="99"/>
      <c r="D876" s="98"/>
      <c r="E876" s="100"/>
      <c r="F876" s="101"/>
      <c r="G876" s="98"/>
      <c r="H876" s="100"/>
      <c r="I876" s="102"/>
      <c r="J876" s="102"/>
      <c r="K876" s="102"/>
      <c r="L876" s="101"/>
      <c r="M876" s="103"/>
      <c r="N876" s="102"/>
      <c r="O876" s="102"/>
      <c r="P876" s="102"/>
    </row>
    <row r="877" ht="15.75" customHeight="1">
      <c r="A877" s="97"/>
      <c r="B877" s="98"/>
      <c r="C877" s="99"/>
      <c r="D877" s="98"/>
      <c r="E877" s="100"/>
      <c r="F877" s="101"/>
      <c r="G877" s="98"/>
      <c r="H877" s="100"/>
      <c r="I877" s="102"/>
      <c r="J877" s="102"/>
      <c r="K877" s="102"/>
      <c r="L877" s="101"/>
      <c r="M877" s="103"/>
      <c r="N877" s="102"/>
      <c r="O877" s="102"/>
      <c r="P877" s="102"/>
    </row>
    <row r="878" ht="15.75" customHeight="1">
      <c r="A878" s="97"/>
      <c r="B878" s="98"/>
      <c r="C878" s="99"/>
      <c r="D878" s="98"/>
      <c r="E878" s="100"/>
      <c r="F878" s="101"/>
      <c r="G878" s="98"/>
      <c r="H878" s="100"/>
      <c r="I878" s="102"/>
      <c r="J878" s="102"/>
      <c r="K878" s="102"/>
      <c r="L878" s="101"/>
      <c r="M878" s="103"/>
      <c r="N878" s="102"/>
      <c r="O878" s="102"/>
      <c r="P878" s="102"/>
    </row>
    <row r="879" ht="15.75" customHeight="1">
      <c r="A879" s="97"/>
      <c r="B879" s="98"/>
      <c r="C879" s="99"/>
      <c r="D879" s="98"/>
      <c r="E879" s="100"/>
      <c r="F879" s="101"/>
      <c r="G879" s="98"/>
      <c r="H879" s="100"/>
      <c r="I879" s="102"/>
      <c r="J879" s="102"/>
      <c r="K879" s="102"/>
      <c r="L879" s="101"/>
      <c r="M879" s="103"/>
      <c r="N879" s="102"/>
      <c r="O879" s="102"/>
      <c r="P879" s="102"/>
    </row>
    <row r="880" ht="15.75" customHeight="1">
      <c r="A880" s="97"/>
      <c r="B880" s="98"/>
      <c r="C880" s="99"/>
      <c r="D880" s="98"/>
      <c r="E880" s="100"/>
      <c r="F880" s="101"/>
      <c r="G880" s="98"/>
      <c r="H880" s="100"/>
      <c r="I880" s="102"/>
      <c r="J880" s="102"/>
      <c r="K880" s="102"/>
      <c r="L880" s="101"/>
      <c r="M880" s="103"/>
      <c r="N880" s="102"/>
      <c r="O880" s="102"/>
      <c r="P880" s="102"/>
    </row>
    <row r="881" ht="15.75" customHeight="1">
      <c r="A881" s="97"/>
      <c r="B881" s="98"/>
      <c r="C881" s="99"/>
      <c r="D881" s="98"/>
      <c r="E881" s="100"/>
      <c r="F881" s="101"/>
      <c r="G881" s="98"/>
      <c r="H881" s="100"/>
      <c r="I881" s="102"/>
      <c r="J881" s="102"/>
      <c r="K881" s="102"/>
      <c r="L881" s="101"/>
      <c r="M881" s="103"/>
      <c r="N881" s="102"/>
      <c r="O881" s="102"/>
      <c r="P881" s="102"/>
    </row>
    <row r="882" ht="15.75" customHeight="1">
      <c r="A882" s="97"/>
      <c r="B882" s="98"/>
      <c r="C882" s="99"/>
      <c r="D882" s="98"/>
      <c r="E882" s="100"/>
      <c r="F882" s="101"/>
      <c r="G882" s="98"/>
      <c r="H882" s="100"/>
      <c r="I882" s="102"/>
      <c r="J882" s="102"/>
      <c r="K882" s="102"/>
      <c r="L882" s="101"/>
      <c r="M882" s="103"/>
      <c r="N882" s="102"/>
      <c r="O882" s="102"/>
      <c r="P882" s="102"/>
    </row>
    <row r="883" ht="15.75" customHeight="1">
      <c r="A883" s="97"/>
      <c r="B883" s="98"/>
      <c r="C883" s="99"/>
      <c r="D883" s="98"/>
      <c r="E883" s="100"/>
      <c r="F883" s="101"/>
      <c r="G883" s="98"/>
      <c r="H883" s="100"/>
      <c r="I883" s="102"/>
      <c r="J883" s="102"/>
      <c r="K883" s="102"/>
      <c r="L883" s="101"/>
      <c r="M883" s="103"/>
      <c r="N883" s="102"/>
      <c r="O883" s="102"/>
      <c r="P883" s="102"/>
    </row>
    <row r="884" ht="15.75" customHeight="1">
      <c r="A884" s="97"/>
      <c r="B884" s="98"/>
      <c r="C884" s="99"/>
      <c r="D884" s="98"/>
      <c r="E884" s="100"/>
      <c r="F884" s="101"/>
      <c r="G884" s="98"/>
      <c r="H884" s="100"/>
      <c r="I884" s="102"/>
      <c r="J884" s="102"/>
      <c r="K884" s="102"/>
      <c r="L884" s="101"/>
      <c r="M884" s="103"/>
      <c r="N884" s="102"/>
      <c r="O884" s="102"/>
      <c r="P884" s="102"/>
    </row>
    <row r="885" ht="15.75" customHeight="1">
      <c r="A885" s="97"/>
      <c r="B885" s="98"/>
      <c r="C885" s="99"/>
      <c r="D885" s="98"/>
      <c r="E885" s="100"/>
      <c r="F885" s="101"/>
      <c r="G885" s="98"/>
      <c r="H885" s="100"/>
      <c r="I885" s="102"/>
      <c r="J885" s="102"/>
      <c r="K885" s="102"/>
      <c r="L885" s="101"/>
      <c r="M885" s="103"/>
      <c r="N885" s="102"/>
      <c r="O885" s="102"/>
      <c r="P885" s="102"/>
    </row>
    <row r="886" ht="15.75" customHeight="1">
      <c r="A886" s="97"/>
      <c r="B886" s="98"/>
      <c r="C886" s="99"/>
      <c r="D886" s="98"/>
      <c r="E886" s="100"/>
      <c r="F886" s="101"/>
      <c r="G886" s="98"/>
      <c r="H886" s="100"/>
      <c r="I886" s="102"/>
      <c r="J886" s="102"/>
      <c r="K886" s="102"/>
      <c r="L886" s="101"/>
      <c r="M886" s="103"/>
      <c r="N886" s="102"/>
      <c r="O886" s="102"/>
      <c r="P886" s="102"/>
    </row>
    <row r="887" ht="15.75" customHeight="1">
      <c r="A887" s="97"/>
      <c r="B887" s="98"/>
      <c r="C887" s="99"/>
      <c r="D887" s="98"/>
      <c r="E887" s="100"/>
      <c r="F887" s="101"/>
      <c r="G887" s="98"/>
      <c r="H887" s="100"/>
      <c r="I887" s="102"/>
      <c r="J887" s="102"/>
      <c r="K887" s="102"/>
      <c r="L887" s="101"/>
      <c r="M887" s="103"/>
      <c r="N887" s="102"/>
      <c r="O887" s="102"/>
      <c r="P887" s="102"/>
    </row>
    <row r="888" ht="15.75" customHeight="1">
      <c r="A888" s="97"/>
      <c r="B888" s="98"/>
      <c r="C888" s="99"/>
      <c r="D888" s="98"/>
      <c r="E888" s="100"/>
      <c r="F888" s="101"/>
      <c r="G888" s="98"/>
      <c r="H888" s="100"/>
      <c r="I888" s="102"/>
      <c r="J888" s="102"/>
      <c r="K888" s="102"/>
      <c r="L888" s="101"/>
      <c r="M888" s="103"/>
      <c r="N888" s="102"/>
      <c r="O888" s="102"/>
      <c r="P888" s="102"/>
    </row>
    <row r="889" ht="15.75" customHeight="1">
      <c r="A889" s="97"/>
      <c r="B889" s="98"/>
      <c r="C889" s="99"/>
      <c r="D889" s="98"/>
      <c r="E889" s="100"/>
      <c r="F889" s="101"/>
      <c r="G889" s="98"/>
      <c r="H889" s="100"/>
      <c r="I889" s="102"/>
      <c r="J889" s="102"/>
      <c r="K889" s="102"/>
      <c r="L889" s="101"/>
      <c r="M889" s="103"/>
      <c r="N889" s="102"/>
      <c r="O889" s="102"/>
      <c r="P889" s="102"/>
    </row>
    <row r="890" ht="15.75" customHeight="1">
      <c r="A890" s="97"/>
      <c r="B890" s="98"/>
      <c r="C890" s="99"/>
      <c r="D890" s="98"/>
      <c r="E890" s="100"/>
      <c r="F890" s="101"/>
      <c r="G890" s="98"/>
      <c r="H890" s="100"/>
      <c r="I890" s="102"/>
      <c r="J890" s="102"/>
      <c r="K890" s="102"/>
      <c r="L890" s="101"/>
      <c r="M890" s="103"/>
      <c r="N890" s="102"/>
      <c r="O890" s="102"/>
      <c r="P890" s="102"/>
    </row>
    <row r="891" ht="15.75" customHeight="1">
      <c r="A891" s="97"/>
      <c r="B891" s="98"/>
      <c r="C891" s="99"/>
      <c r="D891" s="98"/>
      <c r="E891" s="100"/>
      <c r="F891" s="101"/>
      <c r="G891" s="98"/>
      <c r="H891" s="100"/>
      <c r="I891" s="102"/>
      <c r="J891" s="102"/>
      <c r="K891" s="102"/>
      <c r="L891" s="101"/>
      <c r="M891" s="103"/>
      <c r="N891" s="102"/>
      <c r="O891" s="102"/>
      <c r="P891" s="102"/>
    </row>
    <row r="892" ht="15.75" customHeight="1">
      <c r="A892" s="97"/>
      <c r="B892" s="98"/>
      <c r="C892" s="99"/>
      <c r="D892" s="98"/>
      <c r="E892" s="100"/>
      <c r="F892" s="101"/>
      <c r="G892" s="98"/>
      <c r="H892" s="100"/>
      <c r="I892" s="102"/>
      <c r="J892" s="102"/>
      <c r="K892" s="102"/>
      <c r="L892" s="101"/>
      <c r="M892" s="103"/>
      <c r="N892" s="102"/>
      <c r="O892" s="102"/>
      <c r="P892" s="102"/>
    </row>
    <row r="893" ht="15.75" customHeight="1">
      <c r="A893" s="97"/>
      <c r="B893" s="98"/>
      <c r="C893" s="99"/>
      <c r="D893" s="98"/>
      <c r="E893" s="100"/>
      <c r="F893" s="101"/>
      <c r="G893" s="98"/>
      <c r="H893" s="100"/>
      <c r="I893" s="102"/>
      <c r="J893" s="102"/>
      <c r="K893" s="102"/>
      <c r="L893" s="101"/>
      <c r="M893" s="103"/>
      <c r="N893" s="102"/>
      <c r="O893" s="102"/>
      <c r="P893" s="102"/>
    </row>
    <row r="894" ht="15.75" customHeight="1">
      <c r="A894" s="97"/>
      <c r="B894" s="98"/>
      <c r="C894" s="99"/>
      <c r="D894" s="98"/>
      <c r="E894" s="100"/>
      <c r="F894" s="101"/>
      <c r="G894" s="98"/>
      <c r="H894" s="100"/>
      <c r="I894" s="102"/>
      <c r="J894" s="102"/>
      <c r="K894" s="102"/>
      <c r="L894" s="101"/>
      <c r="M894" s="103"/>
      <c r="N894" s="102"/>
      <c r="O894" s="102"/>
      <c r="P894" s="102"/>
    </row>
    <row r="895" ht="15.75" customHeight="1">
      <c r="A895" s="97"/>
      <c r="B895" s="98"/>
      <c r="C895" s="99"/>
      <c r="D895" s="98"/>
      <c r="E895" s="100"/>
      <c r="F895" s="101"/>
      <c r="G895" s="98"/>
      <c r="H895" s="100"/>
      <c r="I895" s="102"/>
      <c r="J895" s="102"/>
      <c r="K895" s="102"/>
      <c r="L895" s="101"/>
      <c r="M895" s="103"/>
      <c r="N895" s="102"/>
      <c r="O895" s="102"/>
      <c r="P895" s="102"/>
    </row>
    <row r="896" ht="15.75" customHeight="1">
      <c r="A896" s="97"/>
      <c r="B896" s="98"/>
      <c r="C896" s="99"/>
      <c r="D896" s="98"/>
      <c r="E896" s="100"/>
      <c r="F896" s="101"/>
      <c r="G896" s="98"/>
      <c r="H896" s="100"/>
      <c r="I896" s="102"/>
      <c r="J896" s="102"/>
      <c r="K896" s="102"/>
      <c r="L896" s="101"/>
      <c r="M896" s="103"/>
      <c r="N896" s="102"/>
      <c r="O896" s="102"/>
      <c r="P896" s="102"/>
    </row>
    <row r="897" ht="15.75" customHeight="1">
      <c r="A897" s="97"/>
      <c r="B897" s="98"/>
      <c r="C897" s="99"/>
      <c r="D897" s="98"/>
      <c r="E897" s="100"/>
      <c r="F897" s="101"/>
      <c r="G897" s="98"/>
      <c r="H897" s="100"/>
      <c r="I897" s="102"/>
      <c r="J897" s="102"/>
      <c r="K897" s="102"/>
      <c r="L897" s="101"/>
      <c r="M897" s="103"/>
      <c r="N897" s="102"/>
      <c r="O897" s="102"/>
      <c r="P897" s="102"/>
    </row>
    <row r="898" ht="15.75" customHeight="1">
      <c r="A898" s="97"/>
      <c r="B898" s="98"/>
      <c r="C898" s="99"/>
      <c r="D898" s="98"/>
      <c r="E898" s="100"/>
      <c r="F898" s="101"/>
      <c r="G898" s="98"/>
      <c r="H898" s="100"/>
      <c r="I898" s="102"/>
      <c r="J898" s="102"/>
      <c r="K898" s="102"/>
      <c r="L898" s="101"/>
      <c r="M898" s="103"/>
      <c r="N898" s="102"/>
      <c r="O898" s="102"/>
      <c r="P898" s="102"/>
    </row>
    <row r="899" ht="15.75" customHeight="1">
      <c r="A899" s="97"/>
      <c r="B899" s="98"/>
      <c r="C899" s="99"/>
      <c r="D899" s="98"/>
      <c r="E899" s="100"/>
      <c r="F899" s="101"/>
      <c r="G899" s="98"/>
      <c r="H899" s="100"/>
      <c r="I899" s="102"/>
      <c r="J899" s="102"/>
      <c r="K899" s="102"/>
      <c r="L899" s="101"/>
      <c r="M899" s="103"/>
      <c r="N899" s="102"/>
      <c r="O899" s="102"/>
      <c r="P899" s="102"/>
    </row>
    <row r="900" ht="15.75" customHeight="1">
      <c r="A900" s="97"/>
      <c r="B900" s="98"/>
      <c r="C900" s="99"/>
      <c r="D900" s="98"/>
      <c r="E900" s="100"/>
      <c r="F900" s="101"/>
      <c r="G900" s="98"/>
      <c r="H900" s="100"/>
      <c r="I900" s="102"/>
      <c r="J900" s="102"/>
      <c r="K900" s="102"/>
      <c r="L900" s="101"/>
      <c r="M900" s="103"/>
      <c r="N900" s="102"/>
      <c r="O900" s="102"/>
      <c r="P900" s="102"/>
    </row>
    <row r="901" ht="15.75" customHeight="1">
      <c r="A901" s="97"/>
      <c r="B901" s="98"/>
      <c r="C901" s="99"/>
      <c r="D901" s="98"/>
      <c r="E901" s="100"/>
      <c r="F901" s="101"/>
      <c r="G901" s="98"/>
      <c r="H901" s="100"/>
      <c r="I901" s="102"/>
      <c r="J901" s="102"/>
      <c r="K901" s="102"/>
      <c r="L901" s="101"/>
      <c r="M901" s="103"/>
      <c r="N901" s="102"/>
      <c r="O901" s="102"/>
      <c r="P901" s="102"/>
    </row>
    <row r="902" ht="15.75" customHeight="1">
      <c r="A902" s="97"/>
      <c r="B902" s="98"/>
      <c r="C902" s="99"/>
      <c r="D902" s="98"/>
      <c r="E902" s="100"/>
      <c r="F902" s="101"/>
      <c r="G902" s="98"/>
      <c r="H902" s="100"/>
      <c r="I902" s="102"/>
      <c r="J902" s="102"/>
      <c r="K902" s="102"/>
      <c r="L902" s="101"/>
      <c r="M902" s="103"/>
      <c r="N902" s="102"/>
      <c r="O902" s="102"/>
      <c r="P902" s="102"/>
    </row>
    <row r="903" ht="15.75" customHeight="1">
      <c r="A903" s="97"/>
      <c r="B903" s="98"/>
      <c r="C903" s="99"/>
      <c r="D903" s="98"/>
      <c r="E903" s="100"/>
      <c r="F903" s="101"/>
      <c r="G903" s="98"/>
      <c r="H903" s="100"/>
      <c r="I903" s="102"/>
      <c r="J903" s="102"/>
      <c r="K903" s="102"/>
      <c r="L903" s="101"/>
      <c r="M903" s="103"/>
      <c r="N903" s="102"/>
      <c r="O903" s="102"/>
      <c r="P903" s="102"/>
    </row>
    <row r="904" ht="15.75" customHeight="1">
      <c r="A904" s="97"/>
      <c r="B904" s="98"/>
      <c r="C904" s="99"/>
      <c r="D904" s="98"/>
      <c r="E904" s="100"/>
      <c r="F904" s="101"/>
      <c r="G904" s="98"/>
      <c r="H904" s="100"/>
      <c r="I904" s="102"/>
      <c r="J904" s="102"/>
      <c r="K904" s="102"/>
      <c r="L904" s="101"/>
      <c r="M904" s="103"/>
      <c r="N904" s="102"/>
      <c r="O904" s="102"/>
      <c r="P904" s="102"/>
    </row>
    <row r="905" ht="15.75" customHeight="1">
      <c r="A905" s="97"/>
      <c r="B905" s="98"/>
      <c r="C905" s="99"/>
      <c r="D905" s="98"/>
      <c r="E905" s="100"/>
      <c r="F905" s="101"/>
      <c r="G905" s="98"/>
      <c r="H905" s="100"/>
      <c r="I905" s="102"/>
      <c r="J905" s="102"/>
      <c r="K905" s="102"/>
      <c r="L905" s="101"/>
      <c r="M905" s="103"/>
      <c r="N905" s="102"/>
      <c r="O905" s="102"/>
      <c r="P905" s="102"/>
    </row>
    <row r="906" ht="15.75" customHeight="1">
      <c r="A906" s="97"/>
      <c r="B906" s="98"/>
      <c r="C906" s="99"/>
      <c r="D906" s="98"/>
      <c r="E906" s="100"/>
      <c r="F906" s="101"/>
      <c r="G906" s="98"/>
      <c r="H906" s="100"/>
      <c r="I906" s="102"/>
      <c r="J906" s="102"/>
      <c r="K906" s="102"/>
      <c r="L906" s="101"/>
      <c r="M906" s="103"/>
      <c r="N906" s="102"/>
      <c r="O906" s="102"/>
      <c r="P906" s="102"/>
    </row>
    <row r="907" ht="15.75" customHeight="1">
      <c r="A907" s="97"/>
      <c r="B907" s="98"/>
      <c r="C907" s="99"/>
      <c r="D907" s="98"/>
      <c r="E907" s="100"/>
      <c r="F907" s="101"/>
      <c r="G907" s="98"/>
      <c r="H907" s="100"/>
      <c r="I907" s="102"/>
      <c r="J907" s="102"/>
      <c r="K907" s="102"/>
      <c r="L907" s="101"/>
      <c r="M907" s="103"/>
      <c r="N907" s="102"/>
      <c r="O907" s="102"/>
      <c r="P907" s="102"/>
    </row>
    <row r="908" ht="15.75" customHeight="1">
      <c r="A908" s="97"/>
      <c r="B908" s="98"/>
      <c r="C908" s="99"/>
      <c r="D908" s="98"/>
      <c r="E908" s="100"/>
      <c r="F908" s="101"/>
      <c r="G908" s="98"/>
      <c r="H908" s="100"/>
      <c r="I908" s="102"/>
      <c r="J908" s="102"/>
      <c r="K908" s="102"/>
      <c r="L908" s="101"/>
      <c r="M908" s="103"/>
      <c r="N908" s="102"/>
      <c r="O908" s="102"/>
      <c r="P908" s="102"/>
    </row>
    <row r="909" ht="15.75" customHeight="1">
      <c r="A909" s="97"/>
      <c r="B909" s="98"/>
      <c r="C909" s="99"/>
      <c r="D909" s="98"/>
      <c r="E909" s="100"/>
      <c r="F909" s="101"/>
      <c r="G909" s="98"/>
      <c r="H909" s="100"/>
      <c r="I909" s="102"/>
      <c r="J909" s="102"/>
      <c r="K909" s="102"/>
      <c r="L909" s="101"/>
      <c r="M909" s="103"/>
      <c r="N909" s="102"/>
      <c r="O909" s="102"/>
      <c r="P909" s="102"/>
    </row>
    <row r="910" ht="15.75" customHeight="1">
      <c r="A910" s="97"/>
      <c r="B910" s="98"/>
      <c r="C910" s="99"/>
      <c r="D910" s="98"/>
      <c r="E910" s="100"/>
      <c r="F910" s="101"/>
      <c r="G910" s="98"/>
      <c r="H910" s="100"/>
      <c r="I910" s="102"/>
      <c r="J910" s="102"/>
      <c r="K910" s="102"/>
      <c r="L910" s="101"/>
      <c r="M910" s="103"/>
      <c r="N910" s="102"/>
      <c r="O910" s="102"/>
      <c r="P910" s="102"/>
    </row>
    <row r="911" ht="15.75" customHeight="1">
      <c r="A911" s="97"/>
      <c r="B911" s="98"/>
      <c r="C911" s="99"/>
      <c r="D911" s="98"/>
      <c r="E911" s="100"/>
      <c r="F911" s="101"/>
      <c r="G911" s="98"/>
      <c r="H911" s="100"/>
      <c r="I911" s="102"/>
      <c r="J911" s="102"/>
      <c r="K911" s="102"/>
      <c r="L911" s="101"/>
      <c r="M911" s="103"/>
      <c r="N911" s="102"/>
      <c r="O911" s="102"/>
      <c r="P911" s="102"/>
    </row>
    <row r="912" ht="15.75" customHeight="1">
      <c r="A912" s="97"/>
      <c r="B912" s="98"/>
      <c r="C912" s="99"/>
      <c r="D912" s="98"/>
      <c r="E912" s="100"/>
      <c r="F912" s="101"/>
      <c r="G912" s="98"/>
      <c r="H912" s="100"/>
      <c r="I912" s="102"/>
      <c r="J912" s="102"/>
      <c r="K912" s="102"/>
      <c r="L912" s="101"/>
      <c r="M912" s="103"/>
      <c r="N912" s="102"/>
      <c r="O912" s="102"/>
      <c r="P912" s="102"/>
    </row>
    <row r="913" ht="15.75" customHeight="1">
      <c r="A913" s="97"/>
      <c r="B913" s="98"/>
      <c r="C913" s="99"/>
      <c r="D913" s="98"/>
      <c r="E913" s="100"/>
      <c r="F913" s="101"/>
      <c r="G913" s="98"/>
      <c r="H913" s="100"/>
      <c r="I913" s="102"/>
      <c r="J913" s="102"/>
      <c r="K913" s="102"/>
      <c r="L913" s="101"/>
      <c r="M913" s="103"/>
      <c r="N913" s="102"/>
      <c r="O913" s="102"/>
      <c r="P913" s="102"/>
    </row>
    <row r="914" ht="15.75" customHeight="1">
      <c r="A914" s="97"/>
      <c r="B914" s="98"/>
      <c r="C914" s="99"/>
      <c r="D914" s="98"/>
      <c r="E914" s="100"/>
      <c r="F914" s="101"/>
      <c r="G914" s="98"/>
      <c r="H914" s="100"/>
      <c r="I914" s="102"/>
      <c r="J914" s="102"/>
      <c r="K914" s="102"/>
      <c r="L914" s="101"/>
      <c r="M914" s="103"/>
      <c r="N914" s="102"/>
      <c r="O914" s="102"/>
      <c r="P914" s="102"/>
    </row>
    <row r="915" ht="15.75" customHeight="1">
      <c r="A915" s="97"/>
      <c r="B915" s="98"/>
      <c r="C915" s="99"/>
      <c r="D915" s="98"/>
      <c r="E915" s="100"/>
      <c r="F915" s="101"/>
      <c r="G915" s="98"/>
      <c r="H915" s="100"/>
      <c r="I915" s="102"/>
      <c r="J915" s="102"/>
      <c r="K915" s="102"/>
      <c r="L915" s="101"/>
      <c r="M915" s="103"/>
      <c r="N915" s="102"/>
      <c r="O915" s="102"/>
      <c r="P915" s="102"/>
    </row>
    <row r="916" ht="15.75" customHeight="1">
      <c r="A916" s="97"/>
      <c r="B916" s="98"/>
      <c r="C916" s="99"/>
      <c r="D916" s="98"/>
      <c r="E916" s="100"/>
      <c r="F916" s="101"/>
      <c r="G916" s="98"/>
      <c r="H916" s="100"/>
      <c r="I916" s="102"/>
      <c r="J916" s="102"/>
      <c r="K916" s="102"/>
      <c r="L916" s="101"/>
      <c r="M916" s="103"/>
      <c r="N916" s="102"/>
      <c r="O916" s="102"/>
      <c r="P916" s="102"/>
    </row>
    <row r="917" ht="15.75" customHeight="1">
      <c r="A917" s="97"/>
      <c r="B917" s="98"/>
      <c r="C917" s="99"/>
      <c r="D917" s="98"/>
      <c r="E917" s="100"/>
      <c r="F917" s="101"/>
      <c r="G917" s="98"/>
      <c r="H917" s="100"/>
      <c r="I917" s="102"/>
      <c r="J917" s="102"/>
      <c r="K917" s="102"/>
      <c r="L917" s="101"/>
      <c r="M917" s="103"/>
      <c r="N917" s="102"/>
      <c r="O917" s="102"/>
      <c r="P917" s="102"/>
    </row>
    <row r="918" ht="15.75" customHeight="1">
      <c r="A918" s="97"/>
      <c r="B918" s="98"/>
      <c r="C918" s="99"/>
      <c r="D918" s="98"/>
      <c r="E918" s="100"/>
      <c r="F918" s="101"/>
      <c r="G918" s="98"/>
      <c r="H918" s="100"/>
      <c r="I918" s="102"/>
      <c r="J918" s="102"/>
      <c r="K918" s="102"/>
      <c r="L918" s="101"/>
      <c r="M918" s="103"/>
      <c r="N918" s="102"/>
      <c r="O918" s="102"/>
      <c r="P918" s="102"/>
    </row>
    <row r="919" ht="15.75" customHeight="1">
      <c r="A919" s="97"/>
      <c r="B919" s="98"/>
      <c r="C919" s="99"/>
      <c r="D919" s="98"/>
      <c r="E919" s="100"/>
      <c r="F919" s="101"/>
      <c r="G919" s="98"/>
      <c r="H919" s="100"/>
      <c r="I919" s="102"/>
      <c r="J919" s="102"/>
      <c r="K919" s="102"/>
      <c r="L919" s="101"/>
      <c r="M919" s="103"/>
      <c r="N919" s="102"/>
      <c r="O919" s="102"/>
      <c r="P919" s="102"/>
    </row>
    <row r="920" ht="15.75" customHeight="1">
      <c r="A920" s="97"/>
      <c r="B920" s="98"/>
      <c r="C920" s="99"/>
      <c r="D920" s="98"/>
      <c r="E920" s="100"/>
      <c r="F920" s="101"/>
      <c r="G920" s="98"/>
      <c r="H920" s="100"/>
      <c r="I920" s="102"/>
      <c r="J920" s="102"/>
      <c r="K920" s="102"/>
      <c r="L920" s="101"/>
      <c r="M920" s="103"/>
      <c r="N920" s="102"/>
      <c r="O920" s="102"/>
      <c r="P920" s="102"/>
    </row>
    <row r="921" ht="15.75" customHeight="1">
      <c r="A921" s="97"/>
      <c r="B921" s="98"/>
      <c r="C921" s="99"/>
      <c r="D921" s="98"/>
      <c r="E921" s="100"/>
      <c r="F921" s="101"/>
      <c r="G921" s="98"/>
      <c r="H921" s="100"/>
      <c r="I921" s="102"/>
      <c r="J921" s="102"/>
      <c r="K921" s="102"/>
      <c r="L921" s="101"/>
      <c r="M921" s="103"/>
      <c r="N921" s="102"/>
      <c r="O921" s="102"/>
      <c r="P921" s="102"/>
    </row>
    <row r="922" ht="15.75" customHeight="1">
      <c r="A922" s="97"/>
      <c r="B922" s="98"/>
      <c r="C922" s="99"/>
      <c r="D922" s="98"/>
      <c r="E922" s="100"/>
      <c r="F922" s="101"/>
      <c r="G922" s="98"/>
      <c r="H922" s="100"/>
      <c r="I922" s="102"/>
      <c r="J922" s="102"/>
      <c r="K922" s="102"/>
      <c r="L922" s="101"/>
      <c r="M922" s="103"/>
      <c r="N922" s="102"/>
      <c r="O922" s="102"/>
      <c r="P922" s="102"/>
    </row>
    <row r="923" ht="15.75" customHeight="1">
      <c r="A923" s="97"/>
      <c r="B923" s="98"/>
      <c r="C923" s="99"/>
      <c r="D923" s="98"/>
      <c r="E923" s="100"/>
      <c r="F923" s="101"/>
      <c r="G923" s="98"/>
      <c r="H923" s="100"/>
      <c r="I923" s="102"/>
      <c r="J923" s="102"/>
      <c r="K923" s="102"/>
      <c r="L923" s="101"/>
      <c r="M923" s="103"/>
      <c r="N923" s="102"/>
      <c r="O923" s="102"/>
      <c r="P923" s="102"/>
    </row>
    <row r="924" ht="15.75" customHeight="1">
      <c r="A924" s="97"/>
      <c r="B924" s="98"/>
      <c r="C924" s="99"/>
      <c r="D924" s="98"/>
      <c r="E924" s="100"/>
      <c r="F924" s="101"/>
      <c r="G924" s="98"/>
      <c r="H924" s="100"/>
      <c r="I924" s="102"/>
      <c r="J924" s="102"/>
      <c r="K924" s="102"/>
      <c r="L924" s="101"/>
      <c r="M924" s="103"/>
      <c r="N924" s="102"/>
      <c r="O924" s="102"/>
      <c r="P924" s="102"/>
    </row>
    <row r="925" ht="15.75" customHeight="1">
      <c r="A925" s="97"/>
      <c r="B925" s="98"/>
      <c r="C925" s="99"/>
      <c r="D925" s="98"/>
      <c r="E925" s="100"/>
      <c r="F925" s="101"/>
      <c r="G925" s="98"/>
      <c r="H925" s="100"/>
      <c r="I925" s="102"/>
      <c r="J925" s="102"/>
      <c r="K925" s="102"/>
      <c r="L925" s="101"/>
      <c r="M925" s="103"/>
      <c r="N925" s="102"/>
      <c r="O925" s="102"/>
      <c r="P925" s="102"/>
    </row>
    <row r="926" ht="15.75" customHeight="1">
      <c r="A926" s="97"/>
      <c r="B926" s="98"/>
      <c r="C926" s="99"/>
      <c r="D926" s="98"/>
      <c r="E926" s="100"/>
      <c r="F926" s="101"/>
      <c r="G926" s="98"/>
      <c r="H926" s="100"/>
      <c r="I926" s="102"/>
      <c r="J926" s="102"/>
      <c r="K926" s="102"/>
      <c r="L926" s="101"/>
      <c r="M926" s="103"/>
      <c r="N926" s="102"/>
      <c r="O926" s="102"/>
      <c r="P926" s="102"/>
    </row>
    <row r="927" ht="15.75" customHeight="1">
      <c r="A927" s="97"/>
      <c r="B927" s="98"/>
      <c r="C927" s="99"/>
      <c r="D927" s="98"/>
      <c r="E927" s="100"/>
      <c r="F927" s="101"/>
      <c r="G927" s="98"/>
      <c r="H927" s="100"/>
      <c r="I927" s="102"/>
      <c r="J927" s="102"/>
      <c r="K927" s="102"/>
      <c r="L927" s="101"/>
      <c r="M927" s="103"/>
      <c r="N927" s="102"/>
      <c r="O927" s="102"/>
      <c r="P927" s="102"/>
    </row>
    <row r="928" ht="15.75" customHeight="1">
      <c r="A928" s="97"/>
      <c r="B928" s="98"/>
      <c r="C928" s="99"/>
      <c r="D928" s="98"/>
      <c r="E928" s="100"/>
      <c r="F928" s="101"/>
      <c r="G928" s="98"/>
      <c r="H928" s="100"/>
      <c r="I928" s="102"/>
      <c r="J928" s="102"/>
      <c r="K928" s="102"/>
      <c r="L928" s="101"/>
      <c r="M928" s="103"/>
      <c r="N928" s="102"/>
      <c r="O928" s="102"/>
      <c r="P928" s="102"/>
    </row>
    <row r="929" ht="15.75" customHeight="1">
      <c r="A929" s="97"/>
      <c r="B929" s="98"/>
      <c r="C929" s="99"/>
      <c r="D929" s="98"/>
      <c r="E929" s="100"/>
      <c r="F929" s="101"/>
      <c r="G929" s="98"/>
      <c r="H929" s="100"/>
      <c r="I929" s="102"/>
      <c r="J929" s="102"/>
      <c r="K929" s="102"/>
      <c r="L929" s="101"/>
      <c r="M929" s="103"/>
      <c r="N929" s="102"/>
      <c r="O929" s="102"/>
      <c r="P929" s="102"/>
    </row>
    <row r="930" ht="15.75" customHeight="1">
      <c r="A930" s="97"/>
      <c r="B930" s="98"/>
      <c r="C930" s="99"/>
      <c r="D930" s="98"/>
      <c r="E930" s="100"/>
      <c r="F930" s="101"/>
      <c r="G930" s="98"/>
      <c r="H930" s="100"/>
      <c r="I930" s="102"/>
      <c r="J930" s="102"/>
      <c r="K930" s="102"/>
      <c r="L930" s="101"/>
      <c r="M930" s="103"/>
      <c r="N930" s="102"/>
      <c r="O930" s="102"/>
      <c r="P930" s="102"/>
    </row>
    <row r="931" ht="15.75" customHeight="1">
      <c r="A931" s="97"/>
      <c r="B931" s="98"/>
      <c r="C931" s="99"/>
      <c r="D931" s="98"/>
      <c r="E931" s="100"/>
      <c r="F931" s="101"/>
      <c r="G931" s="98"/>
      <c r="H931" s="100"/>
      <c r="I931" s="102"/>
      <c r="J931" s="102"/>
      <c r="K931" s="102"/>
      <c r="L931" s="101"/>
      <c r="M931" s="103"/>
      <c r="N931" s="102"/>
      <c r="O931" s="102"/>
      <c r="P931" s="102"/>
    </row>
    <row r="932" ht="15.75" customHeight="1">
      <c r="A932" s="97"/>
      <c r="B932" s="98"/>
      <c r="C932" s="99"/>
      <c r="D932" s="98"/>
      <c r="E932" s="100"/>
      <c r="F932" s="101"/>
      <c r="G932" s="98"/>
      <c r="H932" s="100"/>
      <c r="I932" s="102"/>
      <c r="J932" s="102"/>
      <c r="K932" s="102"/>
      <c r="L932" s="101"/>
      <c r="M932" s="103"/>
      <c r="N932" s="102"/>
      <c r="O932" s="102"/>
      <c r="P932" s="102"/>
    </row>
    <row r="933" ht="15.75" customHeight="1">
      <c r="A933" s="97"/>
      <c r="B933" s="98"/>
      <c r="C933" s="99"/>
      <c r="D933" s="98"/>
      <c r="E933" s="100"/>
      <c r="F933" s="101"/>
      <c r="G933" s="98"/>
      <c r="H933" s="100"/>
      <c r="I933" s="102"/>
      <c r="J933" s="102"/>
      <c r="K933" s="102"/>
      <c r="L933" s="101"/>
      <c r="M933" s="103"/>
      <c r="N933" s="102"/>
      <c r="O933" s="102"/>
      <c r="P933" s="102"/>
    </row>
    <row r="934" ht="15.75" customHeight="1">
      <c r="A934" s="97"/>
      <c r="B934" s="98"/>
      <c r="C934" s="99"/>
      <c r="D934" s="98"/>
      <c r="E934" s="100"/>
      <c r="F934" s="101"/>
      <c r="G934" s="98"/>
      <c r="H934" s="100"/>
      <c r="I934" s="102"/>
      <c r="J934" s="102"/>
      <c r="K934" s="102"/>
      <c r="L934" s="101"/>
      <c r="M934" s="103"/>
      <c r="N934" s="102"/>
      <c r="O934" s="102"/>
      <c r="P934" s="102"/>
    </row>
    <row r="935" ht="15.75" customHeight="1">
      <c r="A935" s="97"/>
      <c r="B935" s="98"/>
      <c r="C935" s="99"/>
      <c r="D935" s="98"/>
      <c r="E935" s="100"/>
      <c r="F935" s="101"/>
      <c r="G935" s="98"/>
      <c r="H935" s="100"/>
      <c r="I935" s="102"/>
      <c r="J935" s="102"/>
      <c r="K935" s="102"/>
      <c r="L935" s="101"/>
      <c r="M935" s="103"/>
      <c r="N935" s="102"/>
      <c r="O935" s="102"/>
      <c r="P935" s="102"/>
    </row>
    <row r="936" ht="15.75" customHeight="1">
      <c r="A936" s="97"/>
      <c r="B936" s="98"/>
      <c r="C936" s="99"/>
      <c r="D936" s="98"/>
      <c r="E936" s="100"/>
      <c r="F936" s="101"/>
      <c r="G936" s="98"/>
      <c r="H936" s="100"/>
      <c r="I936" s="102"/>
      <c r="J936" s="102"/>
      <c r="K936" s="102"/>
      <c r="L936" s="101"/>
      <c r="M936" s="103"/>
      <c r="N936" s="102"/>
      <c r="O936" s="102"/>
      <c r="P936" s="102"/>
    </row>
    <row r="937" ht="15.75" customHeight="1">
      <c r="A937" s="97"/>
      <c r="B937" s="98"/>
      <c r="C937" s="99"/>
      <c r="D937" s="98"/>
      <c r="E937" s="100"/>
      <c r="F937" s="101"/>
      <c r="G937" s="98"/>
      <c r="H937" s="100"/>
      <c r="I937" s="102"/>
      <c r="J937" s="102"/>
      <c r="K937" s="102"/>
      <c r="L937" s="101"/>
      <c r="M937" s="103"/>
      <c r="N937" s="102"/>
      <c r="O937" s="102"/>
      <c r="P937" s="102"/>
    </row>
    <row r="938" ht="15.75" customHeight="1">
      <c r="A938" s="97"/>
      <c r="B938" s="98"/>
      <c r="C938" s="99"/>
      <c r="D938" s="98"/>
      <c r="E938" s="100"/>
      <c r="F938" s="101"/>
      <c r="G938" s="98"/>
      <c r="H938" s="100"/>
      <c r="I938" s="102"/>
      <c r="J938" s="102"/>
      <c r="K938" s="102"/>
      <c r="L938" s="101"/>
      <c r="M938" s="103"/>
      <c r="N938" s="102"/>
      <c r="O938" s="102"/>
      <c r="P938" s="102"/>
    </row>
    <row r="939" ht="15.75" customHeight="1">
      <c r="A939" s="97"/>
      <c r="B939" s="98"/>
      <c r="C939" s="99"/>
      <c r="D939" s="98"/>
      <c r="E939" s="100"/>
      <c r="F939" s="101"/>
      <c r="G939" s="98"/>
      <c r="H939" s="100"/>
      <c r="I939" s="102"/>
      <c r="J939" s="102"/>
      <c r="K939" s="102"/>
      <c r="L939" s="101"/>
      <c r="M939" s="103"/>
      <c r="N939" s="102"/>
      <c r="O939" s="102"/>
      <c r="P939" s="102"/>
    </row>
    <row r="940" ht="15.75" customHeight="1">
      <c r="A940" s="97"/>
      <c r="B940" s="98"/>
      <c r="C940" s="99"/>
      <c r="D940" s="98"/>
      <c r="E940" s="100"/>
      <c r="F940" s="101"/>
      <c r="G940" s="98"/>
      <c r="H940" s="100"/>
      <c r="I940" s="102"/>
      <c r="J940" s="102"/>
      <c r="K940" s="102"/>
      <c r="L940" s="101"/>
      <c r="M940" s="103"/>
      <c r="N940" s="102"/>
      <c r="O940" s="102"/>
      <c r="P940" s="102"/>
    </row>
    <row r="941" ht="15.75" customHeight="1">
      <c r="A941" s="97"/>
      <c r="B941" s="98"/>
      <c r="C941" s="99"/>
      <c r="D941" s="98"/>
      <c r="E941" s="100"/>
      <c r="F941" s="101"/>
      <c r="G941" s="98"/>
      <c r="H941" s="100"/>
      <c r="I941" s="102"/>
      <c r="J941" s="102"/>
      <c r="K941" s="102"/>
      <c r="L941" s="101"/>
      <c r="M941" s="103"/>
      <c r="N941" s="102"/>
      <c r="O941" s="102"/>
      <c r="P941" s="102"/>
    </row>
    <row r="942" ht="15.75" customHeight="1">
      <c r="A942" s="97"/>
      <c r="B942" s="98"/>
      <c r="C942" s="99"/>
      <c r="D942" s="98"/>
      <c r="E942" s="100"/>
      <c r="F942" s="101"/>
      <c r="G942" s="98"/>
      <c r="H942" s="100"/>
      <c r="I942" s="102"/>
      <c r="J942" s="102"/>
      <c r="K942" s="102"/>
      <c r="L942" s="101"/>
      <c r="M942" s="103"/>
      <c r="N942" s="102"/>
      <c r="O942" s="102"/>
      <c r="P942" s="102"/>
    </row>
    <row r="943" ht="15.75" customHeight="1">
      <c r="A943" s="97"/>
      <c r="B943" s="98"/>
      <c r="C943" s="99"/>
      <c r="D943" s="98"/>
      <c r="E943" s="100"/>
      <c r="F943" s="101"/>
      <c r="G943" s="98"/>
      <c r="H943" s="100"/>
      <c r="I943" s="102"/>
      <c r="J943" s="102"/>
      <c r="K943" s="102"/>
      <c r="L943" s="101"/>
      <c r="M943" s="103"/>
      <c r="N943" s="102"/>
      <c r="O943" s="102"/>
      <c r="P943" s="102"/>
    </row>
    <row r="944" ht="15.75" customHeight="1">
      <c r="A944" s="97"/>
      <c r="B944" s="98"/>
      <c r="C944" s="99"/>
      <c r="D944" s="98"/>
      <c r="E944" s="100"/>
      <c r="F944" s="101"/>
      <c r="G944" s="98"/>
      <c r="H944" s="100"/>
      <c r="I944" s="102"/>
      <c r="J944" s="102"/>
      <c r="K944" s="102"/>
      <c r="L944" s="101"/>
      <c r="M944" s="103"/>
      <c r="N944" s="102"/>
      <c r="O944" s="102"/>
      <c r="P944" s="102"/>
    </row>
    <row r="945" ht="15.75" customHeight="1">
      <c r="A945" s="97"/>
      <c r="B945" s="98"/>
      <c r="C945" s="99"/>
      <c r="D945" s="98"/>
      <c r="E945" s="100"/>
      <c r="F945" s="101"/>
      <c r="G945" s="98"/>
      <c r="H945" s="100"/>
      <c r="I945" s="102"/>
      <c r="J945" s="102"/>
      <c r="K945" s="102"/>
      <c r="L945" s="101"/>
      <c r="M945" s="103"/>
      <c r="N945" s="102"/>
      <c r="O945" s="102"/>
      <c r="P945" s="102"/>
    </row>
    <row r="946" ht="15.75" customHeight="1">
      <c r="A946" s="97"/>
      <c r="B946" s="98"/>
      <c r="C946" s="99"/>
      <c r="D946" s="98"/>
      <c r="E946" s="100"/>
      <c r="F946" s="101"/>
      <c r="G946" s="98"/>
      <c r="H946" s="100"/>
      <c r="I946" s="102"/>
      <c r="J946" s="102"/>
      <c r="K946" s="102"/>
      <c r="L946" s="101"/>
      <c r="M946" s="103"/>
      <c r="N946" s="102"/>
      <c r="O946" s="102"/>
      <c r="P946" s="102"/>
    </row>
    <row r="947" ht="15.75" customHeight="1">
      <c r="A947" s="97"/>
      <c r="B947" s="98"/>
      <c r="C947" s="99"/>
      <c r="D947" s="98"/>
      <c r="E947" s="100"/>
      <c r="F947" s="101"/>
      <c r="G947" s="98"/>
      <c r="H947" s="100"/>
      <c r="I947" s="102"/>
      <c r="J947" s="102"/>
      <c r="K947" s="102"/>
      <c r="L947" s="101"/>
      <c r="M947" s="103"/>
      <c r="N947" s="102"/>
      <c r="O947" s="102"/>
      <c r="P947" s="102"/>
    </row>
    <row r="948" ht="15.75" customHeight="1">
      <c r="A948" s="97"/>
      <c r="B948" s="98"/>
      <c r="C948" s="99"/>
      <c r="D948" s="98"/>
      <c r="E948" s="100"/>
      <c r="F948" s="101"/>
      <c r="G948" s="98"/>
      <c r="H948" s="100"/>
      <c r="I948" s="102"/>
      <c r="J948" s="102"/>
      <c r="K948" s="102"/>
      <c r="L948" s="101"/>
      <c r="M948" s="103"/>
      <c r="N948" s="102"/>
      <c r="O948" s="102"/>
      <c r="P948" s="102"/>
    </row>
    <row r="949" ht="15.75" customHeight="1">
      <c r="A949" s="97"/>
      <c r="B949" s="98"/>
      <c r="C949" s="99"/>
      <c r="D949" s="98"/>
      <c r="E949" s="100"/>
      <c r="F949" s="101"/>
      <c r="G949" s="98"/>
      <c r="H949" s="100"/>
      <c r="I949" s="102"/>
      <c r="J949" s="102"/>
      <c r="K949" s="102"/>
      <c r="L949" s="101"/>
      <c r="M949" s="103"/>
      <c r="N949" s="102"/>
      <c r="O949" s="102"/>
      <c r="P949" s="102"/>
    </row>
    <row r="950" ht="15.75" customHeight="1">
      <c r="A950" s="97"/>
      <c r="B950" s="98"/>
      <c r="C950" s="99"/>
      <c r="D950" s="98"/>
      <c r="E950" s="100"/>
      <c r="F950" s="101"/>
      <c r="G950" s="98"/>
      <c r="H950" s="100"/>
      <c r="I950" s="102"/>
      <c r="J950" s="102"/>
      <c r="K950" s="102"/>
      <c r="L950" s="101"/>
      <c r="M950" s="103"/>
      <c r="N950" s="102"/>
      <c r="O950" s="102"/>
      <c r="P950" s="102"/>
    </row>
    <row r="951" ht="15.75" customHeight="1">
      <c r="A951" s="97"/>
      <c r="B951" s="98"/>
      <c r="C951" s="99"/>
      <c r="D951" s="98"/>
      <c r="E951" s="100"/>
      <c r="F951" s="101"/>
      <c r="G951" s="98"/>
      <c r="H951" s="100"/>
      <c r="I951" s="102"/>
      <c r="J951" s="102"/>
      <c r="K951" s="102"/>
      <c r="L951" s="101"/>
      <c r="M951" s="103"/>
      <c r="N951" s="102"/>
      <c r="O951" s="102"/>
      <c r="P951" s="102"/>
    </row>
    <row r="952" ht="15.75" customHeight="1">
      <c r="A952" s="97"/>
      <c r="B952" s="98"/>
      <c r="C952" s="99"/>
      <c r="D952" s="98"/>
      <c r="E952" s="100"/>
      <c r="F952" s="101"/>
      <c r="G952" s="98"/>
      <c r="H952" s="100"/>
      <c r="I952" s="102"/>
      <c r="J952" s="102"/>
      <c r="K952" s="102"/>
      <c r="L952" s="101"/>
      <c r="M952" s="103"/>
      <c r="N952" s="102"/>
      <c r="O952" s="102"/>
      <c r="P952" s="102"/>
    </row>
    <row r="953" ht="15.75" customHeight="1">
      <c r="A953" s="97"/>
      <c r="B953" s="98"/>
      <c r="C953" s="99"/>
      <c r="D953" s="98"/>
      <c r="E953" s="100"/>
      <c r="F953" s="101"/>
      <c r="G953" s="98"/>
      <c r="H953" s="100"/>
      <c r="I953" s="102"/>
      <c r="J953" s="102"/>
      <c r="K953" s="102"/>
      <c r="L953" s="101"/>
      <c r="M953" s="103"/>
      <c r="N953" s="102"/>
      <c r="O953" s="102"/>
      <c r="P953" s="102"/>
    </row>
    <row r="954" ht="15.75" customHeight="1">
      <c r="A954" s="97"/>
      <c r="B954" s="98"/>
      <c r="C954" s="99"/>
      <c r="D954" s="98"/>
      <c r="E954" s="100"/>
      <c r="F954" s="101"/>
      <c r="G954" s="98"/>
      <c r="H954" s="100"/>
      <c r="I954" s="102"/>
      <c r="J954" s="102"/>
      <c r="K954" s="102"/>
      <c r="L954" s="101"/>
      <c r="M954" s="103"/>
      <c r="N954" s="102"/>
      <c r="O954" s="102"/>
      <c r="P954" s="102"/>
    </row>
    <row r="955" ht="15.75" customHeight="1">
      <c r="A955" s="97"/>
      <c r="B955" s="98"/>
      <c r="C955" s="99"/>
      <c r="D955" s="98"/>
      <c r="E955" s="100"/>
      <c r="F955" s="101"/>
      <c r="G955" s="98"/>
      <c r="H955" s="100"/>
      <c r="I955" s="102"/>
      <c r="J955" s="102"/>
      <c r="K955" s="102"/>
      <c r="L955" s="101"/>
      <c r="M955" s="103"/>
      <c r="N955" s="102"/>
      <c r="O955" s="102"/>
      <c r="P955" s="102"/>
    </row>
    <row r="956" ht="15.75" customHeight="1">
      <c r="A956" s="97"/>
      <c r="B956" s="98"/>
      <c r="C956" s="99"/>
      <c r="D956" s="98"/>
      <c r="E956" s="100"/>
      <c r="F956" s="101"/>
      <c r="G956" s="98"/>
      <c r="H956" s="100"/>
      <c r="I956" s="102"/>
      <c r="J956" s="102"/>
      <c r="K956" s="102"/>
      <c r="L956" s="101"/>
      <c r="M956" s="103"/>
      <c r="N956" s="102"/>
      <c r="O956" s="102"/>
      <c r="P956" s="102"/>
    </row>
    <row r="957" ht="15.75" customHeight="1">
      <c r="A957" s="97"/>
      <c r="B957" s="98"/>
      <c r="C957" s="99"/>
      <c r="D957" s="98"/>
      <c r="E957" s="100"/>
      <c r="F957" s="101"/>
      <c r="G957" s="98"/>
      <c r="H957" s="100"/>
      <c r="I957" s="102"/>
      <c r="J957" s="102"/>
      <c r="K957" s="102"/>
      <c r="L957" s="101"/>
      <c r="M957" s="103"/>
      <c r="N957" s="102"/>
      <c r="O957" s="102"/>
      <c r="P957" s="102"/>
    </row>
    <row r="958" ht="15.75" customHeight="1">
      <c r="A958" s="97"/>
      <c r="B958" s="98"/>
      <c r="C958" s="99"/>
      <c r="D958" s="98"/>
      <c r="E958" s="100"/>
      <c r="F958" s="101"/>
      <c r="G958" s="98"/>
      <c r="H958" s="100"/>
      <c r="I958" s="102"/>
      <c r="J958" s="102"/>
      <c r="K958" s="102"/>
      <c r="L958" s="101"/>
      <c r="M958" s="103"/>
      <c r="N958" s="102"/>
      <c r="O958" s="102"/>
      <c r="P958" s="102"/>
    </row>
    <row r="959" ht="15.75" customHeight="1">
      <c r="A959" s="97"/>
      <c r="B959" s="98"/>
      <c r="C959" s="99"/>
      <c r="D959" s="98"/>
      <c r="E959" s="100"/>
      <c r="F959" s="101"/>
      <c r="G959" s="98"/>
      <c r="H959" s="100"/>
      <c r="I959" s="102"/>
      <c r="J959" s="102"/>
      <c r="K959" s="102"/>
      <c r="L959" s="101"/>
      <c r="M959" s="103"/>
      <c r="N959" s="102"/>
      <c r="O959" s="102"/>
      <c r="P959" s="102"/>
    </row>
    <row r="960" ht="15.75" customHeight="1">
      <c r="A960" s="97"/>
      <c r="B960" s="98"/>
      <c r="C960" s="99"/>
      <c r="D960" s="98"/>
      <c r="E960" s="100"/>
      <c r="F960" s="101"/>
      <c r="G960" s="98"/>
      <c r="H960" s="100"/>
      <c r="I960" s="102"/>
      <c r="J960" s="102"/>
      <c r="K960" s="102"/>
      <c r="L960" s="101"/>
      <c r="M960" s="103"/>
      <c r="N960" s="102"/>
      <c r="O960" s="102"/>
      <c r="P960" s="102"/>
    </row>
    <row r="961" ht="15.75" customHeight="1">
      <c r="A961" s="97"/>
      <c r="B961" s="98"/>
      <c r="C961" s="99"/>
      <c r="D961" s="98"/>
      <c r="E961" s="100"/>
      <c r="F961" s="101"/>
      <c r="G961" s="98"/>
      <c r="H961" s="100"/>
      <c r="I961" s="102"/>
      <c r="J961" s="102"/>
      <c r="K961" s="102"/>
      <c r="L961" s="101"/>
      <c r="M961" s="103"/>
      <c r="N961" s="102"/>
      <c r="O961" s="102"/>
      <c r="P961" s="102"/>
    </row>
    <row r="962" ht="15.75" customHeight="1">
      <c r="A962" s="97"/>
      <c r="B962" s="98"/>
      <c r="C962" s="99"/>
      <c r="D962" s="98"/>
      <c r="E962" s="100"/>
      <c r="F962" s="101"/>
      <c r="G962" s="98"/>
      <c r="H962" s="100"/>
      <c r="I962" s="102"/>
      <c r="J962" s="102"/>
      <c r="K962" s="102"/>
      <c r="L962" s="101"/>
      <c r="M962" s="103"/>
      <c r="N962" s="102"/>
      <c r="O962" s="102"/>
      <c r="P962" s="102"/>
    </row>
    <row r="963" ht="15.75" customHeight="1">
      <c r="A963" s="97"/>
      <c r="B963" s="98"/>
      <c r="C963" s="99"/>
      <c r="D963" s="98"/>
      <c r="E963" s="100"/>
      <c r="F963" s="101"/>
      <c r="G963" s="98"/>
      <c r="H963" s="100"/>
      <c r="I963" s="102"/>
      <c r="J963" s="102"/>
      <c r="K963" s="102"/>
      <c r="L963" s="101"/>
      <c r="M963" s="103"/>
      <c r="N963" s="102"/>
      <c r="O963" s="102"/>
      <c r="P963" s="102"/>
    </row>
    <row r="964" ht="15.75" customHeight="1">
      <c r="A964" s="97"/>
      <c r="B964" s="98"/>
      <c r="C964" s="99"/>
      <c r="D964" s="98"/>
      <c r="E964" s="100"/>
      <c r="F964" s="101"/>
      <c r="G964" s="98"/>
      <c r="H964" s="100"/>
      <c r="I964" s="102"/>
      <c r="J964" s="102"/>
      <c r="K964" s="102"/>
      <c r="L964" s="101"/>
      <c r="M964" s="103"/>
      <c r="N964" s="102"/>
      <c r="O964" s="102"/>
      <c r="P964" s="102"/>
    </row>
    <row r="965" ht="15.75" customHeight="1">
      <c r="A965" s="97"/>
      <c r="B965" s="98"/>
      <c r="C965" s="99"/>
      <c r="D965" s="98"/>
      <c r="E965" s="100"/>
      <c r="F965" s="101"/>
      <c r="G965" s="98"/>
      <c r="H965" s="100"/>
      <c r="I965" s="102"/>
      <c r="J965" s="102"/>
      <c r="K965" s="102"/>
      <c r="L965" s="101"/>
      <c r="M965" s="103"/>
      <c r="N965" s="102"/>
      <c r="O965" s="102"/>
      <c r="P965" s="102"/>
    </row>
    <row r="966" ht="15.75" customHeight="1">
      <c r="A966" s="97"/>
      <c r="B966" s="98"/>
      <c r="C966" s="99"/>
      <c r="D966" s="98"/>
      <c r="E966" s="100"/>
      <c r="F966" s="101"/>
      <c r="G966" s="98"/>
      <c r="H966" s="100"/>
      <c r="I966" s="102"/>
      <c r="J966" s="102"/>
      <c r="K966" s="102"/>
      <c r="L966" s="101"/>
      <c r="M966" s="103"/>
      <c r="N966" s="102"/>
      <c r="O966" s="102"/>
      <c r="P966" s="102"/>
    </row>
    <row r="967" ht="15.75" customHeight="1">
      <c r="A967" s="97"/>
      <c r="B967" s="98"/>
      <c r="C967" s="99"/>
      <c r="D967" s="98"/>
      <c r="E967" s="100"/>
      <c r="F967" s="101"/>
      <c r="G967" s="98"/>
      <c r="H967" s="100"/>
      <c r="I967" s="102"/>
      <c r="J967" s="102"/>
      <c r="K967" s="102"/>
      <c r="L967" s="101"/>
      <c r="M967" s="103"/>
      <c r="N967" s="102"/>
      <c r="O967" s="102"/>
      <c r="P967" s="102"/>
    </row>
    <row r="968" ht="15.75" customHeight="1">
      <c r="A968" s="97"/>
      <c r="B968" s="98"/>
      <c r="C968" s="99"/>
      <c r="D968" s="98"/>
      <c r="E968" s="100"/>
      <c r="F968" s="101"/>
      <c r="G968" s="98"/>
      <c r="H968" s="100"/>
      <c r="I968" s="102"/>
      <c r="J968" s="102"/>
      <c r="K968" s="102"/>
      <c r="L968" s="101"/>
      <c r="M968" s="103"/>
      <c r="N968" s="102"/>
      <c r="O968" s="102"/>
      <c r="P968" s="102"/>
    </row>
    <row r="969" ht="15.75" customHeight="1">
      <c r="A969" s="97"/>
      <c r="B969" s="98"/>
      <c r="C969" s="99"/>
      <c r="D969" s="98"/>
      <c r="E969" s="100"/>
      <c r="F969" s="101"/>
      <c r="G969" s="98"/>
      <c r="H969" s="100"/>
      <c r="I969" s="102"/>
      <c r="J969" s="102"/>
      <c r="K969" s="102"/>
      <c r="L969" s="101"/>
      <c r="M969" s="103"/>
      <c r="N969" s="102"/>
      <c r="O969" s="102"/>
      <c r="P969" s="102"/>
    </row>
    <row r="970" ht="15.75" customHeight="1">
      <c r="A970" s="97"/>
      <c r="B970" s="98"/>
      <c r="C970" s="99"/>
      <c r="D970" s="98"/>
      <c r="E970" s="100"/>
      <c r="F970" s="101"/>
      <c r="G970" s="98"/>
      <c r="H970" s="100"/>
      <c r="I970" s="102"/>
      <c r="J970" s="102"/>
      <c r="K970" s="102"/>
      <c r="L970" s="101"/>
      <c r="M970" s="103"/>
      <c r="N970" s="102"/>
      <c r="O970" s="102"/>
      <c r="P970" s="102"/>
    </row>
    <row r="971" ht="15.75" customHeight="1">
      <c r="A971" s="97"/>
      <c r="B971" s="98"/>
      <c r="C971" s="99"/>
      <c r="D971" s="98"/>
      <c r="E971" s="100"/>
      <c r="F971" s="101"/>
      <c r="G971" s="98"/>
      <c r="H971" s="100"/>
      <c r="I971" s="102"/>
      <c r="J971" s="102"/>
      <c r="K971" s="102"/>
      <c r="L971" s="101"/>
      <c r="M971" s="103"/>
      <c r="N971" s="102"/>
      <c r="O971" s="102"/>
      <c r="P971" s="102"/>
    </row>
    <row r="972" ht="15.75" customHeight="1">
      <c r="A972" s="97"/>
      <c r="B972" s="98"/>
      <c r="C972" s="99"/>
      <c r="D972" s="98"/>
      <c r="E972" s="100"/>
      <c r="F972" s="101"/>
      <c r="G972" s="98"/>
      <c r="H972" s="100"/>
      <c r="I972" s="102"/>
      <c r="J972" s="102"/>
      <c r="K972" s="102"/>
      <c r="L972" s="101"/>
      <c r="M972" s="103"/>
      <c r="N972" s="102"/>
      <c r="O972" s="102"/>
      <c r="P972" s="102"/>
    </row>
    <row r="973" ht="15.75" customHeight="1">
      <c r="A973" s="97"/>
      <c r="B973" s="98"/>
      <c r="C973" s="99"/>
      <c r="D973" s="98"/>
      <c r="E973" s="100"/>
      <c r="F973" s="101"/>
      <c r="G973" s="98"/>
      <c r="H973" s="100"/>
      <c r="I973" s="102"/>
      <c r="J973" s="102"/>
      <c r="K973" s="102"/>
      <c r="L973" s="101"/>
      <c r="M973" s="103"/>
      <c r="N973" s="102"/>
      <c r="O973" s="102"/>
      <c r="P973" s="102"/>
    </row>
    <row r="974" ht="15.75" customHeight="1">
      <c r="A974" s="97"/>
      <c r="B974" s="98"/>
      <c r="C974" s="99"/>
      <c r="D974" s="98"/>
      <c r="E974" s="100"/>
      <c r="F974" s="101"/>
      <c r="G974" s="98"/>
      <c r="H974" s="100"/>
      <c r="I974" s="102"/>
      <c r="J974" s="102"/>
      <c r="K974" s="102"/>
      <c r="L974" s="101"/>
      <c r="M974" s="103"/>
      <c r="N974" s="102"/>
      <c r="O974" s="102"/>
      <c r="P974" s="102"/>
    </row>
    <row r="975" ht="15.75" customHeight="1">
      <c r="A975" s="97"/>
      <c r="B975" s="98"/>
      <c r="C975" s="99"/>
      <c r="D975" s="98"/>
      <c r="E975" s="100"/>
      <c r="F975" s="101"/>
      <c r="G975" s="98"/>
      <c r="H975" s="100"/>
      <c r="I975" s="102"/>
      <c r="J975" s="102"/>
      <c r="K975" s="102"/>
      <c r="L975" s="101"/>
      <c r="M975" s="103"/>
      <c r="N975" s="102"/>
      <c r="O975" s="102"/>
      <c r="P975" s="102"/>
    </row>
    <row r="976" ht="15.75" customHeight="1">
      <c r="A976" s="97"/>
      <c r="B976" s="98"/>
      <c r="C976" s="99"/>
      <c r="D976" s="98"/>
      <c r="E976" s="100"/>
      <c r="F976" s="101"/>
      <c r="G976" s="98"/>
      <c r="H976" s="100"/>
      <c r="I976" s="102"/>
      <c r="J976" s="102"/>
      <c r="K976" s="102"/>
      <c r="L976" s="101"/>
      <c r="M976" s="103"/>
      <c r="N976" s="102"/>
      <c r="O976" s="102"/>
      <c r="P976" s="102"/>
    </row>
    <row r="977" ht="15.75" customHeight="1">
      <c r="A977" s="97"/>
      <c r="B977" s="98"/>
      <c r="C977" s="99"/>
      <c r="D977" s="98"/>
      <c r="E977" s="100"/>
      <c r="F977" s="101"/>
      <c r="G977" s="98"/>
      <c r="H977" s="100"/>
      <c r="I977" s="102"/>
      <c r="J977" s="102"/>
      <c r="K977" s="102"/>
      <c r="L977" s="101"/>
      <c r="M977" s="103"/>
      <c r="N977" s="102"/>
      <c r="O977" s="102"/>
      <c r="P977" s="102"/>
    </row>
    <row r="978" ht="15.75" customHeight="1">
      <c r="A978" s="97"/>
      <c r="B978" s="98"/>
      <c r="C978" s="99"/>
      <c r="D978" s="98"/>
      <c r="E978" s="100"/>
      <c r="F978" s="101"/>
      <c r="G978" s="98"/>
      <c r="H978" s="100"/>
      <c r="I978" s="102"/>
      <c r="J978" s="102"/>
      <c r="K978" s="102"/>
      <c r="L978" s="101"/>
      <c r="M978" s="103"/>
      <c r="N978" s="102"/>
      <c r="O978" s="102"/>
      <c r="P978" s="102"/>
    </row>
    <row r="979" ht="15.75" customHeight="1">
      <c r="A979" s="97"/>
      <c r="B979" s="98"/>
      <c r="C979" s="99"/>
      <c r="D979" s="98"/>
      <c r="E979" s="100"/>
      <c r="F979" s="101"/>
      <c r="G979" s="98"/>
      <c r="H979" s="100"/>
      <c r="I979" s="102"/>
      <c r="J979" s="102"/>
      <c r="K979" s="102"/>
      <c r="L979" s="101"/>
      <c r="M979" s="103"/>
      <c r="N979" s="102"/>
      <c r="O979" s="102"/>
      <c r="P979" s="102"/>
    </row>
    <row r="980" ht="15.75" customHeight="1">
      <c r="A980" s="97"/>
      <c r="B980" s="98"/>
      <c r="C980" s="99"/>
      <c r="D980" s="98"/>
      <c r="E980" s="100"/>
      <c r="F980" s="101"/>
      <c r="G980" s="98"/>
      <c r="H980" s="100"/>
      <c r="I980" s="102"/>
      <c r="J980" s="102"/>
      <c r="K980" s="102"/>
      <c r="L980" s="101"/>
      <c r="M980" s="103"/>
      <c r="N980" s="102"/>
      <c r="O980" s="102"/>
      <c r="P980" s="102"/>
    </row>
    <row r="981" ht="15.75" customHeight="1">
      <c r="A981" s="97"/>
      <c r="B981" s="98"/>
      <c r="C981" s="99"/>
      <c r="D981" s="98"/>
      <c r="E981" s="100"/>
      <c r="F981" s="101"/>
      <c r="G981" s="98"/>
      <c r="H981" s="100"/>
      <c r="I981" s="102"/>
      <c r="J981" s="102"/>
      <c r="K981" s="102"/>
      <c r="L981" s="101"/>
      <c r="M981" s="103"/>
      <c r="N981" s="102"/>
      <c r="O981" s="102"/>
      <c r="P981" s="102"/>
    </row>
    <row r="982" ht="15.75" customHeight="1">
      <c r="A982" s="97"/>
      <c r="B982" s="98"/>
      <c r="C982" s="99"/>
      <c r="D982" s="98"/>
      <c r="E982" s="100"/>
      <c r="F982" s="101"/>
      <c r="G982" s="98"/>
      <c r="H982" s="100"/>
      <c r="I982" s="102"/>
      <c r="J982" s="102"/>
      <c r="K982" s="102"/>
      <c r="L982" s="101"/>
      <c r="M982" s="103"/>
      <c r="N982" s="102"/>
      <c r="O982" s="102"/>
      <c r="P982" s="102"/>
    </row>
    <row r="983" ht="15.75" customHeight="1">
      <c r="A983" s="97"/>
      <c r="B983" s="98"/>
      <c r="C983" s="99"/>
      <c r="D983" s="98"/>
      <c r="E983" s="100"/>
      <c r="F983" s="101"/>
      <c r="G983" s="98"/>
      <c r="H983" s="100"/>
      <c r="I983" s="102"/>
      <c r="J983" s="102"/>
      <c r="K983" s="102"/>
      <c r="L983" s="101"/>
      <c r="M983" s="103"/>
      <c r="N983" s="102"/>
      <c r="O983" s="102"/>
      <c r="P983" s="102"/>
    </row>
    <row r="984" ht="15.75" customHeight="1">
      <c r="A984" s="97"/>
      <c r="B984" s="98"/>
      <c r="C984" s="99"/>
      <c r="D984" s="98"/>
      <c r="E984" s="100"/>
      <c r="F984" s="101"/>
      <c r="G984" s="98"/>
      <c r="H984" s="100"/>
      <c r="I984" s="102"/>
      <c r="J984" s="102"/>
      <c r="K984" s="102"/>
      <c r="L984" s="101"/>
      <c r="M984" s="103"/>
      <c r="N984" s="102"/>
      <c r="O984" s="102"/>
      <c r="P984" s="102"/>
    </row>
    <row r="985" ht="15.75" customHeight="1">
      <c r="A985" s="97"/>
      <c r="B985" s="98"/>
      <c r="C985" s="99"/>
      <c r="D985" s="98"/>
      <c r="E985" s="100"/>
      <c r="F985" s="101"/>
      <c r="G985" s="98"/>
      <c r="H985" s="100"/>
      <c r="I985" s="102"/>
      <c r="J985" s="102"/>
      <c r="K985" s="102"/>
      <c r="L985" s="101"/>
      <c r="M985" s="103"/>
      <c r="N985" s="102"/>
      <c r="O985" s="102"/>
      <c r="P985" s="102"/>
    </row>
    <row r="986" ht="15.75" customHeight="1">
      <c r="A986" s="97"/>
      <c r="B986" s="98"/>
      <c r="C986" s="99"/>
      <c r="D986" s="98"/>
      <c r="E986" s="100"/>
      <c r="F986" s="101"/>
      <c r="G986" s="98"/>
      <c r="H986" s="100"/>
      <c r="I986" s="102"/>
      <c r="J986" s="102"/>
      <c r="K986" s="102"/>
      <c r="L986" s="101"/>
      <c r="M986" s="103"/>
      <c r="N986" s="102"/>
      <c r="O986" s="102"/>
      <c r="P986" s="102"/>
    </row>
    <row r="987" ht="15.75" customHeight="1">
      <c r="A987" s="97"/>
      <c r="B987" s="98"/>
      <c r="C987" s="99"/>
      <c r="D987" s="98"/>
      <c r="E987" s="100"/>
      <c r="F987" s="101"/>
      <c r="G987" s="98"/>
      <c r="H987" s="100"/>
      <c r="I987" s="102"/>
      <c r="J987" s="102"/>
      <c r="K987" s="102"/>
      <c r="L987" s="101"/>
      <c r="M987" s="103"/>
      <c r="N987" s="102"/>
      <c r="O987" s="102"/>
      <c r="P987" s="102"/>
    </row>
    <row r="988" ht="15.75" customHeight="1">
      <c r="A988" s="97"/>
      <c r="B988" s="98"/>
      <c r="C988" s="99"/>
      <c r="D988" s="98"/>
      <c r="E988" s="100"/>
      <c r="F988" s="101"/>
      <c r="G988" s="98"/>
      <c r="H988" s="100"/>
      <c r="I988" s="102"/>
      <c r="J988" s="102"/>
      <c r="K988" s="102"/>
      <c r="L988" s="101"/>
      <c r="M988" s="103"/>
      <c r="N988" s="102"/>
      <c r="O988" s="102"/>
      <c r="P988" s="102"/>
    </row>
    <row r="989" ht="15.75" customHeight="1">
      <c r="A989" s="97"/>
      <c r="B989" s="98"/>
      <c r="C989" s="99"/>
      <c r="D989" s="98"/>
      <c r="E989" s="100"/>
      <c r="F989" s="101"/>
      <c r="G989" s="98"/>
      <c r="H989" s="100"/>
      <c r="I989" s="102"/>
      <c r="J989" s="102"/>
      <c r="K989" s="102"/>
      <c r="L989" s="101"/>
      <c r="M989" s="103"/>
      <c r="N989" s="102"/>
      <c r="O989" s="102"/>
      <c r="P989" s="102"/>
    </row>
    <row r="990" ht="15.75" customHeight="1">
      <c r="A990" s="97"/>
      <c r="B990" s="98"/>
      <c r="C990" s="99"/>
      <c r="D990" s="98"/>
      <c r="E990" s="100"/>
      <c r="F990" s="101"/>
      <c r="G990" s="98"/>
      <c r="H990" s="100"/>
      <c r="I990" s="102"/>
      <c r="J990" s="102"/>
      <c r="K990" s="102"/>
      <c r="L990" s="101"/>
      <c r="M990" s="103"/>
      <c r="N990" s="102"/>
      <c r="O990" s="102"/>
      <c r="P990" s="102"/>
    </row>
    <row r="991" ht="15.75" customHeight="1">
      <c r="A991" s="97"/>
      <c r="B991" s="98"/>
      <c r="C991" s="99"/>
      <c r="D991" s="98"/>
      <c r="E991" s="100"/>
      <c r="F991" s="101"/>
      <c r="G991" s="98"/>
      <c r="H991" s="100"/>
      <c r="I991" s="102"/>
      <c r="J991" s="102"/>
      <c r="K991" s="102"/>
      <c r="L991" s="101"/>
      <c r="M991" s="103"/>
      <c r="N991" s="102"/>
      <c r="O991" s="102"/>
      <c r="P991" s="102"/>
    </row>
  </sheetData>
  <mergeCells count="2">
    <mergeCell ref="P2:P5"/>
    <mergeCell ref="P34:P5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56"/>
    <col customWidth="1" min="2" max="2" width="9.67"/>
    <col customWidth="1" min="3" max="3" width="9.78"/>
    <col customWidth="1" min="4" max="5" width="10.11"/>
    <col customWidth="1" min="6" max="6" width="8.33"/>
    <col customWidth="1" min="7" max="7" width="9.56"/>
    <col customWidth="1" min="8" max="8" width="8.33"/>
    <col customWidth="1" min="9" max="9" width="9.78"/>
    <col customWidth="1" min="10" max="10" width="8.44"/>
    <col customWidth="1" min="11" max="12" width="8.0"/>
    <col customWidth="1" min="13" max="13" width="10.44"/>
    <col customWidth="1" min="14" max="14" width="14.78"/>
    <col customWidth="1" min="15" max="15" width="35.11"/>
    <col customWidth="1" min="16" max="16" width="30.11"/>
    <col customWidth="1" min="17" max="29" width="10.44"/>
  </cols>
  <sheetData>
    <row r="1" ht="27.0" customHeight="1">
      <c r="A1" s="104" t="s">
        <v>0</v>
      </c>
      <c r="B1" s="105" t="s">
        <v>1</v>
      </c>
      <c r="C1" s="106" t="s">
        <v>2</v>
      </c>
      <c r="D1" s="105" t="s">
        <v>133</v>
      </c>
      <c r="E1" s="107" t="s">
        <v>134</v>
      </c>
      <c r="F1" s="108" t="s">
        <v>135</v>
      </c>
      <c r="G1" s="108" t="s">
        <v>136</v>
      </c>
      <c r="H1" s="105" t="s">
        <v>66</v>
      </c>
      <c r="I1" s="107" t="s">
        <v>137</v>
      </c>
      <c r="J1" s="109" t="s">
        <v>138</v>
      </c>
      <c r="K1" s="110" t="s">
        <v>139</v>
      </c>
      <c r="L1" s="111" t="s">
        <v>140</v>
      </c>
      <c r="M1" s="112" t="s">
        <v>7</v>
      </c>
      <c r="N1" s="113" t="s">
        <v>8</v>
      </c>
      <c r="O1" s="114" t="s">
        <v>9</v>
      </c>
      <c r="P1" s="115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ht="15.0" customHeight="1">
      <c r="A2" s="116" t="s">
        <v>141</v>
      </c>
      <c r="B2" s="117" t="s">
        <v>74</v>
      </c>
      <c r="C2" s="118" t="s">
        <v>74</v>
      </c>
      <c r="D2" s="119">
        <v>45462.0</v>
      </c>
      <c r="E2" s="120">
        <v>0.45</v>
      </c>
      <c r="F2" s="121">
        <v>8.12</v>
      </c>
      <c r="G2" s="122">
        <v>25.6</v>
      </c>
      <c r="H2" s="123">
        <v>45467.0</v>
      </c>
      <c r="I2" s="120">
        <v>0.38055555555555554</v>
      </c>
      <c r="J2" s="124">
        <v>8.2</v>
      </c>
      <c r="K2" s="125">
        <v>26.5</v>
      </c>
      <c r="L2" s="118" t="s">
        <v>74</v>
      </c>
      <c r="M2" s="122" t="s">
        <v>12</v>
      </c>
      <c r="N2" s="126" t="s">
        <v>142</v>
      </c>
      <c r="O2" s="127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ht="15.75" customHeight="1">
      <c r="A3" s="128" t="s">
        <v>143</v>
      </c>
      <c r="B3" s="129">
        <v>45461.0</v>
      </c>
      <c r="C3" s="130">
        <v>0.3229166666666667</v>
      </c>
      <c r="D3" s="129">
        <v>45462.0</v>
      </c>
      <c r="E3" s="131">
        <v>0.4597222222222222</v>
      </c>
      <c r="F3" s="132">
        <v>8.48</v>
      </c>
      <c r="G3" s="132">
        <v>21.3</v>
      </c>
      <c r="H3" s="133">
        <v>45467.0</v>
      </c>
      <c r="I3" s="131">
        <v>0.38472222222222224</v>
      </c>
      <c r="J3" s="134">
        <v>7.11</v>
      </c>
      <c r="K3" s="135">
        <v>17.6</v>
      </c>
      <c r="L3" s="136">
        <f t="shared" ref="L3:L22" si="1">F3-J3</f>
        <v>1.37</v>
      </c>
      <c r="M3" s="122" t="s">
        <v>12</v>
      </c>
      <c r="N3" s="126" t="s">
        <v>142</v>
      </c>
      <c r="O3" s="117"/>
    </row>
    <row r="4" ht="17.25" customHeight="1">
      <c r="A4" s="128" t="s">
        <v>144</v>
      </c>
      <c r="B4" s="129">
        <v>45461.0</v>
      </c>
      <c r="C4" s="130">
        <v>0.3229166666666667</v>
      </c>
      <c r="D4" s="129">
        <v>45462.0</v>
      </c>
      <c r="E4" s="131">
        <v>0.46041666666666664</v>
      </c>
      <c r="F4" s="132">
        <v>8.39</v>
      </c>
      <c r="G4" s="132">
        <v>21.4</v>
      </c>
      <c r="H4" s="133">
        <v>45467.0</v>
      </c>
      <c r="I4" s="131">
        <v>0.3819444444444444</v>
      </c>
      <c r="J4" s="134">
        <v>7.97</v>
      </c>
      <c r="K4" s="135">
        <v>18.7</v>
      </c>
      <c r="L4" s="136">
        <f t="shared" si="1"/>
        <v>0.42</v>
      </c>
      <c r="M4" s="122" t="s">
        <v>12</v>
      </c>
      <c r="N4" s="126" t="s">
        <v>142</v>
      </c>
      <c r="O4" s="127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>
      <c r="A5" s="137" t="s">
        <v>145</v>
      </c>
      <c r="B5" s="138">
        <v>45461.0</v>
      </c>
      <c r="C5" s="139">
        <v>0.3229166666666667</v>
      </c>
      <c r="D5" s="119">
        <v>45462.0</v>
      </c>
      <c r="E5" s="120">
        <v>0.4583333333333333</v>
      </c>
      <c r="F5" s="121">
        <v>8.6</v>
      </c>
      <c r="G5" s="121">
        <v>21.2</v>
      </c>
      <c r="H5" s="123">
        <v>45467.0</v>
      </c>
      <c r="I5" s="120">
        <v>0.3861111111111111</v>
      </c>
      <c r="J5" s="124">
        <v>7.64</v>
      </c>
      <c r="K5" s="140">
        <v>19.4</v>
      </c>
      <c r="L5" s="141">
        <f t="shared" si="1"/>
        <v>0.96</v>
      </c>
      <c r="M5" s="122" t="s">
        <v>12</v>
      </c>
      <c r="N5" s="126" t="s">
        <v>142</v>
      </c>
      <c r="O5" s="117"/>
    </row>
    <row r="6" ht="15.0" customHeight="1">
      <c r="A6" s="137" t="s">
        <v>146</v>
      </c>
      <c r="B6" s="138">
        <v>45461.0</v>
      </c>
      <c r="C6" s="139">
        <v>0.3229166666666667</v>
      </c>
      <c r="D6" s="119">
        <v>45462.0</v>
      </c>
      <c r="E6" s="120">
        <v>0.46875</v>
      </c>
      <c r="F6" s="121">
        <v>8.43</v>
      </c>
      <c r="G6" s="121">
        <v>21.9</v>
      </c>
      <c r="H6" s="123">
        <v>45467.0</v>
      </c>
      <c r="I6" s="120">
        <v>0.3888888888888889</v>
      </c>
      <c r="J6" s="124">
        <v>8.36</v>
      </c>
      <c r="K6" s="140">
        <v>18.4</v>
      </c>
      <c r="L6" s="141">
        <f t="shared" si="1"/>
        <v>0.07</v>
      </c>
      <c r="M6" s="122" t="s">
        <v>12</v>
      </c>
      <c r="N6" s="126" t="s">
        <v>142</v>
      </c>
      <c r="O6" s="117"/>
    </row>
    <row r="7" ht="15.75" customHeight="1">
      <c r="A7" s="137" t="s">
        <v>147</v>
      </c>
      <c r="B7" s="138">
        <v>45461.0</v>
      </c>
      <c r="C7" s="139">
        <v>0.3402777777777778</v>
      </c>
      <c r="D7" s="119">
        <v>45462.0</v>
      </c>
      <c r="E7" s="120">
        <v>0.47708333333333336</v>
      </c>
      <c r="F7" s="142">
        <v>8.36</v>
      </c>
      <c r="G7" s="121">
        <v>22.3</v>
      </c>
      <c r="H7" s="123">
        <v>45467.0</v>
      </c>
      <c r="I7" s="120">
        <v>0.3902777777777778</v>
      </c>
      <c r="J7" s="124">
        <v>8.33</v>
      </c>
      <c r="K7" s="140">
        <v>19.8</v>
      </c>
      <c r="L7" s="141">
        <f t="shared" si="1"/>
        <v>0.03</v>
      </c>
      <c r="M7" s="122" t="s">
        <v>12</v>
      </c>
      <c r="N7" s="126" t="s">
        <v>142</v>
      </c>
      <c r="O7" s="117"/>
    </row>
    <row r="8" ht="15.75" customHeight="1">
      <c r="A8" s="137" t="s">
        <v>148</v>
      </c>
      <c r="B8" s="138">
        <v>45461.0</v>
      </c>
      <c r="C8" s="139">
        <v>0.3402777777777778</v>
      </c>
      <c r="D8" s="119">
        <v>45462.0</v>
      </c>
      <c r="E8" s="120">
        <v>0.48125</v>
      </c>
      <c r="F8" s="121">
        <v>8.42</v>
      </c>
      <c r="G8" s="121">
        <v>22.2</v>
      </c>
      <c r="H8" s="123">
        <v>45467.0</v>
      </c>
      <c r="I8" s="120">
        <v>0.39305555555555555</v>
      </c>
      <c r="J8" s="124">
        <v>8.27</v>
      </c>
      <c r="K8" s="140">
        <v>20.0</v>
      </c>
      <c r="L8" s="141">
        <f t="shared" si="1"/>
        <v>0.15</v>
      </c>
      <c r="M8" s="122" t="s">
        <v>12</v>
      </c>
      <c r="N8" s="126" t="s">
        <v>142</v>
      </c>
      <c r="O8" s="117"/>
    </row>
    <row r="9" ht="15.75" customHeight="1">
      <c r="A9" s="137" t="s">
        <v>149</v>
      </c>
      <c r="B9" s="138">
        <v>45461.0</v>
      </c>
      <c r="C9" s="139">
        <v>0.3680555555555556</v>
      </c>
      <c r="D9" s="119">
        <v>45462.0</v>
      </c>
      <c r="E9" s="120">
        <v>0.4847222222222222</v>
      </c>
      <c r="F9" s="121">
        <v>8.39</v>
      </c>
      <c r="G9" s="121">
        <v>21.2</v>
      </c>
      <c r="H9" s="123">
        <v>45467.0</v>
      </c>
      <c r="I9" s="120">
        <v>0.3951388888888889</v>
      </c>
      <c r="J9" s="124">
        <v>8.28</v>
      </c>
      <c r="K9" s="140">
        <v>20.0</v>
      </c>
      <c r="L9" s="141">
        <f t="shared" si="1"/>
        <v>0.11</v>
      </c>
      <c r="M9" s="122" t="s">
        <v>12</v>
      </c>
      <c r="N9" s="126" t="s">
        <v>142</v>
      </c>
      <c r="O9" s="117"/>
    </row>
    <row r="10" ht="15.75" customHeight="1">
      <c r="A10" s="137" t="s">
        <v>150</v>
      </c>
      <c r="B10" s="138">
        <v>45461.0</v>
      </c>
      <c r="C10" s="139">
        <v>0.3680555555555556</v>
      </c>
      <c r="D10" s="119">
        <v>45462.0</v>
      </c>
      <c r="E10" s="120">
        <v>0.4888888888888889</v>
      </c>
      <c r="F10" s="121">
        <v>8.55</v>
      </c>
      <c r="G10" s="121">
        <v>21.5</v>
      </c>
      <c r="H10" s="123">
        <v>45467.0</v>
      </c>
      <c r="I10" s="143">
        <v>0.3972222222222222</v>
      </c>
      <c r="J10" s="124">
        <v>8.42</v>
      </c>
      <c r="K10" s="140">
        <v>20.0</v>
      </c>
      <c r="L10" s="141">
        <f t="shared" si="1"/>
        <v>0.13</v>
      </c>
      <c r="M10" s="122" t="s">
        <v>12</v>
      </c>
      <c r="N10" s="126" t="s">
        <v>142</v>
      </c>
      <c r="O10" s="117"/>
    </row>
    <row r="11" ht="15.75" customHeight="1">
      <c r="A11" s="137" t="s">
        <v>151</v>
      </c>
      <c r="B11" s="138">
        <v>45461.0</v>
      </c>
      <c r="C11" s="144">
        <v>0.40902777777777777</v>
      </c>
      <c r="D11" s="119">
        <v>45462.0</v>
      </c>
      <c r="E11" s="120">
        <v>0.4979166666666667</v>
      </c>
      <c r="F11" s="121">
        <v>8.31</v>
      </c>
      <c r="G11" s="121">
        <v>21.0</v>
      </c>
      <c r="H11" s="123">
        <v>45467.0</v>
      </c>
      <c r="I11" s="120">
        <v>0.3993055555555556</v>
      </c>
      <c r="J11" s="124">
        <v>8.28</v>
      </c>
      <c r="K11" s="140">
        <v>18.6</v>
      </c>
      <c r="L11" s="141">
        <f t="shared" si="1"/>
        <v>0.03</v>
      </c>
      <c r="M11" s="122" t="s">
        <v>12</v>
      </c>
      <c r="N11" s="126" t="s">
        <v>142</v>
      </c>
      <c r="O11" s="117"/>
    </row>
    <row r="12" ht="15.75" customHeight="1">
      <c r="A12" s="137" t="s">
        <v>152</v>
      </c>
      <c r="B12" s="138">
        <v>45461.0</v>
      </c>
      <c r="C12" s="144">
        <v>0.40902777777777777</v>
      </c>
      <c r="D12" s="119">
        <v>45462.0</v>
      </c>
      <c r="E12" s="120">
        <v>0.5034722222222222</v>
      </c>
      <c r="F12" s="121">
        <v>8.42</v>
      </c>
      <c r="G12" s="121">
        <v>20.9</v>
      </c>
      <c r="H12" s="123">
        <v>45467.0</v>
      </c>
      <c r="I12" s="120">
        <v>0.4</v>
      </c>
      <c r="J12" s="124">
        <v>8.13</v>
      </c>
      <c r="K12" s="140">
        <v>19.5</v>
      </c>
      <c r="L12" s="141">
        <f t="shared" si="1"/>
        <v>0.29</v>
      </c>
      <c r="M12" s="122" t="s">
        <v>12</v>
      </c>
      <c r="N12" s="126" t="s">
        <v>142</v>
      </c>
      <c r="O12" s="117"/>
    </row>
    <row r="13" ht="15.75" customHeight="1">
      <c r="A13" s="137" t="s">
        <v>153</v>
      </c>
      <c r="B13" s="138">
        <v>45461.0</v>
      </c>
      <c r="C13" s="144">
        <v>0.4270833333333333</v>
      </c>
      <c r="D13" s="119">
        <v>45462.0</v>
      </c>
      <c r="E13" s="120">
        <v>0.5076388888888889</v>
      </c>
      <c r="F13" s="121">
        <v>8.54</v>
      </c>
      <c r="G13" s="121">
        <v>21.1</v>
      </c>
      <c r="H13" s="123">
        <v>45467.0</v>
      </c>
      <c r="I13" s="120">
        <v>0.40208333333333335</v>
      </c>
      <c r="J13" s="121">
        <v>8.08</v>
      </c>
      <c r="K13" s="140">
        <v>19.8</v>
      </c>
      <c r="L13" s="141">
        <f t="shared" si="1"/>
        <v>0.46</v>
      </c>
      <c r="M13" s="122" t="s">
        <v>12</v>
      </c>
      <c r="N13" s="126" t="s">
        <v>142</v>
      </c>
      <c r="O13" s="117"/>
    </row>
    <row r="14" ht="15.75" customHeight="1">
      <c r="A14" s="137" t="s">
        <v>154</v>
      </c>
      <c r="B14" s="138">
        <v>45461.0</v>
      </c>
      <c r="C14" s="144">
        <v>0.4270833333333333</v>
      </c>
      <c r="D14" s="119">
        <v>45462.0</v>
      </c>
      <c r="E14" s="120">
        <v>0.5125</v>
      </c>
      <c r="F14" s="121">
        <v>8.55</v>
      </c>
      <c r="G14" s="121">
        <v>21.7</v>
      </c>
      <c r="H14" s="123">
        <v>45467.0</v>
      </c>
      <c r="I14" s="120">
        <v>0.4041666666666667</v>
      </c>
      <c r="J14" s="121">
        <v>8.34</v>
      </c>
      <c r="K14" s="140">
        <v>19.6</v>
      </c>
      <c r="L14" s="141">
        <f t="shared" si="1"/>
        <v>0.21</v>
      </c>
      <c r="M14" s="122" t="s">
        <v>12</v>
      </c>
      <c r="N14" s="126" t="s">
        <v>142</v>
      </c>
      <c r="O14" s="117"/>
    </row>
    <row r="15" ht="15.75" customHeight="1">
      <c r="A15" s="128" t="s">
        <v>155</v>
      </c>
      <c r="B15" s="129">
        <v>45461.0</v>
      </c>
      <c r="C15" s="130">
        <v>0.44305555555555554</v>
      </c>
      <c r="D15" s="129">
        <v>45462.0</v>
      </c>
      <c r="E15" s="131">
        <v>0.5222222222222223</v>
      </c>
      <c r="F15" s="132">
        <v>8.33</v>
      </c>
      <c r="G15" s="132">
        <v>21.3</v>
      </c>
      <c r="H15" s="133">
        <v>45467.0</v>
      </c>
      <c r="I15" s="131">
        <v>0.40555555555555556</v>
      </c>
      <c r="J15" s="134">
        <v>6.69</v>
      </c>
      <c r="K15" s="135">
        <v>18.5</v>
      </c>
      <c r="L15" s="136">
        <f t="shared" si="1"/>
        <v>1.64</v>
      </c>
      <c r="M15" s="122" t="s">
        <v>12</v>
      </c>
      <c r="N15" s="126" t="s">
        <v>142</v>
      </c>
      <c r="O15" s="117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ht="15.75" customHeight="1">
      <c r="A16" s="128" t="s">
        <v>156</v>
      </c>
      <c r="B16" s="129">
        <v>45461.0</v>
      </c>
      <c r="C16" s="130">
        <v>0.44305555555555554</v>
      </c>
      <c r="D16" s="129">
        <v>45462.0</v>
      </c>
      <c r="E16" s="131">
        <v>0.5215277777777778</v>
      </c>
      <c r="F16" s="132">
        <v>8.29</v>
      </c>
      <c r="G16" s="132">
        <v>21.1</v>
      </c>
      <c r="H16" s="133">
        <v>45467.0</v>
      </c>
      <c r="I16" s="131">
        <v>0.40694444444444444</v>
      </c>
      <c r="J16" s="134">
        <v>8.06</v>
      </c>
      <c r="K16" s="135">
        <v>18.3</v>
      </c>
      <c r="L16" s="136">
        <f t="shared" si="1"/>
        <v>0.23</v>
      </c>
      <c r="M16" s="122" t="s">
        <v>12</v>
      </c>
      <c r="N16" s="126" t="s">
        <v>142</v>
      </c>
      <c r="O16" s="117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ht="15.75" customHeight="1">
      <c r="A17" s="137" t="s">
        <v>157</v>
      </c>
      <c r="B17" s="138">
        <v>45461.0</v>
      </c>
      <c r="C17" s="139">
        <v>0.44305555555555554</v>
      </c>
      <c r="D17" s="119">
        <v>45462.0</v>
      </c>
      <c r="E17" s="120">
        <v>0.5194444444444445</v>
      </c>
      <c r="F17" s="121">
        <v>8.29</v>
      </c>
      <c r="G17" s="121">
        <v>21.2</v>
      </c>
      <c r="H17" s="123">
        <v>45467.0</v>
      </c>
      <c r="I17" s="120">
        <v>0.4083333333333333</v>
      </c>
      <c r="J17" s="124">
        <v>8.1</v>
      </c>
      <c r="K17" s="140">
        <v>18.2</v>
      </c>
      <c r="L17" s="141">
        <f t="shared" si="1"/>
        <v>0.19</v>
      </c>
      <c r="M17" s="122" t="s">
        <v>12</v>
      </c>
      <c r="N17" s="126" t="s">
        <v>142</v>
      </c>
      <c r="O17" s="117"/>
    </row>
    <row r="18" ht="15.75" customHeight="1">
      <c r="A18" s="137" t="s">
        <v>158</v>
      </c>
      <c r="B18" s="138">
        <v>45461.0</v>
      </c>
      <c r="C18" s="139">
        <v>0.44305555555555554</v>
      </c>
      <c r="D18" s="119">
        <v>45462.0</v>
      </c>
      <c r="E18" s="120">
        <v>0.5263888888888889</v>
      </c>
      <c r="F18" s="121">
        <v>8.54</v>
      </c>
      <c r="G18" s="121">
        <v>20.6</v>
      </c>
      <c r="H18" s="123">
        <v>45467.0</v>
      </c>
      <c r="I18" s="120">
        <v>0.4111111111111111</v>
      </c>
      <c r="J18" s="124">
        <v>8.37</v>
      </c>
      <c r="K18" s="140">
        <v>19.3</v>
      </c>
      <c r="L18" s="141">
        <f t="shared" si="1"/>
        <v>0.17</v>
      </c>
      <c r="M18" s="122" t="s">
        <v>12</v>
      </c>
      <c r="N18" s="126" t="s">
        <v>142</v>
      </c>
      <c r="O18" s="117"/>
      <c r="P18" s="82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ht="15.0" customHeight="1">
      <c r="A19" s="137" t="s">
        <v>159</v>
      </c>
      <c r="B19" s="138">
        <v>45461.0</v>
      </c>
      <c r="C19" s="139">
        <v>0.4722222222222222</v>
      </c>
      <c r="D19" s="119">
        <v>45462.0</v>
      </c>
      <c r="E19" s="120">
        <v>0.53125</v>
      </c>
      <c r="F19" s="121">
        <v>8.54</v>
      </c>
      <c r="G19" s="121">
        <v>20.8</v>
      </c>
      <c r="H19" s="123">
        <v>45467.0</v>
      </c>
      <c r="I19" s="120">
        <v>0.4125</v>
      </c>
      <c r="J19" s="124">
        <v>8.39</v>
      </c>
      <c r="K19" s="140">
        <v>18.5</v>
      </c>
      <c r="L19" s="141">
        <f t="shared" si="1"/>
        <v>0.15</v>
      </c>
      <c r="M19" s="122" t="s">
        <v>12</v>
      </c>
      <c r="N19" s="126" t="s">
        <v>142</v>
      </c>
      <c r="O19" s="145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ht="15.0" customHeight="1">
      <c r="A20" s="137" t="s">
        <v>160</v>
      </c>
      <c r="B20" s="138">
        <v>45461.0</v>
      </c>
      <c r="C20" s="139">
        <v>0.4722222222222222</v>
      </c>
      <c r="D20" s="119">
        <v>45462.0</v>
      </c>
      <c r="E20" s="120">
        <v>0.5375</v>
      </c>
      <c r="F20" s="121">
        <v>8.36</v>
      </c>
      <c r="G20" s="121">
        <v>21.1</v>
      </c>
      <c r="H20" s="123">
        <v>45467.0</v>
      </c>
      <c r="I20" s="120">
        <v>0.41388888888888886</v>
      </c>
      <c r="J20" s="124">
        <v>8.2</v>
      </c>
      <c r="K20" s="140">
        <v>18.6</v>
      </c>
      <c r="L20" s="141">
        <f t="shared" si="1"/>
        <v>0.16</v>
      </c>
      <c r="M20" s="122" t="s">
        <v>12</v>
      </c>
      <c r="N20" s="126" t="s">
        <v>142</v>
      </c>
      <c r="O20" s="14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ht="15.75" customHeight="1">
      <c r="A21" s="137" t="s">
        <v>161</v>
      </c>
      <c r="B21" s="138">
        <v>45461.0</v>
      </c>
      <c r="C21" s="139">
        <v>0.48819444444444443</v>
      </c>
      <c r="D21" s="119">
        <v>45462.0</v>
      </c>
      <c r="E21" s="120">
        <v>0.5472222222222223</v>
      </c>
      <c r="F21" s="121">
        <v>8.07</v>
      </c>
      <c r="G21" s="121">
        <v>20.1</v>
      </c>
      <c r="H21" s="123">
        <v>45467.0</v>
      </c>
      <c r="I21" s="120">
        <v>0.4166666666666667</v>
      </c>
      <c r="J21" s="124">
        <v>8.01</v>
      </c>
      <c r="K21" s="140">
        <v>18.4</v>
      </c>
      <c r="L21" s="141">
        <f t="shared" si="1"/>
        <v>0.06</v>
      </c>
      <c r="M21" s="122" t="s">
        <v>12</v>
      </c>
      <c r="N21" s="126" t="s">
        <v>142</v>
      </c>
      <c r="O21" s="117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ht="15.75" customHeight="1">
      <c r="A22" s="137" t="s">
        <v>162</v>
      </c>
      <c r="B22" s="138">
        <v>45461.0</v>
      </c>
      <c r="C22" s="139">
        <v>0.48819444444444443</v>
      </c>
      <c r="D22" s="119">
        <v>45462.0</v>
      </c>
      <c r="E22" s="120">
        <v>0.5527777777777778</v>
      </c>
      <c r="F22" s="121">
        <v>8.27</v>
      </c>
      <c r="G22" s="121">
        <v>22.0</v>
      </c>
      <c r="H22" s="123">
        <v>45467.0</v>
      </c>
      <c r="I22" s="120">
        <v>0.41805555555555557</v>
      </c>
      <c r="J22" s="124">
        <v>7.95</v>
      </c>
      <c r="K22" s="140">
        <v>19.1</v>
      </c>
      <c r="L22" s="141">
        <f t="shared" si="1"/>
        <v>0.32</v>
      </c>
      <c r="M22" s="122" t="s">
        <v>12</v>
      </c>
      <c r="N22" s="126" t="s">
        <v>142</v>
      </c>
      <c r="O22" s="117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ht="15.0" customHeight="1">
      <c r="A23" s="116" t="s">
        <v>141</v>
      </c>
      <c r="B23" s="117" t="s">
        <v>74</v>
      </c>
      <c r="C23" s="118" t="s">
        <v>74</v>
      </c>
      <c r="D23" s="119">
        <v>45464.0</v>
      </c>
      <c r="E23" s="120">
        <v>0.09375</v>
      </c>
      <c r="F23" s="121">
        <v>8.11</v>
      </c>
      <c r="G23" s="121">
        <v>27.2</v>
      </c>
      <c r="H23" s="123">
        <v>45469.0</v>
      </c>
      <c r="I23" s="120">
        <v>0.5416666666666666</v>
      </c>
      <c r="J23" s="124">
        <v>8.28</v>
      </c>
      <c r="K23" s="125">
        <v>25.8</v>
      </c>
      <c r="L23" s="147" t="s">
        <v>74</v>
      </c>
      <c r="M23" s="122" t="s">
        <v>12</v>
      </c>
      <c r="N23" s="126" t="s">
        <v>142</v>
      </c>
      <c r="O23" s="127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ht="15.75" customHeight="1">
      <c r="A24" s="137" t="s">
        <v>163</v>
      </c>
      <c r="B24" s="138">
        <v>45464.0</v>
      </c>
      <c r="C24" s="144">
        <v>0.3055555555555556</v>
      </c>
      <c r="D24" s="119">
        <v>45464.0</v>
      </c>
      <c r="E24" s="120">
        <v>0.5965277777777778</v>
      </c>
      <c r="F24" s="121">
        <v>8.45</v>
      </c>
      <c r="G24" s="121">
        <v>19.25</v>
      </c>
      <c r="H24" s="123">
        <v>45469.0</v>
      </c>
      <c r="I24" s="120">
        <v>0.5444444444444444</v>
      </c>
      <c r="J24" s="124">
        <v>7.85</v>
      </c>
      <c r="K24" s="140">
        <v>19.6</v>
      </c>
      <c r="L24" s="141">
        <f t="shared" ref="L24:L35" si="2">F24-J24</f>
        <v>0.6</v>
      </c>
      <c r="M24" s="122" t="s">
        <v>12</v>
      </c>
      <c r="N24" s="126" t="s">
        <v>90</v>
      </c>
      <c r="O24" s="117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</row>
    <row r="25" ht="15.75" customHeight="1">
      <c r="A25" s="137" t="s">
        <v>164</v>
      </c>
      <c r="B25" s="119">
        <v>45464.0</v>
      </c>
      <c r="C25" s="144">
        <v>0.3055555555555556</v>
      </c>
      <c r="D25" s="119">
        <v>45464.0</v>
      </c>
      <c r="E25" s="120">
        <v>0.5979166666666667</v>
      </c>
      <c r="F25" s="121">
        <v>8.58</v>
      </c>
      <c r="G25" s="121">
        <v>18.7</v>
      </c>
      <c r="H25" s="123">
        <v>45469.0</v>
      </c>
      <c r="I25" s="120">
        <v>0.5458333333333333</v>
      </c>
      <c r="J25" s="124">
        <v>8.23</v>
      </c>
      <c r="K25" s="140">
        <v>19.4</v>
      </c>
      <c r="L25" s="141">
        <f t="shared" si="2"/>
        <v>0.35</v>
      </c>
      <c r="M25" s="122" t="s">
        <v>12</v>
      </c>
      <c r="N25" s="126" t="s">
        <v>90</v>
      </c>
      <c r="O25" s="117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</row>
    <row r="26" ht="15.75" customHeight="1">
      <c r="A26" s="137" t="s">
        <v>165</v>
      </c>
      <c r="B26" s="119">
        <v>45464.0</v>
      </c>
      <c r="C26" s="139">
        <v>0.34652777777777777</v>
      </c>
      <c r="D26" s="119">
        <v>45464.0</v>
      </c>
      <c r="E26" s="120">
        <v>0.6041666666666666</v>
      </c>
      <c r="F26" s="121">
        <v>8.61</v>
      </c>
      <c r="G26" s="121">
        <v>18.8</v>
      </c>
      <c r="H26" s="123">
        <v>45469.0</v>
      </c>
      <c r="I26" s="120">
        <v>0.5465277777777777</v>
      </c>
      <c r="J26" s="124">
        <v>7.98</v>
      </c>
      <c r="K26" s="140">
        <v>21.0</v>
      </c>
      <c r="L26" s="141">
        <f t="shared" si="2"/>
        <v>0.63</v>
      </c>
      <c r="M26" s="122" t="s">
        <v>12</v>
      </c>
      <c r="N26" s="126" t="s">
        <v>90</v>
      </c>
      <c r="O26" s="117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</row>
    <row r="27" ht="15.75" customHeight="1">
      <c r="A27" s="148" t="s">
        <v>166</v>
      </c>
      <c r="B27" s="119">
        <v>45464.0</v>
      </c>
      <c r="C27" s="149">
        <v>0.34652777777777777</v>
      </c>
      <c r="D27" s="119">
        <v>45464.0</v>
      </c>
      <c r="E27" s="150">
        <v>0.6055555555555555</v>
      </c>
      <c r="F27" s="151">
        <v>8.89</v>
      </c>
      <c r="G27" s="151">
        <v>18.8</v>
      </c>
      <c r="H27" s="123">
        <v>45469.0</v>
      </c>
      <c r="I27" s="120">
        <v>0.5479166666666667</v>
      </c>
      <c r="J27" s="152">
        <v>8.39</v>
      </c>
      <c r="K27" s="153">
        <v>18.4</v>
      </c>
      <c r="L27" s="141">
        <f t="shared" si="2"/>
        <v>0.5</v>
      </c>
      <c r="M27" s="122" t="s">
        <v>12</v>
      </c>
      <c r="N27" s="126" t="s">
        <v>90</v>
      </c>
      <c r="O27" s="117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</row>
    <row r="28" ht="15.75" customHeight="1">
      <c r="A28" s="128" t="s">
        <v>167</v>
      </c>
      <c r="B28" s="133">
        <v>45464.0</v>
      </c>
      <c r="C28" s="130">
        <v>0.3638888888888889</v>
      </c>
      <c r="D28" s="133">
        <v>45464.0</v>
      </c>
      <c r="E28" s="131">
        <v>0.6131944444444445</v>
      </c>
      <c r="F28" s="132">
        <v>8.11</v>
      </c>
      <c r="G28" s="132">
        <v>20.3</v>
      </c>
      <c r="H28" s="133">
        <v>45469.0</v>
      </c>
      <c r="I28" s="131">
        <v>0.5506944444444445</v>
      </c>
      <c r="J28" s="134">
        <v>5.88</v>
      </c>
      <c r="K28" s="135">
        <v>20.7</v>
      </c>
      <c r="L28" s="154">
        <f t="shared" si="2"/>
        <v>2.23</v>
      </c>
      <c r="M28" s="122" t="s">
        <v>12</v>
      </c>
      <c r="N28" s="126" t="s">
        <v>90</v>
      </c>
      <c r="O28" s="122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</row>
    <row r="29" ht="15.75" customHeight="1">
      <c r="A29" s="128" t="s">
        <v>168</v>
      </c>
      <c r="B29" s="133">
        <v>45464.0</v>
      </c>
      <c r="C29" s="130">
        <v>0.3638888888888889</v>
      </c>
      <c r="D29" s="133">
        <v>45464.0</v>
      </c>
      <c r="E29" s="131">
        <v>0.6125</v>
      </c>
      <c r="F29" s="132">
        <v>8.11</v>
      </c>
      <c r="G29" s="132">
        <v>20.3</v>
      </c>
      <c r="H29" s="133">
        <v>45469.0</v>
      </c>
      <c r="I29" s="131">
        <v>0.5520833333333334</v>
      </c>
      <c r="J29" s="134">
        <v>7.71</v>
      </c>
      <c r="K29" s="135">
        <v>21.0</v>
      </c>
      <c r="L29" s="154">
        <f t="shared" si="2"/>
        <v>0.4</v>
      </c>
      <c r="M29" s="122" t="s">
        <v>12</v>
      </c>
      <c r="N29" s="126" t="s">
        <v>90</v>
      </c>
      <c r="O29" s="117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ht="15.75" customHeight="1">
      <c r="A30" s="137" t="s">
        <v>169</v>
      </c>
      <c r="B30" s="119">
        <v>45464.0</v>
      </c>
      <c r="C30" s="139">
        <v>0.3638888888888889</v>
      </c>
      <c r="D30" s="119">
        <v>45464.0</v>
      </c>
      <c r="E30" s="120">
        <v>0.6118055555555556</v>
      </c>
      <c r="F30" s="121">
        <v>8.41</v>
      </c>
      <c r="G30" s="121">
        <v>20.3</v>
      </c>
      <c r="H30" s="123">
        <v>45469.0</v>
      </c>
      <c r="I30" s="120">
        <v>0.5541666666666667</v>
      </c>
      <c r="J30" s="124">
        <v>7.84</v>
      </c>
      <c r="K30" s="140">
        <v>20.9</v>
      </c>
      <c r="L30" s="141">
        <f t="shared" si="2"/>
        <v>0.57</v>
      </c>
      <c r="M30" s="122" t="s">
        <v>12</v>
      </c>
      <c r="N30" s="126" t="s">
        <v>90</v>
      </c>
      <c r="O30" s="117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ht="15.75" customHeight="1">
      <c r="A31" s="137" t="s">
        <v>170</v>
      </c>
      <c r="B31" s="119">
        <v>45464.0</v>
      </c>
      <c r="C31" s="139">
        <v>0.3638888888888889</v>
      </c>
      <c r="D31" s="119">
        <v>45464.0</v>
      </c>
      <c r="E31" s="120">
        <v>0.6138888888888889</v>
      </c>
      <c r="F31" s="121">
        <v>8.78</v>
      </c>
      <c r="G31" s="121">
        <v>18.9</v>
      </c>
      <c r="H31" s="123">
        <v>45469.0</v>
      </c>
      <c r="I31" s="120">
        <v>0.5569444444444445</v>
      </c>
      <c r="J31" s="124">
        <v>8.04</v>
      </c>
      <c r="K31" s="140">
        <v>21.1</v>
      </c>
      <c r="L31" s="141">
        <f t="shared" si="2"/>
        <v>0.74</v>
      </c>
      <c r="M31" s="122" t="s">
        <v>12</v>
      </c>
      <c r="N31" s="126" t="s">
        <v>90</v>
      </c>
      <c r="O31" s="117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ht="15.75" customHeight="1">
      <c r="A32" s="137" t="s">
        <v>171</v>
      </c>
      <c r="B32" s="119">
        <v>45464.0</v>
      </c>
      <c r="C32" s="139">
        <v>0.41944444444444445</v>
      </c>
      <c r="D32" s="119">
        <v>45464.0</v>
      </c>
      <c r="E32" s="120">
        <v>0.6229166666666667</v>
      </c>
      <c r="F32" s="121">
        <v>8.8</v>
      </c>
      <c r="G32" s="121">
        <v>20.0</v>
      </c>
      <c r="H32" s="123">
        <v>45469.0</v>
      </c>
      <c r="I32" s="120">
        <v>0.5590277777777778</v>
      </c>
      <c r="J32" s="124">
        <v>7.88</v>
      </c>
      <c r="K32" s="140">
        <v>21.1</v>
      </c>
      <c r="L32" s="141">
        <f t="shared" si="2"/>
        <v>0.92</v>
      </c>
      <c r="M32" s="122" t="s">
        <v>12</v>
      </c>
      <c r="N32" s="126" t="s">
        <v>90</v>
      </c>
      <c r="O32" s="117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ht="15.75" customHeight="1">
      <c r="A33" s="137" t="s">
        <v>172</v>
      </c>
      <c r="B33" s="119">
        <v>45464.0</v>
      </c>
      <c r="C33" s="139">
        <v>0.41944444444444445</v>
      </c>
      <c r="D33" s="119">
        <v>45464.0</v>
      </c>
      <c r="E33" s="120">
        <v>0.6243055555555556</v>
      </c>
      <c r="F33" s="121">
        <v>8.45</v>
      </c>
      <c r="G33" s="121">
        <v>19.9</v>
      </c>
      <c r="H33" s="123">
        <v>45469.0</v>
      </c>
      <c r="I33" s="120">
        <v>0.06041666666666667</v>
      </c>
      <c r="J33" s="124">
        <v>8.05</v>
      </c>
      <c r="K33" s="140">
        <v>21.4</v>
      </c>
      <c r="L33" s="141">
        <f t="shared" si="2"/>
        <v>0.4</v>
      </c>
      <c r="M33" s="122" t="s">
        <v>12</v>
      </c>
      <c r="N33" s="126" t="s">
        <v>90</v>
      </c>
      <c r="O33" s="117"/>
    </row>
    <row r="34" ht="15.0" customHeight="1">
      <c r="A34" s="137" t="s">
        <v>173</v>
      </c>
      <c r="B34" s="119">
        <v>45464.0</v>
      </c>
      <c r="C34" s="139">
        <v>0.4361111111111111</v>
      </c>
      <c r="D34" s="119">
        <v>45464.0</v>
      </c>
      <c r="E34" s="120">
        <v>0.6284722222222222</v>
      </c>
      <c r="F34" s="121">
        <v>8.03</v>
      </c>
      <c r="G34" s="121">
        <v>21.1</v>
      </c>
      <c r="H34" s="123">
        <v>45469.0</v>
      </c>
      <c r="I34" s="120">
        <v>0.06180555555555556</v>
      </c>
      <c r="J34" s="124">
        <v>7.76</v>
      </c>
      <c r="K34" s="125">
        <v>21.4</v>
      </c>
      <c r="L34" s="141">
        <f t="shared" si="2"/>
        <v>0.27</v>
      </c>
      <c r="M34" s="122" t="s">
        <v>12</v>
      </c>
      <c r="N34" s="126" t="s">
        <v>90</v>
      </c>
      <c r="O34" s="127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 ht="15.75" customHeight="1">
      <c r="A35" s="137" t="s">
        <v>174</v>
      </c>
      <c r="B35" s="119">
        <v>45464.0</v>
      </c>
      <c r="C35" s="139">
        <v>0.4361111111111111</v>
      </c>
      <c r="D35" s="119">
        <v>45464.0</v>
      </c>
      <c r="E35" s="120">
        <v>0.6298611111111111</v>
      </c>
      <c r="F35" s="121">
        <v>8.21</v>
      </c>
      <c r="G35" s="121">
        <v>19.6</v>
      </c>
      <c r="H35" s="123">
        <v>45469.0</v>
      </c>
      <c r="I35" s="120">
        <v>0.0625</v>
      </c>
      <c r="J35" s="124">
        <v>8.14</v>
      </c>
      <c r="K35" s="140">
        <v>21.5</v>
      </c>
      <c r="L35" s="141">
        <f t="shared" si="2"/>
        <v>0.07</v>
      </c>
      <c r="M35" s="122" t="s">
        <v>12</v>
      </c>
      <c r="N35" s="126" t="s">
        <v>90</v>
      </c>
      <c r="O35" s="117"/>
      <c r="P35" s="82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</row>
    <row r="36" ht="15.0" customHeight="1">
      <c r="A36" s="137" t="s">
        <v>141</v>
      </c>
      <c r="B36" s="119">
        <v>45468.0</v>
      </c>
      <c r="C36" s="139">
        <v>0.2833333333333333</v>
      </c>
      <c r="D36" s="119">
        <v>45469.0</v>
      </c>
      <c r="E36" s="139">
        <v>0.5416666666666666</v>
      </c>
      <c r="F36" s="121">
        <v>8.28</v>
      </c>
      <c r="G36" s="121">
        <v>25.8</v>
      </c>
      <c r="H36" s="123">
        <v>45474.0</v>
      </c>
      <c r="I36" s="120">
        <v>0.49583333333333335</v>
      </c>
      <c r="J36" s="124">
        <v>8.19</v>
      </c>
      <c r="K36" s="140">
        <v>26.4</v>
      </c>
      <c r="L36" s="147" t="s">
        <v>74</v>
      </c>
      <c r="M36" s="122" t="s">
        <v>12</v>
      </c>
      <c r="N36" s="126" t="s">
        <v>90</v>
      </c>
      <c r="O36" s="145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</row>
    <row r="37" ht="15.0" customHeight="1">
      <c r="A37" s="137" t="s">
        <v>175</v>
      </c>
      <c r="B37" s="119">
        <v>45468.0</v>
      </c>
      <c r="C37" s="139">
        <v>0.2833333333333333</v>
      </c>
      <c r="D37" s="119">
        <v>45469.0</v>
      </c>
      <c r="E37" s="139">
        <v>0.5708333333333333</v>
      </c>
      <c r="F37" s="121">
        <v>8.35</v>
      </c>
      <c r="G37" s="121">
        <v>21.9</v>
      </c>
      <c r="H37" s="123">
        <v>45474.0</v>
      </c>
      <c r="I37" s="120">
        <v>0.5006944444444444</v>
      </c>
      <c r="J37" s="124">
        <v>7.91</v>
      </c>
      <c r="K37" s="140">
        <v>17.7</v>
      </c>
      <c r="L37" s="141">
        <f t="shared" ref="L37:L56" si="3">F37-J37</f>
        <v>0.44</v>
      </c>
      <c r="M37" s="122" t="s">
        <v>12</v>
      </c>
      <c r="N37" s="126" t="s">
        <v>90</v>
      </c>
      <c r="O37" s="145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</row>
    <row r="38" ht="15.0" customHeight="1">
      <c r="A38" s="137" t="s">
        <v>176</v>
      </c>
      <c r="B38" s="119">
        <v>45468.0</v>
      </c>
      <c r="C38" s="139">
        <v>0.2833333333333333</v>
      </c>
      <c r="D38" s="119">
        <v>45469.0</v>
      </c>
      <c r="E38" s="120">
        <v>0.5770833333333333</v>
      </c>
      <c r="F38" s="124">
        <v>8.42</v>
      </c>
      <c r="G38" s="140">
        <v>21.1</v>
      </c>
      <c r="H38" s="123">
        <v>45474.0</v>
      </c>
      <c r="I38" s="120">
        <v>0.5020833333333333</v>
      </c>
      <c r="J38" s="124">
        <v>8.11</v>
      </c>
      <c r="K38" s="140">
        <v>18.4</v>
      </c>
      <c r="L38" s="141">
        <f t="shared" si="3"/>
        <v>0.31</v>
      </c>
      <c r="M38" s="122" t="s">
        <v>12</v>
      </c>
      <c r="N38" s="126" t="s">
        <v>90</v>
      </c>
      <c r="O38" s="146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</row>
    <row r="39" ht="15.75" customHeight="1">
      <c r="A39" s="137" t="s">
        <v>177</v>
      </c>
      <c r="B39" s="119">
        <v>45468.0</v>
      </c>
      <c r="C39" s="139">
        <v>0.30833333333333335</v>
      </c>
      <c r="D39" s="119">
        <v>45469.0</v>
      </c>
      <c r="E39" s="120">
        <v>0.5798611111111112</v>
      </c>
      <c r="F39" s="121">
        <v>8.57</v>
      </c>
      <c r="G39" s="121">
        <v>21.7</v>
      </c>
      <c r="H39" s="123">
        <v>45474.0</v>
      </c>
      <c r="I39" s="120">
        <v>0.5034722222222222</v>
      </c>
      <c r="J39" s="124">
        <v>8.2</v>
      </c>
      <c r="K39" s="140">
        <v>19.5</v>
      </c>
      <c r="L39" s="141">
        <f t="shared" si="3"/>
        <v>0.37</v>
      </c>
      <c r="M39" s="122" t="s">
        <v>12</v>
      </c>
      <c r="N39" s="126" t="s">
        <v>90</v>
      </c>
      <c r="O39" s="117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</row>
    <row r="40" ht="15.75" customHeight="1">
      <c r="A40" s="137" t="s">
        <v>178</v>
      </c>
      <c r="B40" s="119">
        <v>45468.0</v>
      </c>
      <c r="C40" s="139">
        <v>0.30833333333333335</v>
      </c>
      <c r="D40" s="119">
        <v>45469.0</v>
      </c>
      <c r="E40" s="120">
        <v>0.5840277777777778</v>
      </c>
      <c r="F40" s="121">
        <v>9.03</v>
      </c>
      <c r="G40" s="121">
        <v>21.4</v>
      </c>
      <c r="H40" s="123">
        <v>45474.0</v>
      </c>
      <c r="I40" s="120">
        <v>0.5048611111111111</v>
      </c>
      <c r="J40" s="124">
        <v>8.46</v>
      </c>
      <c r="K40" s="140">
        <v>19.9</v>
      </c>
      <c r="L40" s="141">
        <f t="shared" si="3"/>
        <v>0.57</v>
      </c>
      <c r="M40" s="122" t="s">
        <v>12</v>
      </c>
      <c r="N40" s="126" t="s">
        <v>90</v>
      </c>
      <c r="O40" s="117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</row>
    <row r="41" ht="15.75" customHeight="1">
      <c r="A41" s="128" t="s">
        <v>179</v>
      </c>
      <c r="B41" s="129">
        <v>45468.0</v>
      </c>
      <c r="C41" s="130">
        <v>0.3229166666666667</v>
      </c>
      <c r="D41" s="129">
        <v>45469.0</v>
      </c>
      <c r="E41" s="131">
        <v>0.5965277777777778</v>
      </c>
      <c r="F41" s="132">
        <v>8.66</v>
      </c>
      <c r="G41" s="132">
        <v>22.5</v>
      </c>
      <c r="H41" s="133">
        <v>45474.0</v>
      </c>
      <c r="I41" s="131">
        <v>0.50625</v>
      </c>
      <c r="J41" s="134">
        <v>7.0</v>
      </c>
      <c r="K41" s="135">
        <v>20.1</v>
      </c>
      <c r="L41" s="154">
        <f t="shared" si="3"/>
        <v>1.66</v>
      </c>
      <c r="M41" s="122" t="s">
        <v>12</v>
      </c>
      <c r="N41" s="155" t="s">
        <v>90</v>
      </c>
      <c r="O41" s="156"/>
      <c r="P41" s="157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</row>
    <row r="42" ht="15.75" customHeight="1">
      <c r="A42" s="128" t="s">
        <v>180</v>
      </c>
      <c r="B42" s="129">
        <v>45468.0</v>
      </c>
      <c r="C42" s="130">
        <v>0.3229166666666667</v>
      </c>
      <c r="D42" s="129">
        <v>45469.0</v>
      </c>
      <c r="E42" s="131">
        <v>0.5958333333333333</v>
      </c>
      <c r="F42" s="132">
        <v>8.67</v>
      </c>
      <c r="G42" s="132">
        <v>22.5</v>
      </c>
      <c r="H42" s="133">
        <v>45474.0</v>
      </c>
      <c r="I42" s="131">
        <v>0.5083333333333333</v>
      </c>
      <c r="J42" s="134">
        <v>8.25</v>
      </c>
      <c r="K42" s="135">
        <v>20.1</v>
      </c>
      <c r="L42" s="154">
        <f t="shared" si="3"/>
        <v>0.42</v>
      </c>
      <c r="M42" s="122" t="s">
        <v>12</v>
      </c>
      <c r="N42" s="155" t="s">
        <v>90</v>
      </c>
      <c r="O42" s="156"/>
      <c r="P42" s="157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ht="15.75" customHeight="1">
      <c r="A43" s="137" t="s">
        <v>181</v>
      </c>
      <c r="B43" s="119">
        <v>45468.0</v>
      </c>
      <c r="C43" s="139">
        <v>0.3229166666666667</v>
      </c>
      <c r="D43" s="119">
        <v>45469.0</v>
      </c>
      <c r="E43" s="120">
        <v>0.5951388888888889</v>
      </c>
      <c r="F43" s="121">
        <v>8.66</v>
      </c>
      <c r="G43" s="121">
        <v>22.6</v>
      </c>
      <c r="H43" s="123">
        <v>45474.0</v>
      </c>
      <c r="I43" s="120">
        <v>0.5097222222222222</v>
      </c>
      <c r="J43" s="124">
        <v>8.14</v>
      </c>
      <c r="K43" s="140">
        <v>19.6</v>
      </c>
      <c r="L43" s="141">
        <f t="shared" si="3"/>
        <v>0.52</v>
      </c>
      <c r="M43" s="122" t="s">
        <v>12</v>
      </c>
      <c r="N43" s="126" t="s">
        <v>90</v>
      </c>
      <c r="O43" s="117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</row>
    <row r="44" ht="15.75" customHeight="1">
      <c r="A44" s="137" t="s">
        <v>182</v>
      </c>
      <c r="B44" s="119">
        <v>45468.0</v>
      </c>
      <c r="C44" s="139">
        <v>0.3229166666666667</v>
      </c>
      <c r="D44" s="119">
        <v>45469.0</v>
      </c>
      <c r="E44" s="120">
        <v>0.5895833333333333</v>
      </c>
      <c r="F44" s="121">
        <v>8.38</v>
      </c>
      <c r="G44" s="121">
        <v>21.5</v>
      </c>
      <c r="H44" s="123">
        <v>45474.0</v>
      </c>
      <c r="I44" s="120">
        <v>0.5131944444444444</v>
      </c>
      <c r="J44" s="124">
        <v>8.12</v>
      </c>
      <c r="K44" s="140">
        <v>19.1</v>
      </c>
      <c r="L44" s="141">
        <f t="shared" si="3"/>
        <v>0.26</v>
      </c>
      <c r="M44" s="122" t="s">
        <v>12</v>
      </c>
      <c r="N44" s="126" t="s">
        <v>90</v>
      </c>
      <c r="O44" s="117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</row>
    <row r="45" ht="15.75" customHeight="1">
      <c r="A45" s="137" t="s">
        <v>183</v>
      </c>
      <c r="B45" s="119">
        <v>45468.0</v>
      </c>
      <c r="C45" s="139">
        <v>0.34375</v>
      </c>
      <c r="D45" s="119">
        <v>45469.0</v>
      </c>
      <c r="E45" s="120">
        <v>0.5993055555555555</v>
      </c>
      <c r="F45" s="121">
        <v>9.53</v>
      </c>
      <c r="G45" s="121">
        <v>21.6</v>
      </c>
      <c r="H45" s="123">
        <v>45474.0</v>
      </c>
      <c r="I45" s="120">
        <v>0.5159722222222223</v>
      </c>
      <c r="J45" s="124">
        <v>8.68</v>
      </c>
      <c r="K45" s="140">
        <v>19.4</v>
      </c>
      <c r="L45" s="141">
        <f t="shared" si="3"/>
        <v>0.85</v>
      </c>
      <c r="M45" s="122" t="s">
        <v>12</v>
      </c>
      <c r="N45" s="126" t="s">
        <v>90</v>
      </c>
      <c r="O45" s="117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</row>
    <row r="46" ht="15.75" customHeight="1">
      <c r="A46" s="137" t="s">
        <v>184</v>
      </c>
      <c r="B46" s="119">
        <v>45468.0</v>
      </c>
      <c r="C46" s="139">
        <v>0.34375</v>
      </c>
      <c r="D46" s="119">
        <v>45469.0</v>
      </c>
      <c r="E46" s="120">
        <v>0.6027777777777777</v>
      </c>
      <c r="F46" s="121">
        <v>8.66</v>
      </c>
      <c r="G46" s="121">
        <v>21.9</v>
      </c>
      <c r="H46" s="123">
        <v>45474.0</v>
      </c>
      <c r="I46" s="120">
        <v>0.51875</v>
      </c>
      <c r="J46" s="124">
        <v>8.38</v>
      </c>
      <c r="K46" s="140">
        <v>20.5</v>
      </c>
      <c r="L46" s="141">
        <f t="shared" si="3"/>
        <v>0.28</v>
      </c>
      <c r="M46" s="122" t="s">
        <v>12</v>
      </c>
      <c r="N46" s="126" t="s">
        <v>90</v>
      </c>
      <c r="O46" s="117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</row>
    <row r="47" ht="15.75" customHeight="1">
      <c r="A47" s="137" t="s">
        <v>185</v>
      </c>
      <c r="B47" s="119">
        <v>45468.0</v>
      </c>
      <c r="C47" s="139">
        <v>0.36736111111111114</v>
      </c>
      <c r="D47" s="119">
        <v>45469.0</v>
      </c>
      <c r="E47" s="120">
        <v>0.6097222222222223</v>
      </c>
      <c r="F47" s="121">
        <v>9.41</v>
      </c>
      <c r="G47" s="121">
        <v>22.4</v>
      </c>
      <c r="H47" s="123">
        <v>45474.0</v>
      </c>
      <c r="I47" s="120">
        <v>0.5201388888888889</v>
      </c>
      <c r="J47" s="124">
        <v>8.53</v>
      </c>
      <c r="K47" s="140">
        <v>21.3</v>
      </c>
      <c r="L47" s="141">
        <f t="shared" si="3"/>
        <v>0.88</v>
      </c>
      <c r="M47" s="122" t="s">
        <v>12</v>
      </c>
      <c r="N47" s="126" t="s">
        <v>90</v>
      </c>
      <c r="O47" s="117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</row>
    <row r="48" ht="15.0" customHeight="1">
      <c r="A48" s="137" t="s">
        <v>186</v>
      </c>
      <c r="B48" s="119">
        <v>45468.0</v>
      </c>
      <c r="C48" s="139">
        <v>0.36736111111111114</v>
      </c>
      <c r="D48" s="119">
        <v>45469.0</v>
      </c>
      <c r="E48" s="120">
        <v>0.6145833333333334</v>
      </c>
      <c r="F48" s="121">
        <v>8.76</v>
      </c>
      <c r="G48" s="121">
        <v>22.3</v>
      </c>
      <c r="H48" s="123">
        <v>45474.0</v>
      </c>
      <c r="I48" s="120">
        <v>0.60625</v>
      </c>
      <c r="J48" s="124">
        <v>8.41</v>
      </c>
      <c r="K48" s="125">
        <v>21.6</v>
      </c>
      <c r="L48" s="141">
        <f t="shared" si="3"/>
        <v>0.35</v>
      </c>
      <c r="M48" s="122" t="s">
        <v>12</v>
      </c>
      <c r="N48" s="126" t="s">
        <v>90</v>
      </c>
      <c r="O48" s="127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 ht="15.75" customHeight="1">
      <c r="A49" s="137" t="s">
        <v>187</v>
      </c>
      <c r="B49" s="119">
        <v>45468.0</v>
      </c>
      <c r="C49" s="139">
        <v>0.3861111111111111</v>
      </c>
      <c r="D49" s="119">
        <v>45469.0</v>
      </c>
      <c r="E49" s="120">
        <v>0.625</v>
      </c>
      <c r="F49" s="121">
        <v>8.82</v>
      </c>
      <c r="G49" s="121">
        <v>22.7</v>
      </c>
      <c r="H49" s="123">
        <v>45474.0</v>
      </c>
      <c r="I49" s="120">
        <v>0.5243055555555556</v>
      </c>
      <c r="J49" s="124">
        <v>8.38</v>
      </c>
      <c r="K49" s="140">
        <v>20.5</v>
      </c>
      <c r="L49" s="141">
        <f t="shared" si="3"/>
        <v>0.44</v>
      </c>
      <c r="M49" s="122" t="s">
        <v>12</v>
      </c>
      <c r="N49" s="126" t="s">
        <v>90</v>
      </c>
      <c r="O49" s="117"/>
    </row>
    <row r="50" ht="15.75" customHeight="1">
      <c r="A50" s="137" t="s">
        <v>188</v>
      </c>
      <c r="B50" s="119">
        <v>45468.0</v>
      </c>
      <c r="C50" s="139">
        <v>0.3861111111111111</v>
      </c>
      <c r="D50" s="119">
        <v>45469.0</v>
      </c>
      <c r="E50" s="120">
        <v>0.6256944444444444</v>
      </c>
      <c r="F50" s="121">
        <v>8.88</v>
      </c>
      <c r="G50" s="121">
        <v>22.2</v>
      </c>
      <c r="H50" s="123">
        <v>45474.0</v>
      </c>
      <c r="I50" s="120">
        <v>0.5263888888888889</v>
      </c>
      <c r="J50" s="124">
        <v>8.31</v>
      </c>
      <c r="K50" s="140">
        <v>20.6</v>
      </c>
      <c r="L50" s="141">
        <f t="shared" si="3"/>
        <v>0.57</v>
      </c>
      <c r="M50" s="122" t="s">
        <v>12</v>
      </c>
      <c r="N50" s="126" t="s">
        <v>90</v>
      </c>
      <c r="O50" s="117"/>
      <c r="P50" s="82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</row>
    <row r="51" ht="15.0" customHeight="1">
      <c r="A51" s="137" t="s">
        <v>189</v>
      </c>
      <c r="B51" s="119">
        <v>45468.0</v>
      </c>
      <c r="C51" s="139">
        <v>0.4013888888888889</v>
      </c>
      <c r="D51" s="119">
        <v>45469.0</v>
      </c>
      <c r="E51" s="120">
        <v>0.6284722222222222</v>
      </c>
      <c r="F51" s="121">
        <v>8.82</v>
      </c>
      <c r="G51" s="121">
        <v>22.3</v>
      </c>
      <c r="H51" s="123">
        <v>45474.0</v>
      </c>
      <c r="I51" s="120">
        <v>0.5277777777777778</v>
      </c>
      <c r="J51" s="124">
        <v>8.28</v>
      </c>
      <c r="K51" s="140">
        <v>21.0</v>
      </c>
      <c r="L51" s="141">
        <f t="shared" si="3"/>
        <v>0.54</v>
      </c>
      <c r="M51" s="122" t="s">
        <v>12</v>
      </c>
      <c r="N51" s="126" t="s">
        <v>90</v>
      </c>
      <c r="O51" s="145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</row>
    <row r="52" ht="15.0" customHeight="1">
      <c r="A52" s="137" t="s">
        <v>190</v>
      </c>
      <c r="B52" s="119">
        <v>45468.0</v>
      </c>
      <c r="C52" s="139">
        <v>0.4013888888888889</v>
      </c>
      <c r="D52" s="119">
        <v>45469.0</v>
      </c>
      <c r="E52" s="120">
        <v>0.6298611111111111</v>
      </c>
      <c r="F52" s="121">
        <v>8.75</v>
      </c>
      <c r="G52" s="121">
        <v>22.5</v>
      </c>
      <c r="H52" s="123">
        <v>45474.0</v>
      </c>
      <c r="I52" s="120">
        <v>0.5284722222222222</v>
      </c>
      <c r="J52" s="124">
        <v>8.31</v>
      </c>
      <c r="K52" s="140">
        <v>20.6</v>
      </c>
      <c r="L52" s="141">
        <f t="shared" si="3"/>
        <v>0.44</v>
      </c>
      <c r="M52" s="122" t="s">
        <v>12</v>
      </c>
      <c r="N52" s="126" t="s">
        <v>90</v>
      </c>
      <c r="O52" s="146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</row>
    <row r="53" ht="15.75" customHeight="1">
      <c r="A53" s="128" t="s">
        <v>191</v>
      </c>
      <c r="B53" s="129">
        <v>45468.0</v>
      </c>
      <c r="C53" s="130">
        <v>0.4236111111111111</v>
      </c>
      <c r="D53" s="129">
        <v>45469.0</v>
      </c>
      <c r="E53" s="131">
        <v>0.6402777777777777</v>
      </c>
      <c r="F53" s="132">
        <v>8.45</v>
      </c>
      <c r="G53" s="132">
        <v>22.8</v>
      </c>
      <c r="H53" s="133">
        <v>45474.0</v>
      </c>
      <c r="I53" s="131">
        <v>0.5333333333333333</v>
      </c>
      <c r="J53" s="134">
        <v>6.29</v>
      </c>
      <c r="K53" s="135">
        <v>21.4</v>
      </c>
      <c r="L53" s="154">
        <f t="shared" si="3"/>
        <v>2.16</v>
      </c>
      <c r="M53" s="122" t="s">
        <v>12</v>
      </c>
      <c r="N53" s="155" t="s">
        <v>90</v>
      </c>
      <c r="O53" s="158"/>
      <c r="P53" s="157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</row>
    <row r="54" ht="15.75" customHeight="1">
      <c r="A54" s="128" t="s">
        <v>192</v>
      </c>
      <c r="B54" s="129">
        <v>45468.0</v>
      </c>
      <c r="C54" s="130">
        <v>0.4236111111111111</v>
      </c>
      <c r="D54" s="129">
        <v>45469.0</v>
      </c>
      <c r="E54" s="131">
        <v>0.6395833333333333</v>
      </c>
      <c r="F54" s="132">
        <v>8.5</v>
      </c>
      <c r="G54" s="132">
        <v>22.8</v>
      </c>
      <c r="H54" s="133">
        <v>45474.0</v>
      </c>
      <c r="I54" s="131">
        <v>0.5326388888888889</v>
      </c>
      <c r="J54" s="134">
        <v>8.01</v>
      </c>
      <c r="K54" s="135">
        <v>21.5</v>
      </c>
      <c r="L54" s="154">
        <f t="shared" si="3"/>
        <v>0.49</v>
      </c>
      <c r="M54" s="122" t="s">
        <v>12</v>
      </c>
      <c r="N54" s="155" t="s">
        <v>90</v>
      </c>
      <c r="O54" s="156"/>
      <c r="P54" s="157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</row>
    <row r="55" ht="15.75" customHeight="1">
      <c r="A55" s="137" t="s">
        <v>193</v>
      </c>
      <c r="B55" s="119">
        <v>45468.0</v>
      </c>
      <c r="C55" s="149">
        <v>0.4236111111111111</v>
      </c>
      <c r="D55" s="119">
        <v>45469.0</v>
      </c>
      <c r="E55" s="120">
        <v>0.6347222222222222</v>
      </c>
      <c r="F55" s="121">
        <v>8.77</v>
      </c>
      <c r="G55" s="121">
        <v>22.5</v>
      </c>
      <c r="H55" s="123">
        <v>45474.0</v>
      </c>
      <c r="I55" s="120">
        <v>0.5298611111111111</v>
      </c>
      <c r="J55" s="124">
        <v>8.15</v>
      </c>
      <c r="K55" s="140">
        <v>21.1</v>
      </c>
      <c r="L55" s="141">
        <f t="shared" si="3"/>
        <v>0.62</v>
      </c>
      <c r="M55" s="122" t="s">
        <v>12</v>
      </c>
      <c r="N55" s="126" t="s">
        <v>90</v>
      </c>
      <c r="O55" s="117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</row>
    <row r="56" ht="15.75" customHeight="1">
      <c r="A56" s="137" t="s">
        <v>194</v>
      </c>
      <c r="B56" s="119">
        <v>45468.0</v>
      </c>
      <c r="C56" s="149">
        <v>0.4236111111111111</v>
      </c>
      <c r="D56" s="119">
        <v>45469.0</v>
      </c>
      <c r="E56" s="120">
        <v>0.6388888888888888</v>
      </c>
      <c r="F56" s="121">
        <v>8.5</v>
      </c>
      <c r="G56" s="121">
        <v>22.7</v>
      </c>
      <c r="H56" s="123">
        <v>45474.0</v>
      </c>
      <c r="I56" s="120">
        <v>0.5319444444444444</v>
      </c>
      <c r="J56" s="124">
        <v>7.98</v>
      </c>
      <c r="K56" s="140">
        <v>21.5</v>
      </c>
      <c r="L56" s="141">
        <f t="shared" si="3"/>
        <v>0.52</v>
      </c>
      <c r="M56" s="122" t="s">
        <v>12</v>
      </c>
      <c r="N56" s="126" t="s">
        <v>90</v>
      </c>
      <c r="O56" s="117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</row>
    <row r="57" ht="15.75" customHeight="1">
      <c r="A57" s="137" t="s">
        <v>141</v>
      </c>
      <c r="B57" s="159" t="s">
        <v>74</v>
      </c>
      <c r="C57" s="159" t="s">
        <v>74</v>
      </c>
      <c r="D57" s="119">
        <v>45471.0</v>
      </c>
      <c r="E57" s="120">
        <v>0.5666666666666667</v>
      </c>
      <c r="F57" s="121">
        <v>8.19</v>
      </c>
      <c r="G57" s="121">
        <v>26.6</v>
      </c>
      <c r="H57" s="123">
        <v>45476.0</v>
      </c>
      <c r="I57" s="120">
        <v>0.42569444444444443</v>
      </c>
      <c r="J57" s="124">
        <v>8.31</v>
      </c>
      <c r="K57" s="140">
        <v>26.0</v>
      </c>
      <c r="L57" s="147" t="s">
        <v>74</v>
      </c>
      <c r="M57" s="122" t="s">
        <v>12</v>
      </c>
      <c r="N57" s="126" t="s">
        <v>13</v>
      </c>
      <c r="O57" s="117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</row>
    <row r="58" ht="15.75" customHeight="1">
      <c r="A58" s="137" t="s">
        <v>195</v>
      </c>
      <c r="B58" s="119">
        <v>45471.0</v>
      </c>
      <c r="C58" s="139">
        <v>0.26805555555555555</v>
      </c>
      <c r="D58" s="119">
        <v>45471.0</v>
      </c>
      <c r="E58" s="120">
        <v>0.5680555555555555</v>
      </c>
      <c r="F58" s="121">
        <v>8.67</v>
      </c>
      <c r="G58" s="121">
        <v>17.0</v>
      </c>
      <c r="H58" s="123">
        <v>45476.0</v>
      </c>
      <c r="I58" s="120">
        <v>0.4270833333333333</v>
      </c>
      <c r="J58" s="124">
        <v>8.37</v>
      </c>
      <c r="K58" s="140">
        <v>21.7</v>
      </c>
      <c r="L58" s="141">
        <f t="shared" ref="L58:L69" si="4">F58-J58</f>
        <v>0.3</v>
      </c>
      <c r="M58" s="122" t="s">
        <v>12</v>
      </c>
      <c r="N58" s="126" t="s">
        <v>13</v>
      </c>
      <c r="O58" s="117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</row>
    <row r="59" ht="15.75" customHeight="1">
      <c r="A59" s="137" t="s">
        <v>196</v>
      </c>
      <c r="B59" s="119">
        <v>45471.0</v>
      </c>
      <c r="C59" s="139">
        <v>0.26805555555555555</v>
      </c>
      <c r="D59" s="119">
        <v>45471.0</v>
      </c>
      <c r="E59" s="120">
        <v>0.07152777777777777</v>
      </c>
      <c r="F59" s="121">
        <v>7.93</v>
      </c>
      <c r="G59" s="121">
        <v>17.0</v>
      </c>
      <c r="H59" s="123">
        <v>45476.0</v>
      </c>
      <c r="I59" s="120">
        <v>0.4284722222222222</v>
      </c>
      <c r="J59" s="124">
        <v>7.58</v>
      </c>
      <c r="K59" s="140">
        <v>21.8</v>
      </c>
      <c r="L59" s="141">
        <f t="shared" si="4"/>
        <v>0.35</v>
      </c>
      <c r="M59" s="122" t="s">
        <v>12</v>
      </c>
      <c r="N59" s="126" t="s">
        <v>13</v>
      </c>
      <c r="O59" s="117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</row>
    <row r="60" ht="15.75" customHeight="1">
      <c r="A60" s="137" t="s">
        <v>197</v>
      </c>
      <c r="B60" s="119">
        <v>45471.0</v>
      </c>
      <c r="C60" s="139">
        <v>0.29375</v>
      </c>
      <c r="D60" s="119">
        <v>45471.0</v>
      </c>
      <c r="E60" s="120">
        <v>0.5875</v>
      </c>
      <c r="F60" s="121">
        <v>9.07</v>
      </c>
      <c r="G60" s="121">
        <v>17.0</v>
      </c>
      <c r="H60" s="123">
        <v>45476.0</v>
      </c>
      <c r="I60" s="120">
        <v>0.4305555555555556</v>
      </c>
      <c r="J60" s="124">
        <v>8.21</v>
      </c>
      <c r="K60" s="140">
        <v>21.3</v>
      </c>
      <c r="L60" s="141">
        <f t="shared" si="4"/>
        <v>0.86</v>
      </c>
      <c r="M60" s="122" t="s">
        <v>12</v>
      </c>
      <c r="N60" s="126" t="s">
        <v>13</v>
      </c>
      <c r="O60" s="117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</row>
    <row r="61" ht="15.75" customHeight="1">
      <c r="A61" s="137" t="s">
        <v>198</v>
      </c>
      <c r="B61" s="119">
        <v>45471.0</v>
      </c>
      <c r="C61" s="139">
        <v>0.29375</v>
      </c>
      <c r="D61" s="119">
        <v>45471.0</v>
      </c>
      <c r="E61" s="120">
        <v>0.5888888888888889</v>
      </c>
      <c r="F61" s="121">
        <v>7.64</v>
      </c>
      <c r="G61" s="121">
        <v>18.5</v>
      </c>
      <c r="H61" s="123">
        <v>45476.0</v>
      </c>
      <c r="I61" s="120">
        <v>0.4361111111111111</v>
      </c>
      <c r="J61" s="124">
        <v>7.4</v>
      </c>
      <c r="K61" s="140">
        <v>21.4</v>
      </c>
      <c r="L61" s="141">
        <f t="shared" si="4"/>
        <v>0.24</v>
      </c>
      <c r="M61" s="122" t="s">
        <v>12</v>
      </c>
      <c r="N61" s="126" t="s">
        <v>13</v>
      </c>
      <c r="O61" s="117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</row>
    <row r="62" ht="15.75" customHeight="1">
      <c r="A62" s="137" t="s">
        <v>199</v>
      </c>
      <c r="B62" s="119">
        <v>45471.0</v>
      </c>
      <c r="C62" s="139">
        <v>0.3375</v>
      </c>
      <c r="D62" s="119">
        <v>45471.0</v>
      </c>
      <c r="E62" s="120">
        <v>0.5944444444444444</v>
      </c>
      <c r="F62" s="121">
        <v>8.09</v>
      </c>
      <c r="G62" s="121">
        <v>18.6</v>
      </c>
      <c r="H62" s="123">
        <v>45476.0</v>
      </c>
      <c r="I62" s="120">
        <v>0.43680555555555556</v>
      </c>
      <c r="J62" s="124">
        <v>7.6</v>
      </c>
      <c r="K62" s="140">
        <v>22.1</v>
      </c>
      <c r="L62" s="141">
        <f t="shared" si="4"/>
        <v>0.49</v>
      </c>
      <c r="M62" s="122" t="s">
        <v>12</v>
      </c>
      <c r="N62" s="126" t="s">
        <v>13</v>
      </c>
      <c r="O62" s="117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</row>
    <row r="63" ht="15.75" customHeight="1">
      <c r="A63" s="137" t="s">
        <v>200</v>
      </c>
      <c r="B63" s="119">
        <v>45471.0</v>
      </c>
      <c r="C63" s="139">
        <v>0.3375</v>
      </c>
      <c r="D63" s="119">
        <v>45471.0</v>
      </c>
      <c r="E63" s="120">
        <v>0.5958333333333333</v>
      </c>
      <c r="F63" s="121">
        <v>7.85</v>
      </c>
      <c r="G63" s="121">
        <v>17.7</v>
      </c>
      <c r="H63" s="123">
        <v>45476.0</v>
      </c>
      <c r="I63" s="120">
        <v>0.4388888888888889</v>
      </c>
      <c r="J63" s="124">
        <v>7.66</v>
      </c>
      <c r="K63" s="140">
        <v>22.0</v>
      </c>
      <c r="L63" s="141">
        <f t="shared" si="4"/>
        <v>0.19</v>
      </c>
      <c r="M63" s="122" t="s">
        <v>12</v>
      </c>
      <c r="N63" s="126" t="s">
        <v>13</v>
      </c>
      <c r="O63" s="117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</row>
    <row r="64" ht="15.0" customHeight="1">
      <c r="A64" s="137" t="s">
        <v>201</v>
      </c>
      <c r="B64" s="119">
        <v>45471.0</v>
      </c>
      <c r="C64" s="160">
        <v>0.36180555555555555</v>
      </c>
      <c r="D64" s="119">
        <v>45471.0</v>
      </c>
      <c r="E64" s="120">
        <v>0.5993055555555555</v>
      </c>
      <c r="F64" s="121">
        <v>8.32</v>
      </c>
      <c r="G64" s="121">
        <v>18.9</v>
      </c>
      <c r="H64" s="123">
        <v>45476.0</v>
      </c>
      <c r="I64" s="120">
        <v>0.44166666666666665</v>
      </c>
      <c r="J64" s="124">
        <v>7.98</v>
      </c>
      <c r="K64" s="125">
        <v>21.7</v>
      </c>
      <c r="L64" s="141">
        <f t="shared" si="4"/>
        <v>0.34</v>
      </c>
      <c r="M64" s="122" t="s">
        <v>12</v>
      </c>
      <c r="N64" s="126" t="s">
        <v>13</v>
      </c>
      <c r="O64" s="127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 ht="15.75" customHeight="1">
      <c r="A65" s="137" t="s">
        <v>202</v>
      </c>
      <c r="B65" s="119">
        <v>45471.0</v>
      </c>
      <c r="C65" s="160">
        <v>0.36180555555555555</v>
      </c>
      <c r="D65" s="119">
        <v>45471.0</v>
      </c>
      <c r="E65" s="120">
        <v>0.6006944444444444</v>
      </c>
      <c r="F65" s="121">
        <v>8.02</v>
      </c>
      <c r="G65" s="121">
        <v>19.3</v>
      </c>
      <c r="H65" s="123">
        <v>45476.0</v>
      </c>
      <c r="I65" s="120">
        <v>0.4423611111111111</v>
      </c>
      <c r="J65" s="124">
        <v>7.76</v>
      </c>
      <c r="K65" s="140">
        <v>22.1</v>
      </c>
      <c r="L65" s="141">
        <f t="shared" si="4"/>
        <v>0.26</v>
      </c>
      <c r="M65" s="122" t="s">
        <v>12</v>
      </c>
      <c r="N65" s="126" t="s">
        <v>13</v>
      </c>
      <c r="O65" s="117"/>
    </row>
    <row r="66" ht="15.0" customHeight="1">
      <c r="A66" s="128" t="s">
        <v>203</v>
      </c>
      <c r="B66" s="129">
        <v>45471.0</v>
      </c>
      <c r="C66" s="161">
        <v>0.38819444444444445</v>
      </c>
      <c r="D66" s="129">
        <v>45471.0</v>
      </c>
      <c r="E66" s="131">
        <v>0.6138888888888889</v>
      </c>
      <c r="F66" s="132">
        <v>7.99</v>
      </c>
      <c r="G66" s="132">
        <v>20.9</v>
      </c>
      <c r="H66" s="133">
        <v>45476.0</v>
      </c>
      <c r="I66" s="131">
        <v>0.44513888888888886</v>
      </c>
      <c r="J66" s="134">
        <v>5.56</v>
      </c>
      <c r="K66" s="135">
        <v>21.9</v>
      </c>
      <c r="L66" s="154">
        <f t="shared" si="4"/>
        <v>2.43</v>
      </c>
      <c r="M66" s="122" t="s">
        <v>12</v>
      </c>
      <c r="N66" s="126" t="s">
        <v>13</v>
      </c>
      <c r="O66" s="122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</row>
    <row r="67" ht="15.75" customHeight="1">
      <c r="A67" s="128" t="s">
        <v>204</v>
      </c>
      <c r="B67" s="129">
        <v>45471.0</v>
      </c>
      <c r="C67" s="161">
        <v>0.38819444444444445</v>
      </c>
      <c r="D67" s="129">
        <v>45471.0</v>
      </c>
      <c r="E67" s="131">
        <v>0.6131944444444445</v>
      </c>
      <c r="F67" s="132">
        <v>7.88</v>
      </c>
      <c r="G67" s="132">
        <v>21.1</v>
      </c>
      <c r="H67" s="133">
        <v>45476.0</v>
      </c>
      <c r="I67" s="131">
        <v>0.4465277777777778</v>
      </c>
      <c r="J67" s="134">
        <v>7.45</v>
      </c>
      <c r="K67" s="135">
        <v>22.0</v>
      </c>
      <c r="L67" s="154">
        <f t="shared" si="4"/>
        <v>0.43</v>
      </c>
      <c r="M67" s="122" t="s">
        <v>12</v>
      </c>
      <c r="N67" s="126" t="s">
        <v>13</v>
      </c>
      <c r="O67" s="117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</row>
    <row r="68" ht="15.75" customHeight="1">
      <c r="A68" s="137" t="s">
        <v>205</v>
      </c>
      <c r="B68" s="119">
        <v>45471.0</v>
      </c>
      <c r="C68" s="144">
        <v>0.38819444444444445</v>
      </c>
      <c r="D68" s="119">
        <v>45471.0</v>
      </c>
      <c r="E68" s="120">
        <v>0.6152777777777778</v>
      </c>
      <c r="F68" s="121">
        <v>8.05</v>
      </c>
      <c r="G68" s="121">
        <v>21.3</v>
      </c>
      <c r="H68" s="123">
        <v>45476.0</v>
      </c>
      <c r="I68" s="120">
        <v>0.44722222222222224</v>
      </c>
      <c r="J68" s="124">
        <v>7.56</v>
      </c>
      <c r="K68" s="140">
        <v>22.3</v>
      </c>
      <c r="L68" s="141">
        <f t="shared" si="4"/>
        <v>0.49</v>
      </c>
      <c r="M68" s="122" t="s">
        <v>12</v>
      </c>
      <c r="N68" s="126" t="s">
        <v>13</v>
      </c>
      <c r="O68" s="117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</row>
    <row r="69" ht="15.75" customHeight="1">
      <c r="A69" s="137" t="s">
        <v>206</v>
      </c>
      <c r="B69" s="119">
        <v>45471.0</v>
      </c>
      <c r="C69" s="144">
        <v>0.38819444444444445</v>
      </c>
      <c r="D69" s="119">
        <v>45471.0</v>
      </c>
      <c r="E69" s="120">
        <v>0.6159722222222223</v>
      </c>
      <c r="F69" s="121">
        <v>7.95</v>
      </c>
      <c r="G69" s="121">
        <v>20.6</v>
      </c>
      <c r="H69" s="123">
        <v>45476.0</v>
      </c>
      <c r="I69" s="120">
        <v>0.4486111111111111</v>
      </c>
      <c r="J69" s="124">
        <v>7.5</v>
      </c>
      <c r="K69" s="140">
        <v>22.4</v>
      </c>
      <c r="L69" s="141">
        <f t="shared" si="4"/>
        <v>0.45</v>
      </c>
      <c r="M69" s="122" t="s">
        <v>12</v>
      </c>
      <c r="N69" s="126" t="s">
        <v>13</v>
      </c>
      <c r="O69" s="117"/>
      <c r="P69" s="82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</row>
    <row r="70" ht="15.75" customHeight="1">
      <c r="A70" s="137" t="s">
        <v>141</v>
      </c>
      <c r="B70" s="159" t="s">
        <v>74</v>
      </c>
      <c r="C70" s="137" t="s">
        <v>74</v>
      </c>
      <c r="D70" s="119">
        <v>45485.0</v>
      </c>
      <c r="E70" s="120">
        <v>0.4395833333333333</v>
      </c>
      <c r="F70" s="121">
        <v>8.15</v>
      </c>
      <c r="G70" s="121">
        <v>26.9</v>
      </c>
      <c r="H70" s="123">
        <v>45490.0</v>
      </c>
      <c r="I70" s="120">
        <v>0.5930555555555556</v>
      </c>
      <c r="J70" s="124">
        <v>8.24</v>
      </c>
      <c r="K70" s="140">
        <v>24.9</v>
      </c>
      <c r="L70" s="147" t="s">
        <v>74</v>
      </c>
      <c r="M70" s="122" t="s">
        <v>12</v>
      </c>
      <c r="N70" s="126" t="s">
        <v>90</v>
      </c>
      <c r="O70" s="117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</row>
    <row r="71" ht="19.5" customHeight="1">
      <c r="A71" s="137" t="s">
        <v>207</v>
      </c>
      <c r="B71" s="119">
        <v>45483.0</v>
      </c>
      <c r="C71" s="144">
        <v>0.3125</v>
      </c>
      <c r="D71" s="123">
        <v>45485.0</v>
      </c>
      <c r="E71" s="120">
        <v>0.4465277777777778</v>
      </c>
      <c r="F71" s="121">
        <v>9.04</v>
      </c>
      <c r="G71" s="121">
        <v>22.0</v>
      </c>
      <c r="H71" s="162">
        <v>45490.0</v>
      </c>
      <c r="I71" s="163">
        <v>0.7402777777777778</v>
      </c>
      <c r="J71" s="164">
        <v>6.7</v>
      </c>
      <c r="K71" s="165">
        <v>21.27</v>
      </c>
      <c r="L71" s="166">
        <f t="shared" ref="L71:L94" si="5">F71-J71</f>
        <v>2.34</v>
      </c>
      <c r="M71" s="122" t="s">
        <v>12</v>
      </c>
      <c r="N71" s="126" t="s">
        <v>90</v>
      </c>
      <c r="O71" s="167" t="s">
        <v>208</v>
      </c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</row>
    <row r="72" ht="24.0" customHeight="1">
      <c r="A72" s="137" t="s">
        <v>209</v>
      </c>
      <c r="B72" s="119">
        <v>45483.0</v>
      </c>
      <c r="C72" s="144">
        <v>0.3125</v>
      </c>
      <c r="D72" s="123">
        <v>45485.0</v>
      </c>
      <c r="E72" s="120">
        <v>0.45</v>
      </c>
      <c r="F72" s="121">
        <v>9.44</v>
      </c>
      <c r="G72" s="121">
        <v>21.5</v>
      </c>
      <c r="H72" s="123">
        <v>45490.0</v>
      </c>
      <c r="I72" s="120">
        <v>0.7472222222222222</v>
      </c>
      <c r="J72" s="124">
        <v>7.16</v>
      </c>
      <c r="K72" s="140">
        <v>20.99</v>
      </c>
      <c r="L72" s="141">
        <f t="shared" si="5"/>
        <v>2.28</v>
      </c>
      <c r="M72" s="122" t="s">
        <v>12</v>
      </c>
      <c r="N72" s="126" t="s">
        <v>90</v>
      </c>
      <c r="O72" s="64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</row>
    <row r="73" ht="15.75" customHeight="1">
      <c r="A73" s="137" t="s">
        <v>210</v>
      </c>
      <c r="B73" s="119">
        <v>45483.0</v>
      </c>
      <c r="C73" s="144">
        <v>0.35138888888888886</v>
      </c>
      <c r="D73" s="123">
        <v>45485.0</v>
      </c>
      <c r="E73" s="120">
        <v>0.4513888888888889</v>
      </c>
      <c r="F73" s="121">
        <v>8.96</v>
      </c>
      <c r="G73" s="121">
        <v>21.9</v>
      </c>
      <c r="H73" s="123">
        <v>45490.0</v>
      </c>
      <c r="I73" s="120">
        <v>0.7486111111111111</v>
      </c>
      <c r="J73" s="124">
        <v>7.07</v>
      </c>
      <c r="K73" s="140">
        <v>19.97</v>
      </c>
      <c r="L73" s="141">
        <f t="shared" si="5"/>
        <v>1.89</v>
      </c>
      <c r="M73" s="122" t="s">
        <v>12</v>
      </c>
      <c r="N73" s="126" t="s">
        <v>90</v>
      </c>
      <c r="O73" s="167" t="s">
        <v>211</v>
      </c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</row>
    <row r="74" ht="26.25" customHeight="1">
      <c r="A74" s="137" t="s">
        <v>212</v>
      </c>
      <c r="B74" s="119">
        <v>45483.0</v>
      </c>
      <c r="C74" s="144">
        <v>0.35138888888888886</v>
      </c>
      <c r="D74" s="123">
        <v>45485.0</v>
      </c>
      <c r="E74" s="120">
        <v>0.4548611111111111</v>
      </c>
      <c r="F74" s="121">
        <v>8.71</v>
      </c>
      <c r="G74" s="121">
        <v>21.8</v>
      </c>
      <c r="H74" s="123">
        <v>45490.0</v>
      </c>
      <c r="I74" s="120">
        <v>0.75</v>
      </c>
      <c r="J74" s="124">
        <v>7.09</v>
      </c>
      <c r="K74" s="140">
        <v>20.43</v>
      </c>
      <c r="L74" s="141">
        <f t="shared" si="5"/>
        <v>1.62</v>
      </c>
      <c r="M74" s="122" t="s">
        <v>12</v>
      </c>
      <c r="N74" s="126" t="s">
        <v>90</v>
      </c>
      <c r="O74" s="64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</row>
    <row r="75" ht="15.75" customHeight="1">
      <c r="A75" s="137" t="s">
        <v>213</v>
      </c>
      <c r="B75" s="119">
        <v>45483.0</v>
      </c>
      <c r="C75" s="144">
        <v>0.47847222222222224</v>
      </c>
      <c r="D75" s="123">
        <v>45485.0</v>
      </c>
      <c r="E75" s="120">
        <v>0.4597222222222222</v>
      </c>
      <c r="F75" s="121">
        <v>8.98</v>
      </c>
      <c r="G75" s="121">
        <v>22.4</v>
      </c>
      <c r="H75" s="123">
        <v>45490.0</v>
      </c>
      <c r="I75" s="120">
        <v>0.7520833333333333</v>
      </c>
      <c r="J75" s="124">
        <v>8.08</v>
      </c>
      <c r="K75" s="140">
        <v>20.48</v>
      </c>
      <c r="L75" s="141">
        <f t="shared" si="5"/>
        <v>0.9</v>
      </c>
      <c r="M75" s="122" t="s">
        <v>12</v>
      </c>
      <c r="N75" s="126" t="s">
        <v>90</v>
      </c>
      <c r="O75" s="117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</row>
    <row r="76">
      <c r="A76" s="168" t="s">
        <v>214</v>
      </c>
      <c r="B76" s="119">
        <v>45483.0</v>
      </c>
      <c r="C76" s="144">
        <v>0.47847222222222224</v>
      </c>
      <c r="D76" s="123">
        <v>45485.0</v>
      </c>
      <c r="E76" s="120">
        <v>0.46041666666666664</v>
      </c>
      <c r="F76" s="169">
        <v>9.4</v>
      </c>
      <c r="G76" s="168">
        <v>21.4</v>
      </c>
      <c r="H76" s="123">
        <v>45490.0</v>
      </c>
      <c r="I76" s="170">
        <v>0.7541666666666667</v>
      </c>
      <c r="J76" s="169">
        <v>8.53</v>
      </c>
      <c r="K76" s="168">
        <v>19.25</v>
      </c>
      <c r="L76" s="141">
        <f t="shared" si="5"/>
        <v>0.87</v>
      </c>
      <c r="M76" s="122" t="s">
        <v>12</v>
      </c>
      <c r="N76" s="126" t="s">
        <v>90</v>
      </c>
      <c r="O76" s="171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  <c r="AA76" s="172"/>
      <c r="AB76" s="172"/>
      <c r="AC76" s="172"/>
    </row>
    <row r="77">
      <c r="A77" s="168" t="s">
        <v>215</v>
      </c>
      <c r="B77" s="119">
        <v>45483.0</v>
      </c>
      <c r="C77" s="144">
        <v>0.5708333333333333</v>
      </c>
      <c r="D77" s="123">
        <v>45485.0</v>
      </c>
      <c r="E77" s="120">
        <v>0.46319444444444446</v>
      </c>
      <c r="F77" s="169">
        <v>8.81</v>
      </c>
      <c r="G77" s="168">
        <v>21.3</v>
      </c>
      <c r="H77" s="123">
        <v>45490.0</v>
      </c>
      <c r="I77" s="170">
        <v>0.7555555555555555</v>
      </c>
      <c r="J77" s="169">
        <v>7.03</v>
      </c>
      <c r="K77" s="168">
        <v>20.62</v>
      </c>
      <c r="L77" s="141">
        <f t="shared" si="5"/>
        <v>1.78</v>
      </c>
      <c r="M77" s="122" t="s">
        <v>12</v>
      </c>
      <c r="N77" s="126" t="s">
        <v>90</v>
      </c>
      <c r="O77" s="171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72"/>
      <c r="AA77" s="172"/>
      <c r="AB77" s="172"/>
      <c r="AC77" s="172"/>
    </row>
    <row r="78">
      <c r="A78" s="168" t="s">
        <v>216</v>
      </c>
      <c r="B78" s="119">
        <v>45483.0</v>
      </c>
      <c r="C78" s="144">
        <v>0.5708333333333333</v>
      </c>
      <c r="D78" s="123">
        <v>45485.0</v>
      </c>
      <c r="E78" s="120">
        <v>0.46458333333333335</v>
      </c>
      <c r="F78" s="169">
        <v>8.8</v>
      </c>
      <c r="G78" s="168">
        <v>21.7</v>
      </c>
      <c r="H78" s="123">
        <v>45490.0</v>
      </c>
      <c r="I78" s="170">
        <v>0.7569444444444444</v>
      </c>
      <c r="J78" s="169">
        <v>7.16</v>
      </c>
      <c r="K78" s="168">
        <v>20.93</v>
      </c>
      <c r="L78" s="141">
        <f t="shared" si="5"/>
        <v>1.64</v>
      </c>
      <c r="M78" s="122" t="s">
        <v>12</v>
      </c>
      <c r="N78" s="126" t="s">
        <v>90</v>
      </c>
      <c r="O78" s="171"/>
      <c r="P78" s="173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  <c r="AC78" s="171"/>
    </row>
    <row r="79" ht="15.75" customHeight="1">
      <c r="A79" s="128" t="s">
        <v>217</v>
      </c>
      <c r="B79" s="129">
        <v>45484.0</v>
      </c>
      <c r="C79" s="161">
        <v>0.2951388888888889</v>
      </c>
      <c r="D79" s="133">
        <v>45485.0</v>
      </c>
      <c r="E79" s="131">
        <v>0.4708333333333333</v>
      </c>
      <c r="F79" s="132">
        <v>9.09</v>
      </c>
      <c r="G79" s="132">
        <v>22.5</v>
      </c>
      <c r="H79" s="133">
        <v>45490.0</v>
      </c>
      <c r="I79" s="131">
        <v>0.7583333333333333</v>
      </c>
      <c r="J79" s="134">
        <v>7.18</v>
      </c>
      <c r="K79" s="135">
        <v>19.9</v>
      </c>
      <c r="L79" s="154">
        <f t="shared" si="5"/>
        <v>1.91</v>
      </c>
      <c r="M79" s="122" t="s">
        <v>12</v>
      </c>
      <c r="N79" s="126" t="s">
        <v>90</v>
      </c>
      <c r="O79" s="174" t="s">
        <v>218</v>
      </c>
      <c r="P79" s="173"/>
      <c r="Q79" s="175"/>
      <c r="R79" s="175"/>
      <c r="S79" s="175"/>
      <c r="T79" s="175"/>
      <c r="U79" s="175"/>
      <c r="V79" s="175"/>
      <c r="W79" s="175"/>
      <c r="X79" s="175"/>
      <c r="Y79" s="175"/>
      <c r="Z79" s="175"/>
      <c r="AA79" s="175"/>
      <c r="AB79" s="175"/>
      <c r="AC79" s="175"/>
    </row>
    <row r="80" ht="15.75" customHeight="1">
      <c r="A80" s="128" t="s">
        <v>219</v>
      </c>
      <c r="B80" s="129">
        <v>45484.0</v>
      </c>
      <c r="C80" s="161">
        <v>0.2951388888888889</v>
      </c>
      <c r="D80" s="133">
        <v>45485.0</v>
      </c>
      <c r="E80" s="131">
        <v>0.4701388888888889</v>
      </c>
      <c r="F80" s="132">
        <v>8.91</v>
      </c>
      <c r="G80" s="132">
        <v>22.4</v>
      </c>
      <c r="H80" s="133">
        <v>45490.0</v>
      </c>
      <c r="I80" s="131">
        <v>0.7381944444444445</v>
      </c>
      <c r="J80" s="132">
        <v>7.07</v>
      </c>
      <c r="K80" s="135">
        <v>23.0</v>
      </c>
      <c r="L80" s="154">
        <f t="shared" si="5"/>
        <v>1.84</v>
      </c>
      <c r="M80" s="122" t="s">
        <v>12</v>
      </c>
      <c r="N80" s="126" t="s">
        <v>90</v>
      </c>
      <c r="O80" s="117"/>
      <c r="P80" s="173"/>
      <c r="Q80" s="175"/>
      <c r="R80" s="175"/>
      <c r="S80" s="175"/>
      <c r="T80" s="175"/>
      <c r="U80" s="175"/>
      <c r="V80" s="175"/>
      <c r="W80" s="175"/>
      <c r="X80" s="175"/>
      <c r="Y80" s="175"/>
      <c r="Z80" s="175"/>
      <c r="AA80" s="175"/>
      <c r="AB80" s="175"/>
      <c r="AC80" s="175"/>
    </row>
    <row r="81" ht="15.75" customHeight="1">
      <c r="A81" s="137" t="s">
        <v>220</v>
      </c>
      <c r="B81" s="119">
        <v>45484.0</v>
      </c>
      <c r="C81" s="144">
        <v>0.2951388888888889</v>
      </c>
      <c r="D81" s="123">
        <v>45485.0</v>
      </c>
      <c r="E81" s="120">
        <v>0.46875</v>
      </c>
      <c r="F81" s="121">
        <v>8.81</v>
      </c>
      <c r="G81" s="121">
        <v>22.4</v>
      </c>
      <c r="H81" s="123">
        <v>45490.0</v>
      </c>
      <c r="I81" s="170">
        <v>0.7368055555555556</v>
      </c>
      <c r="J81" s="121">
        <v>7.07</v>
      </c>
      <c r="K81" s="140">
        <v>23.0</v>
      </c>
      <c r="L81" s="141">
        <f t="shared" si="5"/>
        <v>1.74</v>
      </c>
      <c r="M81" s="122" t="s">
        <v>12</v>
      </c>
      <c r="N81" s="126" t="s">
        <v>90</v>
      </c>
      <c r="O81" s="117"/>
      <c r="P81" s="176"/>
      <c r="Q81" s="175"/>
      <c r="R81" s="175"/>
      <c r="S81" s="175"/>
      <c r="T81" s="175"/>
      <c r="U81" s="175"/>
      <c r="V81" s="175"/>
      <c r="W81" s="175"/>
      <c r="X81" s="175"/>
      <c r="Y81" s="175"/>
      <c r="Z81" s="175"/>
      <c r="AA81" s="175"/>
      <c r="AB81" s="175"/>
      <c r="AC81" s="175"/>
    </row>
    <row r="82" ht="15.0" customHeight="1">
      <c r="A82" s="168" t="s">
        <v>221</v>
      </c>
      <c r="B82" s="119">
        <v>45484.0</v>
      </c>
      <c r="C82" s="144">
        <v>0.2951388888888889</v>
      </c>
      <c r="D82" s="123">
        <v>45485.0</v>
      </c>
      <c r="E82" s="120">
        <v>0.47152777777777777</v>
      </c>
      <c r="F82" s="169">
        <v>9.33</v>
      </c>
      <c r="G82" s="168">
        <v>21.6</v>
      </c>
      <c r="H82" s="123">
        <v>45490.0</v>
      </c>
      <c r="I82" s="170">
        <v>0.7388888888888889</v>
      </c>
      <c r="J82" s="169">
        <v>7.0</v>
      </c>
      <c r="K82" s="168">
        <v>21.15</v>
      </c>
      <c r="L82" s="141">
        <f t="shared" si="5"/>
        <v>2.33</v>
      </c>
      <c r="M82" s="122" t="s">
        <v>12</v>
      </c>
      <c r="N82" s="126" t="s">
        <v>90</v>
      </c>
      <c r="O82" s="122"/>
      <c r="P82" s="173"/>
      <c r="Q82" s="175"/>
      <c r="R82" s="175"/>
      <c r="S82" s="175"/>
      <c r="T82" s="175"/>
      <c r="U82" s="175"/>
      <c r="V82" s="175"/>
      <c r="W82" s="175"/>
      <c r="X82" s="175"/>
      <c r="Y82" s="175"/>
      <c r="Z82" s="175"/>
      <c r="AA82" s="175"/>
      <c r="AB82" s="175"/>
      <c r="AC82" s="175"/>
    </row>
    <row r="83" ht="15.0" customHeight="1">
      <c r="A83" s="168" t="s">
        <v>222</v>
      </c>
      <c r="B83" s="119">
        <v>45484.0</v>
      </c>
      <c r="C83" s="144">
        <v>0.32708333333333334</v>
      </c>
      <c r="D83" s="123">
        <v>45485.0</v>
      </c>
      <c r="E83" s="120">
        <v>0.47430555555555554</v>
      </c>
      <c r="F83" s="169">
        <v>8.94</v>
      </c>
      <c r="G83" s="168">
        <v>21.1</v>
      </c>
      <c r="H83" s="123">
        <v>45490.0</v>
      </c>
      <c r="I83" s="170">
        <v>0.7597222222222222</v>
      </c>
      <c r="J83" s="169">
        <v>7.07</v>
      </c>
      <c r="K83" s="168">
        <v>21.02</v>
      </c>
      <c r="L83" s="141">
        <f t="shared" si="5"/>
        <v>1.87</v>
      </c>
      <c r="M83" s="122" t="s">
        <v>12</v>
      </c>
      <c r="N83" s="126" t="s">
        <v>90</v>
      </c>
      <c r="O83" s="146"/>
      <c r="P83" s="173"/>
      <c r="Q83" s="175"/>
      <c r="R83" s="175"/>
      <c r="S83" s="175"/>
      <c r="T83" s="175"/>
      <c r="U83" s="175"/>
      <c r="V83" s="175"/>
      <c r="W83" s="175"/>
      <c r="X83" s="175"/>
      <c r="Y83" s="175"/>
      <c r="Z83" s="175"/>
      <c r="AA83" s="175"/>
      <c r="AB83" s="175"/>
      <c r="AC83" s="175"/>
    </row>
    <row r="84" ht="15.75" customHeight="1">
      <c r="A84" s="137" t="s">
        <v>223</v>
      </c>
      <c r="B84" s="119">
        <v>45484.0</v>
      </c>
      <c r="C84" s="144">
        <v>0.32708333333333334</v>
      </c>
      <c r="D84" s="123">
        <v>45485.0</v>
      </c>
      <c r="E84" s="120">
        <v>0.4756944444444444</v>
      </c>
      <c r="F84" s="121">
        <v>8.8</v>
      </c>
      <c r="G84" s="121">
        <v>21.4</v>
      </c>
      <c r="H84" s="123">
        <v>45490.0</v>
      </c>
      <c r="I84" s="120">
        <v>0.7611111111111111</v>
      </c>
      <c r="J84" s="121">
        <v>7.0</v>
      </c>
      <c r="K84" s="140">
        <v>21.15</v>
      </c>
      <c r="L84" s="141">
        <f t="shared" si="5"/>
        <v>1.8</v>
      </c>
      <c r="M84" s="122" t="s">
        <v>12</v>
      </c>
      <c r="N84" s="126" t="s">
        <v>90</v>
      </c>
      <c r="O84" s="117"/>
      <c r="P84" s="173"/>
      <c r="Q84" s="175"/>
      <c r="R84" s="175"/>
      <c r="S84" s="175"/>
      <c r="T84" s="175"/>
      <c r="U84" s="175"/>
      <c r="V84" s="175"/>
      <c r="W84" s="175"/>
      <c r="X84" s="175"/>
      <c r="Y84" s="175"/>
      <c r="Z84" s="175"/>
      <c r="AA84" s="175"/>
      <c r="AB84" s="175"/>
      <c r="AC84" s="175"/>
    </row>
    <row r="85" ht="15.75" customHeight="1">
      <c r="A85" s="137" t="s">
        <v>224</v>
      </c>
      <c r="B85" s="119">
        <v>45484.0</v>
      </c>
      <c r="C85" s="144">
        <v>0.34791666666666665</v>
      </c>
      <c r="D85" s="123">
        <v>45485.0</v>
      </c>
      <c r="E85" s="120">
        <v>0.4777777777777778</v>
      </c>
      <c r="F85" s="121">
        <v>9.05</v>
      </c>
      <c r="G85" s="121">
        <v>21.4</v>
      </c>
      <c r="H85" s="123">
        <v>45490.0</v>
      </c>
      <c r="I85" s="120">
        <v>0.7645833333333333</v>
      </c>
      <c r="J85" s="121">
        <v>6.98</v>
      </c>
      <c r="K85" s="140">
        <v>22.0</v>
      </c>
      <c r="L85" s="141">
        <f t="shared" si="5"/>
        <v>2.07</v>
      </c>
      <c r="M85" s="122" t="s">
        <v>12</v>
      </c>
      <c r="N85" s="126" t="s">
        <v>90</v>
      </c>
      <c r="O85" s="117"/>
      <c r="P85" s="173"/>
      <c r="Q85" s="175"/>
      <c r="R85" s="175"/>
      <c r="S85" s="175"/>
      <c r="T85" s="175"/>
      <c r="U85" s="175"/>
      <c r="V85" s="175"/>
      <c r="W85" s="175"/>
      <c r="X85" s="175"/>
      <c r="Y85" s="175"/>
      <c r="Z85" s="175"/>
      <c r="AA85" s="175"/>
      <c r="AB85" s="175"/>
      <c r="AC85" s="175"/>
    </row>
    <row r="86" ht="15.75" customHeight="1">
      <c r="A86" s="137" t="s">
        <v>225</v>
      </c>
      <c r="B86" s="119">
        <v>45484.0</v>
      </c>
      <c r="C86" s="144">
        <v>0.34791666666666665</v>
      </c>
      <c r="D86" s="123">
        <v>45485.0</v>
      </c>
      <c r="E86" s="120">
        <v>0.4791666666666667</v>
      </c>
      <c r="F86" s="121">
        <v>8.95</v>
      </c>
      <c r="G86" s="121">
        <v>21.1</v>
      </c>
      <c r="H86" s="123">
        <v>45490.0</v>
      </c>
      <c r="I86" s="120">
        <v>0.7659722222222223</v>
      </c>
      <c r="J86" s="121">
        <v>8.29</v>
      </c>
      <c r="K86" s="140">
        <v>21.2</v>
      </c>
      <c r="L86" s="141">
        <f t="shared" si="5"/>
        <v>0.66</v>
      </c>
      <c r="M86" s="122" t="s">
        <v>12</v>
      </c>
      <c r="N86" s="126" t="s">
        <v>90</v>
      </c>
      <c r="O86" s="117"/>
      <c r="P86" s="173"/>
      <c r="Q86" s="175"/>
      <c r="R86" s="175"/>
      <c r="S86" s="175"/>
      <c r="T86" s="175"/>
      <c r="U86" s="175"/>
      <c r="V86" s="175"/>
      <c r="W86" s="175"/>
      <c r="X86" s="175"/>
      <c r="Y86" s="175"/>
      <c r="Z86" s="175"/>
      <c r="AA86" s="175"/>
      <c r="AB86" s="175"/>
      <c r="AC86" s="175"/>
    </row>
    <row r="87" ht="15.75" customHeight="1">
      <c r="A87" s="137" t="s">
        <v>226</v>
      </c>
      <c r="B87" s="119">
        <v>45484.0</v>
      </c>
      <c r="C87" s="144">
        <v>0.3923611111111111</v>
      </c>
      <c r="D87" s="123">
        <v>45485.0</v>
      </c>
      <c r="E87" s="120">
        <v>0.4826388888888889</v>
      </c>
      <c r="F87" s="121">
        <v>9.36</v>
      </c>
      <c r="G87" s="121">
        <v>20.7</v>
      </c>
      <c r="H87" s="123">
        <v>45490.0</v>
      </c>
      <c r="I87" s="120">
        <v>0.7673611111111112</v>
      </c>
      <c r="J87" s="121">
        <v>7.25</v>
      </c>
      <c r="K87" s="140">
        <v>21.38</v>
      </c>
      <c r="L87" s="141">
        <f t="shared" si="5"/>
        <v>2.11</v>
      </c>
      <c r="M87" s="122" t="s">
        <v>12</v>
      </c>
      <c r="N87" s="126" t="s">
        <v>90</v>
      </c>
      <c r="O87" s="117"/>
      <c r="P87" s="173"/>
      <c r="Q87" s="175"/>
      <c r="R87" s="175"/>
      <c r="S87" s="175"/>
      <c r="T87" s="175"/>
      <c r="U87" s="175"/>
      <c r="V87" s="175"/>
      <c r="W87" s="175"/>
      <c r="X87" s="175"/>
      <c r="Y87" s="175"/>
      <c r="Z87" s="175"/>
      <c r="AA87" s="175"/>
      <c r="AB87" s="175"/>
      <c r="AC87" s="175"/>
    </row>
    <row r="88" ht="15.75" customHeight="1">
      <c r="A88" s="137" t="s">
        <v>227</v>
      </c>
      <c r="B88" s="119">
        <v>45484.0</v>
      </c>
      <c r="C88" s="144">
        <v>0.3923611111111111</v>
      </c>
      <c r="D88" s="123">
        <v>45485.0</v>
      </c>
      <c r="E88" s="120">
        <v>0.48333333333333334</v>
      </c>
      <c r="F88" s="121">
        <v>8.9</v>
      </c>
      <c r="G88" s="121">
        <v>21.9</v>
      </c>
      <c r="H88" s="123">
        <v>45490.0</v>
      </c>
      <c r="I88" s="120">
        <v>0.7680555555555556</v>
      </c>
      <c r="J88" s="121">
        <v>7.02</v>
      </c>
      <c r="K88" s="140">
        <v>21.62</v>
      </c>
      <c r="L88" s="141">
        <f t="shared" si="5"/>
        <v>1.88</v>
      </c>
      <c r="M88" s="122" t="s">
        <v>12</v>
      </c>
      <c r="N88" s="126" t="s">
        <v>90</v>
      </c>
      <c r="O88" s="117"/>
      <c r="P88" s="173"/>
      <c r="Q88" s="175"/>
      <c r="R88" s="175"/>
      <c r="S88" s="175"/>
      <c r="T88" s="175"/>
      <c r="U88" s="175"/>
      <c r="V88" s="175"/>
      <c r="W88" s="175"/>
      <c r="X88" s="175"/>
      <c r="Y88" s="175"/>
      <c r="Z88" s="175"/>
      <c r="AA88" s="175"/>
      <c r="AB88" s="175"/>
      <c r="AC88" s="175"/>
    </row>
    <row r="89" ht="15.75" customHeight="1">
      <c r="A89" s="137" t="s">
        <v>228</v>
      </c>
      <c r="B89" s="119">
        <v>45484.0</v>
      </c>
      <c r="C89" s="144">
        <v>0.41388888888888886</v>
      </c>
      <c r="D89" s="123">
        <v>45485.0</v>
      </c>
      <c r="E89" s="120">
        <v>0.4861111111111111</v>
      </c>
      <c r="F89" s="121">
        <v>8.73</v>
      </c>
      <c r="G89" s="121">
        <v>21.7</v>
      </c>
      <c r="H89" s="123">
        <v>45490.0</v>
      </c>
      <c r="I89" s="120">
        <v>0.7701388888888889</v>
      </c>
      <c r="J89" s="121">
        <v>6.75</v>
      </c>
      <c r="K89" s="140">
        <v>21.96</v>
      </c>
      <c r="L89" s="141">
        <f t="shared" si="5"/>
        <v>1.98</v>
      </c>
      <c r="M89" s="122" t="s">
        <v>12</v>
      </c>
      <c r="N89" s="126" t="s">
        <v>90</v>
      </c>
      <c r="O89" s="117"/>
      <c r="P89" s="173"/>
      <c r="Q89" s="175"/>
      <c r="R89" s="175"/>
      <c r="S89" s="175"/>
      <c r="T89" s="175"/>
      <c r="U89" s="175"/>
      <c r="V89" s="175"/>
      <c r="W89" s="175"/>
      <c r="X89" s="175"/>
      <c r="Y89" s="175"/>
      <c r="Z89" s="175"/>
      <c r="AA89" s="175"/>
      <c r="AB89" s="175"/>
      <c r="AC89" s="175"/>
    </row>
    <row r="90" ht="15.75" customHeight="1">
      <c r="A90" s="137" t="s">
        <v>229</v>
      </c>
      <c r="B90" s="119">
        <v>45484.0</v>
      </c>
      <c r="C90" s="144">
        <v>0.41388888888888886</v>
      </c>
      <c r="D90" s="123">
        <v>45485.0</v>
      </c>
      <c r="E90" s="120">
        <v>0.4875</v>
      </c>
      <c r="F90" s="121">
        <v>9.05</v>
      </c>
      <c r="G90" s="121">
        <v>21.3</v>
      </c>
      <c r="H90" s="123">
        <v>45490.0</v>
      </c>
      <c r="I90" s="120">
        <v>0.7715277777777778</v>
      </c>
      <c r="J90" s="121">
        <v>6.8</v>
      </c>
      <c r="K90" s="140">
        <v>21.88</v>
      </c>
      <c r="L90" s="141">
        <f t="shared" si="5"/>
        <v>2.25</v>
      </c>
      <c r="M90" s="122" t="s">
        <v>12</v>
      </c>
      <c r="N90" s="126" t="s">
        <v>90</v>
      </c>
      <c r="O90" s="117"/>
      <c r="P90" s="173"/>
      <c r="Q90" s="175"/>
      <c r="R90" s="175"/>
      <c r="S90" s="175"/>
      <c r="T90" s="175"/>
      <c r="U90" s="175"/>
      <c r="V90" s="175"/>
      <c r="W90" s="175"/>
      <c r="X90" s="175"/>
      <c r="Y90" s="175"/>
      <c r="Z90" s="175"/>
      <c r="AA90" s="175"/>
      <c r="AB90" s="175"/>
      <c r="AC90" s="175"/>
    </row>
    <row r="91" ht="15.75" customHeight="1">
      <c r="A91" s="128" t="s">
        <v>230</v>
      </c>
      <c r="B91" s="129">
        <v>45484.0</v>
      </c>
      <c r="C91" s="161">
        <v>0.44930555555555557</v>
      </c>
      <c r="D91" s="133">
        <v>45485.0</v>
      </c>
      <c r="E91" s="131">
        <v>0.49375</v>
      </c>
      <c r="F91" s="132">
        <v>8.95</v>
      </c>
      <c r="G91" s="132">
        <v>22.7</v>
      </c>
      <c r="H91" s="133">
        <v>45490.0</v>
      </c>
      <c r="I91" s="131">
        <v>0.7736111111111111</v>
      </c>
      <c r="J91" s="132">
        <v>6.04</v>
      </c>
      <c r="K91" s="135">
        <v>22.43</v>
      </c>
      <c r="L91" s="154">
        <f t="shared" si="5"/>
        <v>2.91</v>
      </c>
      <c r="M91" s="122" t="s">
        <v>12</v>
      </c>
      <c r="N91" s="126" t="s">
        <v>90</v>
      </c>
      <c r="O91" s="122"/>
      <c r="P91" s="173"/>
      <c r="Q91" s="175"/>
      <c r="R91" s="175"/>
      <c r="S91" s="175"/>
      <c r="T91" s="175"/>
      <c r="U91" s="175"/>
      <c r="V91" s="175"/>
      <c r="W91" s="175"/>
      <c r="X91" s="175"/>
      <c r="Y91" s="175"/>
      <c r="Z91" s="175"/>
      <c r="AA91" s="175"/>
      <c r="AB91" s="175"/>
      <c r="AC91" s="175"/>
    </row>
    <row r="92" ht="15.75" customHeight="1">
      <c r="A92" s="128" t="s">
        <v>231</v>
      </c>
      <c r="B92" s="129">
        <v>45484.0</v>
      </c>
      <c r="C92" s="161">
        <v>0.44930555555555557</v>
      </c>
      <c r="D92" s="133">
        <v>45485.0</v>
      </c>
      <c r="E92" s="131">
        <v>0.4930555555555556</v>
      </c>
      <c r="F92" s="132">
        <v>8.96</v>
      </c>
      <c r="G92" s="132">
        <v>22.5</v>
      </c>
      <c r="H92" s="133">
        <v>45490.0</v>
      </c>
      <c r="I92" s="131">
        <v>0.775</v>
      </c>
      <c r="J92" s="132">
        <v>6.88</v>
      </c>
      <c r="K92" s="135">
        <v>21.95</v>
      </c>
      <c r="L92" s="154">
        <f t="shared" si="5"/>
        <v>2.08</v>
      </c>
      <c r="M92" s="122" t="s">
        <v>12</v>
      </c>
      <c r="N92" s="126" t="s">
        <v>90</v>
      </c>
      <c r="O92" s="117"/>
      <c r="P92" s="173"/>
      <c r="Q92" s="175"/>
      <c r="R92" s="175"/>
      <c r="S92" s="175"/>
      <c r="T92" s="175"/>
      <c r="U92" s="175"/>
      <c r="V92" s="175"/>
      <c r="W92" s="175"/>
      <c r="X92" s="175"/>
      <c r="Y92" s="175"/>
      <c r="Z92" s="175"/>
      <c r="AA92" s="175"/>
      <c r="AB92" s="175"/>
      <c r="AC92" s="175"/>
    </row>
    <row r="93" ht="15.75" customHeight="1">
      <c r="A93" s="137" t="s">
        <v>232</v>
      </c>
      <c r="B93" s="119">
        <v>45484.0</v>
      </c>
      <c r="C93" s="144">
        <v>0.44930555555555557</v>
      </c>
      <c r="D93" s="123">
        <v>45485.0</v>
      </c>
      <c r="E93" s="120">
        <v>0.49166666666666664</v>
      </c>
      <c r="F93" s="121">
        <v>8.91</v>
      </c>
      <c r="G93" s="121">
        <v>22.6</v>
      </c>
      <c r="H93" s="123">
        <v>45490.0</v>
      </c>
      <c r="I93" s="120">
        <v>0.7756944444444445</v>
      </c>
      <c r="J93" s="121">
        <v>6.92</v>
      </c>
      <c r="K93" s="140">
        <v>21.34</v>
      </c>
      <c r="L93" s="141">
        <f t="shared" si="5"/>
        <v>1.99</v>
      </c>
      <c r="M93" s="122" t="s">
        <v>12</v>
      </c>
      <c r="N93" s="126" t="s">
        <v>90</v>
      </c>
      <c r="O93" s="117"/>
      <c r="P93" s="173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  <c r="AB93" s="171"/>
      <c r="AC93" s="171"/>
    </row>
    <row r="94" ht="15.75" customHeight="1">
      <c r="A94" s="137" t="s">
        <v>233</v>
      </c>
      <c r="B94" s="119">
        <v>45484.0</v>
      </c>
      <c r="C94" s="144">
        <v>0.44930555555555557</v>
      </c>
      <c r="D94" s="123">
        <v>45485.0</v>
      </c>
      <c r="E94" s="120">
        <v>0.4951388888888889</v>
      </c>
      <c r="F94" s="121">
        <v>8.61</v>
      </c>
      <c r="G94" s="121">
        <v>23.4</v>
      </c>
      <c r="H94" s="123">
        <v>45490.0</v>
      </c>
      <c r="I94" s="150">
        <v>0.7770833333333333</v>
      </c>
      <c r="J94" s="151">
        <v>6.78</v>
      </c>
      <c r="K94" s="153">
        <v>21.92</v>
      </c>
      <c r="L94" s="141">
        <f t="shared" si="5"/>
        <v>1.83</v>
      </c>
      <c r="M94" s="122" t="s">
        <v>12</v>
      </c>
      <c r="N94" s="126" t="s">
        <v>90</v>
      </c>
      <c r="O94" s="117"/>
      <c r="P94" s="173"/>
      <c r="Q94" s="175"/>
      <c r="R94" s="175"/>
      <c r="S94" s="175"/>
      <c r="T94" s="175"/>
      <c r="U94" s="175"/>
      <c r="V94" s="175"/>
      <c r="W94" s="175"/>
      <c r="X94" s="175"/>
      <c r="Y94" s="175"/>
      <c r="Z94" s="175"/>
      <c r="AA94" s="175"/>
      <c r="AB94" s="175"/>
      <c r="AC94" s="175"/>
    </row>
    <row r="95" ht="15.75" customHeight="1">
      <c r="A95" s="137" t="s">
        <v>141</v>
      </c>
      <c r="B95" s="159" t="s">
        <v>74</v>
      </c>
      <c r="C95" s="137" t="s">
        <v>74</v>
      </c>
      <c r="D95" s="123">
        <v>45490.0</v>
      </c>
      <c r="E95" s="120">
        <v>0.7881944444444444</v>
      </c>
      <c r="F95" s="121">
        <v>8.33</v>
      </c>
      <c r="G95" s="121">
        <v>26.4</v>
      </c>
      <c r="H95" s="123">
        <v>45490.0</v>
      </c>
      <c r="I95" s="120">
        <v>0.6555555555555556</v>
      </c>
      <c r="J95" s="124">
        <v>8.34</v>
      </c>
      <c r="K95" s="140">
        <v>25.2</v>
      </c>
      <c r="L95" s="147" t="s">
        <v>74</v>
      </c>
      <c r="M95" s="122" t="s">
        <v>12</v>
      </c>
      <c r="N95" s="126" t="s">
        <v>90</v>
      </c>
      <c r="O95" s="117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</row>
    <row r="96">
      <c r="A96" s="137" t="s">
        <v>234</v>
      </c>
      <c r="B96" s="177">
        <v>45489.0</v>
      </c>
      <c r="C96" s="144">
        <v>0.3402777777777778</v>
      </c>
      <c r="D96" s="123">
        <v>45490.0</v>
      </c>
      <c r="E96" s="120">
        <v>0.7923611111111111</v>
      </c>
      <c r="F96" s="169">
        <v>7.19</v>
      </c>
      <c r="G96" s="168">
        <v>22.39</v>
      </c>
      <c r="H96" s="177">
        <v>45495.0</v>
      </c>
      <c r="I96" s="170">
        <v>0.6569444444444444</v>
      </c>
      <c r="J96" s="169">
        <v>6.88</v>
      </c>
      <c r="K96" s="168">
        <v>22.3</v>
      </c>
      <c r="L96" s="141">
        <f t="shared" ref="L96:L99" si="6">F96-J96</f>
        <v>0.31</v>
      </c>
      <c r="M96" s="122" t="s">
        <v>12</v>
      </c>
      <c r="N96" s="178" t="s">
        <v>235</v>
      </c>
      <c r="O96" s="171"/>
      <c r="P96" s="173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</row>
    <row r="97">
      <c r="A97" s="137" t="s">
        <v>236</v>
      </c>
      <c r="B97" s="177">
        <v>45489.0</v>
      </c>
      <c r="C97" s="144">
        <v>0.3402777777777778</v>
      </c>
      <c r="D97" s="123">
        <v>45490.0</v>
      </c>
      <c r="E97" s="120">
        <v>0.79375</v>
      </c>
      <c r="F97" s="169">
        <v>6.89</v>
      </c>
      <c r="G97" s="168">
        <v>22.9</v>
      </c>
      <c r="H97" s="179">
        <v>45495.0</v>
      </c>
      <c r="I97" s="170">
        <v>0.6597222222222222</v>
      </c>
      <c r="J97" s="169">
        <v>6.54</v>
      </c>
      <c r="K97" s="168">
        <v>22.74</v>
      </c>
      <c r="L97" s="141">
        <f t="shared" si="6"/>
        <v>0.35</v>
      </c>
      <c r="M97" s="122" t="s">
        <v>12</v>
      </c>
      <c r="N97" s="178" t="s">
        <v>235</v>
      </c>
      <c r="O97" s="171"/>
      <c r="P97" s="173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</row>
    <row r="98">
      <c r="A98" s="137" t="s">
        <v>237</v>
      </c>
      <c r="B98" s="177">
        <v>45489.0</v>
      </c>
      <c r="C98" s="144">
        <v>0.3770833333333333</v>
      </c>
      <c r="D98" s="123">
        <v>45490.0</v>
      </c>
      <c r="E98" s="120">
        <v>0.7951388888888888</v>
      </c>
      <c r="F98" s="169">
        <v>7.03</v>
      </c>
      <c r="G98" s="168">
        <v>21.97</v>
      </c>
      <c r="H98" s="177">
        <v>45495.0</v>
      </c>
      <c r="I98" s="170">
        <v>0.6625</v>
      </c>
      <c r="J98" s="169">
        <v>6.61</v>
      </c>
      <c r="K98" s="168">
        <v>22.36</v>
      </c>
      <c r="L98" s="141">
        <f t="shared" si="6"/>
        <v>0.42</v>
      </c>
      <c r="M98" s="122" t="s">
        <v>12</v>
      </c>
      <c r="N98" s="178" t="s">
        <v>235</v>
      </c>
      <c r="O98" s="171"/>
      <c r="P98" s="173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</row>
    <row r="99" ht="15.75" customHeight="1">
      <c r="A99" s="137" t="s">
        <v>238</v>
      </c>
      <c r="B99" s="177">
        <v>45489.0</v>
      </c>
      <c r="C99" s="144">
        <v>0.3770833333333333</v>
      </c>
      <c r="D99" s="123">
        <v>45490.0</v>
      </c>
      <c r="E99" s="120">
        <v>0.7965277777777777</v>
      </c>
      <c r="F99" s="121">
        <v>6.91</v>
      </c>
      <c r="G99" s="121">
        <v>22.19</v>
      </c>
      <c r="H99" s="177">
        <v>45495.0</v>
      </c>
      <c r="I99" s="120">
        <v>0.6645833333333333</v>
      </c>
      <c r="J99" s="121">
        <v>6.51</v>
      </c>
      <c r="K99" s="140">
        <v>22.77</v>
      </c>
      <c r="L99" s="141">
        <f t="shared" si="6"/>
        <v>0.4</v>
      </c>
      <c r="M99" s="122" t="s">
        <v>12</v>
      </c>
      <c r="N99" s="178" t="s">
        <v>235</v>
      </c>
      <c r="O99" s="117"/>
      <c r="P99" s="176"/>
      <c r="Q99" s="175"/>
      <c r="R99" s="175"/>
      <c r="S99" s="175"/>
      <c r="T99" s="175"/>
      <c r="U99" s="175"/>
      <c r="V99" s="175"/>
      <c r="W99" s="175"/>
      <c r="X99" s="175"/>
      <c r="Y99" s="175"/>
      <c r="Z99" s="175"/>
      <c r="AA99" s="175"/>
      <c r="AB99" s="175"/>
      <c r="AC99" s="175"/>
    </row>
    <row r="100" ht="15.0" customHeight="1">
      <c r="A100" s="137" t="s">
        <v>239</v>
      </c>
      <c r="B100" s="159" t="s">
        <v>74</v>
      </c>
      <c r="C100" s="137" t="s">
        <v>74</v>
      </c>
      <c r="D100" s="123">
        <v>45490.0</v>
      </c>
      <c r="E100" s="120">
        <v>0.40625</v>
      </c>
      <c r="F100" s="121">
        <v>8.33</v>
      </c>
      <c r="G100" s="121">
        <v>25.4</v>
      </c>
      <c r="H100" s="123">
        <v>45496.0</v>
      </c>
      <c r="I100" s="120">
        <v>0.5638888888888889</v>
      </c>
      <c r="J100" s="124">
        <v>8.51</v>
      </c>
      <c r="K100" s="140">
        <v>24.87</v>
      </c>
      <c r="L100" s="147" t="s">
        <v>74</v>
      </c>
      <c r="M100" s="122" t="s">
        <v>12</v>
      </c>
      <c r="N100" s="178" t="s">
        <v>235</v>
      </c>
      <c r="O100" s="180" t="s">
        <v>240</v>
      </c>
      <c r="P100" s="173"/>
      <c r="Q100" s="175"/>
      <c r="R100" s="175"/>
      <c r="S100" s="175"/>
      <c r="T100" s="175"/>
      <c r="U100" s="175"/>
      <c r="V100" s="175"/>
      <c r="W100" s="175"/>
      <c r="X100" s="175"/>
      <c r="Y100" s="175"/>
      <c r="Z100" s="175"/>
      <c r="AA100" s="175"/>
      <c r="AB100" s="175"/>
      <c r="AC100" s="175"/>
    </row>
    <row r="101" ht="15.0" customHeight="1">
      <c r="A101" s="137" t="s">
        <v>241</v>
      </c>
      <c r="B101" s="177">
        <v>45489.0</v>
      </c>
      <c r="C101" s="144">
        <v>0.41597222222222224</v>
      </c>
      <c r="D101" s="123">
        <v>45491.0</v>
      </c>
      <c r="E101" s="120">
        <v>0.9152777777777777</v>
      </c>
      <c r="F101" s="121">
        <v>7.18</v>
      </c>
      <c r="G101" s="121">
        <v>23.39</v>
      </c>
      <c r="H101" s="123">
        <v>45496.0</v>
      </c>
      <c r="I101" s="120">
        <v>0.5993055555555555</v>
      </c>
      <c r="J101" s="121">
        <v>6.69</v>
      </c>
      <c r="K101" s="121">
        <v>18.11</v>
      </c>
      <c r="L101" s="141">
        <f t="shared" ref="L101:L126" si="7">F101-J101</f>
        <v>0.49</v>
      </c>
      <c r="M101" s="122" t="s">
        <v>12</v>
      </c>
      <c r="N101" s="178" t="s">
        <v>235</v>
      </c>
      <c r="O101" s="59"/>
      <c r="P101" s="173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  <c r="AA101" s="175"/>
      <c r="AB101" s="175"/>
      <c r="AC101" s="175"/>
    </row>
    <row r="102" ht="15.75" customHeight="1">
      <c r="A102" s="137" t="s">
        <v>242</v>
      </c>
      <c r="B102" s="177">
        <v>45489.0</v>
      </c>
      <c r="C102" s="144">
        <v>0.41597222222222224</v>
      </c>
      <c r="D102" s="123">
        <v>45491.0</v>
      </c>
      <c r="E102" s="144">
        <v>0.41597222222222224</v>
      </c>
      <c r="F102" s="121">
        <v>7.08</v>
      </c>
      <c r="G102" s="121">
        <v>23.15</v>
      </c>
      <c r="H102" s="123">
        <v>45496.0</v>
      </c>
      <c r="I102" s="120">
        <v>0.6020833333333333</v>
      </c>
      <c r="J102" s="121">
        <v>6.66</v>
      </c>
      <c r="K102" s="140">
        <v>18.45</v>
      </c>
      <c r="L102" s="141">
        <f t="shared" si="7"/>
        <v>0.42</v>
      </c>
      <c r="M102" s="122" t="s">
        <v>12</v>
      </c>
      <c r="N102" s="178" t="s">
        <v>235</v>
      </c>
      <c r="O102" s="59"/>
      <c r="P102" s="173"/>
      <c r="Q102" s="175"/>
      <c r="R102" s="175"/>
      <c r="S102" s="175"/>
      <c r="T102" s="175"/>
      <c r="U102" s="175"/>
      <c r="V102" s="175"/>
      <c r="W102" s="175"/>
      <c r="X102" s="175"/>
      <c r="Y102" s="175"/>
      <c r="Z102" s="175"/>
      <c r="AA102" s="175"/>
      <c r="AB102" s="175"/>
      <c r="AC102" s="175"/>
    </row>
    <row r="103" ht="15.75" customHeight="1">
      <c r="A103" s="137" t="s">
        <v>243</v>
      </c>
      <c r="B103" s="177">
        <v>45489.0</v>
      </c>
      <c r="C103" s="144">
        <v>0.4395833333333333</v>
      </c>
      <c r="D103" s="123">
        <v>45491.0</v>
      </c>
      <c r="E103" s="120">
        <v>0.9277777777777778</v>
      </c>
      <c r="F103" s="121">
        <v>7.46</v>
      </c>
      <c r="G103" s="121">
        <v>20.7</v>
      </c>
      <c r="H103" s="123">
        <v>45496.0</v>
      </c>
      <c r="I103" s="120">
        <v>0.6041666666666666</v>
      </c>
      <c r="J103" s="121">
        <v>6.86</v>
      </c>
      <c r="K103" s="140">
        <v>18.51</v>
      </c>
      <c r="L103" s="141">
        <f t="shared" si="7"/>
        <v>0.6</v>
      </c>
      <c r="M103" s="122" t="s">
        <v>12</v>
      </c>
      <c r="N103" s="178" t="s">
        <v>235</v>
      </c>
      <c r="O103" s="59"/>
      <c r="P103" s="173"/>
      <c r="Q103" s="175"/>
      <c r="R103" s="175"/>
      <c r="S103" s="175"/>
      <c r="T103" s="175"/>
      <c r="U103" s="175"/>
      <c r="V103" s="175"/>
      <c r="W103" s="175"/>
      <c r="X103" s="175"/>
      <c r="Y103" s="175"/>
      <c r="Z103" s="175"/>
      <c r="AA103" s="175"/>
      <c r="AB103" s="175"/>
      <c r="AC103" s="175"/>
    </row>
    <row r="104" ht="15.75" customHeight="1">
      <c r="A104" s="137" t="s">
        <v>244</v>
      </c>
      <c r="B104" s="177">
        <v>45489.0</v>
      </c>
      <c r="C104" s="144">
        <v>0.4395833333333333</v>
      </c>
      <c r="D104" s="123">
        <v>45491.0</v>
      </c>
      <c r="E104" s="120">
        <v>0.42916666666666664</v>
      </c>
      <c r="F104" s="121">
        <v>7.38</v>
      </c>
      <c r="G104" s="121">
        <v>21.33</v>
      </c>
      <c r="H104" s="123">
        <v>45496.0</v>
      </c>
      <c r="I104" s="120">
        <v>0.6076388888888888</v>
      </c>
      <c r="J104" s="121">
        <v>6.87</v>
      </c>
      <c r="K104" s="140">
        <v>18.52</v>
      </c>
      <c r="L104" s="141">
        <f t="shared" si="7"/>
        <v>0.51</v>
      </c>
      <c r="M104" s="122" t="s">
        <v>12</v>
      </c>
      <c r="N104" s="178" t="s">
        <v>235</v>
      </c>
      <c r="O104" s="59"/>
      <c r="P104" s="173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  <c r="AA104" s="175"/>
      <c r="AB104" s="175"/>
      <c r="AC104" s="175"/>
    </row>
    <row r="105" ht="15.75" customHeight="1">
      <c r="A105" s="128" t="s">
        <v>245</v>
      </c>
      <c r="B105" s="181">
        <v>45489.0</v>
      </c>
      <c r="C105" s="161">
        <v>0.4708333333333333</v>
      </c>
      <c r="D105" s="133">
        <v>45491.0</v>
      </c>
      <c r="E105" s="131">
        <v>0.44166666666666665</v>
      </c>
      <c r="F105" s="132">
        <v>7.22</v>
      </c>
      <c r="G105" s="132">
        <v>22.91</v>
      </c>
      <c r="H105" s="181">
        <v>45496.0</v>
      </c>
      <c r="I105" s="131">
        <v>0.5861111111111111</v>
      </c>
      <c r="J105" s="132">
        <v>5.66</v>
      </c>
      <c r="K105" s="135">
        <v>19.22</v>
      </c>
      <c r="L105" s="154">
        <f t="shared" si="7"/>
        <v>1.56</v>
      </c>
      <c r="M105" s="122" t="s">
        <v>12</v>
      </c>
      <c r="N105" s="178" t="s">
        <v>235</v>
      </c>
      <c r="O105" s="59"/>
      <c r="P105" s="173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  <c r="AA105" s="175"/>
      <c r="AB105" s="175"/>
      <c r="AC105" s="175"/>
    </row>
    <row r="106" ht="15.75" customHeight="1">
      <c r="A106" s="128" t="s">
        <v>246</v>
      </c>
      <c r="B106" s="181">
        <v>45489.0</v>
      </c>
      <c r="C106" s="161">
        <v>0.4708333333333333</v>
      </c>
      <c r="D106" s="133">
        <v>45491.0</v>
      </c>
      <c r="E106" s="131">
        <v>0.44027777777777777</v>
      </c>
      <c r="F106" s="132">
        <v>7.19</v>
      </c>
      <c r="G106" s="132">
        <v>23.34</v>
      </c>
      <c r="H106" s="181">
        <v>45496.0</v>
      </c>
      <c r="I106" s="131">
        <v>0.5875</v>
      </c>
      <c r="J106" s="132">
        <v>6.55</v>
      </c>
      <c r="K106" s="135">
        <v>19.5</v>
      </c>
      <c r="L106" s="154">
        <f t="shared" si="7"/>
        <v>0.64</v>
      </c>
      <c r="M106" s="122" t="s">
        <v>12</v>
      </c>
      <c r="N106" s="178" t="s">
        <v>235</v>
      </c>
      <c r="O106" s="59"/>
      <c r="P106" s="173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  <c r="AA106" s="175"/>
      <c r="AB106" s="175"/>
      <c r="AC106" s="175"/>
    </row>
    <row r="107" ht="15.75" customHeight="1">
      <c r="A107" s="137" t="s">
        <v>247</v>
      </c>
      <c r="B107" s="177">
        <v>45489.0</v>
      </c>
      <c r="C107" s="144">
        <v>0.4708333333333333</v>
      </c>
      <c r="D107" s="123">
        <v>45491.0</v>
      </c>
      <c r="E107" s="120">
        <v>0.4395833333333333</v>
      </c>
      <c r="F107" s="121">
        <v>7.19</v>
      </c>
      <c r="G107" s="121">
        <v>23.36</v>
      </c>
      <c r="H107" s="123">
        <v>45496.0</v>
      </c>
      <c r="I107" s="120">
        <v>0.5902777777777778</v>
      </c>
      <c r="J107" s="121">
        <v>6.52</v>
      </c>
      <c r="K107" s="140">
        <v>18.63</v>
      </c>
      <c r="L107" s="141">
        <f t="shared" si="7"/>
        <v>0.67</v>
      </c>
      <c r="M107" s="122" t="s">
        <v>12</v>
      </c>
      <c r="N107" s="178" t="s">
        <v>235</v>
      </c>
      <c r="O107" s="59"/>
      <c r="P107" s="173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</row>
    <row r="108" ht="15.75" customHeight="1">
      <c r="A108" s="137" t="s">
        <v>248</v>
      </c>
      <c r="B108" s="177">
        <v>45489.0</v>
      </c>
      <c r="C108" s="144">
        <v>0.4708333333333333</v>
      </c>
      <c r="D108" s="123">
        <v>45491.0</v>
      </c>
      <c r="E108" s="120">
        <v>0.4527777777777778</v>
      </c>
      <c r="F108" s="121">
        <v>7.05</v>
      </c>
      <c r="G108" s="121">
        <v>23.15</v>
      </c>
      <c r="H108" s="123">
        <v>45496.0</v>
      </c>
      <c r="I108" s="120">
        <v>0.5930555555555556</v>
      </c>
      <c r="J108" s="121">
        <v>6.56</v>
      </c>
      <c r="K108" s="140">
        <v>18.71</v>
      </c>
      <c r="L108" s="141">
        <f t="shared" si="7"/>
        <v>0.49</v>
      </c>
      <c r="M108" s="122" t="s">
        <v>12</v>
      </c>
      <c r="N108" s="178" t="s">
        <v>235</v>
      </c>
      <c r="O108" s="59"/>
      <c r="P108" s="176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  <c r="AA108" s="175"/>
      <c r="AB108" s="175"/>
      <c r="AC108" s="175"/>
    </row>
    <row r="109" ht="15.0" customHeight="1">
      <c r="A109" s="137" t="s">
        <v>249</v>
      </c>
      <c r="B109" s="177">
        <v>45489.0</v>
      </c>
      <c r="C109" s="144">
        <v>0.4847222222222222</v>
      </c>
      <c r="D109" s="123">
        <v>45491.0</v>
      </c>
      <c r="E109" s="120">
        <v>0.4618055555555556</v>
      </c>
      <c r="F109" s="121">
        <v>7.29</v>
      </c>
      <c r="G109" s="121">
        <v>21.71</v>
      </c>
      <c r="H109" s="123">
        <v>45496.0</v>
      </c>
      <c r="I109" s="120">
        <v>0.5770833333333333</v>
      </c>
      <c r="J109" s="121">
        <v>6.94</v>
      </c>
      <c r="K109" s="140">
        <v>19.04</v>
      </c>
      <c r="L109" s="141">
        <f t="shared" si="7"/>
        <v>0.35</v>
      </c>
      <c r="M109" s="122" t="s">
        <v>12</v>
      </c>
      <c r="N109" s="178" t="s">
        <v>235</v>
      </c>
      <c r="O109" s="59"/>
      <c r="P109" s="173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  <c r="AA109" s="175"/>
      <c r="AB109" s="175"/>
      <c r="AC109" s="175"/>
    </row>
    <row r="110" ht="15.0" customHeight="1">
      <c r="A110" s="137" t="s">
        <v>250</v>
      </c>
      <c r="B110" s="177">
        <v>45489.0</v>
      </c>
      <c r="C110" s="144">
        <v>0.4847222222222222</v>
      </c>
      <c r="D110" s="123">
        <v>45491.0</v>
      </c>
      <c r="E110" s="120">
        <v>0.4638888888888889</v>
      </c>
      <c r="F110" s="121">
        <v>7.1</v>
      </c>
      <c r="G110" s="121">
        <v>22.01</v>
      </c>
      <c r="H110" s="123">
        <v>45496.0</v>
      </c>
      <c r="I110" s="120">
        <v>0.5805555555555556</v>
      </c>
      <c r="J110" s="121">
        <v>6.77</v>
      </c>
      <c r="K110" s="140">
        <v>19.19</v>
      </c>
      <c r="L110" s="141">
        <f t="shared" si="7"/>
        <v>0.33</v>
      </c>
      <c r="M110" s="122" t="s">
        <v>12</v>
      </c>
      <c r="N110" s="178" t="s">
        <v>235</v>
      </c>
      <c r="O110" s="59"/>
      <c r="P110" s="173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  <c r="AA110" s="175"/>
      <c r="AB110" s="175"/>
      <c r="AC110" s="175"/>
    </row>
    <row r="111" ht="15.75" customHeight="1">
      <c r="A111" s="137" t="s">
        <v>251</v>
      </c>
      <c r="B111" s="177">
        <v>45489.0</v>
      </c>
      <c r="C111" s="144">
        <v>0.5</v>
      </c>
      <c r="D111" s="123">
        <v>45491.0</v>
      </c>
      <c r="E111" s="120">
        <v>0.4652777777777778</v>
      </c>
      <c r="F111" s="121">
        <v>7.1</v>
      </c>
      <c r="G111" s="121">
        <v>22.33</v>
      </c>
      <c r="H111" s="123">
        <v>45496.0</v>
      </c>
      <c r="I111" s="120">
        <v>0.5666666666666667</v>
      </c>
      <c r="J111" s="121">
        <v>6.54</v>
      </c>
      <c r="K111" s="140">
        <v>19.43</v>
      </c>
      <c r="L111" s="141">
        <f t="shared" si="7"/>
        <v>0.56</v>
      </c>
      <c r="M111" s="122" t="s">
        <v>12</v>
      </c>
      <c r="N111" s="178" t="s">
        <v>235</v>
      </c>
      <c r="O111" s="59"/>
      <c r="P111" s="173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  <c r="AA111" s="175"/>
      <c r="AB111" s="175"/>
      <c r="AC111" s="175"/>
    </row>
    <row r="112" ht="15.75" customHeight="1">
      <c r="A112" s="137" t="s">
        <v>252</v>
      </c>
      <c r="B112" s="177">
        <v>45489.0</v>
      </c>
      <c r="C112" s="144">
        <v>0.5</v>
      </c>
      <c r="D112" s="123">
        <v>45491.0</v>
      </c>
      <c r="E112" s="120">
        <v>0.4673611111111111</v>
      </c>
      <c r="F112" s="121">
        <v>7.23</v>
      </c>
      <c r="G112" s="121">
        <v>22.19</v>
      </c>
      <c r="H112" s="123">
        <v>45496.0</v>
      </c>
      <c r="I112" s="120">
        <v>0.5694444444444444</v>
      </c>
      <c r="J112" s="121">
        <v>6.89</v>
      </c>
      <c r="K112" s="140">
        <v>19.7</v>
      </c>
      <c r="L112" s="141">
        <f t="shared" si="7"/>
        <v>0.34</v>
      </c>
      <c r="M112" s="122" t="s">
        <v>12</v>
      </c>
      <c r="N112" s="178" t="s">
        <v>235</v>
      </c>
      <c r="O112" s="59"/>
      <c r="P112" s="173"/>
      <c r="Q112" s="175"/>
      <c r="R112" s="175"/>
      <c r="S112" s="175"/>
      <c r="T112" s="175"/>
      <c r="U112" s="175"/>
      <c r="V112" s="175"/>
      <c r="W112" s="175"/>
      <c r="X112" s="175"/>
      <c r="Y112" s="175"/>
      <c r="Z112" s="175"/>
      <c r="AA112" s="175"/>
      <c r="AB112" s="175"/>
      <c r="AC112" s="175"/>
    </row>
    <row r="113" ht="15.75" customHeight="1">
      <c r="A113" s="137" t="s">
        <v>239</v>
      </c>
      <c r="B113" s="159" t="s">
        <v>74</v>
      </c>
      <c r="C113" s="137" t="s">
        <v>74</v>
      </c>
      <c r="D113" s="123">
        <v>45491.0</v>
      </c>
      <c r="E113" s="120">
        <v>0.4097222222222222</v>
      </c>
      <c r="F113" s="121">
        <v>8.33</v>
      </c>
      <c r="G113" s="121">
        <v>25.4</v>
      </c>
      <c r="H113" s="123">
        <v>45496.0</v>
      </c>
      <c r="I113" s="120">
        <v>0.5638888888888889</v>
      </c>
      <c r="J113" s="121">
        <v>8.51</v>
      </c>
      <c r="K113" s="140">
        <v>24.87</v>
      </c>
      <c r="L113" s="141">
        <f t="shared" si="7"/>
        <v>-0.18</v>
      </c>
      <c r="M113" s="122" t="s">
        <v>12</v>
      </c>
      <c r="N113" s="178" t="s">
        <v>235</v>
      </c>
      <c r="O113" s="59"/>
      <c r="P113" s="173"/>
      <c r="Q113" s="175"/>
      <c r="R113" s="175"/>
      <c r="S113" s="175"/>
      <c r="T113" s="175"/>
      <c r="U113" s="175"/>
      <c r="V113" s="175"/>
      <c r="W113" s="175"/>
      <c r="X113" s="175"/>
      <c r="Y113" s="175"/>
      <c r="Z113" s="175"/>
      <c r="AA113" s="175"/>
      <c r="AB113" s="175"/>
      <c r="AC113" s="175"/>
    </row>
    <row r="114" ht="15.75" customHeight="1">
      <c r="A114" s="137" t="s">
        <v>253</v>
      </c>
      <c r="B114" s="123">
        <v>45491.0</v>
      </c>
      <c r="C114" s="144">
        <v>0.8131944444444444</v>
      </c>
      <c r="D114" s="123">
        <v>45491.0</v>
      </c>
      <c r="E114" s="120">
        <v>0.6506944444444445</v>
      </c>
      <c r="F114" s="121">
        <v>7.78</v>
      </c>
      <c r="G114" s="121">
        <v>20.23</v>
      </c>
      <c r="H114" s="123">
        <v>45496.0</v>
      </c>
      <c r="I114" s="120">
        <v>0.5715277777777777</v>
      </c>
      <c r="J114" s="121">
        <v>6.64</v>
      </c>
      <c r="K114" s="140">
        <v>20.14</v>
      </c>
      <c r="L114" s="141">
        <f t="shared" si="7"/>
        <v>1.14</v>
      </c>
      <c r="M114" s="122" t="s">
        <v>12</v>
      </c>
      <c r="N114" s="178" t="s">
        <v>235</v>
      </c>
      <c r="O114" s="59"/>
      <c r="P114" s="173"/>
      <c r="Q114" s="175"/>
      <c r="R114" s="175"/>
      <c r="S114" s="175"/>
      <c r="T114" s="175"/>
      <c r="U114" s="175"/>
      <c r="V114" s="175"/>
      <c r="W114" s="175"/>
      <c r="X114" s="175"/>
      <c r="Y114" s="175"/>
      <c r="Z114" s="175"/>
      <c r="AA114" s="175"/>
      <c r="AB114" s="175"/>
      <c r="AC114" s="175"/>
    </row>
    <row r="115" ht="15.75" customHeight="1">
      <c r="A115" s="137" t="s">
        <v>254</v>
      </c>
      <c r="B115" s="123">
        <v>45491.0</v>
      </c>
      <c r="C115" s="144">
        <v>0.8131944444444444</v>
      </c>
      <c r="D115" s="123">
        <v>45491.0</v>
      </c>
      <c r="E115" s="120">
        <v>0.6520833333333333</v>
      </c>
      <c r="F115" s="121">
        <v>8.8</v>
      </c>
      <c r="G115" s="121">
        <v>20.15</v>
      </c>
      <c r="H115" s="123">
        <v>45496.0</v>
      </c>
      <c r="I115" s="120">
        <v>0.5736111111111111</v>
      </c>
      <c r="J115" s="121">
        <v>7.17</v>
      </c>
      <c r="K115" s="140">
        <v>20.13</v>
      </c>
      <c r="L115" s="141">
        <f t="shared" si="7"/>
        <v>1.63</v>
      </c>
      <c r="M115" s="122" t="s">
        <v>12</v>
      </c>
      <c r="N115" s="178" t="s">
        <v>235</v>
      </c>
      <c r="O115" s="59"/>
      <c r="P115" s="173"/>
      <c r="Q115" s="175"/>
      <c r="R115" s="175"/>
      <c r="S115" s="175"/>
      <c r="T115" s="175"/>
      <c r="U115" s="175"/>
      <c r="V115" s="175"/>
      <c r="W115" s="175"/>
      <c r="X115" s="175"/>
      <c r="Y115" s="175"/>
      <c r="Z115" s="175"/>
      <c r="AA115" s="175"/>
      <c r="AB115" s="175"/>
      <c r="AC115" s="175"/>
    </row>
    <row r="116" ht="15.75" customHeight="1">
      <c r="A116" s="137" t="s">
        <v>255</v>
      </c>
      <c r="B116" s="123">
        <v>45491.0</v>
      </c>
      <c r="C116" s="144">
        <v>0.8277777777777777</v>
      </c>
      <c r="D116" s="123">
        <v>45491.0</v>
      </c>
      <c r="E116" s="120">
        <v>0.6534722222222222</v>
      </c>
      <c r="F116" s="121">
        <v>8.93</v>
      </c>
      <c r="G116" s="121">
        <v>20.05</v>
      </c>
      <c r="H116" s="123">
        <v>45496.0</v>
      </c>
      <c r="I116" s="120">
        <v>0.5840277777777778</v>
      </c>
      <c r="J116" s="121">
        <v>6.65</v>
      </c>
      <c r="K116" s="140">
        <v>20.17</v>
      </c>
      <c r="L116" s="141">
        <f t="shared" si="7"/>
        <v>2.28</v>
      </c>
      <c r="M116" s="122" t="s">
        <v>12</v>
      </c>
      <c r="N116" s="178" t="s">
        <v>235</v>
      </c>
      <c r="O116" s="64"/>
      <c r="P116" s="173"/>
      <c r="Q116" s="175"/>
      <c r="R116" s="175"/>
      <c r="S116" s="175"/>
      <c r="T116" s="175"/>
      <c r="U116" s="175"/>
      <c r="V116" s="175"/>
      <c r="W116" s="175"/>
      <c r="X116" s="175"/>
      <c r="Y116" s="175"/>
      <c r="Z116" s="175"/>
      <c r="AA116" s="175"/>
      <c r="AB116" s="175"/>
      <c r="AC116" s="175"/>
    </row>
    <row r="117" ht="15.75" customHeight="1">
      <c r="A117" s="137" t="s">
        <v>256</v>
      </c>
      <c r="B117" s="123">
        <v>45491.0</v>
      </c>
      <c r="C117" s="144">
        <v>0.8277777777777777</v>
      </c>
      <c r="D117" s="123">
        <v>45491.0</v>
      </c>
      <c r="E117" s="120">
        <v>0.6548611111111111</v>
      </c>
      <c r="F117" s="121">
        <v>7.56</v>
      </c>
      <c r="G117" s="121">
        <v>20.16</v>
      </c>
      <c r="H117" s="123">
        <v>45496.0</v>
      </c>
      <c r="I117" s="120">
        <v>0.5861111111111111</v>
      </c>
      <c r="J117" s="121">
        <v>6.85</v>
      </c>
      <c r="K117" s="140">
        <v>20.17</v>
      </c>
      <c r="L117" s="141">
        <f t="shared" si="7"/>
        <v>0.71</v>
      </c>
      <c r="M117" s="122" t="s">
        <v>12</v>
      </c>
      <c r="N117" s="178" t="s">
        <v>235</v>
      </c>
      <c r="O117" s="182" t="s">
        <v>257</v>
      </c>
      <c r="P117" s="173"/>
      <c r="Q117" s="175"/>
      <c r="R117" s="175"/>
      <c r="S117" s="175"/>
      <c r="T117" s="175"/>
      <c r="U117" s="175"/>
      <c r="V117" s="175"/>
      <c r="W117" s="175"/>
      <c r="X117" s="175"/>
      <c r="Y117" s="175"/>
      <c r="Z117" s="175"/>
      <c r="AA117" s="175"/>
      <c r="AB117" s="175"/>
      <c r="AC117" s="175"/>
    </row>
    <row r="118" ht="15.75" customHeight="1">
      <c r="A118" s="137" t="s">
        <v>239</v>
      </c>
      <c r="B118" s="159" t="s">
        <v>74</v>
      </c>
      <c r="C118" s="137" t="s">
        <v>74</v>
      </c>
      <c r="D118" s="183">
        <v>45504.0</v>
      </c>
      <c r="E118" s="120">
        <v>0.4340277777777778</v>
      </c>
      <c r="F118" s="121">
        <v>8.3</v>
      </c>
      <c r="G118" s="121">
        <v>24.5</v>
      </c>
      <c r="H118" s="123">
        <v>45509.0</v>
      </c>
      <c r="I118" s="120">
        <v>0.50625</v>
      </c>
      <c r="J118" s="121">
        <v>8.45</v>
      </c>
      <c r="K118" s="140">
        <v>23.71</v>
      </c>
      <c r="L118" s="141">
        <f t="shared" si="7"/>
        <v>-0.15</v>
      </c>
      <c r="M118" s="122" t="s">
        <v>12</v>
      </c>
      <c r="N118" s="126" t="s">
        <v>258</v>
      </c>
      <c r="O118" s="59"/>
      <c r="P118" s="173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</row>
    <row r="119" ht="15.75" customHeight="1">
      <c r="A119" s="128" t="s">
        <v>259</v>
      </c>
      <c r="B119" s="184">
        <v>45503.0</v>
      </c>
      <c r="C119" s="130">
        <v>0.2673611111111111</v>
      </c>
      <c r="D119" s="184">
        <v>45504.0</v>
      </c>
      <c r="E119" s="131">
        <v>0.4375</v>
      </c>
      <c r="F119" s="132">
        <v>8.69</v>
      </c>
      <c r="G119" s="132">
        <v>21.83</v>
      </c>
      <c r="H119" s="133">
        <v>45509.0</v>
      </c>
      <c r="I119" s="131">
        <v>0.5083333333333333</v>
      </c>
      <c r="J119" s="132">
        <v>5.68</v>
      </c>
      <c r="K119" s="135">
        <v>21.12</v>
      </c>
      <c r="L119" s="141">
        <f t="shared" si="7"/>
        <v>3.01</v>
      </c>
      <c r="M119" s="122" t="s">
        <v>12</v>
      </c>
      <c r="N119" s="126" t="s">
        <v>258</v>
      </c>
      <c r="O119" s="59"/>
      <c r="P119" s="173"/>
      <c r="Q119" s="175"/>
      <c r="R119" s="175"/>
      <c r="S119" s="175"/>
      <c r="T119" s="175"/>
      <c r="U119" s="175"/>
      <c r="V119" s="175"/>
      <c r="W119" s="175"/>
      <c r="X119" s="175"/>
      <c r="Y119" s="175"/>
      <c r="Z119" s="175"/>
      <c r="AA119" s="175"/>
      <c r="AB119" s="175"/>
      <c r="AC119" s="175"/>
    </row>
    <row r="120" ht="15.75" customHeight="1">
      <c r="A120" s="128" t="s">
        <v>260</v>
      </c>
      <c r="B120" s="184">
        <v>45503.0</v>
      </c>
      <c r="C120" s="130">
        <v>0.2673611111111111</v>
      </c>
      <c r="D120" s="184">
        <v>45504.0</v>
      </c>
      <c r="E120" s="131">
        <v>0.4375</v>
      </c>
      <c r="F120" s="132">
        <v>8.69</v>
      </c>
      <c r="G120" s="132">
        <v>21.83</v>
      </c>
      <c r="H120" s="133">
        <v>45509.0</v>
      </c>
      <c r="I120" s="131">
        <v>0.5111111111111111</v>
      </c>
      <c r="J120" s="132">
        <v>6.91</v>
      </c>
      <c r="K120" s="135">
        <v>20.48</v>
      </c>
      <c r="L120" s="141">
        <f t="shared" si="7"/>
        <v>1.78</v>
      </c>
      <c r="M120" s="122" t="s">
        <v>12</v>
      </c>
      <c r="N120" s="126" t="s">
        <v>258</v>
      </c>
      <c r="O120" s="59"/>
      <c r="P120" s="173"/>
      <c r="Q120" s="175"/>
      <c r="R120" s="175"/>
      <c r="S120" s="175"/>
      <c r="T120" s="175"/>
      <c r="U120" s="175"/>
      <c r="V120" s="175"/>
      <c r="W120" s="175"/>
      <c r="X120" s="175"/>
      <c r="Y120" s="175"/>
      <c r="Z120" s="175"/>
      <c r="AA120" s="175"/>
      <c r="AB120" s="175"/>
      <c r="AC120" s="175"/>
    </row>
    <row r="121">
      <c r="A121" s="137" t="s">
        <v>261</v>
      </c>
      <c r="B121" s="177">
        <v>45503.0</v>
      </c>
      <c r="C121" s="170">
        <v>0.2673611111111111</v>
      </c>
      <c r="D121" s="183">
        <v>45504.0</v>
      </c>
      <c r="E121" s="120">
        <v>0.4375</v>
      </c>
      <c r="F121" s="169">
        <v>8.69</v>
      </c>
      <c r="G121" s="168">
        <v>21.83</v>
      </c>
      <c r="H121" s="123">
        <v>45509.0</v>
      </c>
      <c r="I121" s="170">
        <v>0.5125</v>
      </c>
      <c r="J121" s="169">
        <v>6.9</v>
      </c>
      <c r="K121" s="168">
        <v>20.38</v>
      </c>
      <c r="L121" s="141">
        <f t="shared" si="7"/>
        <v>1.79</v>
      </c>
      <c r="M121" s="122" t="s">
        <v>12</v>
      </c>
      <c r="N121" s="126" t="s">
        <v>258</v>
      </c>
      <c r="O121" s="59"/>
      <c r="P121" s="172"/>
      <c r="Q121" s="172"/>
      <c r="R121" s="172"/>
      <c r="S121" s="172"/>
      <c r="T121" s="172"/>
      <c r="U121" s="172"/>
      <c r="V121" s="172"/>
      <c r="W121" s="172"/>
      <c r="X121" s="172"/>
      <c r="Y121" s="172"/>
      <c r="Z121" s="172"/>
      <c r="AA121" s="172"/>
      <c r="AB121" s="172"/>
      <c r="AC121" s="172"/>
    </row>
    <row r="122" ht="15.75" customHeight="1">
      <c r="A122" s="137" t="s">
        <v>262</v>
      </c>
      <c r="B122" s="177">
        <v>45503.0</v>
      </c>
      <c r="C122" s="170">
        <v>0.2673611111111111</v>
      </c>
      <c r="D122" s="183">
        <v>45504.0</v>
      </c>
      <c r="E122" s="120">
        <v>0.44305555555555554</v>
      </c>
      <c r="F122" s="121">
        <v>8.52</v>
      </c>
      <c r="G122" s="121">
        <v>20.21</v>
      </c>
      <c r="H122" s="123">
        <v>45509.0</v>
      </c>
      <c r="I122" s="120">
        <v>0.5145833333333333</v>
      </c>
      <c r="J122" s="121">
        <v>6.9</v>
      </c>
      <c r="K122" s="140">
        <v>21.53</v>
      </c>
      <c r="L122" s="141">
        <f t="shared" si="7"/>
        <v>1.62</v>
      </c>
      <c r="M122" s="122" t="s">
        <v>12</v>
      </c>
      <c r="N122" s="126" t="s">
        <v>258</v>
      </c>
      <c r="O122" s="59"/>
      <c r="P122" s="173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  <c r="AA122" s="175"/>
      <c r="AB122" s="175"/>
      <c r="AC122" s="175"/>
    </row>
    <row r="123" ht="15.75" customHeight="1">
      <c r="A123" s="128" t="s">
        <v>263</v>
      </c>
      <c r="B123" s="184">
        <v>45503.0</v>
      </c>
      <c r="C123" s="130">
        <v>0.28680555555555554</v>
      </c>
      <c r="D123" s="184">
        <v>45504.0</v>
      </c>
      <c r="E123" s="131">
        <v>0.45555555555555555</v>
      </c>
      <c r="F123" s="132">
        <v>8.6</v>
      </c>
      <c r="G123" s="132">
        <v>22.9</v>
      </c>
      <c r="H123" s="133">
        <v>45509.0</v>
      </c>
      <c r="I123" s="131">
        <v>0.5194444444444445</v>
      </c>
      <c r="J123" s="132">
        <v>5.82</v>
      </c>
      <c r="K123" s="135">
        <v>21.34</v>
      </c>
      <c r="L123" s="141">
        <f t="shared" si="7"/>
        <v>2.78</v>
      </c>
      <c r="M123" s="122" t="s">
        <v>12</v>
      </c>
      <c r="N123" s="126" t="s">
        <v>258</v>
      </c>
      <c r="O123" s="59"/>
      <c r="P123" s="173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  <c r="AA123" s="175"/>
      <c r="AB123" s="175"/>
      <c r="AC123" s="175"/>
    </row>
    <row r="124" ht="15.75" customHeight="1">
      <c r="A124" s="128" t="s">
        <v>264</v>
      </c>
      <c r="B124" s="184">
        <v>45503.0</v>
      </c>
      <c r="C124" s="130">
        <v>0.28680555555555554</v>
      </c>
      <c r="D124" s="184">
        <v>45504.0</v>
      </c>
      <c r="E124" s="131">
        <v>0.45555555555555555</v>
      </c>
      <c r="F124" s="132">
        <v>8.6</v>
      </c>
      <c r="G124" s="132">
        <v>22.9</v>
      </c>
      <c r="H124" s="133">
        <v>45509.0</v>
      </c>
      <c r="I124" s="131">
        <v>0.5173611111111112</v>
      </c>
      <c r="J124" s="132">
        <v>6.85</v>
      </c>
      <c r="K124" s="135">
        <v>21.04</v>
      </c>
      <c r="L124" s="141">
        <f t="shared" si="7"/>
        <v>1.75</v>
      </c>
      <c r="M124" s="122" t="s">
        <v>12</v>
      </c>
      <c r="N124" s="126" t="s">
        <v>258</v>
      </c>
      <c r="O124" s="59"/>
      <c r="P124" s="173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  <c r="AA124" s="175"/>
      <c r="AB124" s="175"/>
      <c r="AC124" s="175"/>
    </row>
    <row r="125" ht="15.75" customHeight="1">
      <c r="A125" s="137" t="s">
        <v>265</v>
      </c>
      <c r="B125" s="177">
        <v>45503.0</v>
      </c>
      <c r="C125" s="139">
        <v>0.28680555555555554</v>
      </c>
      <c r="D125" s="183">
        <v>45504.0</v>
      </c>
      <c r="E125" s="120">
        <v>0.45555555555555555</v>
      </c>
      <c r="F125" s="121">
        <v>8.6</v>
      </c>
      <c r="G125" s="121">
        <v>22.9</v>
      </c>
      <c r="H125" s="123">
        <v>45509.0</v>
      </c>
      <c r="I125" s="120">
        <v>0.5166666666666667</v>
      </c>
      <c r="J125" s="121">
        <v>6.94</v>
      </c>
      <c r="K125" s="140">
        <v>21.51</v>
      </c>
      <c r="L125" s="141">
        <f t="shared" si="7"/>
        <v>1.66</v>
      </c>
      <c r="M125" s="122" t="s">
        <v>12</v>
      </c>
      <c r="N125" s="126" t="s">
        <v>258</v>
      </c>
      <c r="O125" s="59"/>
      <c r="P125" s="173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  <c r="AA125" s="171"/>
      <c r="AB125" s="171"/>
      <c r="AC125" s="171"/>
    </row>
    <row r="126" ht="15.75" customHeight="1">
      <c r="A126" s="137" t="s">
        <v>266</v>
      </c>
      <c r="B126" s="177">
        <v>45503.0</v>
      </c>
      <c r="C126" s="185">
        <v>0.28680555555555554</v>
      </c>
      <c r="D126" s="183">
        <v>45504.0</v>
      </c>
      <c r="E126" s="120">
        <v>0.46319444444444446</v>
      </c>
      <c r="F126" s="121">
        <v>8.37</v>
      </c>
      <c r="G126" s="159">
        <v>20.09</v>
      </c>
      <c r="H126" s="123">
        <v>45509.0</v>
      </c>
      <c r="I126" s="120">
        <v>0.5201388888888889</v>
      </c>
      <c r="J126" s="121">
        <v>7.12</v>
      </c>
      <c r="K126" s="140">
        <v>21.0</v>
      </c>
      <c r="L126" s="141">
        <f t="shared" si="7"/>
        <v>1.25</v>
      </c>
      <c r="M126" s="122" t="s">
        <v>12</v>
      </c>
      <c r="N126" s="126" t="s">
        <v>258</v>
      </c>
      <c r="O126" s="64"/>
      <c r="P126" s="176"/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  <c r="AA126" s="175"/>
      <c r="AB126" s="175"/>
      <c r="AC126" s="175"/>
    </row>
    <row r="127" ht="15.75" customHeight="1">
      <c r="A127" s="186"/>
      <c r="B127" s="187"/>
      <c r="C127" s="187"/>
      <c r="D127" s="187"/>
      <c r="E127" s="187"/>
      <c r="F127" s="187"/>
      <c r="G127" s="187"/>
      <c r="H127" s="187"/>
      <c r="I127" s="188"/>
      <c r="J127" s="187"/>
      <c r="K127" s="189"/>
      <c r="L127" s="187"/>
      <c r="M127" s="187"/>
      <c r="N127" s="190"/>
      <c r="O127" s="191"/>
      <c r="P127" s="192"/>
    </row>
    <row r="128" ht="15.75" customHeight="1">
      <c r="A128" s="186"/>
      <c r="B128" s="187"/>
      <c r="C128" s="187"/>
      <c r="D128" s="187"/>
      <c r="E128" s="187"/>
      <c r="F128" s="187"/>
      <c r="G128" s="187"/>
      <c r="H128" s="187"/>
      <c r="I128" s="188"/>
      <c r="J128" s="187"/>
      <c r="K128" s="189"/>
      <c r="L128" s="187"/>
      <c r="M128" s="187"/>
      <c r="N128" s="190"/>
      <c r="O128" s="191"/>
      <c r="P128" s="192"/>
    </row>
    <row r="129" ht="15.75" customHeight="1">
      <c r="A129" s="186"/>
      <c r="B129" s="187"/>
      <c r="C129" s="187"/>
      <c r="D129" s="187"/>
      <c r="E129" s="187"/>
      <c r="F129" s="187"/>
      <c r="G129" s="187"/>
      <c r="H129" s="187"/>
      <c r="I129" s="188"/>
      <c r="J129" s="187"/>
      <c r="K129" s="189"/>
      <c r="L129" s="187"/>
      <c r="M129" s="187"/>
      <c r="N129" s="190"/>
      <c r="O129" s="191"/>
      <c r="P129" s="192"/>
    </row>
    <row r="130" ht="15.75" customHeight="1">
      <c r="A130" s="186"/>
      <c r="B130" s="187"/>
      <c r="C130" s="187"/>
      <c r="D130" s="187"/>
      <c r="E130" s="187"/>
      <c r="F130" s="187"/>
      <c r="G130" s="187"/>
      <c r="H130" s="187"/>
      <c r="I130" s="188"/>
      <c r="J130" s="187"/>
      <c r="K130" s="189"/>
      <c r="L130" s="187"/>
      <c r="M130" s="187"/>
      <c r="N130" s="190"/>
      <c r="O130" s="191"/>
      <c r="P130" s="192"/>
    </row>
    <row r="131">
      <c r="A131" s="186"/>
      <c r="B131" s="187"/>
      <c r="C131" s="187"/>
      <c r="D131" s="187"/>
      <c r="E131" s="187"/>
      <c r="F131" s="187"/>
      <c r="G131" s="187"/>
      <c r="H131" s="187"/>
      <c r="I131" s="188"/>
      <c r="J131" s="187"/>
      <c r="K131" s="193"/>
      <c r="L131" s="187"/>
      <c r="M131" s="187"/>
      <c r="N131" s="190"/>
      <c r="O131" s="191"/>
      <c r="P131" s="192"/>
    </row>
    <row r="132" ht="15.75" customHeight="1">
      <c r="A132" s="186"/>
      <c r="B132" s="187"/>
      <c r="C132" s="187"/>
      <c r="D132" s="187"/>
      <c r="E132" s="187"/>
      <c r="F132" s="187"/>
      <c r="G132" s="187"/>
      <c r="H132" s="187"/>
      <c r="I132" s="188"/>
      <c r="J132" s="187"/>
      <c r="K132" s="189"/>
      <c r="L132" s="187"/>
      <c r="M132" s="187"/>
      <c r="N132" s="190"/>
      <c r="O132" s="191"/>
      <c r="P132" s="192"/>
    </row>
    <row r="133" ht="15.75" customHeight="1">
      <c r="A133" s="186"/>
      <c r="B133" s="187"/>
      <c r="C133" s="187"/>
      <c r="D133" s="187"/>
      <c r="E133" s="187"/>
      <c r="F133" s="187"/>
      <c r="G133" s="187"/>
      <c r="H133" s="187"/>
      <c r="I133" s="188"/>
      <c r="J133" s="187"/>
      <c r="K133" s="189"/>
      <c r="L133" s="187"/>
      <c r="M133" s="187"/>
      <c r="N133" s="190"/>
      <c r="O133" s="191"/>
      <c r="P133" s="192"/>
    </row>
    <row r="134" ht="15.75" customHeight="1">
      <c r="A134" s="186"/>
      <c r="B134" s="187"/>
      <c r="C134" s="187"/>
      <c r="D134" s="187"/>
      <c r="E134" s="187"/>
      <c r="F134" s="187"/>
      <c r="G134" s="187"/>
      <c r="H134" s="187"/>
      <c r="I134" s="188"/>
      <c r="J134" s="187"/>
      <c r="K134" s="189"/>
      <c r="L134" s="187"/>
      <c r="M134" s="187"/>
      <c r="N134" s="190"/>
      <c r="O134" s="191"/>
      <c r="P134" s="192"/>
    </row>
    <row r="135" ht="15.75" customHeight="1">
      <c r="A135" s="186"/>
      <c r="B135" s="187"/>
      <c r="C135" s="187"/>
      <c r="D135" s="187"/>
      <c r="E135" s="187"/>
      <c r="F135" s="187"/>
      <c r="G135" s="187"/>
      <c r="H135" s="187"/>
      <c r="I135" s="188"/>
      <c r="J135" s="187"/>
      <c r="K135" s="189"/>
      <c r="L135" s="187"/>
      <c r="M135" s="187"/>
      <c r="N135" s="190"/>
      <c r="O135" s="191"/>
      <c r="P135" s="192"/>
    </row>
    <row r="136" ht="15.75" customHeight="1">
      <c r="A136" s="186"/>
      <c r="B136" s="187"/>
      <c r="C136" s="187"/>
      <c r="D136" s="187"/>
      <c r="E136" s="187"/>
      <c r="F136" s="187"/>
      <c r="G136" s="187"/>
      <c r="H136" s="187"/>
      <c r="I136" s="188"/>
      <c r="J136" s="187"/>
      <c r="K136" s="189"/>
      <c r="L136" s="187"/>
      <c r="M136" s="187"/>
      <c r="N136" s="190"/>
      <c r="O136" s="191"/>
      <c r="P136" s="192"/>
    </row>
    <row r="137" ht="15.75" customHeight="1">
      <c r="A137" s="186"/>
      <c r="B137" s="187"/>
      <c r="C137" s="187"/>
      <c r="D137" s="187"/>
      <c r="E137" s="187"/>
      <c r="F137" s="187"/>
      <c r="G137" s="187"/>
      <c r="H137" s="187"/>
      <c r="I137" s="188"/>
      <c r="J137" s="187"/>
      <c r="K137" s="189"/>
      <c r="L137" s="187"/>
      <c r="M137" s="187"/>
      <c r="N137" s="190"/>
      <c r="O137" s="191"/>
      <c r="P137" s="192"/>
    </row>
    <row r="138" ht="15.75" customHeight="1">
      <c r="A138" s="186"/>
      <c r="B138" s="187"/>
      <c r="C138" s="187"/>
      <c r="D138" s="187"/>
      <c r="E138" s="187"/>
      <c r="F138" s="187"/>
      <c r="G138" s="187"/>
      <c r="H138" s="187"/>
      <c r="I138" s="188"/>
      <c r="J138" s="187"/>
      <c r="K138" s="189"/>
      <c r="L138" s="187"/>
      <c r="M138" s="187"/>
      <c r="N138" s="190"/>
      <c r="O138" s="194"/>
      <c r="P138" s="195"/>
    </row>
    <row r="139" ht="15.75" customHeight="1">
      <c r="A139" s="186"/>
      <c r="B139" s="187"/>
      <c r="C139" s="187"/>
      <c r="D139" s="187"/>
      <c r="E139" s="187"/>
      <c r="F139" s="187"/>
      <c r="G139" s="187"/>
      <c r="H139" s="187"/>
      <c r="I139" s="188"/>
      <c r="J139" s="187"/>
      <c r="K139" s="189"/>
      <c r="L139" s="187"/>
      <c r="M139" s="187"/>
      <c r="N139" s="190"/>
      <c r="O139" s="196"/>
      <c r="P139" s="191"/>
    </row>
    <row r="140" ht="15.75" customHeight="1">
      <c r="A140" s="186"/>
      <c r="B140" s="187"/>
      <c r="C140" s="187"/>
      <c r="D140" s="187"/>
      <c r="E140" s="187"/>
      <c r="F140" s="187"/>
      <c r="G140" s="187"/>
      <c r="H140" s="187"/>
      <c r="I140" s="188"/>
      <c r="J140" s="187"/>
      <c r="K140" s="189"/>
      <c r="L140" s="187"/>
      <c r="M140" s="187"/>
      <c r="N140" s="190"/>
      <c r="O140" s="196"/>
      <c r="P140" s="192"/>
    </row>
    <row r="141" ht="15.75" customHeight="1">
      <c r="A141" s="186"/>
      <c r="B141" s="187"/>
      <c r="C141" s="187"/>
      <c r="D141" s="187"/>
      <c r="E141" s="187"/>
      <c r="F141" s="187"/>
      <c r="G141" s="187"/>
      <c r="H141" s="187"/>
      <c r="I141" s="188"/>
      <c r="J141" s="187"/>
      <c r="K141" s="189"/>
      <c r="L141" s="187"/>
      <c r="M141" s="187"/>
      <c r="N141" s="190"/>
      <c r="O141" s="196"/>
      <c r="P141" s="192"/>
    </row>
    <row r="142" ht="15.75" customHeight="1">
      <c r="A142" s="186"/>
      <c r="B142" s="187"/>
      <c r="C142" s="187"/>
      <c r="D142" s="187"/>
      <c r="E142" s="187"/>
      <c r="F142" s="187"/>
      <c r="G142" s="187"/>
      <c r="H142" s="187"/>
      <c r="I142" s="188"/>
      <c r="J142" s="187"/>
      <c r="K142" s="189"/>
      <c r="L142" s="187"/>
      <c r="M142" s="187"/>
      <c r="N142" s="190"/>
      <c r="O142" s="196"/>
      <c r="P142" s="192"/>
    </row>
    <row r="143" ht="15.75" customHeight="1">
      <c r="A143" s="186"/>
      <c r="B143" s="187"/>
      <c r="C143" s="187"/>
      <c r="D143" s="187"/>
      <c r="E143" s="187"/>
      <c r="F143" s="187"/>
      <c r="G143" s="187"/>
      <c r="H143" s="187"/>
      <c r="I143" s="188"/>
      <c r="J143" s="187"/>
      <c r="K143" s="189"/>
      <c r="L143" s="187"/>
      <c r="M143" s="187"/>
      <c r="N143" s="190"/>
      <c r="O143" s="196"/>
      <c r="P143" s="192"/>
    </row>
    <row r="144" ht="15.75" customHeight="1">
      <c r="A144" s="186"/>
      <c r="B144" s="187"/>
      <c r="C144" s="187"/>
      <c r="D144" s="187"/>
      <c r="E144" s="187"/>
      <c r="F144" s="187"/>
      <c r="G144" s="187"/>
      <c r="H144" s="187"/>
      <c r="I144" s="188"/>
      <c r="J144" s="187"/>
      <c r="K144" s="189"/>
      <c r="L144" s="187"/>
      <c r="M144" s="187"/>
      <c r="N144" s="190"/>
      <c r="O144" s="196"/>
      <c r="P144" s="192"/>
    </row>
    <row r="145" ht="15.75" customHeight="1">
      <c r="A145" s="186"/>
      <c r="B145" s="187"/>
      <c r="C145" s="187"/>
      <c r="D145" s="187"/>
      <c r="E145" s="187"/>
      <c r="F145" s="187"/>
      <c r="G145" s="187"/>
      <c r="H145" s="187"/>
      <c r="I145" s="188"/>
      <c r="J145" s="187"/>
      <c r="K145" s="189"/>
      <c r="L145" s="187"/>
      <c r="M145" s="187"/>
      <c r="N145" s="190"/>
      <c r="O145" s="196"/>
      <c r="P145" s="192"/>
    </row>
    <row r="146" ht="15.75" customHeight="1">
      <c r="A146" s="186"/>
      <c r="B146" s="187"/>
      <c r="C146" s="187"/>
      <c r="D146" s="187"/>
      <c r="E146" s="187"/>
      <c r="F146" s="187"/>
      <c r="G146" s="187"/>
      <c r="H146" s="187"/>
      <c r="I146" s="188"/>
      <c r="J146" s="187"/>
      <c r="K146" s="189"/>
      <c r="L146" s="187"/>
      <c r="M146" s="187"/>
      <c r="N146" s="190"/>
      <c r="O146" s="196"/>
      <c r="P146" s="192"/>
    </row>
    <row r="147" ht="15.75" customHeight="1">
      <c r="A147" s="186"/>
      <c r="B147" s="187"/>
      <c r="C147" s="187"/>
      <c r="D147" s="187"/>
      <c r="E147" s="187"/>
      <c r="F147" s="187"/>
      <c r="G147" s="187"/>
      <c r="H147" s="187"/>
      <c r="I147" s="188"/>
      <c r="J147" s="187"/>
      <c r="K147" s="189"/>
      <c r="L147" s="187"/>
      <c r="M147" s="187"/>
      <c r="N147" s="190"/>
      <c r="O147" s="196"/>
      <c r="P147" s="192"/>
    </row>
    <row r="148" ht="15.75" customHeight="1">
      <c r="A148" s="186"/>
      <c r="B148" s="187"/>
      <c r="C148" s="187"/>
      <c r="D148" s="187"/>
      <c r="E148" s="187"/>
      <c r="F148" s="187"/>
      <c r="G148" s="187"/>
      <c r="H148" s="187"/>
      <c r="I148" s="188"/>
      <c r="J148" s="187"/>
      <c r="K148" s="189"/>
      <c r="L148" s="187"/>
      <c r="M148" s="187"/>
      <c r="N148" s="190"/>
      <c r="O148" s="196"/>
      <c r="P148" s="192"/>
    </row>
    <row r="149" ht="15.75" customHeight="1">
      <c r="A149" s="186"/>
      <c r="B149" s="187"/>
      <c r="C149" s="187"/>
      <c r="D149" s="187"/>
      <c r="E149" s="187"/>
      <c r="F149" s="187"/>
      <c r="G149" s="187"/>
      <c r="H149" s="187"/>
      <c r="I149" s="188"/>
      <c r="J149" s="187"/>
      <c r="K149" s="189"/>
      <c r="L149" s="187"/>
      <c r="M149" s="187"/>
      <c r="N149" s="190"/>
      <c r="O149" s="196"/>
      <c r="P149" s="192"/>
    </row>
    <row r="150" ht="15.75" customHeight="1">
      <c r="A150" s="186"/>
      <c r="B150" s="187"/>
      <c r="C150" s="187"/>
      <c r="D150" s="187"/>
      <c r="E150" s="187"/>
      <c r="F150" s="187"/>
      <c r="G150" s="187"/>
      <c r="H150" s="187"/>
      <c r="I150" s="188"/>
      <c r="J150" s="187"/>
      <c r="K150" s="189"/>
      <c r="L150" s="187"/>
      <c r="M150" s="187"/>
      <c r="N150" s="190"/>
      <c r="O150" s="196"/>
      <c r="P150" s="192"/>
    </row>
    <row r="151" ht="15.75" customHeight="1">
      <c r="A151" s="186"/>
      <c r="B151" s="187"/>
      <c r="C151" s="187"/>
      <c r="D151" s="187"/>
      <c r="E151" s="187"/>
      <c r="F151" s="187"/>
      <c r="G151" s="187"/>
      <c r="H151" s="187"/>
      <c r="I151" s="188"/>
      <c r="J151" s="187"/>
      <c r="K151" s="189"/>
      <c r="L151" s="187"/>
      <c r="M151" s="187"/>
      <c r="N151" s="190"/>
      <c r="O151" s="196"/>
      <c r="P151" s="192"/>
    </row>
    <row r="152" ht="15.75" customHeight="1">
      <c r="A152" s="186"/>
      <c r="B152" s="187"/>
      <c r="C152" s="187"/>
      <c r="D152" s="187"/>
      <c r="E152" s="187"/>
      <c r="F152" s="187"/>
      <c r="G152" s="187"/>
      <c r="H152" s="187"/>
      <c r="I152" s="188"/>
      <c r="J152" s="187"/>
      <c r="K152" s="189"/>
      <c r="L152" s="187"/>
      <c r="M152" s="187"/>
      <c r="N152" s="190"/>
      <c r="O152" s="196"/>
      <c r="P152" s="192"/>
    </row>
    <row r="153" ht="15.75" customHeight="1">
      <c r="A153" s="186"/>
      <c r="B153" s="187"/>
      <c r="C153" s="187"/>
      <c r="D153" s="187"/>
      <c r="E153" s="187"/>
      <c r="F153" s="187"/>
      <c r="G153" s="187"/>
      <c r="H153" s="187"/>
      <c r="I153" s="188"/>
      <c r="J153" s="187"/>
      <c r="K153" s="189"/>
      <c r="L153" s="187"/>
      <c r="M153" s="187"/>
      <c r="N153" s="190"/>
      <c r="O153" s="196"/>
      <c r="P153" s="192"/>
    </row>
    <row r="154" ht="15.75" customHeight="1">
      <c r="A154" s="186"/>
      <c r="B154" s="187"/>
      <c r="C154" s="187"/>
      <c r="D154" s="187"/>
      <c r="E154" s="187"/>
      <c r="F154" s="187"/>
      <c r="G154" s="187"/>
      <c r="H154" s="187"/>
      <c r="I154" s="188"/>
      <c r="J154" s="187"/>
      <c r="K154" s="189"/>
      <c r="L154" s="187"/>
      <c r="M154" s="187"/>
      <c r="N154" s="190"/>
      <c r="O154" s="196"/>
      <c r="P154" s="192"/>
    </row>
    <row r="155" ht="15.75" customHeight="1">
      <c r="A155" s="186"/>
      <c r="B155" s="187"/>
      <c r="C155" s="187"/>
      <c r="D155" s="187"/>
      <c r="E155" s="187"/>
      <c r="F155" s="187"/>
      <c r="G155" s="187"/>
      <c r="H155" s="187"/>
      <c r="I155" s="188"/>
      <c r="J155" s="187"/>
      <c r="K155" s="189"/>
      <c r="L155" s="187"/>
      <c r="M155" s="187"/>
      <c r="N155" s="190"/>
      <c r="O155" s="196"/>
      <c r="P155" s="192"/>
    </row>
    <row r="156" ht="15.75" customHeight="1">
      <c r="A156" s="186"/>
      <c r="B156" s="187"/>
      <c r="C156" s="187"/>
      <c r="D156" s="187"/>
      <c r="E156" s="187"/>
      <c r="F156" s="187"/>
      <c r="G156" s="187"/>
      <c r="H156" s="187"/>
      <c r="I156" s="188"/>
      <c r="J156" s="187"/>
      <c r="K156" s="189"/>
      <c r="L156" s="187"/>
      <c r="M156" s="187"/>
      <c r="N156" s="190"/>
      <c r="O156" s="196"/>
      <c r="P156" s="192"/>
    </row>
    <row r="157" ht="15.75" customHeight="1">
      <c r="A157" s="186"/>
      <c r="B157" s="187"/>
      <c r="C157" s="187"/>
      <c r="D157" s="187"/>
      <c r="E157" s="187"/>
      <c r="F157" s="187"/>
      <c r="G157" s="187"/>
      <c r="H157" s="187"/>
      <c r="I157" s="188"/>
      <c r="J157" s="187"/>
      <c r="K157" s="189"/>
      <c r="L157" s="187"/>
      <c r="M157" s="187"/>
      <c r="N157" s="190"/>
      <c r="O157" s="196"/>
      <c r="P157" s="192"/>
    </row>
    <row r="158" ht="15.75" customHeight="1">
      <c r="A158" s="186"/>
      <c r="B158" s="187"/>
      <c r="C158" s="187"/>
      <c r="D158" s="187"/>
      <c r="E158" s="187"/>
      <c r="F158" s="187"/>
      <c r="G158" s="187"/>
      <c r="H158" s="187"/>
      <c r="I158" s="188"/>
      <c r="J158" s="187"/>
      <c r="K158" s="189"/>
      <c r="L158" s="187"/>
      <c r="M158" s="187"/>
      <c r="N158" s="190"/>
      <c r="O158" s="196"/>
      <c r="P158" s="192"/>
    </row>
    <row r="159" ht="15.75" customHeight="1">
      <c r="A159" s="186"/>
      <c r="B159" s="187"/>
      <c r="C159" s="187"/>
      <c r="D159" s="187"/>
      <c r="E159" s="187"/>
      <c r="F159" s="187"/>
      <c r="G159" s="187"/>
      <c r="H159" s="187"/>
      <c r="I159" s="188"/>
      <c r="J159" s="187"/>
      <c r="K159" s="189"/>
      <c r="L159" s="187"/>
      <c r="M159" s="187"/>
      <c r="N159" s="190"/>
      <c r="O159" s="196"/>
      <c r="P159" s="192"/>
    </row>
    <row r="160" ht="15.75" customHeight="1">
      <c r="A160" s="186"/>
      <c r="B160" s="187"/>
      <c r="C160" s="187"/>
      <c r="D160" s="187"/>
      <c r="E160" s="187"/>
      <c r="F160" s="187"/>
      <c r="G160" s="187"/>
      <c r="H160" s="187"/>
      <c r="I160" s="188"/>
      <c r="J160" s="187"/>
      <c r="K160" s="189"/>
      <c r="L160" s="187"/>
      <c r="M160" s="187"/>
      <c r="N160" s="190"/>
      <c r="O160" s="196"/>
      <c r="P160" s="192"/>
    </row>
    <row r="161" ht="15.75" customHeight="1">
      <c r="A161" s="186"/>
      <c r="B161" s="187"/>
      <c r="C161" s="187"/>
      <c r="D161" s="187"/>
      <c r="E161" s="187"/>
      <c r="F161" s="187"/>
      <c r="G161" s="187"/>
      <c r="H161" s="187"/>
      <c r="I161" s="188"/>
      <c r="J161" s="187"/>
      <c r="K161" s="189"/>
      <c r="L161" s="187"/>
      <c r="M161" s="187"/>
      <c r="N161" s="190"/>
      <c r="O161" s="196"/>
      <c r="P161" s="192"/>
    </row>
    <row r="162" ht="15.75" customHeight="1">
      <c r="A162" s="186"/>
      <c r="B162" s="187"/>
      <c r="C162" s="187"/>
      <c r="D162" s="187"/>
      <c r="E162" s="187"/>
      <c r="F162" s="187"/>
      <c r="G162" s="187"/>
      <c r="H162" s="187"/>
      <c r="I162" s="188"/>
      <c r="J162" s="187"/>
      <c r="K162" s="189"/>
      <c r="L162" s="187"/>
      <c r="M162" s="187"/>
      <c r="N162" s="190"/>
      <c r="O162" s="196"/>
      <c r="P162" s="192"/>
    </row>
    <row r="163" ht="15.75" customHeight="1">
      <c r="A163" s="186"/>
      <c r="B163" s="187"/>
      <c r="C163" s="187"/>
      <c r="D163" s="187"/>
      <c r="E163" s="187"/>
      <c r="F163" s="187"/>
      <c r="G163" s="187"/>
      <c r="H163" s="187"/>
      <c r="I163" s="188"/>
      <c r="J163" s="187"/>
      <c r="K163" s="189"/>
      <c r="L163" s="187"/>
      <c r="M163" s="187"/>
      <c r="N163" s="190"/>
      <c r="O163" s="196"/>
      <c r="P163" s="192"/>
    </row>
    <row r="164" ht="15.75" customHeight="1">
      <c r="A164" s="186"/>
      <c r="B164" s="187"/>
      <c r="C164" s="187"/>
      <c r="D164" s="187"/>
      <c r="E164" s="187"/>
      <c r="F164" s="187"/>
      <c r="G164" s="187"/>
      <c r="H164" s="187"/>
      <c r="I164" s="188"/>
      <c r="J164" s="187"/>
      <c r="K164" s="189"/>
      <c r="L164" s="187"/>
      <c r="M164" s="187"/>
      <c r="N164" s="190"/>
      <c r="O164" s="196"/>
      <c r="P164" s="192"/>
    </row>
    <row r="165" ht="15.75" customHeight="1">
      <c r="A165" s="186"/>
      <c r="B165" s="187"/>
      <c r="C165" s="187"/>
      <c r="D165" s="187"/>
      <c r="E165" s="187"/>
      <c r="F165" s="187"/>
      <c r="G165" s="187"/>
      <c r="H165" s="187"/>
      <c r="I165" s="188"/>
      <c r="J165" s="187"/>
      <c r="K165" s="189"/>
      <c r="L165" s="187"/>
      <c r="M165" s="187"/>
      <c r="N165" s="190"/>
      <c r="O165" s="196"/>
      <c r="P165" s="192"/>
    </row>
    <row r="166" ht="15.75" customHeight="1">
      <c r="A166" s="186"/>
      <c r="B166" s="187"/>
      <c r="C166" s="187"/>
      <c r="D166" s="187"/>
      <c r="E166" s="187"/>
      <c r="F166" s="187"/>
      <c r="G166" s="187"/>
      <c r="H166" s="187"/>
      <c r="I166" s="188"/>
      <c r="J166" s="187"/>
      <c r="K166" s="189"/>
      <c r="L166" s="187"/>
      <c r="M166" s="187"/>
      <c r="N166" s="190"/>
      <c r="O166" s="196"/>
      <c r="P166" s="192"/>
    </row>
    <row r="167" ht="15.75" customHeight="1">
      <c r="A167" s="186"/>
      <c r="B167" s="187"/>
      <c r="C167" s="187"/>
      <c r="D167" s="187"/>
      <c r="E167" s="187"/>
      <c r="F167" s="187"/>
      <c r="G167" s="187"/>
      <c r="H167" s="187"/>
      <c r="I167" s="188"/>
      <c r="J167" s="187"/>
      <c r="K167" s="189"/>
      <c r="L167" s="187"/>
      <c r="M167" s="187"/>
      <c r="N167" s="190"/>
      <c r="O167" s="196"/>
      <c r="P167" s="192"/>
    </row>
    <row r="168" ht="15.75" customHeight="1">
      <c r="A168" s="186"/>
      <c r="B168" s="187"/>
      <c r="C168" s="187"/>
      <c r="D168" s="187"/>
      <c r="E168" s="187"/>
      <c r="F168" s="187"/>
      <c r="G168" s="187"/>
      <c r="H168" s="187"/>
      <c r="I168" s="188"/>
      <c r="J168" s="187"/>
      <c r="K168" s="189"/>
      <c r="L168" s="187"/>
      <c r="M168" s="187"/>
      <c r="N168" s="190"/>
      <c r="O168" s="196"/>
      <c r="P168" s="192"/>
    </row>
    <row r="169" ht="15.75" customHeight="1">
      <c r="A169" s="186"/>
      <c r="B169" s="187"/>
      <c r="C169" s="187"/>
      <c r="D169" s="187"/>
      <c r="E169" s="187"/>
      <c r="F169" s="187"/>
      <c r="G169" s="187"/>
      <c r="H169" s="187"/>
      <c r="I169" s="188"/>
      <c r="J169" s="187"/>
      <c r="K169" s="189"/>
      <c r="L169" s="187"/>
      <c r="M169" s="187"/>
      <c r="N169" s="190"/>
      <c r="O169" s="196"/>
      <c r="P169" s="192"/>
    </row>
    <row r="170" ht="15.75" customHeight="1">
      <c r="A170" s="186"/>
      <c r="B170" s="187"/>
      <c r="C170" s="187"/>
      <c r="D170" s="187"/>
      <c r="E170" s="187"/>
      <c r="F170" s="187"/>
      <c r="G170" s="187"/>
      <c r="H170" s="187"/>
      <c r="I170" s="188"/>
      <c r="J170" s="187"/>
      <c r="K170" s="189"/>
      <c r="L170" s="187"/>
      <c r="M170" s="187"/>
      <c r="N170" s="190"/>
      <c r="O170" s="196"/>
      <c r="P170" s="192"/>
    </row>
    <row r="171" ht="15.75" customHeight="1">
      <c r="A171" s="186"/>
      <c r="B171" s="187"/>
      <c r="C171" s="187"/>
      <c r="D171" s="187"/>
      <c r="E171" s="187"/>
      <c r="F171" s="187"/>
      <c r="G171" s="187"/>
      <c r="H171" s="187"/>
      <c r="I171" s="188"/>
      <c r="J171" s="187"/>
      <c r="K171" s="189"/>
      <c r="L171" s="187"/>
      <c r="M171" s="187"/>
      <c r="N171" s="190"/>
      <c r="O171" s="196"/>
      <c r="P171" s="192"/>
    </row>
    <row r="172" ht="15.75" customHeight="1">
      <c r="A172" s="186"/>
      <c r="B172" s="187"/>
      <c r="C172" s="187"/>
      <c r="D172" s="187"/>
      <c r="E172" s="187"/>
      <c r="F172" s="187"/>
      <c r="G172" s="187"/>
      <c r="H172" s="187"/>
      <c r="I172" s="188"/>
      <c r="J172" s="187"/>
      <c r="K172" s="189"/>
      <c r="L172" s="187"/>
      <c r="M172" s="187"/>
      <c r="N172" s="190"/>
      <c r="O172" s="196"/>
      <c r="P172" s="192"/>
    </row>
    <row r="173" ht="15.75" customHeight="1">
      <c r="A173" s="186"/>
      <c r="B173" s="187"/>
      <c r="C173" s="187"/>
      <c r="D173" s="187"/>
      <c r="E173" s="187"/>
      <c r="F173" s="187"/>
      <c r="G173" s="187"/>
      <c r="H173" s="187"/>
      <c r="I173" s="188"/>
      <c r="J173" s="187"/>
      <c r="K173" s="189"/>
      <c r="L173" s="187"/>
      <c r="M173" s="187"/>
      <c r="N173" s="190"/>
      <c r="O173" s="196"/>
      <c r="P173" s="192"/>
    </row>
    <row r="174" ht="15.75" customHeight="1">
      <c r="A174" s="186"/>
      <c r="B174" s="187"/>
      <c r="C174" s="187"/>
      <c r="D174" s="187"/>
      <c r="E174" s="187"/>
      <c r="F174" s="187"/>
      <c r="G174" s="187"/>
      <c r="H174" s="187"/>
      <c r="I174" s="188"/>
      <c r="J174" s="187"/>
      <c r="K174" s="189"/>
      <c r="L174" s="187"/>
      <c r="M174" s="187"/>
      <c r="N174" s="190"/>
      <c r="O174" s="196"/>
      <c r="P174" s="192"/>
    </row>
    <row r="175" ht="15.75" customHeight="1">
      <c r="A175" s="186"/>
      <c r="B175" s="187"/>
      <c r="C175" s="187"/>
      <c r="D175" s="187"/>
      <c r="E175" s="187"/>
      <c r="F175" s="187"/>
      <c r="G175" s="187"/>
      <c r="H175" s="187"/>
      <c r="I175" s="188"/>
      <c r="J175" s="187"/>
      <c r="K175" s="189"/>
      <c r="L175" s="187"/>
      <c r="M175" s="187"/>
      <c r="N175" s="190"/>
      <c r="O175" s="196"/>
      <c r="P175" s="192"/>
    </row>
    <row r="176" ht="15.75" customHeight="1">
      <c r="A176" s="186"/>
      <c r="B176" s="187"/>
      <c r="C176" s="187"/>
      <c r="D176" s="187"/>
      <c r="E176" s="187"/>
      <c r="F176" s="187"/>
      <c r="G176" s="187"/>
      <c r="H176" s="187"/>
      <c r="I176" s="188"/>
      <c r="J176" s="187"/>
      <c r="K176" s="189"/>
      <c r="L176" s="187"/>
      <c r="M176" s="187"/>
      <c r="N176" s="190"/>
      <c r="O176" s="196"/>
      <c r="P176" s="192"/>
    </row>
    <row r="177" ht="15.75" customHeight="1">
      <c r="A177" s="186"/>
      <c r="B177" s="187"/>
      <c r="C177" s="187"/>
      <c r="D177" s="187"/>
      <c r="E177" s="187"/>
      <c r="F177" s="187"/>
      <c r="G177" s="187"/>
      <c r="H177" s="187"/>
      <c r="I177" s="188"/>
      <c r="J177" s="187"/>
      <c r="K177" s="189"/>
      <c r="L177" s="187"/>
      <c r="M177" s="187"/>
      <c r="N177" s="190"/>
      <c r="O177" s="196"/>
      <c r="P177" s="192"/>
    </row>
    <row r="178" ht="15.75" customHeight="1">
      <c r="A178" s="186"/>
      <c r="B178" s="187"/>
      <c r="C178" s="187"/>
      <c r="D178" s="187"/>
      <c r="E178" s="187"/>
      <c r="F178" s="187"/>
      <c r="G178" s="187"/>
      <c r="H178" s="187"/>
      <c r="I178" s="188"/>
      <c r="J178" s="187"/>
      <c r="K178" s="189"/>
      <c r="L178" s="187"/>
      <c r="M178" s="187"/>
      <c r="N178" s="190"/>
      <c r="O178" s="196"/>
      <c r="P178" s="192"/>
    </row>
    <row r="179" ht="15.75" customHeight="1">
      <c r="A179" s="186"/>
      <c r="B179" s="187"/>
      <c r="C179" s="187"/>
      <c r="D179" s="187"/>
      <c r="E179" s="187"/>
      <c r="F179" s="187"/>
      <c r="G179" s="187"/>
      <c r="H179" s="187"/>
      <c r="I179" s="188"/>
      <c r="J179" s="187"/>
      <c r="K179" s="189"/>
      <c r="L179" s="187"/>
      <c r="M179" s="187"/>
      <c r="N179" s="190"/>
      <c r="O179" s="196"/>
      <c r="P179" s="192"/>
    </row>
    <row r="180" ht="15.75" customHeight="1">
      <c r="A180" s="186"/>
      <c r="B180" s="187"/>
      <c r="C180" s="187"/>
      <c r="D180" s="187"/>
      <c r="E180" s="187"/>
      <c r="F180" s="187"/>
      <c r="G180" s="187"/>
      <c r="H180" s="187"/>
      <c r="I180" s="188"/>
      <c r="J180" s="187"/>
      <c r="K180" s="189"/>
      <c r="L180" s="187"/>
      <c r="M180" s="187"/>
      <c r="N180" s="190"/>
      <c r="O180" s="196"/>
      <c r="P180" s="192"/>
    </row>
    <row r="181" ht="15.75" customHeight="1">
      <c r="A181" s="186"/>
      <c r="B181" s="187"/>
      <c r="C181" s="187"/>
      <c r="D181" s="187"/>
      <c r="E181" s="187"/>
      <c r="F181" s="187"/>
      <c r="G181" s="187"/>
      <c r="H181" s="187"/>
      <c r="I181" s="188"/>
      <c r="J181" s="187"/>
      <c r="K181" s="189"/>
      <c r="L181" s="187"/>
      <c r="M181" s="187"/>
      <c r="N181" s="190"/>
      <c r="O181" s="196"/>
      <c r="P181" s="192"/>
    </row>
    <row r="182" ht="15.75" customHeight="1">
      <c r="A182" s="186"/>
      <c r="B182" s="197"/>
      <c r="C182" s="198"/>
      <c r="D182" s="199"/>
      <c r="E182" s="200"/>
      <c r="F182" s="201"/>
      <c r="G182" s="201"/>
      <c r="H182" s="199"/>
      <c r="I182" s="200"/>
      <c r="J182" s="187"/>
      <c r="K182" s="189"/>
      <c r="L182" s="187"/>
      <c r="M182" s="187"/>
      <c r="N182" s="190"/>
      <c r="O182" s="196"/>
      <c r="P182" s="192"/>
    </row>
    <row r="183" ht="15.75" customHeight="1">
      <c r="A183" s="186"/>
      <c r="B183" s="197"/>
      <c r="C183" s="198"/>
      <c r="D183" s="199"/>
      <c r="E183" s="200"/>
      <c r="F183" s="201"/>
      <c r="G183" s="201"/>
      <c r="H183" s="199"/>
      <c r="I183" s="200"/>
      <c r="J183" s="187"/>
      <c r="K183" s="189"/>
      <c r="L183" s="187"/>
      <c r="M183" s="187"/>
      <c r="N183" s="190"/>
      <c r="O183" s="196"/>
      <c r="P183" s="192"/>
    </row>
    <row r="184" ht="15.75" customHeight="1">
      <c r="A184" s="186"/>
      <c r="B184" s="197"/>
      <c r="C184" s="198"/>
      <c r="D184" s="199"/>
      <c r="E184" s="200"/>
      <c r="F184" s="201"/>
      <c r="G184" s="201"/>
      <c r="H184" s="199"/>
      <c r="I184" s="200"/>
      <c r="J184" s="187"/>
      <c r="K184" s="189"/>
      <c r="L184" s="187"/>
      <c r="M184" s="187"/>
      <c r="N184" s="190"/>
      <c r="O184" s="196"/>
      <c r="P184" s="192"/>
    </row>
    <row r="185" ht="15.75" customHeight="1">
      <c r="A185" s="186"/>
      <c r="B185" s="197"/>
      <c r="C185" s="198"/>
      <c r="D185" s="199"/>
      <c r="E185" s="200"/>
      <c r="F185" s="201"/>
      <c r="G185" s="201"/>
      <c r="H185" s="199"/>
      <c r="I185" s="200"/>
      <c r="J185" s="187"/>
      <c r="K185" s="189"/>
      <c r="L185" s="187"/>
      <c r="M185" s="187"/>
      <c r="N185" s="190"/>
      <c r="O185" s="196"/>
      <c r="P185" s="192"/>
    </row>
    <row r="186" ht="15.75" customHeight="1">
      <c r="A186" s="186"/>
      <c r="B186" s="197"/>
      <c r="C186" s="198"/>
      <c r="D186" s="199"/>
      <c r="E186" s="200"/>
      <c r="F186" s="201"/>
      <c r="G186" s="201"/>
      <c r="H186" s="199"/>
      <c r="I186" s="200"/>
      <c r="J186" s="187"/>
      <c r="K186" s="189"/>
      <c r="L186" s="187"/>
      <c r="M186" s="187"/>
      <c r="N186" s="190"/>
      <c r="O186" s="196"/>
      <c r="P186" s="192"/>
    </row>
    <row r="187" ht="15.75" customHeight="1">
      <c r="A187" s="186"/>
      <c r="B187" s="197"/>
      <c r="C187" s="198"/>
      <c r="D187" s="199"/>
      <c r="E187" s="200"/>
      <c r="F187" s="201"/>
      <c r="G187" s="201"/>
      <c r="H187" s="199"/>
      <c r="I187" s="200"/>
      <c r="J187" s="187"/>
      <c r="K187" s="189"/>
      <c r="L187" s="187"/>
      <c r="M187" s="187"/>
      <c r="N187" s="190"/>
      <c r="O187" s="196"/>
      <c r="P187" s="192"/>
    </row>
    <row r="188" ht="15.75" customHeight="1">
      <c r="A188" s="186"/>
      <c r="B188" s="197"/>
      <c r="C188" s="198"/>
      <c r="D188" s="199"/>
      <c r="E188" s="200"/>
      <c r="F188" s="201"/>
      <c r="G188" s="201"/>
      <c r="H188" s="199"/>
      <c r="I188" s="200"/>
      <c r="J188" s="187"/>
      <c r="K188" s="189"/>
      <c r="L188" s="187"/>
      <c r="M188" s="187"/>
      <c r="N188" s="190"/>
      <c r="O188" s="196"/>
      <c r="P188" s="192"/>
    </row>
    <row r="189" ht="15.75" customHeight="1">
      <c r="A189" s="186"/>
      <c r="B189" s="197"/>
      <c r="C189" s="198"/>
      <c r="D189" s="199"/>
      <c r="E189" s="200"/>
      <c r="F189" s="201"/>
      <c r="G189" s="201"/>
      <c r="H189" s="199"/>
      <c r="I189" s="200"/>
      <c r="J189" s="187"/>
      <c r="K189" s="189"/>
      <c r="L189" s="187"/>
      <c r="M189" s="187"/>
      <c r="N189" s="190"/>
      <c r="O189" s="196"/>
      <c r="P189" s="192"/>
    </row>
    <row r="190" ht="15.75" customHeight="1">
      <c r="A190" s="186"/>
      <c r="B190" s="197"/>
      <c r="C190" s="198"/>
      <c r="D190" s="199"/>
      <c r="E190" s="200"/>
      <c r="F190" s="201"/>
      <c r="G190" s="201"/>
      <c r="H190" s="199"/>
      <c r="I190" s="200"/>
      <c r="J190" s="187"/>
      <c r="K190" s="189"/>
      <c r="L190" s="187"/>
      <c r="M190" s="187"/>
      <c r="N190" s="190"/>
      <c r="O190" s="196"/>
      <c r="P190" s="192"/>
    </row>
    <row r="191" ht="15.75" customHeight="1">
      <c r="A191" s="186"/>
      <c r="B191" s="197"/>
      <c r="C191" s="198"/>
      <c r="D191" s="199"/>
      <c r="E191" s="200"/>
      <c r="F191" s="201"/>
      <c r="G191" s="201"/>
      <c r="H191" s="199"/>
      <c r="I191" s="200"/>
      <c r="J191" s="187"/>
      <c r="K191" s="189"/>
      <c r="L191" s="187"/>
      <c r="M191" s="187"/>
      <c r="N191" s="190"/>
      <c r="O191" s="196"/>
      <c r="P191" s="192"/>
    </row>
    <row r="192" ht="15.75" customHeight="1">
      <c r="A192" s="186"/>
      <c r="B192" s="197"/>
      <c r="C192" s="198"/>
      <c r="D192" s="199"/>
      <c r="E192" s="200"/>
      <c r="F192" s="201"/>
      <c r="G192" s="201"/>
      <c r="H192" s="199"/>
      <c r="I192" s="200"/>
      <c r="J192" s="187"/>
      <c r="K192" s="189"/>
      <c r="L192" s="187"/>
      <c r="M192" s="187"/>
      <c r="N192" s="190"/>
      <c r="O192" s="196"/>
      <c r="P192" s="192"/>
    </row>
    <row r="193" ht="15.75" customHeight="1">
      <c r="A193" s="186"/>
      <c r="B193" s="197"/>
      <c r="C193" s="198"/>
      <c r="D193" s="199"/>
      <c r="E193" s="200"/>
      <c r="F193" s="201"/>
      <c r="G193" s="201"/>
      <c r="H193" s="199"/>
      <c r="I193" s="200"/>
      <c r="J193" s="187"/>
      <c r="K193" s="189"/>
      <c r="L193" s="187"/>
      <c r="M193" s="187"/>
      <c r="N193" s="190"/>
      <c r="O193" s="196"/>
      <c r="P193" s="192"/>
    </row>
    <row r="194" ht="15.75" customHeight="1">
      <c r="A194" s="186"/>
      <c r="B194" s="197"/>
      <c r="C194" s="198"/>
      <c r="D194" s="199"/>
      <c r="E194" s="200"/>
      <c r="F194" s="201"/>
      <c r="G194" s="201"/>
      <c r="H194" s="199"/>
      <c r="I194" s="200"/>
      <c r="J194" s="187"/>
      <c r="K194" s="189"/>
      <c r="L194" s="187"/>
      <c r="M194" s="187"/>
      <c r="N194" s="190"/>
      <c r="O194" s="196"/>
      <c r="P194" s="192"/>
    </row>
    <row r="195" ht="15.75" customHeight="1">
      <c r="A195" s="186"/>
      <c r="B195" s="197"/>
      <c r="C195" s="198"/>
      <c r="D195" s="199"/>
      <c r="E195" s="200"/>
      <c r="F195" s="201"/>
      <c r="G195" s="201"/>
      <c r="H195" s="199"/>
      <c r="I195" s="200"/>
      <c r="J195" s="187"/>
      <c r="K195" s="189"/>
      <c r="L195" s="187"/>
      <c r="M195" s="187"/>
      <c r="N195" s="190"/>
      <c r="O195" s="196"/>
      <c r="P195" s="192"/>
    </row>
    <row r="196" ht="15.75" customHeight="1">
      <c r="A196" s="186"/>
      <c r="B196" s="197"/>
      <c r="C196" s="198"/>
      <c r="D196" s="199"/>
      <c r="E196" s="200"/>
      <c r="F196" s="201"/>
      <c r="G196" s="201"/>
      <c r="H196" s="199"/>
      <c r="I196" s="200"/>
      <c r="J196" s="187"/>
      <c r="K196" s="189"/>
      <c r="L196" s="187"/>
      <c r="M196" s="187"/>
      <c r="N196" s="190"/>
      <c r="O196" s="196"/>
      <c r="P196" s="192"/>
    </row>
    <row r="197" ht="15.75" customHeight="1">
      <c r="A197" s="186"/>
      <c r="B197" s="197"/>
      <c r="C197" s="198"/>
      <c r="D197" s="199"/>
      <c r="E197" s="200"/>
      <c r="F197" s="201"/>
      <c r="G197" s="201"/>
      <c r="H197" s="199"/>
      <c r="I197" s="200"/>
      <c r="J197" s="187"/>
      <c r="K197" s="189"/>
      <c r="L197" s="187"/>
      <c r="M197" s="187"/>
      <c r="N197" s="190"/>
      <c r="O197" s="196"/>
      <c r="P197" s="192"/>
    </row>
    <row r="198" ht="15.75" customHeight="1">
      <c r="A198" s="186"/>
      <c r="B198" s="197"/>
      <c r="C198" s="198"/>
      <c r="D198" s="199"/>
      <c r="E198" s="200"/>
      <c r="F198" s="201"/>
      <c r="G198" s="201"/>
      <c r="H198" s="199"/>
      <c r="I198" s="200"/>
      <c r="J198" s="187"/>
      <c r="K198" s="189"/>
      <c r="L198" s="187"/>
      <c r="M198" s="187"/>
      <c r="N198" s="190"/>
      <c r="O198" s="196"/>
      <c r="P198" s="192"/>
    </row>
    <row r="199" ht="15.75" customHeight="1">
      <c r="A199" s="186"/>
      <c r="B199" s="197"/>
      <c r="C199" s="198"/>
      <c r="D199" s="199"/>
      <c r="E199" s="200"/>
      <c r="F199" s="201"/>
      <c r="G199" s="201"/>
      <c r="H199" s="199"/>
      <c r="I199" s="200"/>
      <c r="J199" s="187"/>
      <c r="K199" s="189"/>
      <c r="L199" s="187"/>
      <c r="M199" s="187"/>
      <c r="N199" s="190"/>
      <c r="O199" s="196"/>
      <c r="P199" s="192"/>
    </row>
    <row r="200" ht="15.75" customHeight="1">
      <c r="A200" s="186"/>
      <c r="B200" s="197"/>
      <c r="C200" s="198"/>
      <c r="D200" s="199"/>
      <c r="E200" s="200"/>
      <c r="F200" s="201"/>
      <c r="G200" s="201"/>
      <c r="H200" s="199"/>
      <c r="I200" s="200"/>
      <c r="J200" s="187"/>
      <c r="K200" s="189"/>
      <c r="L200" s="187"/>
      <c r="M200" s="187"/>
      <c r="N200" s="190"/>
      <c r="O200" s="196"/>
      <c r="P200" s="192"/>
    </row>
    <row r="201" ht="15.75" customHeight="1">
      <c r="A201" s="186"/>
      <c r="B201" s="197"/>
      <c r="C201" s="198"/>
      <c r="D201" s="199"/>
      <c r="E201" s="200"/>
      <c r="F201" s="201"/>
      <c r="G201" s="201"/>
      <c r="H201" s="199"/>
      <c r="I201" s="200"/>
      <c r="J201" s="187"/>
      <c r="K201" s="189"/>
      <c r="L201" s="187"/>
      <c r="M201" s="187"/>
      <c r="N201" s="190"/>
      <c r="O201" s="196"/>
      <c r="P201" s="192"/>
    </row>
    <row r="202" ht="15.75" customHeight="1">
      <c r="A202" s="186"/>
      <c r="B202" s="197"/>
      <c r="C202" s="198"/>
      <c r="D202" s="199"/>
      <c r="E202" s="200"/>
      <c r="F202" s="201"/>
      <c r="G202" s="201"/>
      <c r="H202" s="199"/>
      <c r="I202" s="200"/>
      <c r="J202" s="187"/>
      <c r="K202" s="189"/>
      <c r="L202" s="187"/>
      <c r="M202" s="187"/>
      <c r="N202" s="190"/>
      <c r="O202" s="196"/>
      <c r="P202" s="192"/>
    </row>
    <row r="203" ht="15.75" customHeight="1">
      <c r="A203" s="186"/>
      <c r="B203" s="197"/>
      <c r="C203" s="198"/>
      <c r="D203" s="199"/>
      <c r="E203" s="200"/>
      <c r="F203" s="201"/>
      <c r="G203" s="201"/>
      <c r="H203" s="199"/>
      <c r="I203" s="200"/>
      <c r="J203" s="187"/>
      <c r="K203" s="189"/>
      <c r="L203" s="187"/>
      <c r="M203" s="187"/>
      <c r="N203" s="190"/>
      <c r="O203" s="196"/>
      <c r="P203" s="192"/>
    </row>
    <row r="204" ht="15.75" customHeight="1">
      <c r="A204" s="186"/>
      <c r="B204" s="197"/>
      <c r="C204" s="198"/>
      <c r="D204" s="199"/>
      <c r="E204" s="200"/>
      <c r="F204" s="201"/>
      <c r="G204" s="201"/>
      <c r="H204" s="199"/>
      <c r="I204" s="200"/>
      <c r="J204" s="187"/>
      <c r="K204" s="189"/>
      <c r="L204" s="187"/>
      <c r="M204" s="187"/>
      <c r="N204" s="190"/>
      <c r="O204" s="196"/>
      <c r="P204" s="192"/>
    </row>
    <row r="205" ht="15.75" customHeight="1">
      <c r="A205" s="186"/>
      <c r="B205" s="197"/>
      <c r="C205" s="198"/>
      <c r="D205" s="199"/>
      <c r="E205" s="200"/>
      <c r="F205" s="201"/>
      <c r="G205" s="201"/>
      <c r="H205" s="199"/>
      <c r="I205" s="200"/>
      <c r="J205" s="187"/>
      <c r="K205" s="189"/>
      <c r="L205" s="187"/>
      <c r="M205" s="187"/>
      <c r="N205" s="190"/>
      <c r="O205" s="196"/>
      <c r="P205" s="192"/>
    </row>
    <row r="206" ht="15.75" customHeight="1">
      <c r="A206" s="186"/>
      <c r="B206" s="197"/>
      <c r="C206" s="198"/>
      <c r="D206" s="199"/>
      <c r="E206" s="200"/>
      <c r="F206" s="201"/>
      <c r="G206" s="201"/>
      <c r="H206" s="199"/>
      <c r="I206" s="200"/>
      <c r="J206" s="187"/>
      <c r="K206" s="189"/>
      <c r="L206" s="187"/>
      <c r="M206" s="187"/>
      <c r="N206" s="190"/>
      <c r="O206" s="196"/>
      <c r="P206" s="192"/>
    </row>
    <row r="207" ht="15.75" customHeight="1">
      <c r="A207" s="186"/>
      <c r="B207" s="197"/>
      <c r="C207" s="198"/>
      <c r="D207" s="199"/>
      <c r="E207" s="200"/>
      <c r="F207" s="201"/>
      <c r="G207" s="201"/>
      <c r="H207" s="199"/>
      <c r="I207" s="200"/>
      <c r="J207" s="187"/>
      <c r="K207" s="189"/>
      <c r="L207" s="187"/>
      <c r="M207" s="187"/>
      <c r="N207" s="190"/>
      <c r="O207" s="196"/>
      <c r="P207" s="192"/>
    </row>
    <row r="208" ht="15.75" customHeight="1">
      <c r="A208" s="186"/>
      <c r="B208" s="197"/>
      <c r="C208" s="198"/>
      <c r="D208" s="199"/>
      <c r="E208" s="200"/>
      <c r="F208" s="201"/>
      <c r="G208" s="201"/>
      <c r="H208" s="199"/>
      <c r="I208" s="200"/>
      <c r="J208" s="187"/>
      <c r="K208" s="189"/>
      <c r="L208" s="187"/>
      <c r="M208" s="187"/>
      <c r="N208" s="190"/>
      <c r="O208" s="196"/>
      <c r="P208" s="192"/>
    </row>
    <row r="209" ht="15.75" customHeight="1">
      <c r="A209" s="186"/>
      <c r="B209" s="197"/>
      <c r="C209" s="198"/>
      <c r="D209" s="199"/>
      <c r="E209" s="200"/>
      <c r="F209" s="201"/>
      <c r="G209" s="201"/>
      <c r="H209" s="199"/>
      <c r="I209" s="200"/>
      <c r="J209" s="187"/>
      <c r="K209" s="189"/>
      <c r="L209" s="187"/>
      <c r="M209" s="187"/>
      <c r="N209" s="190"/>
      <c r="O209" s="196"/>
      <c r="P209" s="192"/>
    </row>
    <row r="210" ht="15.75" customHeight="1">
      <c r="A210" s="186"/>
      <c r="B210" s="197"/>
      <c r="C210" s="198"/>
      <c r="D210" s="199"/>
      <c r="E210" s="200"/>
      <c r="F210" s="201"/>
      <c r="G210" s="201"/>
      <c r="H210" s="199"/>
      <c r="I210" s="200"/>
      <c r="J210" s="187"/>
      <c r="K210" s="189"/>
      <c r="L210" s="187"/>
      <c r="M210" s="187"/>
      <c r="N210" s="190"/>
      <c r="O210" s="196"/>
      <c r="P210" s="192"/>
    </row>
    <row r="211" ht="15.75" customHeight="1">
      <c r="A211" s="186"/>
      <c r="B211" s="197"/>
      <c r="C211" s="198"/>
      <c r="D211" s="199"/>
      <c r="E211" s="200"/>
      <c r="F211" s="201"/>
      <c r="G211" s="201"/>
      <c r="H211" s="199"/>
      <c r="I211" s="200"/>
      <c r="J211" s="187"/>
      <c r="K211" s="189"/>
      <c r="L211" s="187"/>
      <c r="M211" s="187"/>
      <c r="N211" s="190"/>
      <c r="O211" s="196"/>
      <c r="P211" s="192"/>
    </row>
    <row r="212" ht="15.75" customHeight="1">
      <c r="A212" s="186"/>
      <c r="B212" s="197"/>
      <c r="C212" s="198"/>
      <c r="D212" s="199"/>
      <c r="E212" s="200"/>
      <c r="F212" s="201"/>
      <c r="G212" s="201"/>
      <c r="H212" s="199"/>
      <c r="I212" s="200"/>
      <c r="J212" s="187"/>
      <c r="K212" s="189"/>
      <c r="L212" s="187"/>
      <c r="M212" s="187"/>
      <c r="N212" s="190"/>
      <c r="O212" s="196"/>
      <c r="P212" s="192"/>
    </row>
    <row r="213" ht="15.75" customHeight="1">
      <c r="A213" s="186"/>
      <c r="B213" s="197"/>
      <c r="C213" s="198"/>
      <c r="D213" s="199"/>
      <c r="E213" s="200"/>
      <c r="F213" s="201"/>
      <c r="G213" s="201"/>
      <c r="H213" s="199"/>
      <c r="I213" s="200"/>
      <c r="J213" s="187"/>
      <c r="K213" s="189"/>
      <c r="L213" s="187"/>
      <c r="M213" s="187"/>
      <c r="N213" s="190"/>
      <c r="O213" s="196"/>
      <c r="P213" s="192"/>
    </row>
    <row r="214" ht="15.75" customHeight="1">
      <c r="A214" s="186"/>
      <c r="B214" s="197"/>
      <c r="C214" s="198"/>
      <c r="D214" s="199"/>
      <c r="E214" s="200"/>
      <c r="F214" s="201"/>
      <c r="G214" s="201"/>
      <c r="H214" s="199"/>
      <c r="I214" s="200"/>
      <c r="J214" s="187"/>
      <c r="K214" s="189"/>
      <c r="L214" s="187"/>
      <c r="M214" s="187"/>
      <c r="N214" s="190"/>
      <c r="O214" s="196"/>
      <c r="P214" s="192"/>
    </row>
    <row r="215" ht="15.75" customHeight="1">
      <c r="A215" s="186"/>
      <c r="B215" s="197"/>
      <c r="C215" s="198"/>
      <c r="D215" s="199"/>
      <c r="E215" s="200"/>
      <c r="F215" s="201"/>
      <c r="G215" s="201"/>
      <c r="H215" s="199"/>
      <c r="I215" s="200"/>
      <c r="J215" s="187"/>
      <c r="K215" s="189"/>
      <c r="L215" s="187"/>
      <c r="M215" s="187"/>
      <c r="N215" s="190"/>
      <c r="O215" s="196"/>
      <c r="P215" s="192"/>
    </row>
    <row r="216" ht="15.75" customHeight="1">
      <c r="A216" s="186"/>
      <c r="B216" s="197"/>
      <c r="C216" s="198"/>
      <c r="D216" s="199"/>
      <c r="E216" s="200"/>
      <c r="F216" s="201"/>
      <c r="G216" s="201"/>
      <c r="H216" s="199"/>
      <c r="I216" s="200"/>
      <c r="J216" s="187"/>
      <c r="K216" s="189"/>
      <c r="L216" s="187"/>
      <c r="M216" s="187"/>
      <c r="N216" s="190"/>
      <c r="O216" s="196"/>
      <c r="P216" s="192"/>
    </row>
    <row r="217" ht="15.75" customHeight="1">
      <c r="A217" s="186"/>
      <c r="B217" s="197"/>
      <c r="C217" s="198"/>
      <c r="D217" s="199"/>
      <c r="E217" s="200"/>
      <c r="F217" s="201"/>
      <c r="G217" s="201"/>
      <c r="H217" s="199"/>
      <c r="I217" s="200"/>
      <c r="J217" s="187"/>
      <c r="K217" s="189"/>
      <c r="L217" s="187"/>
      <c r="M217" s="187"/>
      <c r="N217" s="190"/>
      <c r="O217" s="196"/>
      <c r="P217" s="192"/>
    </row>
    <row r="218" ht="15.75" customHeight="1">
      <c r="A218" s="186"/>
      <c r="B218" s="197"/>
      <c r="C218" s="198"/>
      <c r="D218" s="199"/>
      <c r="E218" s="200"/>
      <c r="F218" s="201"/>
      <c r="G218" s="201"/>
      <c r="H218" s="199"/>
      <c r="I218" s="200"/>
      <c r="J218" s="187"/>
      <c r="K218" s="189"/>
      <c r="L218" s="187"/>
      <c r="M218" s="187"/>
      <c r="N218" s="190"/>
      <c r="O218" s="196"/>
      <c r="P218" s="192"/>
    </row>
    <row r="219" ht="15.75" customHeight="1">
      <c r="A219" s="186"/>
      <c r="B219" s="197"/>
      <c r="C219" s="198"/>
      <c r="D219" s="199"/>
      <c r="E219" s="200"/>
      <c r="F219" s="201"/>
      <c r="G219" s="201"/>
      <c r="H219" s="199"/>
      <c r="I219" s="200"/>
      <c r="J219" s="187"/>
      <c r="K219" s="189"/>
      <c r="L219" s="187"/>
      <c r="M219" s="187"/>
      <c r="N219" s="190"/>
      <c r="O219" s="196"/>
      <c r="P219" s="192"/>
    </row>
    <row r="220" ht="15.75" customHeight="1">
      <c r="A220" s="186"/>
      <c r="B220" s="197"/>
      <c r="C220" s="198"/>
      <c r="D220" s="199"/>
      <c r="E220" s="200"/>
      <c r="F220" s="201"/>
      <c r="G220" s="201"/>
      <c r="H220" s="199"/>
      <c r="I220" s="200"/>
      <c r="J220" s="187"/>
      <c r="K220" s="189"/>
      <c r="L220" s="187"/>
      <c r="M220" s="187"/>
      <c r="N220" s="190"/>
      <c r="O220" s="196"/>
      <c r="P220" s="192"/>
    </row>
    <row r="221" ht="15.75" customHeight="1">
      <c r="A221" s="186"/>
      <c r="B221" s="197"/>
      <c r="C221" s="198"/>
      <c r="D221" s="199"/>
      <c r="E221" s="200"/>
      <c r="F221" s="201"/>
      <c r="G221" s="201"/>
      <c r="H221" s="199"/>
      <c r="I221" s="200"/>
      <c r="J221" s="187"/>
      <c r="K221" s="189"/>
      <c r="L221" s="187"/>
      <c r="M221" s="187"/>
      <c r="N221" s="190"/>
      <c r="O221" s="196"/>
      <c r="P221" s="192"/>
    </row>
    <row r="222" ht="15.75" customHeight="1">
      <c r="A222" s="186"/>
      <c r="B222" s="197"/>
      <c r="C222" s="198"/>
      <c r="D222" s="199"/>
      <c r="E222" s="200"/>
      <c r="F222" s="201"/>
      <c r="G222" s="201"/>
      <c r="H222" s="199"/>
      <c r="I222" s="200"/>
      <c r="J222" s="187"/>
      <c r="K222" s="189"/>
      <c r="L222" s="187"/>
      <c r="M222" s="187"/>
      <c r="N222" s="190"/>
      <c r="O222" s="196"/>
      <c r="P222" s="192"/>
    </row>
    <row r="223" ht="15.75" customHeight="1">
      <c r="A223" s="186"/>
      <c r="B223" s="197"/>
      <c r="C223" s="198"/>
      <c r="D223" s="199"/>
      <c r="E223" s="200"/>
      <c r="F223" s="201"/>
      <c r="G223" s="201"/>
      <c r="H223" s="199"/>
      <c r="I223" s="200"/>
      <c r="J223" s="187"/>
      <c r="K223" s="189"/>
      <c r="L223" s="187"/>
      <c r="M223" s="187"/>
      <c r="N223" s="190"/>
      <c r="O223" s="196"/>
      <c r="P223" s="192"/>
    </row>
    <row r="224" ht="15.75" customHeight="1">
      <c r="A224" s="186"/>
      <c r="B224" s="197"/>
      <c r="C224" s="198"/>
      <c r="D224" s="199"/>
      <c r="E224" s="200"/>
      <c r="F224" s="201"/>
      <c r="G224" s="201"/>
      <c r="H224" s="199"/>
      <c r="I224" s="200"/>
      <c r="J224" s="187"/>
      <c r="K224" s="189"/>
      <c r="L224" s="187"/>
      <c r="M224" s="187"/>
      <c r="N224" s="190"/>
      <c r="O224" s="196"/>
      <c r="P224" s="192"/>
    </row>
    <row r="225" ht="15.75" customHeight="1">
      <c r="A225" s="186"/>
      <c r="B225" s="197"/>
      <c r="C225" s="198"/>
      <c r="D225" s="199"/>
      <c r="E225" s="200"/>
      <c r="F225" s="201"/>
      <c r="G225" s="201"/>
      <c r="H225" s="199"/>
      <c r="I225" s="200"/>
      <c r="J225" s="187"/>
      <c r="K225" s="189"/>
      <c r="L225" s="187"/>
      <c r="M225" s="187"/>
      <c r="N225" s="190"/>
      <c r="O225" s="196"/>
      <c r="P225" s="192"/>
    </row>
    <row r="226" ht="15.75" customHeight="1">
      <c r="A226" s="186"/>
      <c r="B226" s="197"/>
      <c r="C226" s="198"/>
      <c r="D226" s="199"/>
      <c r="E226" s="200"/>
      <c r="F226" s="201"/>
      <c r="G226" s="201"/>
      <c r="H226" s="199"/>
      <c r="I226" s="200"/>
      <c r="J226" s="187"/>
      <c r="K226" s="189"/>
      <c r="L226" s="187"/>
      <c r="M226" s="187"/>
      <c r="N226" s="190"/>
      <c r="O226" s="196"/>
      <c r="P226" s="192"/>
    </row>
    <row r="227" ht="15.75" customHeight="1">
      <c r="A227" s="186"/>
      <c r="B227" s="197"/>
      <c r="C227" s="198"/>
      <c r="D227" s="199"/>
      <c r="E227" s="200"/>
      <c r="F227" s="201"/>
      <c r="G227" s="201"/>
      <c r="H227" s="199"/>
      <c r="I227" s="200"/>
      <c r="J227" s="187"/>
      <c r="K227" s="189"/>
      <c r="L227" s="187"/>
      <c r="M227" s="187"/>
      <c r="N227" s="190"/>
      <c r="O227" s="196"/>
      <c r="P227" s="192"/>
    </row>
    <row r="228" ht="15.75" customHeight="1">
      <c r="A228" s="186"/>
      <c r="B228" s="197"/>
      <c r="C228" s="198"/>
      <c r="D228" s="199"/>
      <c r="E228" s="200"/>
      <c r="F228" s="201"/>
      <c r="G228" s="201"/>
      <c r="H228" s="199"/>
      <c r="I228" s="200"/>
      <c r="J228" s="187"/>
      <c r="K228" s="189"/>
      <c r="L228" s="187"/>
      <c r="M228" s="187"/>
      <c r="N228" s="190"/>
      <c r="O228" s="196"/>
      <c r="P228" s="192"/>
    </row>
    <row r="229" ht="15.75" customHeight="1">
      <c r="A229" s="186"/>
      <c r="B229" s="197"/>
      <c r="C229" s="198"/>
      <c r="D229" s="199"/>
      <c r="E229" s="200"/>
      <c r="F229" s="201"/>
      <c r="G229" s="201"/>
      <c r="H229" s="199"/>
      <c r="I229" s="200"/>
      <c r="J229" s="187"/>
      <c r="K229" s="189"/>
      <c r="L229" s="187"/>
      <c r="M229" s="187"/>
      <c r="N229" s="190"/>
      <c r="O229" s="196"/>
      <c r="P229" s="192"/>
    </row>
    <row r="230" ht="15.75" customHeight="1">
      <c r="A230" s="186"/>
      <c r="B230" s="197"/>
      <c r="C230" s="198"/>
      <c r="D230" s="199"/>
      <c r="E230" s="200"/>
      <c r="F230" s="201"/>
      <c r="G230" s="201"/>
      <c r="H230" s="199"/>
      <c r="I230" s="200"/>
      <c r="J230" s="187"/>
      <c r="K230" s="189"/>
      <c r="L230" s="187"/>
      <c r="M230" s="187"/>
      <c r="N230" s="190"/>
      <c r="O230" s="196"/>
      <c r="P230" s="192"/>
    </row>
    <row r="231" ht="15.75" customHeight="1">
      <c r="A231" s="186"/>
      <c r="B231" s="197"/>
      <c r="C231" s="198"/>
      <c r="D231" s="199"/>
      <c r="E231" s="200"/>
      <c r="F231" s="201"/>
      <c r="G231" s="201"/>
      <c r="H231" s="199"/>
      <c r="I231" s="200"/>
      <c r="J231" s="187"/>
      <c r="K231" s="189"/>
      <c r="L231" s="187"/>
      <c r="M231" s="187"/>
      <c r="N231" s="190"/>
      <c r="O231" s="196"/>
      <c r="P231" s="192"/>
    </row>
    <row r="232" ht="15.75" customHeight="1">
      <c r="A232" s="186"/>
      <c r="B232" s="197"/>
      <c r="C232" s="198"/>
      <c r="D232" s="199"/>
      <c r="E232" s="200"/>
      <c r="F232" s="201"/>
      <c r="G232" s="201"/>
      <c r="H232" s="199"/>
      <c r="I232" s="200"/>
      <c r="J232" s="187"/>
      <c r="K232" s="189"/>
      <c r="L232" s="187"/>
      <c r="M232" s="187"/>
      <c r="N232" s="190"/>
      <c r="O232" s="196"/>
      <c r="P232" s="192"/>
    </row>
    <row r="233" ht="15.75" customHeight="1">
      <c r="A233" s="186"/>
      <c r="B233" s="197"/>
      <c r="C233" s="198"/>
      <c r="D233" s="199"/>
      <c r="E233" s="200"/>
      <c r="F233" s="201"/>
      <c r="G233" s="201"/>
      <c r="H233" s="199"/>
      <c r="I233" s="200"/>
      <c r="J233" s="187"/>
      <c r="K233" s="189"/>
      <c r="L233" s="187"/>
      <c r="M233" s="187"/>
      <c r="N233" s="190"/>
      <c r="O233" s="196"/>
      <c r="P233" s="192"/>
    </row>
    <row r="234" ht="15.75" customHeight="1">
      <c r="A234" s="186"/>
      <c r="B234" s="197"/>
      <c r="C234" s="198"/>
      <c r="D234" s="199"/>
      <c r="E234" s="200"/>
      <c r="F234" s="201"/>
      <c r="G234" s="201"/>
      <c r="H234" s="199"/>
      <c r="I234" s="200"/>
      <c r="J234" s="187"/>
      <c r="K234" s="189"/>
      <c r="L234" s="187"/>
      <c r="M234" s="187"/>
      <c r="N234" s="190"/>
      <c r="O234" s="196"/>
      <c r="P234" s="192"/>
    </row>
    <row r="235" ht="15.75" customHeight="1">
      <c r="A235" s="186"/>
      <c r="B235" s="197"/>
      <c r="C235" s="198"/>
      <c r="D235" s="199"/>
      <c r="E235" s="200"/>
      <c r="F235" s="201"/>
      <c r="G235" s="201"/>
      <c r="H235" s="199"/>
      <c r="I235" s="200"/>
      <c r="J235" s="187"/>
      <c r="K235" s="189"/>
      <c r="L235" s="187"/>
      <c r="M235" s="187"/>
      <c r="N235" s="190"/>
      <c r="O235" s="196"/>
      <c r="P235" s="192"/>
    </row>
    <row r="236" ht="15.75" customHeight="1">
      <c r="A236" s="186"/>
      <c r="B236" s="197"/>
      <c r="C236" s="198"/>
      <c r="D236" s="199"/>
      <c r="E236" s="200"/>
      <c r="F236" s="201"/>
      <c r="G236" s="201"/>
      <c r="H236" s="199"/>
      <c r="I236" s="200"/>
      <c r="J236" s="187"/>
      <c r="K236" s="189"/>
      <c r="L236" s="187"/>
      <c r="M236" s="187"/>
      <c r="N236" s="190"/>
      <c r="O236" s="196"/>
      <c r="P236" s="192"/>
    </row>
    <row r="237" ht="15.75" customHeight="1">
      <c r="A237" s="186"/>
      <c r="B237" s="197"/>
      <c r="C237" s="198"/>
      <c r="D237" s="199"/>
      <c r="E237" s="200"/>
      <c r="F237" s="201"/>
      <c r="G237" s="201"/>
      <c r="H237" s="199"/>
      <c r="I237" s="200"/>
      <c r="J237" s="187"/>
      <c r="K237" s="189"/>
      <c r="L237" s="187"/>
      <c r="M237" s="187"/>
      <c r="N237" s="190"/>
      <c r="O237" s="196"/>
      <c r="P237" s="192"/>
    </row>
    <row r="238" ht="15.75" customHeight="1">
      <c r="A238" s="186"/>
      <c r="B238" s="197"/>
      <c r="C238" s="198"/>
      <c r="D238" s="199"/>
      <c r="E238" s="200"/>
      <c r="F238" s="201"/>
      <c r="G238" s="201"/>
      <c r="H238" s="199"/>
      <c r="I238" s="200"/>
      <c r="J238" s="187"/>
      <c r="K238" s="189"/>
      <c r="L238" s="187"/>
      <c r="M238" s="187"/>
      <c r="N238" s="190"/>
      <c r="O238" s="196"/>
      <c r="P238" s="192"/>
    </row>
    <row r="239" ht="15.75" customHeight="1">
      <c r="A239" s="186"/>
      <c r="B239" s="197"/>
      <c r="C239" s="198"/>
      <c r="D239" s="199"/>
      <c r="E239" s="200"/>
      <c r="F239" s="201"/>
      <c r="G239" s="201"/>
      <c r="H239" s="199"/>
      <c r="I239" s="200"/>
      <c r="J239" s="187"/>
      <c r="K239" s="189"/>
      <c r="L239" s="187"/>
      <c r="M239" s="187"/>
      <c r="N239" s="190"/>
      <c r="O239" s="196"/>
      <c r="P239" s="192"/>
    </row>
    <row r="240" ht="15.75" customHeight="1">
      <c r="A240" s="186"/>
      <c r="B240" s="197"/>
      <c r="C240" s="198"/>
      <c r="D240" s="199"/>
      <c r="E240" s="200"/>
      <c r="F240" s="201"/>
      <c r="G240" s="201"/>
      <c r="H240" s="199"/>
      <c r="I240" s="200"/>
      <c r="J240" s="187"/>
      <c r="K240" s="189"/>
      <c r="L240" s="187"/>
      <c r="M240" s="187"/>
      <c r="N240" s="190"/>
      <c r="O240" s="196"/>
      <c r="P240" s="192"/>
    </row>
    <row r="241" ht="15.75" customHeight="1">
      <c r="A241" s="186"/>
      <c r="B241" s="197"/>
      <c r="C241" s="198"/>
      <c r="D241" s="199"/>
      <c r="E241" s="200"/>
      <c r="F241" s="201"/>
      <c r="G241" s="201"/>
      <c r="H241" s="199"/>
      <c r="I241" s="200"/>
      <c r="J241" s="187"/>
      <c r="K241" s="189"/>
      <c r="L241" s="187"/>
      <c r="M241" s="187"/>
      <c r="N241" s="190"/>
      <c r="O241" s="196"/>
      <c r="P241" s="192"/>
    </row>
    <row r="242" ht="15.75" customHeight="1">
      <c r="A242" s="186"/>
      <c r="B242" s="197"/>
      <c r="C242" s="198"/>
      <c r="D242" s="199"/>
      <c r="E242" s="200"/>
      <c r="F242" s="201"/>
      <c r="G242" s="201"/>
      <c r="H242" s="199"/>
      <c r="I242" s="200"/>
      <c r="J242" s="187"/>
      <c r="K242" s="189"/>
      <c r="L242" s="187"/>
      <c r="M242" s="187"/>
      <c r="N242" s="190"/>
      <c r="O242" s="196"/>
      <c r="P242" s="192"/>
    </row>
    <row r="243" ht="15.75" customHeight="1">
      <c r="A243" s="186"/>
      <c r="B243" s="197"/>
      <c r="C243" s="198"/>
      <c r="D243" s="199"/>
      <c r="E243" s="200"/>
      <c r="F243" s="201"/>
      <c r="G243" s="201"/>
      <c r="H243" s="199"/>
      <c r="I243" s="200"/>
      <c r="J243" s="187"/>
      <c r="K243" s="189"/>
      <c r="L243" s="187"/>
      <c r="M243" s="187"/>
      <c r="N243" s="190"/>
      <c r="O243" s="196"/>
      <c r="P243" s="192"/>
    </row>
    <row r="244" ht="15.75" customHeight="1">
      <c r="A244" s="186"/>
      <c r="B244" s="197"/>
      <c r="C244" s="198"/>
      <c r="D244" s="199"/>
      <c r="E244" s="200"/>
      <c r="F244" s="201"/>
      <c r="G244" s="201"/>
      <c r="H244" s="199"/>
      <c r="I244" s="200"/>
      <c r="J244" s="187"/>
      <c r="K244" s="189"/>
      <c r="L244" s="187"/>
      <c r="M244" s="187"/>
      <c r="N244" s="190"/>
      <c r="O244" s="196"/>
      <c r="P244" s="192"/>
    </row>
    <row r="245" ht="15.75" customHeight="1">
      <c r="A245" s="186"/>
      <c r="B245" s="197"/>
      <c r="C245" s="198"/>
      <c r="D245" s="199"/>
      <c r="E245" s="200"/>
      <c r="F245" s="201"/>
      <c r="G245" s="201"/>
      <c r="H245" s="199"/>
      <c r="I245" s="200"/>
      <c r="J245" s="187"/>
      <c r="K245" s="189"/>
      <c r="L245" s="187"/>
      <c r="M245" s="187"/>
      <c r="N245" s="190"/>
      <c r="O245" s="196"/>
      <c r="P245" s="192"/>
    </row>
    <row r="246" ht="15.75" customHeight="1">
      <c r="A246" s="186"/>
      <c r="B246" s="197"/>
      <c r="C246" s="198"/>
      <c r="D246" s="199"/>
      <c r="E246" s="200"/>
      <c r="F246" s="201"/>
      <c r="G246" s="201"/>
      <c r="H246" s="199"/>
      <c r="I246" s="200"/>
      <c r="J246" s="187"/>
      <c r="K246" s="189"/>
      <c r="L246" s="187"/>
      <c r="M246" s="187"/>
      <c r="N246" s="190"/>
      <c r="O246" s="196"/>
      <c r="P246" s="192"/>
    </row>
    <row r="247" ht="15.75" customHeight="1">
      <c r="A247" s="186"/>
      <c r="B247" s="197"/>
      <c r="C247" s="198"/>
      <c r="D247" s="199"/>
      <c r="E247" s="200"/>
      <c r="F247" s="201"/>
      <c r="G247" s="201"/>
      <c r="H247" s="199"/>
      <c r="I247" s="200"/>
      <c r="J247" s="187"/>
      <c r="K247" s="189"/>
      <c r="L247" s="187"/>
      <c r="M247" s="187"/>
      <c r="N247" s="190"/>
      <c r="O247" s="196"/>
      <c r="P247" s="192"/>
    </row>
    <row r="248" ht="15.75" customHeight="1">
      <c r="A248" s="186"/>
      <c r="B248" s="197"/>
      <c r="C248" s="198"/>
      <c r="D248" s="199"/>
      <c r="E248" s="200"/>
      <c r="F248" s="201"/>
      <c r="G248" s="201"/>
      <c r="H248" s="199"/>
      <c r="I248" s="200"/>
      <c r="J248" s="187"/>
      <c r="K248" s="189"/>
      <c r="L248" s="187"/>
      <c r="M248" s="187"/>
      <c r="N248" s="190"/>
      <c r="O248" s="196"/>
      <c r="P248" s="192"/>
    </row>
    <row r="249" ht="15.75" customHeight="1">
      <c r="A249" s="186"/>
      <c r="B249" s="197"/>
      <c r="C249" s="198"/>
      <c r="D249" s="199"/>
      <c r="E249" s="200"/>
      <c r="F249" s="201"/>
      <c r="G249" s="201"/>
      <c r="H249" s="199"/>
      <c r="I249" s="200"/>
      <c r="J249" s="187"/>
      <c r="K249" s="189"/>
      <c r="L249" s="187"/>
      <c r="M249" s="187"/>
      <c r="N249" s="190"/>
      <c r="O249" s="196"/>
      <c r="P249" s="192"/>
    </row>
    <row r="250" ht="15.75" customHeight="1">
      <c r="A250" s="186"/>
      <c r="B250" s="197"/>
      <c r="C250" s="198"/>
      <c r="D250" s="199"/>
      <c r="E250" s="200"/>
      <c r="F250" s="201"/>
      <c r="G250" s="201"/>
      <c r="H250" s="199"/>
      <c r="I250" s="200"/>
      <c r="J250" s="187"/>
      <c r="K250" s="189"/>
      <c r="L250" s="187"/>
      <c r="M250" s="187"/>
      <c r="N250" s="190"/>
      <c r="O250" s="196"/>
      <c r="P250" s="192"/>
    </row>
    <row r="251" ht="15.75" customHeight="1">
      <c r="A251" s="186"/>
      <c r="B251" s="197"/>
      <c r="C251" s="198"/>
      <c r="D251" s="199"/>
      <c r="E251" s="200"/>
      <c r="F251" s="201"/>
      <c r="G251" s="201"/>
      <c r="H251" s="199"/>
      <c r="I251" s="200"/>
      <c r="J251" s="187"/>
      <c r="K251" s="189"/>
      <c r="L251" s="187"/>
      <c r="M251" s="187"/>
      <c r="N251" s="190"/>
      <c r="O251" s="196"/>
      <c r="P251" s="192"/>
    </row>
    <row r="252" ht="15.75" customHeight="1">
      <c r="A252" s="186"/>
      <c r="B252" s="197"/>
      <c r="C252" s="198"/>
      <c r="D252" s="199"/>
      <c r="E252" s="200"/>
      <c r="F252" s="201"/>
      <c r="G252" s="201"/>
      <c r="H252" s="199"/>
      <c r="I252" s="200"/>
      <c r="J252" s="187"/>
      <c r="K252" s="189"/>
      <c r="L252" s="187"/>
      <c r="M252" s="187"/>
      <c r="N252" s="190"/>
      <c r="O252" s="196"/>
      <c r="P252" s="192"/>
    </row>
    <row r="253" ht="15.75" customHeight="1">
      <c r="A253" s="186"/>
      <c r="B253" s="197"/>
      <c r="C253" s="198"/>
      <c r="D253" s="199"/>
      <c r="E253" s="200"/>
      <c r="F253" s="201"/>
      <c r="G253" s="201"/>
      <c r="H253" s="199"/>
      <c r="I253" s="200"/>
      <c r="J253" s="187"/>
      <c r="K253" s="189"/>
      <c r="L253" s="187"/>
      <c r="M253" s="187"/>
      <c r="N253" s="190"/>
      <c r="O253" s="196"/>
      <c r="P253" s="192"/>
    </row>
    <row r="254" ht="15.75" customHeight="1">
      <c r="A254" s="186"/>
      <c r="B254" s="197"/>
      <c r="C254" s="198"/>
      <c r="D254" s="199"/>
      <c r="E254" s="200"/>
      <c r="F254" s="201"/>
      <c r="G254" s="201"/>
      <c r="H254" s="199"/>
      <c r="I254" s="200"/>
      <c r="J254" s="187"/>
      <c r="K254" s="189"/>
      <c r="L254" s="187"/>
      <c r="M254" s="187"/>
      <c r="N254" s="190"/>
      <c r="O254" s="196"/>
      <c r="P254" s="192"/>
    </row>
    <row r="255" ht="15.75" customHeight="1">
      <c r="A255" s="186"/>
      <c r="B255" s="197"/>
      <c r="C255" s="198"/>
      <c r="D255" s="199"/>
      <c r="E255" s="200"/>
      <c r="F255" s="201"/>
      <c r="G255" s="201"/>
      <c r="H255" s="199"/>
      <c r="I255" s="200"/>
      <c r="J255" s="187"/>
      <c r="K255" s="189"/>
      <c r="L255" s="187"/>
      <c r="M255" s="187"/>
      <c r="N255" s="190"/>
      <c r="O255" s="196"/>
      <c r="P255" s="192"/>
    </row>
    <row r="256" ht="15.75" customHeight="1">
      <c r="A256" s="186"/>
      <c r="B256" s="197"/>
      <c r="C256" s="198"/>
      <c r="D256" s="199"/>
      <c r="E256" s="200"/>
      <c r="F256" s="201"/>
      <c r="G256" s="201"/>
      <c r="H256" s="199"/>
      <c r="I256" s="200"/>
      <c r="J256" s="187"/>
      <c r="K256" s="189"/>
      <c r="L256" s="187"/>
      <c r="M256" s="187"/>
      <c r="N256" s="190"/>
      <c r="O256" s="196"/>
      <c r="P256" s="192"/>
    </row>
    <row r="257" ht="15.75" customHeight="1">
      <c r="A257" s="186"/>
      <c r="B257" s="197"/>
      <c r="C257" s="198"/>
      <c r="D257" s="199"/>
      <c r="E257" s="200"/>
      <c r="F257" s="201"/>
      <c r="G257" s="201"/>
      <c r="H257" s="199"/>
      <c r="I257" s="200"/>
      <c r="J257" s="187"/>
      <c r="K257" s="189"/>
      <c r="L257" s="187"/>
      <c r="M257" s="187"/>
      <c r="N257" s="190"/>
      <c r="O257" s="196"/>
      <c r="P257" s="192"/>
    </row>
    <row r="258" ht="15.75" customHeight="1">
      <c r="A258" s="186"/>
      <c r="B258" s="197"/>
      <c r="C258" s="198"/>
      <c r="D258" s="199"/>
      <c r="E258" s="200"/>
      <c r="F258" s="201"/>
      <c r="G258" s="201"/>
      <c r="H258" s="199"/>
      <c r="I258" s="200"/>
      <c r="J258" s="187"/>
      <c r="K258" s="189"/>
      <c r="L258" s="187"/>
      <c r="M258" s="187"/>
      <c r="N258" s="190"/>
      <c r="O258" s="196"/>
      <c r="P258" s="192"/>
    </row>
    <row r="259" ht="15.75" customHeight="1">
      <c r="A259" s="186"/>
      <c r="B259" s="197"/>
      <c r="C259" s="198"/>
      <c r="D259" s="199"/>
      <c r="E259" s="200"/>
      <c r="F259" s="201"/>
      <c r="G259" s="201"/>
      <c r="H259" s="199"/>
      <c r="I259" s="200"/>
      <c r="J259" s="187"/>
      <c r="K259" s="189"/>
      <c r="L259" s="187"/>
      <c r="M259" s="187"/>
      <c r="N259" s="190"/>
      <c r="O259" s="196"/>
      <c r="P259" s="192"/>
    </row>
    <row r="260" ht="15.75" customHeight="1">
      <c r="A260" s="186"/>
      <c r="B260" s="197"/>
      <c r="C260" s="198"/>
      <c r="D260" s="199"/>
      <c r="E260" s="200"/>
      <c r="F260" s="201"/>
      <c r="G260" s="201"/>
      <c r="H260" s="199"/>
      <c r="I260" s="200"/>
      <c r="J260" s="187"/>
      <c r="K260" s="189"/>
      <c r="L260" s="187"/>
      <c r="M260" s="187"/>
      <c r="N260" s="190"/>
      <c r="O260" s="196"/>
      <c r="P260" s="192"/>
    </row>
    <row r="261" ht="15.75" customHeight="1">
      <c r="A261" s="186"/>
      <c r="B261" s="197"/>
      <c r="C261" s="198"/>
      <c r="D261" s="199"/>
      <c r="E261" s="200"/>
      <c r="F261" s="201"/>
      <c r="G261" s="201"/>
      <c r="H261" s="199"/>
      <c r="I261" s="200"/>
      <c r="J261" s="187"/>
      <c r="K261" s="189"/>
      <c r="L261" s="187"/>
      <c r="M261" s="187"/>
      <c r="N261" s="190"/>
      <c r="O261" s="196"/>
      <c r="P261" s="192"/>
    </row>
    <row r="262" ht="15.75" customHeight="1">
      <c r="A262" s="186"/>
      <c r="B262" s="197"/>
      <c r="C262" s="198"/>
      <c r="D262" s="199"/>
      <c r="E262" s="200"/>
      <c r="F262" s="201"/>
      <c r="G262" s="201"/>
      <c r="H262" s="199"/>
      <c r="I262" s="200"/>
      <c r="J262" s="187"/>
      <c r="K262" s="189"/>
      <c r="L262" s="187"/>
      <c r="M262" s="187"/>
      <c r="N262" s="190"/>
      <c r="O262" s="196"/>
      <c r="P262" s="192"/>
    </row>
    <row r="263" ht="15.75" customHeight="1">
      <c r="A263" s="186"/>
      <c r="B263" s="197"/>
      <c r="C263" s="198"/>
      <c r="D263" s="199"/>
      <c r="E263" s="200"/>
      <c r="F263" s="201"/>
      <c r="G263" s="201"/>
      <c r="H263" s="199"/>
      <c r="I263" s="200"/>
      <c r="J263" s="187"/>
      <c r="K263" s="189"/>
      <c r="L263" s="187"/>
      <c r="M263" s="187"/>
      <c r="N263" s="190"/>
      <c r="O263" s="196"/>
      <c r="P263" s="192"/>
    </row>
    <row r="264" ht="15.75" customHeight="1">
      <c r="A264" s="186"/>
      <c r="B264" s="197"/>
      <c r="C264" s="198"/>
      <c r="D264" s="199"/>
      <c r="E264" s="200"/>
      <c r="F264" s="201"/>
      <c r="G264" s="201"/>
      <c r="H264" s="199"/>
      <c r="I264" s="200"/>
      <c r="J264" s="187"/>
      <c r="K264" s="189"/>
      <c r="L264" s="187"/>
      <c r="M264" s="187"/>
      <c r="N264" s="190"/>
      <c r="O264" s="196"/>
      <c r="P264" s="192"/>
    </row>
    <row r="265" ht="15.75" customHeight="1">
      <c r="A265" s="186"/>
      <c r="B265" s="197"/>
      <c r="C265" s="198"/>
      <c r="D265" s="199"/>
      <c r="E265" s="200"/>
      <c r="F265" s="201"/>
      <c r="G265" s="201"/>
      <c r="H265" s="199"/>
      <c r="I265" s="200"/>
      <c r="J265" s="187"/>
      <c r="K265" s="189"/>
      <c r="L265" s="187"/>
      <c r="M265" s="187"/>
      <c r="N265" s="190"/>
      <c r="O265" s="196"/>
      <c r="P265" s="192"/>
    </row>
    <row r="266" ht="15.75" customHeight="1">
      <c r="A266" s="186"/>
      <c r="B266" s="197"/>
      <c r="C266" s="198"/>
      <c r="D266" s="199"/>
      <c r="E266" s="200"/>
      <c r="F266" s="201"/>
      <c r="G266" s="201"/>
      <c r="H266" s="199"/>
      <c r="I266" s="200"/>
      <c r="J266" s="187"/>
      <c r="K266" s="189"/>
      <c r="L266" s="187"/>
      <c r="M266" s="187"/>
      <c r="N266" s="190"/>
      <c r="O266" s="196"/>
      <c r="P266" s="192"/>
    </row>
    <row r="267" ht="15.75" customHeight="1">
      <c r="A267" s="186"/>
      <c r="B267" s="197"/>
      <c r="C267" s="198"/>
      <c r="D267" s="199"/>
      <c r="E267" s="200"/>
      <c r="F267" s="201"/>
      <c r="G267" s="201"/>
      <c r="H267" s="199"/>
      <c r="I267" s="200"/>
      <c r="J267" s="187"/>
      <c r="K267" s="189"/>
      <c r="L267" s="187"/>
      <c r="M267" s="187"/>
      <c r="N267" s="190"/>
      <c r="O267" s="196"/>
      <c r="P267" s="192"/>
    </row>
    <row r="268" ht="15.75" customHeight="1">
      <c r="A268" s="186"/>
      <c r="B268" s="197"/>
      <c r="C268" s="198"/>
      <c r="D268" s="199"/>
      <c r="E268" s="200"/>
      <c r="F268" s="201"/>
      <c r="G268" s="201"/>
      <c r="H268" s="199"/>
      <c r="I268" s="200"/>
      <c r="J268" s="187"/>
      <c r="K268" s="189"/>
      <c r="L268" s="187"/>
      <c r="M268" s="187"/>
      <c r="N268" s="190"/>
      <c r="O268" s="196"/>
      <c r="P268" s="192"/>
    </row>
    <row r="269" ht="15.75" customHeight="1">
      <c r="A269" s="186"/>
      <c r="B269" s="197"/>
      <c r="C269" s="198"/>
      <c r="D269" s="199"/>
      <c r="E269" s="200"/>
      <c r="F269" s="201"/>
      <c r="G269" s="201"/>
      <c r="H269" s="199"/>
      <c r="I269" s="200"/>
      <c r="J269" s="187"/>
      <c r="K269" s="189"/>
      <c r="L269" s="187"/>
      <c r="M269" s="187"/>
      <c r="N269" s="190"/>
      <c r="O269" s="196"/>
      <c r="P269" s="192"/>
    </row>
    <row r="270" ht="15.75" customHeight="1">
      <c r="A270" s="186"/>
      <c r="B270" s="197"/>
      <c r="C270" s="198"/>
      <c r="D270" s="199"/>
      <c r="E270" s="200"/>
      <c r="F270" s="201"/>
      <c r="G270" s="201"/>
      <c r="H270" s="199"/>
      <c r="I270" s="200"/>
      <c r="J270" s="187"/>
      <c r="K270" s="189"/>
      <c r="L270" s="187"/>
      <c r="M270" s="187"/>
      <c r="N270" s="190"/>
      <c r="O270" s="196"/>
      <c r="P270" s="192"/>
    </row>
    <row r="271" ht="15.75" customHeight="1">
      <c r="A271" s="186"/>
      <c r="B271" s="197"/>
      <c r="C271" s="198"/>
      <c r="D271" s="199"/>
      <c r="E271" s="200"/>
      <c r="F271" s="201"/>
      <c r="G271" s="201"/>
      <c r="H271" s="199"/>
      <c r="I271" s="200"/>
      <c r="J271" s="187"/>
      <c r="K271" s="189"/>
      <c r="L271" s="187"/>
      <c r="M271" s="187"/>
      <c r="N271" s="190"/>
      <c r="O271" s="196"/>
      <c r="P271" s="192"/>
    </row>
    <row r="272" ht="15.75" customHeight="1">
      <c r="A272" s="186"/>
      <c r="B272" s="197"/>
      <c r="C272" s="198"/>
      <c r="D272" s="199"/>
      <c r="E272" s="200"/>
      <c r="F272" s="201"/>
      <c r="G272" s="201"/>
      <c r="H272" s="199"/>
      <c r="I272" s="200"/>
      <c r="J272" s="187"/>
      <c r="K272" s="189"/>
      <c r="L272" s="187"/>
      <c r="M272" s="187"/>
      <c r="N272" s="190"/>
      <c r="O272" s="196"/>
      <c r="P272" s="192"/>
    </row>
    <row r="273" ht="15.75" customHeight="1">
      <c r="A273" s="186"/>
      <c r="B273" s="197"/>
      <c r="C273" s="198"/>
      <c r="D273" s="199"/>
      <c r="E273" s="200"/>
      <c r="F273" s="201"/>
      <c r="G273" s="201"/>
      <c r="H273" s="199"/>
      <c r="I273" s="200"/>
      <c r="J273" s="187"/>
      <c r="K273" s="189"/>
      <c r="L273" s="187"/>
      <c r="M273" s="187"/>
      <c r="N273" s="190"/>
      <c r="O273" s="196"/>
      <c r="P273" s="192"/>
    </row>
    <row r="274" ht="15.75" customHeight="1">
      <c r="A274" s="186"/>
      <c r="B274" s="197"/>
      <c r="C274" s="198"/>
      <c r="D274" s="199"/>
      <c r="E274" s="200"/>
      <c r="F274" s="201"/>
      <c r="G274" s="201"/>
      <c r="H274" s="199"/>
      <c r="I274" s="200"/>
      <c r="J274" s="187"/>
      <c r="K274" s="189"/>
      <c r="L274" s="187"/>
      <c r="M274" s="187"/>
      <c r="N274" s="190"/>
      <c r="O274" s="196"/>
      <c r="P274" s="192"/>
    </row>
    <row r="275" ht="15.75" customHeight="1">
      <c r="A275" s="186"/>
      <c r="B275" s="197"/>
      <c r="C275" s="198"/>
      <c r="D275" s="199"/>
      <c r="E275" s="200"/>
      <c r="F275" s="201"/>
      <c r="G275" s="201"/>
      <c r="H275" s="199"/>
      <c r="I275" s="200"/>
      <c r="J275" s="187"/>
      <c r="K275" s="189"/>
      <c r="L275" s="187"/>
      <c r="M275" s="187"/>
      <c r="N275" s="190"/>
      <c r="O275" s="196"/>
      <c r="P275" s="192"/>
    </row>
    <row r="276" ht="15.75" customHeight="1">
      <c r="A276" s="186"/>
      <c r="B276" s="197"/>
      <c r="C276" s="198"/>
      <c r="D276" s="199"/>
      <c r="E276" s="200"/>
      <c r="F276" s="201"/>
      <c r="G276" s="201"/>
      <c r="H276" s="199"/>
      <c r="I276" s="200"/>
      <c r="J276" s="187"/>
      <c r="K276" s="189"/>
      <c r="L276" s="187"/>
      <c r="M276" s="187"/>
      <c r="N276" s="190"/>
      <c r="O276" s="196"/>
      <c r="P276" s="192"/>
    </row>
    <row r="277" ht="15.75" customHeight="1">
      <c r="A277" s="186"/>
      <c r="B277" s="197"/>
      <c r="C277" s="198"/>
      <c r="D277" s="199"/>
      <c r="E277" s="200"/>
      <c r="F277" s="201"/>
      <c r="G277" s="201"/>
      <c r="H277" s="199"/>
      <c r="I277" s="200"/>
      <c r="J277" s="187"/>
      <c r="K277" s="189"/>
      <c r="L277" s="187"/>
      <c r="M277" s="187"/>
      <c r="N277" s="190"/>
      <c r="O277" s="196"/>
      <c r="P277" s="192"/>
    </row>
    <row r="278" ht="15.75" customHeight="1">
      <c r="A278" s="186"/>
      <c r="B278" s="197"/>
      <c r="C278" s="198"/>
      <c r="D278" s="199"/>
      <c r="E278" s="200"/>
      <c r="F278" s="201"/>
      <c r="G278" s="201"/>
      <c r="H278" s="199"/>
      <c r="I278" s="200"/>
      <c r="J278" s="187"/>
      <c r="K278" s="189"/>
      <c r="L278" s="187"/>
      <c r="M278" s="187"/>
      <c r="N278" s="190"/>
      <c r="O278" s="196"/>
      <c r="P278" s="192"/>
    </row>
    <row r="279" ht="15.75" customHeight="1">
      <c r="A279" s="186"/>
      <c r="B279" s="197"/>
      <c r="C279" s="198"/>
      <c r="D279" s="199"/>
      <c r="E279" s="200"/>
      <c r="F279" s="201"/>
      <c r="G279" s="201"/>
      <c r="H279" s="199"/>
      <c r="I279" s="200"/>
      <c r="J279" s="187"/>
      <c r="K279" s="189"/>
      <c r="L279" s="187"/>
      <c r="M279" s="187"/>
      <c r="N279" s="190"/>
      <c r="O279" s="196"/>
      <c r="P279" s="192"/>
    </row>
    <row r="280" ht="15.75" customHeight="1">
      <c r="A280" s="186"/>
      <c r="B280" s="197"/>
      <c r="C280" s="198"/>
      <c r="D280" s="199"/>
      <c r="E280" s="200"/>
      <c r="F280" s="201"/>
      <c r="G280" s="201"/>
      <c r="H280" s="199"/>
      <c r="I280" s="200"/>
      <c r="J280" s="187"/>
      <c r="K280" s="189"/>
      <c r="L280" s="187"/>
      <c r="M280" s="187"/>
      <c r="N280" s="190"/>
      <c r="O280" s="196"/>
      <c r="P280" s="192"/>
    </row>
    <row r="281" ht="15.75" customHeight="1">
      <c r="A281" s="186"/>
      <c r="B281" s="197"/>
      <c r="C281" s="198"/>
      <c r="D281" s="199"/>
      <c r="E281" s="200"/>
      <c r="F281" s="201"/>
      <c r="G281" s="201"/>
      <c r="H281" s="199"/>
      <c r="I281" s="200"/>
      <c r="J281" s="187"/>
      <c r="K281" s="189"/>
      <c r="L281" s="187"/>
      <c r="M281" s="187"/>
      <c r="N281" s="190"/>
      <c r="O281" s="196"/>
      <c r="P281" s="192"/>
    </row>
    <row r="282" ht="15.75" customHeight="1">
      <c r="A282" s="186"/>
      <c r="B282" s="197"/>
      <c r="C282" s="198"/>
      <c r="D282" s="199"/>
      <c r="E282" s="200"/>
      <c r="F282" s="201"/>
      <c r="G282" s="201"/>
      <c r="H282" s="199"/>
      <c r="I282" s="200"/>
      <c r="J282" s="187"/>
      <c r="K282" s="189"/>
      <c r="L282" s="187"/>
      <c r="M282" s="187"/>
      <c r="N282" s="190"/>
      <c r="O282" s="196"/>
      <c r="P282" s="192"/>
    </row>
    <row r="283" ht="15.75" customHeight="1">
      <c r="A283" s="186"/>
      <c r="B283" s="197"/>
      <c r="C283" s="198"/>
      <c r="D283" s="199"/>
      <c r="E283" s="200"/>
      <c r="F283" s="201"/>
      <c r="G283" s="201"/>
      <c r="H283" s="199"/>
      <c r="I283" s="200"/>
      <c r="J283" s="187"/>
      <c r="K283" s="189"/>
      <c r="L283" s="187"/>
      <c r="M283" s="187"/>
      <c r="N283" s="190"/>
      <c r="O283" s="196"/>
      <c r="P283" s="192"/>
    </row>
    <row r="284" ht="15.75" customHeight="1">
      <c r="A284" s="186"/>
      <c r="B284" s="197"/>
      <c r="C284" s="198"/>
      <c r="D284" s="199"/>
      <c r="E284" s="200"/>
      <c r="F284" s="201"/>
      <c r="G284" s="201"/>
      <c r="H284" s="199"/>
      <c r="I284" s="200"/>
      <c r="J284" s="187"/>
      <c r="K284" s="189"/>
      <c r="L284" s="187"/>
      <c r="M284" s="187"/>
      <c r="N284" s="190"/>
      <c r="O284" s="196"/>
      <c r="P284" s="192"/>
    </row>
    <row r="285" ht="15.75" customHeight="1">
      <c r="A285" s="186"/>
      <c r="B285" s="197"/>
      <c r="C285" s="198"/>
      <c r="D285" s="199"/>
      <c r="E285" s="200"/>
      <c r="F285" s="201"/>
      <c r="G285" s="201"/>
      <c r="H285" s="199"/>
      <c r="I285" s="200"/>
      <c r="J285" s="187"/>
      <c r="K285" s="189"/>
      <c r="L285" s="187"/>
      <c r="M285" s="187"/>
      <c r="N285" s="190"/>
      <c r="O285" s="196"/>
      <c r="P285" s="192"/>
    </row>
    <row r="286" ht="15.75" customHeight="1">
      <c r="A286" s="186"/>
      <c r="B286" s="197"/>
      <c r="C286" s="198"/>
      <c r="D286" s="199"/>
      <c r="E286" s="200"/>
      <c r="F286" s="201"/>
      <c r="G286" s="201"/>
      <c r="H286" s="199"/>
      <c r="I286" s="200"/>
      <c r="J286" s="187"/>
      <c r="K286" s="189"/>
      <c r="L286" s="187"/>
      <c r="M286" s="187"/>
      <c r="N286" s="190"/>
      <c r="O286" s="196"/>
      <c r="P286" s="192"/>
    </row>
    <row r="287" ht="15.75" customHeight="1">
      <c r="A287" s="186"/>
      <c r="B287" s="197"/>
      <c r="C287" s="198"/>
      <c r="D287" s="199"/>
      <c r="E287" s="200"/>
      <c r="F287" s="201"/>
      <c r="G287" s="201"/>
      <c r="H287" s="199"/>
      <c r="I287" s="200"/>
      <c r="J287" s="187"/>
      <c r="K287" s="189"/>
      <c r="L287" s="187"/>
      <c r="M287" s="187"/>
      <c r="N287" s="190"/>
      <c r="O287" s="196"/>
      <c r="P287" s="192"/>
    </row>
    <row r="288" ht="15.75" customHeight="1">
      <c r="A288" s="186"/>
      <c r="B288" s="197"/>
      <c r="C288" s="198"/>
      <c r="D288" s="199"/>
      <c r="E288" s="200"/>
      <c r="F288" s="201"/>
      <c r="G288" s="201"/>
      <c r="H288" s="199"/>
      <c r="I288" s="200"/>
      <c r="J288" s="187"/>
      <c r="K288" s="189"/>
      <c r="L288" s="187"/>
      <c r="M288" s="187"/>
      <c r="N288" s="190"/>
      <c r="O288" s="196"/>
      <c r="P288" s="192"/>
    </row>
    <row r="289" ht="15.75" customHeight="1">
      <c r="A289" s="186"/>
      <c r="B289" s="197"/>
      <c r="C289" s="198"/>
      <c r="D289" s="199"/>
      <c r="E289" s="200"/>
      <c r="F289" s="201"/>
      <c r="G289" s="201"/>
      <c r="H289" s="199"/>
      <c r="I289" s="200"/>
      <c r="J289" s="187"/>
      <c r="K289" s="189"/>
      <c r="L289" s="187"/>
      <c r="M289" s="187"/>
      <c r="N289" s="190"/>
      <c r="O289" s="196"/>
      <c r="P289" s="192"/>
    </row>
    <row r="290" ht="15.75" customHeight="1">
      <c r="A290" s="186"/>
      <c r="B290" s="197"/>
      <c r="C290" s="198"/>
      <c r="D290" s="199"/>
      <c r="E290" s="200"/>
      <c r="F290" s="201"/>
      <c r="G290" s="201"/>
      <c r="H290" s="199"/>
      <c r="I290" s="200"/>
      <c r="J290" s="187"/>
      <c r="K290" s="189"/>
      <c r="L290" s="187"/>
      <c r="M290" s="187"/>
      <c r="N290" s="190"/>
      <c r="O290" s="196"/>
      <c r="P290" s="192"/>
    </row>
    <row r="291" ht="15.75" customHeight="1">
      <c r="A291" s="186"/>
      <c r="B291" s="197"/>
      <c r="C291" s="198"/>
      <c r="D291" s="199"/>
      <c r="E291" s="200"/>
      <c r="F291" s="201"/>
      <c r="G291" s="201"/>
      <c r="H291" s="199"/>
      <c r="I291" s="200"/>
      <c r="J291" s="187"/>
      <c r="K291" s="189"/>
      <c r="L291" s="187"/>
      <c r="M291" s="187"/>
      <c r="N291" s="190"/>
      <c r="O291" s="196"/>
      <c r="P291" s="192"/>
    </row>
    <row r="292" ht="15.75" customHeight="1">
      <c r="A292" s="186"/>
      <c r="B292" s="197"/>
      <c r="C292" s="198"/>
      <c r="D292" s="199"/>
      <c r="E292" s="200"/>
      <c r="F292" s="201"/>
      <c r="G292" s="201"/>
      <c r="H292" s="199"/>
      <c r="I292" s="200"/>
      <c r="J292" s="187"/>
      <c r="K292" s="189"/>
      <c r="L292" s="187"/>
      <c r="M292" s="187"/>
      <c r="N292" s="190"/>
      <c r="O292" s="196"/>
      <c r="P292" s="192"/>
    </row>
    <row r="293" ht="15.75" customHeight="1">
      <c r="A293" s="186"/>
      <c r="B293" s="197"/>
      <c r="C293" s="198"/>
      <c r="D293" s="199"/>
      <c r="E293" s="200"/>
      <c r="F293" s="201"/>
      <c r="G293" s="201"/>
      <c r="H293" s="199"/>
      <c r="I293" s="200"/>
      <c r="J293" s="187"/>
      <c r="K293" s="189"/>
      <c r="L293" s="187"/>
      <c r="M293" s="187"/>
      <c r="N293" s="190"/>
      <c r="O293" s="196"/>
      <c r="P293" s="192"/>
    </row>
    <row r="294" ht="15.75" customHeight="1">
      <c r="A294" s="186"/>
      <c r="B294" s="197"/>
      <c r="C294" s="198"/>
      <c r="D294" s="199"/>
      <c r="E294" s="200"/>
      <c r="F294" s="201"/>
      <c r="G294" s="201"/>
      <c r="H294" s="199"/>
      <c r="I294" s="200"/>
      <c r="J294" s="187"/>
      <c r="K294" s="189"/>
      <c r="L294" s="187"/>
      <c r="M294" s="187"/>
      <c r="N294" s="190"/>
      <c r="O294" s="196"/>
      <c r="P294" s="192"/>
    </row>
    <row r="295" ht="15.75" customHeight="1">
      <c r="A295" s="186"/>
      <c r="B295" s="197"/>
      <c r="C295" s="198"/>
      <c r="D295" s="199"/>
      <c r="E295" s="200"/>
      <c r="F295" s="201"/>
      <c r="G295" s="201"/>
      <c r="H295" s="199"/>
      <c r="I295" s="200"/>
      <c r="J295" s="187"/>
      <c r="K295" s="189"/>
      <c r="L295" s="187"/>
      <c r="M295" s="187"/>
      <c r="N295" s="190"/>
      <c r="O295" s="196"/>
      <c r="P295" s="192"/>
    </row>
    <row r="296" ht="15.75" customHeight="1">
      <c r="A296" s="186"/>
      <c r="B296" s="197"/>
      <c r="C296" s="198"/>
      <c r="D296" s="199"/>
      <c r="E296" s="200"/>
      <c r="F296" s="201"/>
      <c r="G296" s="201"/>
      <c r="H296" s="199"/>
      <c r="I296" s="200"/>
      <c r="J296" s="187"/>
      <c r="K296" s="189"/>
      <c r="L296" s="187"/>
      <c r="M296" s="187"/>
      <c r="N296" s="190"/>
      <c r="O296" s="196"/>
      <c r="P296" s="192"/>
    </row>
    <row r="297" ht="15.75" customHeight="1">
      <c r="A297" s="186"/>
      <c r="B297" s="197"/>
      <c r="C297" s="198"/>
      <c r="D297" s="199"/>
      <c r="E297" s="200"/>
      <c r="F297" s="201"/>
      <c r="G297" s="201"/>
      <c r="H297" s="199"/>
      <c r="I297" s="200"/>
      <c r="J297" s="187"/>
      <c r="K297" s="189"/>
      <c r="L297" s="187"/>
      <c r="M297" s="187"/>
      <c r="N297" s="190"/>
      <c r="O297" s="196"/>
      <c r="P297" s="192"/>
    </row>
    <row r="298" ht="15.75" customHeight="1">
      <c r="A298" s="186"/>
      <c r="B298" s="197"/>
      <c r="C298" s="198"/>
      <c r="D298" s="199"/>
      <c r="E298" s="200"/>
      <c r="F298" s="201"/>
      <c r="G298" s="201"/>
      <c r="H298" s="199"/>
      <c r="I298" s="200"/>
      <c r="J298" s="187"/>
      <c r="K298" s="189"/>
      <c r="L298" s="187"/>
      <c r="M298" s="187"/>
      <c r="N298" s="190"/>
      <c r="O298" s="196"/>
      <c r="P298" s="192"/>
    </row>
    <row r="299" ht="15.75" customHeight="1">
      <c r="A299" s="186"/>
      <c r="B299" s="197"/>
      <c r="C299" s="198"/>
      <c r="D299" s="199"/>
      <c r="E299" s="200"/>
      <c r="F299" s="201"/>
      <c r="G299" s="201"/>
      <c r="H299" s="199"/>
      <c r="I299" s="200"/>
      <c r="J299" s="187"/>
      <c r="K299" s="189"/>
      <c r="L299" s="187"/>
      <c r="M299" s="187"/>
      <c r="N299" s="190"/>
      <c r="O299" s="196"/>
      <c r="P299" s="192"/>
    </row>
    <row r="300" ht="15.75" customHeight="1">
      <c r="A300" s="186"/>
      <c r="B300" s="197"/>
      <c r="C300" s="198"/>
      <c r="D300" s="199"/>
      <c r="E300" s="200"/>
      <c r="F300" s="201"/>
      <c r="G300" s="201"/>
      <c r="H300" s="199"/>
      <c r="I300" s="200"/>
      <c r="J300" s="187"/>
      <c r="K300" s="189"/>
      <c r="L300" s="187"/>
      <c r="M300" s="187"/>
      <c r="N300" s="190"/>
      <c r="O300" s="196"/>
      <c r="P300" s="192"/>
    </row>
    <row r="301" ht="15.75" customHeight="1">
      <c r="A301" s="186"/>
      <c r="B301" s="197"/>
      <c r="C301" s="198"/>
      <c r="D301" s="199"/>
      <c r="E301" s="200"/>
      <c r="F301" s="201"/>
      <c r="G301" s="201"/>
      <c r="H301" s="199"/>
      <c r="I301" s="200"/>
      <c r="J301" s="187"/>
      <c r="K301" s="189"/>
      <c r="L301" s="187"/>
      <c r="M301" s="187"/>
      <c r="N301" s="190"/>
      <c r="O301" s="196"/>
      <c r="P301" s="192"/>
    </row>
    <row r="302" ht="15.75" customHeight="1">
      <c r="A302" s="186"/>
      <c r="B302" s="197"/>
      <c r="C302" s="198"/>
      <c r="D302" s="199"/>
      <c r="E302" s="200"/>
      <c r="F302" s="201"/>
      <c r="G302" s="201"/>
      <c r="H302" s="199"/>
      <c r="I302" s="200"/>
      <c r="J302" s="187"/>
      <c r="K302" s="189"/>
      <c r="L302" s="187"/>
      <c r="M302" s="187"/>
      <c r="N302" s="190"/>
      <c r="O302" s="196"/>
      <c r="P302" s="192"/>
    </row>
    <row r="303" ht="15.75" customHeight="1">
      <c r="A303" s="186"/>
      <c r="B303" s="197"/>
      <c r="C303" s="198"/>
      <c r="D303" s="199"/>
      <c r="E303" s="200"/>
      <c r="F303" s="201"/>
      <c r="G303" s="201"/>
      <c r="H303" s="199"/>
      <c r="I303" s="200"/>
      <c r="J303" s="187"/>
      <c r="K303" s="189"/>
      <c r="L303" s="187"/>
      <c r="M303" s="187"/>
      <c r="N303" s="190"/>
      <c r="O303" s="196"/>
      <c r="P303" s="192"/>
    </row>
    <row r="304" ht="15.75" customHeight="1">
      <c r="A304" s="186"/>
      <c r="B304" s="197"/>
      <c r="C304" s="198"/>
      <c r="D304" s="199"/>
      <c r="E304" s="200"/>
      <c r="F304" s="201"/>
      <c r="G304" s="201"/>
      <c r="H304" s="199"/>
      <c r="I304" s="200"/>
      <c r="J304" s="187"/>
      <c r="K304" s="189"/>
      <c r="L304" s="187"/>
      <c r="M304" s="187"/>
      <c r="N304" s="190"/>
      <c r="O304" s="196"/>
      <c r="P304" s="192"/>
    </row>
    <row r="305" ht="15.75" customHeight="1">
      <c r="A305" s="186"/>
      <c r="B305" s="197"/>
      <c r="C305" s="198"/>
      <c r="D305" s="199"/>
      <c r="E305" s="200"/>
      <c r="F305" s="201"/>
      <c r="G305" s="201"/>
      <c r="H305" s="199"/>
      <c r="I305" s="200"/>
      <c r="J305" s="187"/>
      <c r="K305" s="189"/>
      <c r="L305" s="187"/>
      <c r="M305" s="187"/>
      <c r="N305" s="190"/>
      <c r="O305" s="196"/>
      <c r="P305" s="192"/>
    </row>
    <row r="306" ht="15.75" customHeight="1">
      <c r="A306" s="186"/>
      <c r="B306" s="197"/>
      <c r="C306" s="198"/>
      <c r="D306" s="199"/>
      <c r="E306" s="200"/>
      <c r="F306" s="201"/>
      <c r="G306" s="201"/>
      <c r="H306" s="199"/>
      <c r="I306" s="200"/>
      <c r="J306" s="187"/>
      <c r="K306" s="189"/>
      <c r="L306" s="187"/>
      <c r="M306" s="187"/>
      <c r="N306" s="190"/>
      <c r="O306" s="196"/>
      <c r="P306" s="192"/>
    </row>
    <row r="307" ht="15.75" customHeight="1">
      <c r="A307" s="186"/>
      <c r="B307" s="197"/>
      <c r="C307" s="198"/>
      <c r="D307" s="199"/>
      <c r="E307" s="200"/>
      <c r="F307" s="201"/>
      <c r="G307" s="201"/>
      <c r="H307" s="199"/>
      <c r="I307" s="200"/>
      <c r="J307" s="187"/>
      <c r="K307" s="189"/>
      <c r="L307" s="187"/>
      <c r="M307" s="187"/>
      <c r="N307" s="190"/>
      <c r="O307" s="196"/>
      <c r="P307" s="192"/>
    </row>
    <row r="308" ht="15.75" customHeight="1">
      <c r="A308" s="186"/>
      <c r="B308" s="197"/>
      <c r="C308" s="198"/>
      <c r="D308" s="199"/>
      <c r="E308" s="200"/>
      <c r="F308" s="201"/>
      <c r="G308" s="201"/>
      <c r="H308" s="199"/>
      <c r="I308" s="200"/>
      <c r="J308" s="187"/>
      <c r="K308" s="189"/>
      <c r="L308" s="187"/>
      <c r="M308" s="187"/>
      <c r="N308" s="190"/>
      <c r="O308" s="196"/>
      <c r="P308" s="192"/>
    </row>
    <row r="309" ht="15.75" customHeight="1">
      <c r="A309" s="186"/>
      <c r="B309" s="197"/>
      <c r="C309" s="198"/>
      <c r="D309" s="199"/>
      <c r="E309" s="200"/>
      <c r="F309" s="201"/>
      <c r="G309" s="201"/>
      <c r="H309" s="199"/>
      <c r="I309" s="200"/>
      <c r="J309" s="187"/>
      <c r="K309" s="189"/>
      <c r="L309" s="187"/>
      <c r="M309" s="187"/>
      <c r="N309" s="190"/>
      <c r="O309" s="196"/>
      <c r="P309" s="192"/>
    </row>
    <row r="310" ht="15.75" customHeight="1">
      <c r="A310" s="186"/>
      <c r="B310" s="197"/>
      <c r="C310" s="198"/>
      <c r="D310" s="199"/>
      <c r="E310" s="200"/>
      <c r="F310" s="201"/>
      <c r="G310" s="201"/>
      <c r="H310" s="199"/>
      <c r="I310" s="200"/>
      <c r="J310" s="187"/>
      <c r="K310" s="189"/>
      <c r="L310" s="187"/>
      <c r="M310" s="187"/>
      <c r="N310" s="190"/>
      <c r="O310" s="196"/>
      <c r="P310" s="192"/>
    </row>
    <row r="311" ht="15.75" customHeight="1">
      <c r="A311" s="186"/>
      <c r="B311" s="197"/>
      <c r="C311" s="198"/>
      <c r="D311" s="199"/>
      <c r="E311" s="200"/>
      <c r="F311" s="201"/>
      <c r="G311" s="201"/>
      <c r="H311" s="199"/>
      <c r="I311" s="200"/>
      <c r="J311" s="187"/>
      <c r="K311" s="189"/>
      <c r="L311" s="187"/>
      <c r="M311" s="187"/>
      <c r="N311" s="190"/>
      <c r="O311" s="196"/>
      <c r="P311" s="192"/>
    </row>
    <row r="312" ht="15.75" customHeight="1">
      <c r="A312" s="186"/>
      <c r="B312" s="197"/>
      <c r="C312" s="198"/>
      <c r="D312" s="199"/>
      <c r="E312" s="200"/>
      <c r="F312" s="201"/>
      <c r="G312" s="201"/>
      <c r="H312" s="199"/>
      <c r="I312" s="200"/>
      <c r="J312" s="187"/>
      <c r="K312" s="189"/>
      <c r="L312" s="187"/>
      <c r="M312" s="187"/>
      <c r="N312" s="190"/>
      <c r="O312" s="196"/>
      <c r="P312" s="192"/>
    </row>
    <row r="313" ht="15.75" customHeight="1">
      <c r="A313" s="186"/>
      <c r="B313" s="197"/>
      <c r="C313" s="198"/>
      <c r="D313" s="199"/>
      <c r="E313" s="200"/>
      <c r="F313" s="201"/>
      <c r="G313" s="201"/>
      <c r="H313" s="199"/>
      <c r="I313" s="200"/>
      <c r="J313" s="187"/>
      <c r="K313" s="189"/>
      <c r="L313" s="187"/>
      <c r="M313" s="187"/>
      <c r="N313" s="190"/>
      <c r="O313" s="196"/>
      <c r="P313" s="192"/>
    </row>
    <row r="314" ht="15.75" customHeight="1">
      <c r="A314" s="186"/>
      <c r="B314" s="197"/>
      <c r="C314" s="198"/>
      <c r="D314" s="199"/>
      <c r="E314" s="200"/>
      <c r="F314" s="201"/>
      <c r="G314" s="201"/>
      <c r="H314" s="199"/>
      <c r="I314" s="200"/>
      <c r="J314" s="187"/>
      <c r="K314" s="189"/>
      <c r="L314" s="187"/>
      <c r="M314" s="187"/>
      <c r="N314" s="190"/>
      <c r="O314" s="196"/>
      <c r="P314" s="192"/>
    </row>
    <row r="315" ht="15.75" customHeight="1">
      <c r="A315" s="186"/>
      <c r="B315" s="197"/>
      <c r="C315" s="198"/>
      <c r="D315" s="199"/>
      <c r="E315" s="200"/>
      <c r="F315" s="201"/>
      <c r="G315" s="201"/>
      <c r="H315" s="199"/>
      <c r="I315" s="200"/>
      <c r="J315" s="187"/>
      <c r="K315" s="189"/>
      <c r="L315" s="187"/>
      <c r="M315" s="187"/>
      <c r="N315" s="190"/>
      <c r="O315" s="196"/>
      <c r="P315" s="192"/>
    </row>
    <row r="316" ht="15.75" customHeight="1">
      <c r="A316" s="186"/>
      <c r="B316" s="197"/>
      <c r="C316" s="198"/>
      <c r="D316" s="199"/>
      <c r="E316" s="200"/>
      <c r="F316" s="201"/>
      <c r="G316" s="201"/>
      <c r="H316" s="199"/>
      <c r="I316" s="200"/>
      <c r="J316" s="187"/>
      <c r="K316" s="189"/>
      <c r="L316" s="187"/>
      <c r="M316" s="187"/>
      <c r="N316" s="190"/>
      <c r="O316" s="196"/>
      <c r="P316" s="192"/>
    </row>
    <row r="317" ht="15.75" customHeight="1">
      <c r="A317" s="186"/>
      <c r="B317" s="197"/>
      <c r="C317" s="198"/>
      <c r="D317" s="199"/>
      <c r="E317" s="200"/>
      <c r="F317" s="201"/>
      <c r="G317" s="201"/>
      <c r="H317" s="199"/>
      <c r="I317" s="200"/>
      <c r="J317" s="187"/>
      <c r="K317" s="189"/>
      <c r="L317" s="187"/>
      <c r="M317" s="187"/>
      <c r="N317" s="190"/>
      <c r="O317" s="196"/>
      <c r="P317" s="192"/>
    </row>
    <row r="318" ht="15.75" customHeight="1">
      <c r="A318" s="186"/>
      <c r="B318" s="197"/>
      <c r="C318" s="198"/>
      <c r="D318" s="199"/>
      <c r="E318" s="200"/>
      <c r="F318" s="201"/>
      <c r="G318" s="201"/>
      <c r="H318" s="199"/>
      <c r="I318" s="200"/>
      <c r="J318" s="187"/>
      <c r="K318" s="189"/>
      <c r="L318" s="187"/>
      <c r="M318" s="187"/>
      <c r="N318" s="190"/>
      <c r="O318" s="196"/>
      <c r="P318" s="192"/>
    </row>
    <row r="319" ht="15.75" customHeight="1">
      <c r="A319" s="186"/>
      <c r="B319" s="197"/>
      <c r="C319" s="198"/>
      <c r="D319" s="199"/>
      <c r="E319" s="200"/>
      <c r="F319" s="201"/>
      <c r="G319" s="201"/>
      <c r="H319" s="199"/>
      <c r="I319" s="200"/>
      <c r="J319" s="187"/>
      <c r="K319" s="189"/>
      <c r="L319" s="187"/>
      <c r="M319" s="187"/>
      <c r="N319" s="190"/>
      <c r="O319" s="196"/>
      <c r="P319" s="192"/>
    </row>
    <row r="320" ht="15.75" customHeight="1">
      <c r="A320" s="186"/>
      <c r="B320" s="197"/>
      <c r="C320" s="198"/>
      <c r="D320" s="199"/>
      <c r="E320" s="200"/>
      <c r="F320" s="201"/>
      <c r="G320" s="201"/>
      <c r="H320" s="199"/>
      <c r="I320" s="200"/>
      <c r="J320" s="187"/>
      <c r="K320" s="189"/>
      <c r="L320" s="187"/>
      <c r="M320" s="187"/>
      <c r="N320" s="190"/>
      <c r="O320" s="196"/>
      <c r="P320" s="192"/>
    </row>
    <row r="321" ht="15.75" customHeight="1">
      <c r="A321" s="186"/>
      <c r="B321" s="197"/>
      <c r="C321" s="198"/>
      <c r="D321" s="199"/>
      <c r="E321" s="200"/>
      <c r="F321" s="201"/>
      <c r="G321" s="201"/>
      <c r="H321" s="199"/>
      <c r="I321" s="200"/>
      <c r="J321" s="187"/>
      <c r="K321" s="189"/>
      <c r="L321" s="187"/>
      <c r="M321" s="187"/>
      <c r="N321" s="190"/>
      <c r="O321" s="196"/>
      <c r="P321" s="192"/>
    </row>
    <row r="322" ht="15.75" customHeight="1">
      <c r="A322" s="186"/>
      <c r="B322" s="197"/>
      <c r="C322" s="198"/>
      <c r="D322" s="199"/>
      <c r="E322" s="200"/>
      <c r="F322" s="201"/>
      <c r="G322" s="201"/>
      <c r="H322" s="199"/>
      <c r="I322" s="200"/>
      <c r="J322" s="187"/>
      <c r="K322" s="189"/>
      <c r="L322" s="187"/>
      <c r="M322" s="187"/>
      <c r="N322" s="190"/>
      <c r="O322" s="196"/>
      <c r="P322" s="192"/>
    </row>
    <row r="323" ht="15.75" customHeight="1">
      <c r="A323" s="186"/>
      <c r="B323" s="197"/>
      <c r="C323" s="198"/>
      <c r="D323" s="199"/>
      <c r="E323" s="200"/>
      <c r="F323" s="201"/>
      <c r="G323" s="201"/>
      <c r="H323" s="199"/>
      <c r="I323" s="200"/>
      <c r="J323" s="187"/>
      <c r="K323" s="189"/>
      <c r="L323" s="187"/>
      <c r="M323" s="187"/>
      <c r="N323" s="190"/>
      <c r="O323" s="196"/>
      <c r="P323" s="192"/>
    </row>
    <row r="324" ht="15.75" customHeight="1">
      <c r="A324" s="186"/>
      <c r="B324" s="197"/>
      <c r="C324" s="198"/>
      <c r="D324" s="199"/>
      <c r="E324" s="200"/>
      <c r="F324" s="201"/>
      <c r="G324" s="201"/>
      <c r="H324" s="199"/>
      <c r="I324" s="200"/>
      <c r="J324" s="187"/>
      <c r="K324" s="189"/>
      <c r="L324" s="187"/>
      <c r="M324" s="187"/>
      <c r="N324" s="190"/>
      <c r="O324" s="196"/>
      <c r="P324" s="192"/>
    </row>
    <row r="325" ht="15.75" customHeight="1">
      <c r="A325" s="186"/>
      <c r="B325" s="197"/>
      <c r="C325" s="198"/>
      <c r="D325" s="199"/>
      <c r="E325" s="200"/>
      <c r="F325" s="201"/>
      <c r="G325" s="201"/>
      <c r="H325" s="199"/>
      <c r="I325" s="200"/>
      <c r="J325" s="187"/>
      <c r="K325" s="189"/>
      <c r="L325" s="187"/>
      <c r="M325" s="187"/>
      <c r="N325" s="190"/>
      <c r="O325" s="196"/>
      <c r="P325" s="192"/>
    </row>
    <row r="326" ht="15.75" customHeight="1">
      <c r="A326" s="186"/>
      <c r="B326" s="197"/>
      <c r="C326" s="198"/>
      <c r="D326" s="199"/>
      <c r="E326" s="200"/>
      <c r="F326" s="201"/>
      <c r="G326" s="201"/>
      <c r="H326" s="199"/>
      <c r="I326" s="200"/>
      <c r="J326" s="187"/>
      <c r="K326" s="189"/>
      <c r="L326" s="187"/>
      <c r="M326" s="187"/>
      <c r="N326" s="190"/>
      <c r="O326" s="196"/>
      <c r="P326" s="192"/>
    </row>
    <row r="327" ht="15.75" customHeight="1">
      <c r="A327" s="186"/>
      <c r="B327" s="197"/>
      <c r="C327" s="198"/>
      <c r="D327" s="199"/>
      <c r="E327" s="200"/>
      <c r="F327" s="201"/>
      <c r="G327" s="201"/>
      <c r="H327" s="199"/>
      <c r="I327" s="200"/>
      <c r="J327" s="187"/>
      <c r="K327" s="189"/>
      <c r="L327" s="187"/>
      <c r="M327" s="187"/>
      <c r="N327" s="190"/>
      <c r="O327" s="196"/>
      <c r="P327" s="192"/>
    </row>
    <row r="328" ht="15.75" customHeight="1">
      <c r="A328" s="186"/>
      <c r="B328" s="197"/>
      <c r="C328" s="198"/>
      <c r="D328" s="199"/>
      <c r="E328" s="200"/>
      <c r="F328" s="201"/>
      <c r="G328" s="201"/>
      <c r="H328" s="199"/>
      <c r="I328" s="200"/>
      <c r="J328" s="187"/>
      <c r="K328" s="189"/>
      <c r="L328" s="187"/>
      <c r="M328" s="187"/>
      <c r="N328" s="190"/>
      <c r="O328" s="196"/>
      <c r="P328" s="192"/>
    </row>
    <row r="329" ht="15.75" customHeight="1">
      <c r="A329" s="186"/>
      <c r="B329" s="197"/>
      <c r="C329" s="198"/>
      <c r="D329" s="199"/>
      <c r="E329" s="200"/>
      <c r="F329" s="201"/>
      <c r="G329" s="201"/>
      <c r="H329" s="199"/>
      <c r="I329" s="200"/>
      <c r="J329" s="187"/>
      <c r="K329" s="189"/>
      <c r="L329" s="187"/>
      <c r="M329" s="187"/>
      <c r="N329" s="190"/>
      <c r="O329" s="196"/>
      <c r="P329" s="192"/>
    </row>
    <row r="330" ht="15.75" customHeight="1">
      <c r="A330" s="186"/>
      <c r="B330" s="197"/>
      <c r="C330" s="198"/>
      <c r="D330" s="199"/>
      <c r="E330" s="200"/>
      <c r="F330" s="201"/>
      <c r="G330" s="201"/>
      <c r="H330" s="199"/>
      <c r="I330" s="200"/>
      <c r="J330" s="187"/>
      <c r="K330" s="189"/>
      <c r="L330" s="187"/>
      <c r="M330" s="187"/>
      <c r="N330" s="190"/>
      <c r="O330" s="196"/>
      <c r="P330" s="192"/>
    </row>
    <row r="331" ht="15.75" customHeight="1">
      <c r="A331" s="186"/>
      <c r="B331" s="197"/>
      <c r="C331" s="198"/>
      <c r="D331" s="199"/>
      <c r="E331" s="200"/>
      <c r="F331" s="201"/>
      <c r="G331" s="201"/>
      <c r="H331" s="199"/>
      <c r="I331" s="200"/>
      <c r="J331" s="187"/>
      <c r="K331" s="189"/>
      <c r="L331" s="187"/>
      <c r="M331" s="187"/>
      <c r="N331" s="190"/>
      <c r="O331" s="196"/>
      <c r="P331" s="192"/>
    </row>
    <row r="332" ht="15.75" customHeight="1">
      <c r="A332" s="186"/>
      <c r="B332" s="197"/>
      <c r="C332" s="198"/>
      <c r="D332" s="199"/>
      <c r="E332" s="200"/>
      <c r="F332" s="201"/>
      <c r="G332" s="201"/>
      <c r="H332" s="199"/>
      <c r="I332" s="200"/>
      <c r="J332" s="187"/>
      <c r="K332" s="189"/>
      <c r="L332" s="187"/>
      <c r="M332" s="187"/>
      <c r="N332" s="190"/>
      <c r="O332" s="196"/>
      <c r="P332" s="192"/>
    </row>
    <row r="333" ht="15.75" customHeight="1">
      <c r="A333" s="186"/>
      <c r="B333" s="197"/>
      <c r="C333" s="198"/>
      <c r="D333" s="199"/>
      <c r="E333" s="200"/>
      <c r="F333" s="201"/>
      <c r="G333" s="201"/>
      <c r="H333" s="199"/>
      <c r="I333" s="200"/>
      <c r="J333" s="187"/>
      <c r="K333" s="189"/>
      <c r="L333" s="187"/>
      <c r="M333" s="187"/>
      <c r="N333" s="190"/>
      <c r="O333" s="196"/>
      <c r="P333" s="192"/>
    </row>
    <row r="334" ht="15.75" customHeight="1">
      <c r="A334" s="186"/>
      <c r="B334" s="197"/>
      <c r="C334" s="198"/>
      <c r="D334" s="199"/>
      <c r="E334" s="200"/>
      <c r="F334" s="201"/>
      <c r="G334" s="201"/>
      <c r="H334" s="199"/>
      <c r="I334" s="200"/>
      <c r="J334" s="187"/>
      <c r="K334" s="189"/>
      <c r="L334" s="187"/>
      <c r="M334" s="187"/>
      <c r="N334" s="190"/>
      <c r="O334" s="196"/>
      <c r="P334" s="192"/>
    </row>
    <row r="335" ht="15.75" customHeight="1">
      <c r="A335" s="186"/>
      <c r="B335" s="197"/>
      <c r="C335" s="198"/>
      <c r="D335" s="199"/>
      <c r="E335" s="200"/>
      <c r="F335" s="201"/>
      <c r="G335" s="201"/>
      <c r="H335" s="199"/>
      <c r="I335" s="200"/>
      <c r="J335" s="187"/>
      <c r="K335" s="189"/>
      <c r="L335" s="187"/>
      <c r="M335" s="187"/>
      <c r="N335" s="190"/>
      <c r="O335" s="196"/>
      <c r="P335" s="192"/>
    </row>
    <row r="336" ht="15.75" customHeight="1">
      <c r="A336" s="186"/>
      <c r="B336" s="197"/>
      <c r="C336" s="198"/>
      <c r="D336" s="199"/>
      <c r="E336" s="200"/>
      <c r="F336" s="201"/>
      <c r="G336" s="201"/>
      <c r="H336" s="199"/>
      <c r="I336" s="200"/>
      <c r="J336" s="187"/>
      <c r="K336" s="189"/>
      <c r="L336" s="187"/>
      <c r="M336" s="187"/>
      <c r="N336" s="190"/>
      <c r="O336" s="196"/>
      <c r="P336" s="192"/>
    </row>
    <row r="337" ht="15.75" customHeight="1">
      <c r="A337" s="186"/>
      <c r="B337" s="197"/>
      <c r="C337" s="198"/>
      <c r="D337" s="199"/>
      <c r="E337" s="200"/>
      <c r="F337" s="201"/>
      <c r="G337" s="201"/>
      <c r="H337" s="199"/>
      <c r="I337" s="200"/>
      <c r="J337" s="187"/>
      <c r="K337" s="189"/>
      <c r="L337" s="187"/>
      <c r="M337" s="187"/>
      <c r="N337" s="190"/>
      <c r="O337" s="196"/>
      <c r="P337" s="192"/>
    </row>
    <row r="338" ht="15.75" customHeight="1">
      <c r="A338" s="186"/>
      <c r="B338" s="197"/>
      <c r="C338" s="198"/>
      <c r="D338" s="199"/>
      <c r="E338" s="200"/>
      <c r="F338" s="201"/>
      <c r="G338" s="201"/>
      <c r="H338" s="199"/>
      <c r="I338" s="200"/>
      <c r="J338" s="187"/>
      <c r="K338" s="189"/>
      <c r="L338" s="187"/>
      <c r="M338" s="187"/>
      <c r="N338" s="190"/>
      <c r="O338" s="196"/>
      <c r="P338" s="192"/>
    </row>
    <row r="339" ht="15.75" customHeight="1">
      <c r="A339" s="186"/>
      <c r="B339" s="197"/>
      <c r="C339" s="198"/>
      <c r="D339" s="199"/>
      <c r="E339" s="200"/>
      <c r="F339" s="201"/>
      <c r="G339" s="201"/>
      <c r="H339" s="199"/>
      <c r="I339" s="200"/>
      <c r="J339" s="187"/>
      <c r="K339" s="189"/>
      <c r="L339" s="187"/>
      <c r="M339" s="187"/>
      <c r="N339" s="190"/>
      <c r="O339" s="196"/>
      <c r="P339" s="192"/>
    </row>
    <row r="340" ht="15.75" customHeight="1">
      <c r="A340" s="186"/>
      <c r="B340" s="197"/>
      <c r="C340" s="198"/>
      <c r="D340" s="199"/>
      <c r="E340" s="200"/>
      <c r="F340" s="201"/>
      <c r="G340" s="201"/>
      <c r="H340" s="199"/>
      <c r="I340" s="200"/>
      <c r="J340" s="187"/>
      <c r="K340" s="189"/>
      <c r="L340" s="187"/>
      <c r="M340" s="187"/>
      <c r="N340" s="190"/>
      <c r="O340" s="196"/>
      <c r="P340" s="192"/>
    </row>
    <row r="341" ht="15.75" customHeight="1">
      <c r="A341" s="186"/>
      <c r="B341" s="197"/>
      <c r="C341" s="198"/>
      <c r="D341" s="199"/>
      <c r="E341" s="200"/>
      <c r="F341" s="201"/>
      <c r="G341" s="201"/>
      <c r="H341" s="199"/>
      <c r="I341" s="200"/>
      <c r="J341" s="187"/>
      <c r="K341" s="189"/>
      <c r="L341" s="187"/>
      <c r="M341" s="187"/>
      <c r="N341" s="190"/>
      <c r="O341" s="196"/>
      <c r="P341" s="192"/>
    </row>
    <row r="342" ht="15.75" customHeight="1">
      <c r="A342" s="186"/>
      <c r="B342" s="197"/>
      <c r="C342" s="198"/>
      <c r="D342" s="199"/>
      <c r="E342" s="200"/>
      <c r="F342" s="201"/>
      <c r="G342" s="201"/>
      <c r="H342" s="199"/>
      <c r="I342" s="200"/>
      <c r="J342" s="187"/>
      <c r="K342" s="189"/>
      <c r="L342" s="187"/>
      <c r="M342" s="187"/>
      <c r="N342" s="190"/>
      <c r="O342" s="196"/>
      <c r="P342" s="192"/>
    </row>
    <row r="343" ht="15.75" customHeight="1">
      <c r="A343" s="186"/>
      <c r="B343" s="197"/>
      <c r="C343" s="198"/>
      <c r="D343" s="199"/>
      <c r="E343" s="200"/>
      <c r="F343" s="201"/>
      <c r="G343" s="201"/>
      <c r="H343" s="199"/>
      <c r="I343" s="200"/>
      <c r="J343" s="187"/>
      <c r="K343" s="189"/>
      <c r="L343" s="187"/>
      <c r="M343" s="187"/>
      <c r="N343" s="190"/>
      <c r="O343" s="196"/>
      <c r="P343" s="192"/>
    </row>
    <row r="344" ht="15.75" customHeight="1">
      <c r="A344" s="186"/>
      <c r="B344" s="197"/>
      <c r="C344" s="198"/>
      <c r="D344" s="199"/>
      <c r="E344" s="200"/>
      <c r="F344" s="201"/>
      <c r="G344" s="201"/>
      <c r="H344" s="199"/>
      <c r="I344" s="200"/>
      <c r="J344" s="187"/>
      <c r="K344" s="189"/>
      <c r="L344" s="187"/>
      <c r="M344" s="187"/>
      <c r="N344" s="190"/>
      <c r="O344" s="196"/>
      <c r="P344" s="192"/>
    </row>
    <row r="345" ht="15.75" customHeight="1">
      <c r="A345" s="186"/>
      <c r="B345" s="197"/>
      <c r="C345" s="198"/>
      <c r="D345" s="199"/>
      <c r="E345" s="200"/>
      <c r="F345" s="201"/>
      <c r="G345" s="201"/>
      <c r="H345" s="199"/>
      <c r="I345" s="200"/>
      <c r="J345" s="187"/>
      <c r="K345" s="189"/>
      <c r="L345" s="187"/>
      <c r="M345" s="187"/>
      <c r="N345" s="190"/>
      <c r="O345" s="196"/>
      <c r="P345" s="192"/>
    </row>
    <row r="346" ht="15.75" customHeight="1">
      <c r="A346" s="186"/>
      <c r="B346" s="197"/>
      <c r="C346" s="198"/>
      <c r="D346" s="199"/>
      <c r="E346" s="200"/>
      <c r="F346" s="201"/>
      <c r="G346" s="201"/>
      <c r="H346" s="199"/>
      <c r="I346" s="200"/>
      <c r="J346" s="187"/>
      <c r="K346" s="189"/>
      <c r="L346" s="187"/>
      <c r="M346" s="187"/>
      <c r="N346" s="190"/>
      <c r="O346" s="196"/>
      <c r="P346" s="192"/>
    </row>
    <row r="347" ht="15.75" customHeight="1">
      <c r="A347" s="186"/>
      <c r="B347" s="197"/>
      <c r="C347" s="198"/>
      <c r="D347" s="199"/>
      <c r="E347" s="200"/>
      <c r="F347" s="201"/>
      <c r="G347" s="201"/>
      <c r="H347" s="199"/>
      <c r="I347" s="200"/>
      <c r="J347" s="187"/>
      <c r="K347" s="189"/>
      <c r="L347" s="187"/>
      <c r="M347" s="187"/>
      <c r="N347" s="190"/>
      <c r="O347" s="196"/>
      <c r="P347" s="192"/>
    </row>
    <row r="348" ht="15.75" customHeight="1">
      <c r="A348" s="186"/>
      <c r="B348" s="197"/>
      <c r="C348" s="198"/>
      <c r="D348" s="199"/>
      <c r="E348" s="200"/>
      <c r="F348" s="201"/>
      <c r="G348" s="201"/>
      <c r="H348" s="199"/>
      <c r="I348" s="200"/>
      <c r="J348" s="187"/>
      <c r="K348" s="189"/>
      <c r="L348" s="187"/>
      <c r="M348" s="187"/>
      <c r="N348" s="190"/>
      <c r="O348" s="196"/>
      <c r="P348" s="192"/>
    </row>
    <row r="349" ht="15.75" customHeight="1">
      <c r="A349" s="186"/>
      <c r="B349" s="197"/>
      <c r="C349" s="198"/>
      <c r="D349" s="199"/>
      <c r="E349" s="200"/>
      <c r="F349" s="201"/>
      <c r="G349" s="201"/>
      <c r="H349" s="199"/>
      <c r="I349" s="200"/>
      <c r="J349" s="187"/>
      <c r="K349" s="189"/>
      <c r="L349" s="187"/>
      <c r="M349" s="187"/>
      <c r="N349" s="190"/>
      <c r="O349" s="196"/>
      <c r="P349" s="192"/>
    </row>
    <row r="350" ht="15.75" customHeight="1">
      <c r="A350" s="186"/>
      <c r="B350" s="197"/>
      <c r="C350" s="198"/>
      <c r="D350" s="199"/>
      <c r="E350" s="200"/>
      <c r="F350" s="201"/>
      <c r="G350" s="201"/>
      <c r="H350" s="199"/>
      <c r="I350" s="200"/>
      <c r="J350" s="187"/>
      <c r="K350" s="189"/>
      <c r="L350" s="187"/>
      <c r="M350" s="187"/>
      <c r="N350" s="190"/>
      <c r="O350" s="196"/>
      <c r="P350" s="192"/>
    </row>
    <row r="351" ht="15.75" customHeight="1">
      <c r="A351" s="186"/>
      <c r="B351" s="197"/>
      <c r="C351" s="198"/>
      <c r="D351" s="199"/>
      <c r="E351" s="200"/>
      <c r="F351" s="201"/>
      <c r="G351" s="201"/>
      <c r="H351" s="199"/>
      <c r="I351" s="200"/>
      <c r="J351" s="187"/>
      <c r="K351" s="189"/>
      <c r="L351" s="187"/>
      <c r="M351" s="187"/>
      <c r="N351" s="190"/>
      <c r="O351" s="196"/>
      <c r="P351" s="192"/>
    </row>
    <row r="352" ht="15.75" customHeight="1">
      <c r="A352" s="186"/>
      <c r="B352" s="197"/>
      <c r="C352" s="198"/>
      <c r="D352" s="199"/>
      <c r="E352" s="200"/>
      <c r="F352" s="201"/>
      <c r="G352" s="201"/>
      <c r="H352" s="199"/>
      <c r="I352" s="200"/>
      <c r="J352" s="187"/>
      <c r="K352" s="189"/>
      <c r="L352" s="187"/>
      <c r="M352" s="187"/>
      <c r="N352" s="190"/>
      <c r="O352" s="196"/>
      <c r="P352" s="192"/>
    </row>
    <row r="353" ht="15.75" customHeight="1">
      <c r="A353" s="186"/>
      <c r="B353" s="197"/>
      <c r="C353" s="198"/>
      <c r="D353" s="199"/>
      <c r="E353" s="200"/>
      <c r="F353" s="201"/>
      <c r="G353" s="201"/>
      <c r="H353" s="199"/>
      <c r="I353" s="200"/>
      <c r="J353" s="187"/>
      <c r="K353" s="189"/>
      <c r="L353" s="187"/>
      <c r="M353" s="187"/>
      <c r="N353" s="190"/>
      <c r="O353" s="196"/>
      <c r="P353" s="192"/>
    </row>
    <row r="354" ht="15.75" customHeight="1">
      <c r="A354" s="186"/>
      <c r="B354" s="197"/>
      <c r="C354" s="198"/>
      <c r="D354" s="199"/>
      <c r="E354" s="200"/>
      <c r="F354" s="201"/>
      <c r="G354" s="201"/>
      <c r="H354" s="199"/>
      <c r="I354" s="200"/>
      <c r="J354" s="187"/>
      <c r="K354" s="189"/>
      <c r="L354" s="187"/>
      <c r="M354" s="187"/>
      <c r="N354" s="190"/>
      <c r="O354" s="196"/>
      <c r="P354" s="192"/>
    </row>
    <row r="355" ht="15.75" customHeight="1">
      <c r="A355" s="186"/>
      <c r="B355" s="197"/>
      <c r="C355" s="198"/>
      <c r="D355" s="199"/>
      <c r="E355" s="200"/>
      <c r="F355" s="201"/>
      <c r="G355" s="201"/>
      <c r="H355" s="199"/>
      <c r="I355" s="200"/>
      <c r="J355" s="187"/>
      <c r="K355" s="189"/>
      <c r="L355" s="187"/>
      <c r="M355" s="187"/>
      <c r="N355" s="190"/>
      <c r="O355" s="196"/>
      <c r="P355" s="192"/>
    </row>
    <row r="356" ht="15.75" customHeight="1">
      <c r="A356" s="186"/>
      <c r="B356" s="197"/>
      <c r="C356" s="198"/>
      <c r="D356" s="199"/>
      <c r="E356" s="200"/>
      <c r="F356" s="201"/>
      <c r="G356" s="201"/>
      <c r="H356" s="199"/>
      <c r="I356" s="200"/>
      <c r="J356" s="187"/>
      <c r="K356" s="189"/>
      <c r="L356" s="187"/>
      <c r="M356" s="187"/>
      <c r="N356" s="190"/>
      <c r="O356" s="196"/>
      <c r="P356" s="192"/>
    </row>
    <row r="357" ht="15.75" customHeight="1">
      <c r="A357" s="186"/>
      <c r="B357" s="197"/>
      <c r="C357" s="198"/>
      <c r="D357" s="199"/>
      <c r="E357" s="200"/>
      <c r="F357" s="201"/>
      <c r="G357" s="201"/>
      <c r="H357" s="199"/>
      <c r="I357" s="200"/>
      <c r="J357" s="187"/>
      <c r="K357" s="189"/>
      <c r="L357" s="187"/>
      <c r="M357" s="187"/>
      <c r="N357" s="190"/>
      <c r="O357" s="196"/>
      <c r="P357" s="192"/>
    </row>
    <row r="358" ht="15.75" customHeight="1">
      <c r="A358" s="186"/>
      <c r="B358" s="197"/>
      <c r="C358" s="198"/>
      <c r="D358" s="199"/>
      <c r="E358" s="200"/>
      <c r="F358" s="201"/>
      <c r="G358" s="201"/>
      <c r="H358" s="199"/>
      <c r="I358" s="200"/>
      <c r="J358" s="187"/>
      <c r="K358" s="189"/>
      <c r="L358" s="187"/>
      <c r="M358" s="187"/>
      <c r="N358" s="190"/>
      <c r="O358" s="196"/>
      <c r="P358" s="192"/>
    </row>
    <row r="359" ht="15.75" customHeight="1">
      <c r="A359" s="186"/>
      <c r="B359" s="197"/>
      <c r="C359" s="198"/>
      <c r="D359" s="199"/>
      <c r="E359" s="200"/>
      <c r="F359" s="201"/>
      <c r="G359" s="201"/>
      <c r="H359" s="199"/>
      <c r="I359" s="200"/>
      <c r="J359" s="187"/>
      <c r="K359" s="189"/>
      <c r="L359" s="187"/>
      <c r="M359" s="187"/>
      <c r="N359" s="190"/>
      <c r="O359" s="196"/>
      <c r="P359" s="192"/>
    </row>
    <row r="360" ht="15.75" customHeight="1">
      <c r="A360" s="186"/>
      <c r="B360" s="197"/>
      <c r="C360" s="198"/>
      <c r="D360" s="199"/>
      <c r="E360" s="200"/>
      <c r="F360" s="201"/>
      <c r="G360" s="201"/>
      <c r="H360" s="199"/>
      <c r="I360" s="200"/>
      <c r="J360" s="187"/>
      <c r="K360" s="189"/>
      <c r="L360" s="187"/>
      <c r="M360" s="187"/>
      <c r="N360" s="190"/>
      <c r="O360" s="196"/>
      <c r="P360" s="192"/>
    </row>
    <row r="361" ht="15.75" customHeight="1">
      <c r="A361" s="186"/>
      <c r="B361" s="197"/>
      <c r="C361" s="198"/>
      <c r="D361" s="199"/>
      <c r="E361" s="200"/>
      <c r="F361" s="201"/>
      <c r="G361" s="201"/>
      <c r="H361" s="199"/>
      <c r="I361" s="200"/>
      <c r="J361" s="187"/>
      <c r="K361" s="189"/>
      <c r="L361" s="187"/>
      <c r="M361" s="187"/>
      <c r="N361" s="190"/>
      <c r="O361" s="196"/>
      <c r="P361" s="192"/>
    </row>
    <row r="362" ht="15.75" customHeight="1">
      <c r="A362" s="186"/>
      <c r="B362" s="197"/>
      <c r="C362" s="198"/>
      <c r="D362" s="199"/>
      <c r="E362" s="200"/>
      <c r="F362" s="201"/>
      <c r="G362" s="201"/>
      <c r="H362" s="199"/>
      <c r="I362" s="200"/>
      <c r="J362" s="187"/>
      <c r="K362" s="189"/>
      <c r="L362" s="187"/>
      <c r="M362" s="187"/>
      <c r="N362" s="190"/>
      <c r="O362" s="196"/>
      <c r="P362" s="192"/>
    </row>
    <row r="363" ht="15.75" customHeight="1">
      <c r="A363" s="186"/>
      <c r="B363" s="197"/>
      <c r="C363" s="198"/>
      <c r="D363" s="199"/>
      <c r="E363" s="200"/>
      <c r="F363" s="201"/>
      <c r="G363" s="201"/>
      <c r="H363" s="199"/>
      <c r="I363" s="200"/>
      <c r="J363" s="187"/>
      <c r="K363" s="189"/>
      <c r="L363" s="187"/>
      <c r="M363" s="187"/>
      <c r="N363" s="190"/>
      <c r="O363" s="196"/>
      <c r="P363" s="192"/>
    </row>
    <row r="364" ht="15.75" customHeight="1">
      <c r="A364" s="186"/>
      <c r="B364" s="197"/>
      <c r="C364" s="198"/>
      <c r="D364" s="199"/>
      <c r="E364" s="200"/>
      <c r="F364" s="201"/>
      <c r="G364" s="201"/>
      <c r="H364" s="199"/>
      <c r="I364" s="200"/>
      <c r="J364" s="187"/>
      <c r="K364" s="189"/>
      <c r="L364" s="187"/>
      <c r="M364" s="187"/>
      <c r="N364" s="190"/>
      <c r="O364" s="196"/>
      <c r="P364" s="192"/>
    </row>
    <row r="365" ht="15.75" customHeight="1">
      <c r="A365" s="186"/>
      <c r="B365" s="197"/>
      <c r="C365" s="198"/>
      <c r="D365" s="199"/>
      <c r="E365" s="200"/>
      <c r="F365" s="201"/>
      <c r="G365" s="201"/>
      <c r="H365" s="199"/>
      <c r="I365" s="200"/>
      <c r="J365" s="187"/>
      <c r="K365" s="189"/>
      <c r="L365" s="187"/>
      <c r="M365" s="187"/>
      <c r="N365" s="190"/>
      <c r="O365" s="196"/>
      <c r="P365" s="192"/>
    </row>
    <row r="366" ht="15.75" customHeight="1">
      <c r="A366" s="186"/>
      <c r="B366" s="197"/>
      <c r="C366" s="198"/>
      <c r="D366" s="199"/>
      <c r="E366" s="200"/>
      <c r="F366" s="201"/>
      <c r="G366" s="201"/>
      <c r="H366" s="199"/>
      <c r="I366" s="200"/>
      <c r="J366" s="187"/>
      <c r="K366" s="189"/>
      <c r="L366" s="187"/>
      <c r="M366" s="187"/>
      <c r="N366" s="190"/>
      <c r="O366" s="196"/>
      <c r="P366" s="192"/>
    </row>
    <row r="367" ht="15.75" customHeight="1">
      <c r="A367" s="186"/>
      <c r="B367" s="197"/>
      <c r="C367" s="198"/>
      <c r="D367" s="199"/>
      <c r="E367" s="200"/>
      <c r="F367" s="201"/>
      <c r="G367" s="201"/>
      <c r="H367" s="199"/>
      <c r="I367" s="200"/>
      <c r="J367" s="187"/>
      <c r="K367" s="189"/>
      <c r="L367" s="187"/>
      <c r="M367" s="187"/>
      <c r="N367" s="190"/>
      <c r="O367" s="196"/>
      <c r="P367" s="192"/>
    </row>
    <row r="368" ht="15.75" customHeight="1">
      <c r="A368" s="186"/>
      <c r="B368" s="197"/>
      <c r="C368" s="198"/>
      <c r="D368" s="199"/>
      <c r="E368" s="200"/>
      <c r="F368" s="201"/>
      <c r="G368" s="201"/>
      <c r="H368" s="199"/>
      <c r="I368" s="200"/>
      <c r="J368" s="187"/>
      <c r="K368" s="189"/>
      <c r="L368" s="187"/>
      <c r="M368" s="187"/>
      <c r="N368" s="190"/>
      <c r="O368" s="196"/>
      <c r="P368" s="192"/>
    </row>
    <row r="369" ht="15.75" customHeight="1">
      <c r="A369" s="186"/>
      <c r="B369" s="197"/>
      <c r="C369" s="198"/>
      <c r="D369" s="199"/>
      <c r="E369" s="200"/>
      <c r="F369" s="201"/>
      <c r="G369" s="201"/>
      <c r="H369" s="199"/>
      <c r="I369" s="200"/>
      <c r="J369" s="187"/>
      <c r="K369" s="189"/>
      <c r="L369" s="187"/>
      <c r="M369" s="187"/>
      <c r="N369" s="190"/>
      <c r="O369" s="196"/>
      <c r="P369" s="192"/>
    </row>
    <row r="370" ht="15.75" customHeight="1">
      <c r="A370" s="186"/>
      <c r="B370" s="197"/>
      <c r="C370" s="198"/>
      <c r="D370" s="199"/>
      <c r="E370" s="200"/>
      <c r="F370" s="201"/>
      <c r="G370" s="201"/>
      <c r="H370" s="199"/>
      <c r="I370" s="200"/>
      <c r="J370" s="187"/>
      <c r="K370" s="189"/>
      <c r="L370" s="187"/>
      <c r="M370" s="187"/>
      <c r="N370" s="190"/>
      <c r="O370" s="196"/>
      <c r="P370" s="192"/>
    </row>
    <row r="371" ht="15.75" customHeight="1">
      <c r="A371" s="186"/>
      <c r="B371" s="197"/>
      <c r="C371" s="198"/>
      <c r="D371" s="199"/>
      <c r="E371" s="200"/>
      <c r="F371" s="201"/>
      <c r="G371" s="201"/>
      <c r="H371" s="199"/>
      <c r="I371" s="200"/>
      <c r="J371" s="187"/>
      <c r="K371" s="189"/>
      <c r="L371" s="187"/>
      <c r="M371" s="187"/>
      <c r="N371" s="190"/>
      <c r="O371" s="196"/>
      <c r="P371" s="192"/>
    </row>
    <row r="372" ht="15.75" customHeight="1">
      <c r="A372" s="186"/>
      <c r="B372" s="197"/>
      <c r="C372" s="198"/>
      <c r="D372" s="199"/>
      <c r="E372" s="200"/>
      <c r="F372" s="201"/>
      <c r="G372" s="201"/>
      <c r="H372" s="199"/>
      <c r="I372" s="200"/>
      <c r="J372" s="187"/>
      <c r="K372" s="189"/>
      <c r="L372" s="187"/>
      <c r="M372" s="187"/>
      <c r="N372" s="190"/>
      <c r="O372" s="196"/>
      <c r="P372" s="192"/>
    </row>
    <row r="373" ht="15.75" customHeight="1">
      <c r="A373" s="186"/>
      <c r="B373" s="197"/>
      <c r="C373" s="198"/>
      <c r="D373" s="199"/>
      <c r="E373" s="200"/>
      <c r="F373" s="201"/>
      <c r="G373" s="201"/>
      <c r="H373" s="199"/>
      <c r="I373" s="200"/>
      <c r="J373" s="187"/>
      <c r="K373" s="189"/>
      <c r="L373" s="187"/>
      <c r="M373" s="187"/>
      <c r="N373" s="190"/>
      <c r="O373" s="196"/>
      <c r="P373" s="192"/>
    </row>
    <row r="374" ht="15.75" customHeight="1">
      <c r="A374" s="186"/>
      <c r="B374" s="197"/>
      <c r="C374" s="198"/>
      <c r="D374" s="199"/>
      <c r="E374" s="200"/>
      <c r="F374" s="201"/>
      <c r="G374" s="201"/>
      <c r="H374" s="199"/>
      <c r="I374" s="200"/>
      <c r="J374" s="187"/>
      <c r="K374" s="189"/>
      <c r="L374" s="187"/>
      <c r="M374" s="187"/>
      <c r="N374" s="190"/>
      <c r="O374" s="196"/>
      <c r="P374" s="192"/>
    </row>
    <row r="375" ht="15.75" customHeight="1">
      <c r="A375" s="186"/>
      <c r="B375" s="197"/>
      <c r="C375" s="198"/>
      <c r="D375" s="199"/>
      <c r="E375" s="200"/>
      <c r="F375" s="201"/>
      <c r="G375" s="201"/>
      <c r="H375" s="199"/>
      <c r="I375" s="200"/>
      <c r="J375" s="187"/>
      <c r="K375" s="189"/>
      <c r="L375" s="187"/>
      <c r="M375" s="187"/>
      <c r="N375" s="190"/>
      <c r="O375" s="196"/>
      <c r="P375" s="192"/>
    </row>
    <row r="376" ht="15.75" customHeight="1">
      <c r="A376" s="186"/>
      <c r="B376" s="197"/>
      <c r="C376" s="198"/>
      <c r="D376" s="199"/>
      <c r="E376" s="200"/>
      <c r="F376" s="201"/>
      <c r="G376" s="201"/>
      <c r="H376" s="199"/>
      <c r="I376" s="200"/>
      <c r="J376" s="187"/>
      <c r="K376" s="189"/>
      <c r="L376" s="187"/>
      <c r="M376" s="187"/>
      <c r="N376" s="190"/>
      <c r="O376" s="196"/>
      <c r="P376" s="192"/>
    </row>
    <row r="377" ht="15.75" customHeight="1">
      <c r="A377" s="186"/>
      <c r="B377" s="197"/>
      <c r="C377" s="198"/>
      <c r="D377" s="199"/>
      <c r="E377" s="200"/>
      <c r="F377" s="201"/>
      <c r="G377" s="201"/>
      <c r="H377" s="199"/>
      <c r="I377" s="200"/>
      <c r="J377" s="187"/>
      <c r="K377" s="189"/>
      <c r="L377" s="187"/>
      <c r="M377" s="187"/>
      <c r="N377" s="190"/>
      <c r="O377" s="196"/>
      <c r="P377" s="192"/>
    </row>
    <row r="378" ht="15.75" customHeight="1">
      <c r="A378" s="186"/>
      <c r="B378" s="197"/>
      <c r="C378" s="198"/>
      <c r="D378" s="199"/>
      <c r="E378" s="200"/>
      <c r="F378" s="201"/>
      <c r="G378" s="201"/>
      <c r="H378" s="199"/>
      <c r="I378" s="200"/>
      <c r="J378" s="187"/>
      <c r="K378" s="189"/>
      <c r="L378" s="187"/>
      <c r="M378" s="187"/>
      <c r="N378" s="190"/>
      <c r="O378" s="196"/>
      <c r="P378" s="192"/>
    </row>
    <row r="379" ht="15.75" customHeight="1">
      <c r="A379" s="186"/>
      <c r="B379" s="197"/>
      <c r="C379" s="198"/>
      <c r="D379" s="199"/>
      <c r="E379" s="200"/>
      <c r="F379" s="201"/>
      <c r="G379" s="201"/>
      <c r="H379" s="199"/>
      <c r="I379" s="200"/>
      <c r="J379" s="187"/>
      <c r="K379" s="189"/>
      <c r="L379" s="187"/>
      <c r="M379" s="187"/>
      <c r="N379" s="190"/>
      <c r="O379" s="196"/>
      <c r="P379" s="192"/>
    </row>
    <row r="380" ht="15.75" customHeight="1">
      <c r="A380" s="186"/>
      <c r="B380" s="197"/>
      <c r="C380" s="198"/>
      <c r="D380" s="199"/>
      <c r="E380" s="200"/>
      <c r="F380" s="201"/>
      <c r="G380" s="201"/>
      <c r="H380" s="199"/>
      <c r="I380" s="200"/>
      <c r="J380" s="187"/>
      <c r="K380" s="189"/>
      <c r="L380" s="187"/>
      <c r="M380" s="187"/>
      <c r="N380" s="190"/>
      <c r="O380" s="196"/>
      <c r="P380" s="192"/>
    </row>
    <row r="381" ht="15.75" customHeight="1">
      <c r="A381" s="186"/>
      <c r="B381" s="197"/>
      <c r="C381" s="198"/>
      <c r="D381" s="199"/>
      <c r="E381" s="200"/>
      <c r="F381" s="201"/>
      <c r="G381" s="201"/>
      <c r="H381" s="199"/>
      <c r="I381" s="200"/>
      <c r="J381" s="187"/>
      <c r="K381" s="189"/>
      <c r="L381" s="187"/>
      <c r="M381" s="187"/>
      <c r="N381" s="190"/>
      <c r="O381" s="196"/>
      <c r="P381" s="192"/>
    </row>
    <row r="382" ht="15.75" customHeight="1">
      <c r="A382" s="186"/>
      <c r="B382" s="197"/>
      <c r="C382" s="198"/>
      <c r="D382" s="199"/>
      <c r="E382" s="200"/>
      <c r="F382" s="201"/>
      <c r="G382" s="201"/>
      <c r="H382" s="199"/>
      <c r="I382" s="200"/>
      <c r="J382" s="187"/>
      <c r="K382" s="189"/>
      <c r="L382" s="187"/>
      <c r="M382" s="187"/>
      <c r="N382" s="190"/>
      <c r="O382" s="196"/>
      <c r="P382" s="192"/>
    </row>
    <row r="383" ht="15.75" customHeight="1">
      <c r="A383" s="186"/>
      <c r="B383" s="197"/>
      <c r="C383" s="198"/>
      <c r="D383" s="199"/>
      <c r="E383" s="200"/>
      <c r="F383" s="201"/>
      <c r="G383" s="201"/>
      <c r="H383" s="199"/>
      <c r="I383" s="200"/>
      <c r="J383" s="187"/>
      <c r="K383" s="189"/>
      <c r="L383" s="187"/>
      <c r="M383" s="187"/>
      <c r="N383" s="190"/>
      <c r="O383" s="196"/>
      <c r="P383" s="192"/>
    </row>
    <row r="384" ht="15.75" customHeight="1">
      <c r="A384" s="186"/>
      <c r="B384" s="197"/>
      <c r="C384" s="198"/>
      <c r="D384" s="199"/>
      <c r="E384" s="200"/>
      <c r="F384" s="201"/>
      <c r="G384" s="201"/>
      <c r="H384" s="199"/>
      <c r="I384" s="200"/>
      <c r="J384" s="187"/>
      <c r="K384" s="189"/>
      <c r="L384" s="187"/>
      <c r="M384" s="187"/>
      <c r="N384" s="190"/>
      <c r="O384" s="196"/>
      <c r="P384" s="192"/>
    </row>
    <row r="385" ht="15.75" customHeight="1">
      <c r="A385" s="186"/>
      <c r="B385" s="197"/>
      <c r="C385" s="198"/>
      <c r="D385" s="199"/>
      <c r="E385" s="200"/>
      <c r="F385" s="201"/>
      <c r="G385" s="201"/>
      <c r="H385" s="199"/>
      <c r="I385" s="200"/>
      <c r="J385" s="187"/>
      <c r="K385" s="189"/>
      <c r="L385" s="187"/>
      <c r="M385" s="187"/>
      <c r="N385" s="190"/>
      <c r="O385" s="196"/>
      <c r="P385" s="192"/>
    </row>
    <row r="386" ht="15.75" customHeight="1">
      <c r="A386" s="186"/>
      <c r="B386" s="197"/>
      <c r="C386" s="198"/>
      <c r="D386" s="199"/>
      <c r="E386" s="200"/>
      <c r="F386" s="201"/>
      <c r="G386" s="201"/>
      <c r="H386" s="199"/>
      <c r="I386" s="200"/>
      <c r="J386" s="187"/>
      <c r="K386" s="189"/>
      <c r="L386" s="187"/>
      <c r="M386" s="187"/>
      <c r="N386" s="190"/>
      <c r="O386" s="196"/>
      <c r="P386" s="192"/>
    </row>
    <row r="387" ht="15.75" customHeight="1">
      <c r="A387" s="186"/>
      <c r="B387" s="197"/>
      <c r="C387" s="198"/>
      <c r="D387" s="199"/>
      <c r="E387" s="200"/>
      <c r="F387" s="201"/>
      <c r="G387" s="201"/>
      <c r="H387" s="199"/>
      <c r="I387" s="200"/>
      <c r="J387" s="187"/>
      <c r="K387" s="189"/>
      <c r="L387" s="187"/>
      <c r="M387" s="187"/>
      <c r="N387" s="190"/>
      <c r="O387" s="196"/>
      <c r="P387" s="192"/>
    </row>
    <row r="388" ht="15.75" customHeight="1">
      <c r="A388" s="186"/>
      <c r="B388" s="197"/>
      <c r="C388" s="198"/>
      <c r="D388" s="199"/>
      <c r="E388" s="200"/>
      <c r="F388" s="201"/>
      <c r="G388" s="201"/>
      <c r="H388" s="199"/>
      <c r="I388" s="200"/>
      <c r="J388" s="187"/>
      <c r="K388" s="189"/>
      <c r="L388" s="187"/>
      <c r="M388" s="187"/>
      <c r="N388" s="190"/>
      <c r="O388" s="196"/>
      <c r="P388" s="192"/>
    </row>
    <row r="389" ht="15.75" customHeight="1">
      <c r="A389" s="186"/>
      <c r="B389" s="197"/>
      <c r="C389" s="198"/>
      <c r="D389" s="199"/>
      <c r="E389" s="200"/>
      <c r="F389" s="201"/>
      <c r="G389" s="201"/>
      <c r="H389" s="199"/>
      <c r="I389" s="200"/>
      <c r="J389" s="187"/>
      <c r="K389" s="189"/>
      <c r="L389" s="187"/>
      <c r="M389" s="187"/>
      <c r="N389" s="190"/>
      <c r="O389" s="196"/>
      <c r="P389" s="192"/>
    </row>
    <row r="390" ht="15.75" customHeight="1">
      <c r="A390" s="186"/>
      <c r="B390" s="197"/>
      <c r="C390" s="198"/>
      <c r="D390" s="199"/>
      <c r="E390" s="200"/>
      <c r="F390" s="201"/>
      <c r="G390" s="201"/>
      <c r="H390" s="199"/>
      <c r="I390" s="200"/>
      <c r="J390" s="187"/>
      <c r="K390" s="189"/>
      <c r="L390" s="187"/>
      <c r="M390" s="187"/>
      <c r="N390" s="190"/>
      <c r="O390" s="196"/>
      <c r="P390" s="192"/>
    </row>
    <row r="391" ht="15.75" customHeight="1">
      <c r="A391" s="186"/>
      <c r="B391" s="197"/>
      <c r="C391" s="198"/>
      <c r="D391" s="199"/>
      <c r="E391" s="200"/>
      <c r="F391" s="201"/>
      <c r="G391" s="201"/>
      <c r="H391" s="199"/>
      <c r="I391" s="200"/>
      <c r="J391" s="187"/>
      <c r="K391" s="189"/>
      <c r="L391" s="187"/>
      <c r="M391" s="187"/>
      <c r="N391" s="190"/>
      <c r="O391" s="196"/>
      <c r="P391" s="192"/>
    </row>
    <row r="392" ht="15.75" customHeight="1">
      <c r="A392" s="186"/>
      <c r="B392" s="197"/>
      <c r="C392" s="198"/>
      <c r="D392" s="199"/>
      <c r="E392" s="200"/>
      <c r="F392" s="201"/>
      <c r="G392" s="201"/>
      <c r="H392" s="199"/>
      <c r="I392" s="200"/>
      <c r="J392" s="187"/>
      <c r="K392" s="189"/>
      <c r="L392" s="187"/>
      <c r="M392" s="187"/>
      <c r="N392" s="190"/>
      <c r="O392" s="196"/>
      <c r="P392" s="192"/>
    </row>
    <row r="393" ht="15.75" customHeight="1">
      <c r="A393" s="186"/>
      <c r="B393" s="197"/>
      <c r="C393" s="198"/>
      <c r="D393" s="199"/>
      <c r="E393" s="200"/>
      <c r="F393" s="201"/>
      <c r="G393" s="201"/>
      <c r="H393" s="199"/>
      <c r="I393" s="200"/>
      <c r="J393" s="187"/>
      <c r="K393" s="189"/>
      <c r="L393" s="187"/>
      <c r="M393" s="187"/>
      <c r="N393" s="190"/>
      <c r="O393" s="196"/>
      <c r="P393" s="192"/>
    </row>
    <row r="394" ht="15.75" customHeight="1">
      <c r="A394" s="186"/>
      <c r="B394" s="197"/>
      <c r="C394" s="198"/>
      <c r="D394" s="199"/>
      <c r="E394" s="200"/>
      <c r="F394" s="201"/>
      <c r="G394" s="201"/>
      <c r="H394" s="199"/>
      <c r="I394" s="200"/>
      <c r="J394" s="187"/>
      <c r="K394" s="189"/>
      <c r="L394" s="187"/>
      <c r="M394" s="187"/>
      <c r="N394" s="190"/>
      <c r="O394" s="196"/>
      <c r="P394" s="192"/>
    </row>
    <row r="395" ht="15.75" customHeight="1">
      <c r="A395" s="186"/>
      <c r="B395" s="197"/>
      <c r="C395" s="198"/>
      <c r="D395" s="199"/>
      <c r="E395" s="200"/>
      <c r="F395" s="201"/>
      <c r="G395" s="201"/>
      <c r="H395" s="199"/>
      <c r="I395" s="200"/>
      <c r="J395" s="187"/>
      <c r="K395" s="189"/>
      <c r="L395" s="187"/>
      <c r="M395" s="187"/>
      <c r="N395" s="190"/>
      <c r="O395" s="196"/>
      <c r="P395" s="192"/>
    </row>
    <row r="396" ht="15.75" customHeight="1">
      <c r="A396" s="186"/>
      <c r="B396" s="197"/>
      <c r="C396" s="198"/>
      <c r="D396" s="199"/>
      <c r="E396" s="200"/>
      <c r="F396" s="201"/>
      <c r="G396" s="201"/>
      <c r="H396" s="199"/>
      <c r="I396" s="200"/>
      <c r="J396" s="187"/>
      <c r="K396" s="189"/>
      <c r="L396" s="187"/>
      <c r="M396" s="187"/>
      <c r="N396" s="190"/>
      <c r="O396" s="196"/>
      <c r="P396" s="192"/>
    </row>
    <row r="397" ht="15.75" customHeight="1">
      <c r="A397" s="186"/>
      <c r="B397" s="197"/>
      <c r="C397" s="198"/>
      <c r="D397" s="199"/>
      <c r="E397" s="200"/>
      <c r="F397" s="201"/>
      <c r="G397" s="201"/>
      <c r="H397" s="199"/>
      <c r="I397" s="200"/>
      <c r="J397" s="187"/>
      <c r="K397" s="189"/>
      <c r="L397" s="187"/>
      <c r="M397" s="187"/>
      <c r="N397" s="190"/>
      <c r="O397" s="196"/>
      <c r="P397" s="192"/>
    </row>
    <row r="398" ht="15.75" customHeight="1">
      <c r="A398" s="186"/>
      <c r="B398" s="197"/>
      <c r="C398" s="198"/>
      <c r="D398" s="199"/>
      <c r="E398" s="200"/>
      <c r="F398" s="201"/>
      <c r="G398" s="201"/>
      <c r="H398" s="199"/>
      <c r="I398" s="200"/>
      <c r="J398" s="187"/>
      <c r="K398" s="189"/>
      <c r="L398" s="187"/>
      <c r="M398" s="187"/>
      <c r="N398" s="190"/>
      <c r="O398" s="196"/>
      <c r="P398" s="192"/>
    </row>
    <row r="399" ht="15.75" customHeight="1">
      <c r="A399" s="186"/>
      <c r="B399" s="197"/>
      <c r="C399" s="198"/>
      <c r="D399" s="199"/>
      <c r="E399" s="200"/>
      <c r="F399" s="201"/>
      <c r="G399" s="201"/>
      <c r="H399" s="199"/>
      <c r="I399" s="200"/>
      <c r="J399" s="187"/>
      <c r="K399" s="189"/>
      <c r="L399" s="187"/>
      <c r="M399" s="187"/>
      <c r="N399" s="190"/>
      <c r="O399" s="196"/>
      <c r="P399" s="192"/>
    </row>
    <row r="400" ht="15.75" customHeight="1">
      <c r="A400" s="186"/>
      <c r="B400" s="197"/>
      <c r="C400" s="198"/>
      <c r="D400" s="199"/>
      <c r="E400" s="200"/>
      <c r="F400" s="201"/>
      <c r="G400" s="201"/>
      <c r="H400" s="199"/>
      <c r="I400" s="200"/>
      <c r="J400" s="187"/>
      <c r="K400" s="189"/>
      <c r="L400" s="187"/>
      <c r="M400" s="187"/>
      <c r="N400" s="190"/>
      <c r="O400" s="196"/>
      <c r="P400" s="192"/>
    </row>
    <row r="401" ht="15.75" customHeight="1">
      <c r="A401" s="186"/>
      <c r="B401" s="197"/>
      <c r="C401" s="198"/>
      <c r="D401" s="199"/>
      <c r="E401" s="200"/>
      <c r="F401" s="201"/>
      <c r="G401" s="201"/>
      <c r="H401" s="199"/>
      <c r="I401" s="200"/>
      <c r="J401" s="187"/>
      <c r="K401" s="189"/>
      <c r="L401" s="187"/>
      <c r="M401" s="187"/>
      <c r="N401" s="190"/>
      <c r="O401" s="196"/>
      <c r="P401" s="192"/>
    </row>
    <row r="402" ht="15.75" customHeight="1">
      <c r="A402" s="186"/>
      <c r="B402" s="197"/>
      <c r="C402" s="198"/>
      <c r="D402" s="199"/>
      <c r="E402" s="200"/>
      <c r="F402" s="201"/>
      <c r="G402" s="201"/>
      <c r="H402" s="199"/>
      <c r="I402" s="200"/>
      <c r="J402" s="187"/>
      <c r="K402" s="189"/>
      <c r="L402" s="187"/>
      <c r="M402" s="187"/>
      <c r="N402" s="190"/>
      <c r="O402" s="196"/>
      <c r="P402" s="192"/>
    </row>
    <row r="403" ht="15.75" customHeight="1">
      <c r="A403" s="186"/>
      <c r="B403" s="197"/>
      <c r="C403" s="198"/>
      <c r="D403" s="199"/>
      <c r="E403" s="200"/>
      <c r="F403" s="201"/>
      <c r="G403" s="201"/>
      <c r="H403" s="199"/>
      <c r="I403" s="200"/>
      <c r="J403" s="187"/>
      <c r="K403" s="189"/>
      <c r="L403" s="187"/>
      <c r="M403" s="187"/>
      <c r="N403" s="190"/>
      <c r="O403" s="196"/>
      <c r="P403" s="192"/>
    </row>
    <row r="404" ht="15.75" customHeight="1">
      <c r="A404" s="186"/>
      <c r="B404" s="197"/>
      <c r="C404" s="198"/>
      <c r="D404" s="199"/>
      <c r="E404" s="200"/>
      <c r="F404" s="201"/>
      <c r="G404" s="201"/>
      <c r="H404" s="199"/>
      <c r="I404" s="200"/>
      <c r="J404" s="187"/>
      <c r="K404" s="189"/>
      <c r="L404" s="187"/>
      <c r="M404" s="187"/>
      <c r="N404" s="190"/>
      <c r="O404" s="196"/>
      <c r="P404" s="192"/>
    </row>
    <row r="405" ht="15.75" customHeight="1">
      <c r="A405" s="186"/>
      <c r="B405" s="197"/>
      <c r="C405" s="198"/>
      <c r="D405" s="199"/>
      <c r="E405" s="200"/>
      <c r="F405" s="201"/>
      <c r="G405" s="201"/>
      <c r="H405" s="199"/>
      <c r="I405" s="200"/>
      <c r="J405" s="187"/>
      <c r="K405" s="189"/>
      <c r="L405" s="187"/>
      <c r="M405" s="187"/>
      <c r="N405" s="190"/>
      <c r="O405" s="196"/>
      <c r="P405" s="192"/>
    </row>
    <row r="406" ht="15.75" customHeight="1">
      <c r="A406" s="186"/>
      <c r="B406" s="197"/>
      <c r="C406" s="198"/>
      <c r="D406" s="199"/>
      <c r="E406" s="200"/>
      <c r="F406" s="201"/>
      <c r="G406" s="201"/>
      <c r="H406" s="199"/>
      <c r="I406" s="200"/>
      <c r="J406" s="187"/>
      <c r="K406" s="189"/>
      <c r="L406" s="187"/>
      <c r="M406" s="187"/>
      <c r="N406" s="190"/>
      <c r="O406" s="196"/>
      <c r="P406" s="192"/>
    </row>
    <row r="407" ht="15.75" customHeight="1">
      <c r="A407" s="186"/>
      <c r="B407" s="197"/>
      <c r="C407" s="198"/>
      <c r="D407" s="199"/>
      <c r="E407" s="200"/>
      <c r="F407" s="201"/>
      <c r="G407" s="201"/>
      <c r="H407" s="199"/>
      <c r="I407" s="200"/>
      <c r="J407" s="187"/>
      <c r="K407" s="189"/>
      <c r="L407" s="187"/>
      <c r="M407" s="187"/>
      <c r="N407" s="190"/>
      <c r="O407" s="196"/>
      <c r="P407" s="192"/>
    </row>
    <row r="408" ht="15.75" customHeight="1">
      <c r="A408" s="186"/>
      <c r="B408" s="197"/>
      <c r="C408" s="198"/>
      <c r="D408" s="199"/>
      <c r="E408" s="200"/>
      <c r="F408" s="201"/>
      <c r="G408" s="201"/>
      <c r="H408" s="199"/>
      <c r="I408" s="200"/>
      <c r="J408" s="187"/>
      <c r="K408" s="189"/>
      <c r="L408" s="187"/>
      <c r="M408" s="187"/>
      <c r="N408" s="190"/>
      <c r="O408" s="196"/>
      <c r="P408" s="192"/>
    </row>
    <row r="409" ht="15.75" customHeight="1">
      <c r="A409" s="186"/>
      <c r="B409" s="197"/>
      <c r="C409" s="198"/>
      <c r="D409" s="199"/>
      <c r="E409" s="200"/>
      <c r="F409" s="201"/>
      <c r="G409" s="201"/>
      <c r="H409" s="199"/>
      <c r="I409" s="200"/>
      <c r="J409" s="187"/>
      <c r="K409" s="189"/>
      <c r="L409" s="187"/>
      <c r="M409" s="187"/>
      <c r="N409" s="190"/>
      <c r="O409" s="196"/>
      <c r="P409" s="192"/>
    </row>
    <row r="410" ht="15.75" customHeight="1">
      <c r="A410" s="186"/>
      <c r="B410" s="197"/>
      <c r="C410" s="198"/>
      <c r="D410" s="199"/>
      <c r="E410" s="200"/>
      <c r="F410" s="201"/>
      <c r="G410" s="201"/>
      <c r="H410" s="199"/>
      <c r="I410" s="200"/>
      <c r="J410" s="187"/>
      <c r="K410" s="189"/>
      <c r="L410" s="187"/>
      <c r="M410" s="187"/>
      <c r="N410" s="190"/>
      <c r="O410" s="196"/>
      <c r="P410" s="192"/>
    </row>
    <row r="411" ht="15.75" customHeight="1">
      <c r="A411" s="186"/>
      <c r="B411" s="197"/>
      <c r="C411" s="198"/>
      <c r="D411" s="199"/>
      <c r="E411" s="200"/>
      <c r="F411" s="201"/>
      <c r="G411" s="201"/>
      <c r="H411" s="199"/>
      <c r="I411" s="200"/>
      <c r="J411" s="187"/>
      <c r="K411" s="189"/>
      <c r="L411" s="187"/>
      <c r="M411" s="187"/>
      <c r="N411" s="190"/>
      <c r="O411" s="196"/>
      <c r="P411" s="192"/>
    </row>
    <row r="412" ht="15.75" customHeight="1">
      <c r="A412" s="186"/>
      <c r="B412" s="197"/>
      <c r="C412" s="198"/>
      <c r="D412" s="199"/>
      <c r="E412" s="200"/>
      <c r="F412" s="201"/>
      <c r="G412" s="201"/>
      <c r="H412" s="199"/>
      <c r="I412" s="200"/>
      <c r="J412" s="187"/>
      <c r="K412" s="189"/>
      <c r="L412" s="187"/>
      <c r="M412" s="187"/>
      <c r="N412" s="190"/>
      <c r="O412" s="196"/>
      <c r="P412" s="192"/>
    </row>
    <row r="413" ht="15.75" customHeight="1">
      <c r="A413" s="186"/>
      <c r="B413" s="197"/>
      <c r="C413" s="198"/>
      <c r="D413" s="199"/>
      <c r="E413" s="200"/>
      <c r="F413" s="201"/>
      <c r="G413" s="201"/>
      <c r="H413" s="199"/>
      <c r="I413" s="200"/>
      <c r="J413" s="187"/>
      <c r="K413" s="189"/>
      <c r="L413" s="187"/>
      <c r="M413" s="187"/>
      <c r="N413" s="190"/>
      <c r="O413" s="196"/>
      <c r="P413" s="192"/>
    </row>
    <row r="414" ht="15.75" customHeight="1">
      <c r="A414" s="186"/>
      <c r="B414" s="197"/>
      <c r="C414" s="198"/>
      <c r="D414" s="199"/>
      <c r="E414" s="200"/>
      <c r="F414" s="201"/>
      <c r="G414" s="201"/>
      <c r="H414" s="199"/>
      <c r="I414" s="200"/>
      <c r="J414" s="187"/>
      <c r="K414" s="189"/>
      <c r="L414" s="187"/>
      <c r="M414" s="187"/>
      <c r="N414" s="190"/>
      <c r="O414" s="196"/>
      <c r="P414" s="192"/>
    </row>
    <row r="415" ht="15.75" customHeight="1">
      <c r="A415" s="186"/>
      <c r="B415" s="197"/>
      <c r="C415" s="198"/>
      <c r="D415" s="199"/>
      <c r="E415" s="200"/>
      <c r="F415" s="201"/>
      <c r="G415" s="201"/>
      <c r="H415" s="199"/>
      <c r="I415" s="200"/>
      <c r="J415" s="187"/>
      <c r="K415" s="189"/>
      <c r="L415" s="187"/>
      <c r="M415" s="187"/>
      <c r="N415" s="190"/>
      <c r="O415" s="196"/>
      <c r="P415" s="192"/>
    </row>
    <row r="416" ht="15.75" customHeight="1">
      <c r="A416" s="186"/>
      <c r="B416" s="197"/>
      <c r="C416" s="198"/>
      <c r="D416" s="199"/>
      <c r="E416" s="200"/>
      <c r="F416" s="201"/>
      <c r="G416" s="201"/>
      <c r="H416" s="199"/>
      <c r="I416" s="200"/>
      <c r="J416" s="187"/>
      <c r="K416" s="189"/>
      <c r="L416" s="187"/>
      <c r="M416" s="187"/>
      <c r="N416" s="190"/>
      <c r="O416" s="196"/>
      <c r="P416" s="192"/>
    </row>
    <row r="417" ht="15.75" customHeight="1">
      <c r="A417" s="186"/>
      <c r="B417" s="197"/>
      <c r="C417" s="198"/>
      <c r="D417" s="199"/>
      <c r="E417" s="200"/>
      <c r="F417" s="201"/>
      <c r="G417" s="201"/>
      <c r="H417" s="199"/>
      <c r="I417" s="200"/>
      <c r="J417" s="187"/>
      <c r="K417" s="189"/>
      <c r="L417" s="187"/>
      <c r="M417" s="187"/>
      <c r="N417" s="190"/>
      <c r="O417" s="196"/>
      <c r="P417" s="192"/>
    </row>
    <row r="418" ht="15.75" customHeight="1">
      <c r="A418" s="186"/>
      <c r="B418" s="197"/>
      <c r="C418" s="198"/>
      <c r="D418" s="199"/>
      <c r="E418" s="200"/>
      <c r="F418" s="201"/>
      <c r="G418" s="201"/>
      <c r="H418" s="199"/>
      <c r="I418" s="200"/>
      <c r="J418" s="187"/>
      <c r="K418" s="189"/>
      <c r="L418" s="187"/>
      <c r="M418" s="187"/>
      <c r="N418" s="190"/>
      <c r="O418" s="196"/>
      <c r="P418" s="192"/>
    </row>
    <row r="419" ht="15.75" customHeight="1">
      <c r="A419" s="186"/>
      <c r="B419" s="197"/>
      <c r="C419" s="198"/>
      <c r="D419" s="199"/>
      <c r="E419" s="200"/>
      <c r="F419" s="201"/>
      <c r="G419" s="201"/>
      <c r="H419" s="199"/>
      <c r="I419" s="200"/>
      <c r="J419" s="187"/>
      <c r="K419" s="189"/>
      <c r="L419" s="187"/>
      <c r="M419" s="187"/>
      <c r="N419" s="190"/>
      <c r="O419" s="196"/>
      <c r="P419" s="192"/>
    </row>
    <row r="420" ht="15.75" customHeight="1">
      <c r="A420" s="186"/>
      <c r="B420" s="197"/>
      <c r="C420" s="198"/>
      <c r="D420" s="199"/>
      <c r="E420" s="200"/>
      <c r="F420" s="201"/>
      <c r="G420" s="201"/>
      <c r="H420" s="199"/>
      <c r="I420" s="200"/>
      <c r="J420" s="187"/>
      <c r="K420" s="189"/>
      <c r="L420" s="187"/>
      <c r="M420" s="187"/>
      <c r="N420" s="190"/>
      <c r="O420" s="196"/>
      <c r="P420" s="192"/>
    </row>
    <row r="421" ht="15.75" customHeight="1">
      <c r="A421" s="186"/>
      <c r="B421" s="197"/>
      <c r="C421" s="198"/>
      <c r="D421" s="199"/>
      <c r="E421" s="200"/>
      <c r="F421" s="201"/>
      <c r="G421" s="201"/>
      <c r="H421" s="199"/>
      <c r="I421" s="200"/>
      <c r="J421" s="187"/>
      <c r="K421" s="189"/>
      <c r="L421" s="187"/>
      <c r="M421" s="187"/>
      <c r="N421" s="190"/>
      <c r="O421" s="196"/>
      <c r="P421" s="192"/>
    </row>
    <row r="422" ht="15.75" customHeight="1">
      <c r="A422" s="186"/>
      <c r="B422" s="197"/>
      <c r="C422" s="198"/>
      <c r="D422" s="199"/>
      <c r="E422" s="200"/>
      <c r="F422" s="201"/>
      <c r="G422" s="201"/>
      <c r="H422" s="199"/>
      <c r="I422" s="200"/>
      <c r="J422" s="187"/>
      <c r="K422" s="189"/>
      <c r="L422" s="187"/>
      <c r="M422" s="187"/>
      <c r="N422" s="190"/>
      <c r="O422" s="196"/>
      <c r="P422" s="192"/>
    </row>
    <row r="423" ht="15.75" customHeight="1">
      <c r="A423" s="186"/>
      <c r="B423" s="197"/>
      <c r="C423" s="198"/>
      <c r="D423" s="199"/>
      <c r="E423" s="200"/>
      <c r="F423" s="201"/>
      <c r="G423" s="201"/>
      <c r="H423" s="199"/>
      <c r="I423" s="200"/>
      <c r="J423" s="187"/>
      <c r="K423" s="189"/>
      <c r="L423" s="187"/>
      <c r="M423" s="187"/>
      <c r="N423" s="190"/>
      <c r="O423" s="196"/>
      <c r="P423" s="192"/>
    </row>
    <row r="424" ht="15.75" customHeight="1">
      <c r="A424" s="186"/>
      <c r="B424" s="197"/>
      <c r="C424" s="198"/>
      <c r="D424" s="199"/>
      <c r="E424" s="200"/>
      <c r="F424" s="201"/>
      <c r="G424" s="201"/>
      <c r="H424" s="199"/>
      <c r="I424" s="200"/>
      <c r="J424" s="187"/>
      <c r="K424" s="189"/>
      <c r="L424" s="187"/>
      <c r="M424" s="187"/>
      <c r="N424" s="190"/>
      <c r="O424" s="196"/>
      <c r="P424" s="192"/>
    </row>
    <row r="425" ht="15.75" customHeight="1">
      <c r="A425" s="186"/>
      <c r="B425" s="197"/>
      <c r="C425" s="198"/>
      <c r="D425" s="199"/>
      <c r="E425" s="200"/>
      <c r="F425" s="201"/>
      <c r="G425" s="201"/>
      <c r="H425" s="199"/>
      <c r="I425" s="200"/>
      <c r="J425" s="187"/>
      <c r="K425" s="189"/>
      <c r="L425" s="187"/>
      <c r="M425" s="187"/>
      <c r="N425" s="190"/>
      <c r="O425" s="196"/>
      <c r="P425" s="192"/>
    </row>
    <row r="426" ht="15.75" customHeight="1">
      <c r="A426" s="186"/>
      <c r="B426" s="197"/>
      <c r="C426" s="198"/>
      <c r="D426" s="199"/>
      <c r="E426" s="200"/>
      <c r="F426" s="201"/>
      <c r="G426" s="201"/>
      <c r="H426" s="199"/>
      <c r="I426" s="200"/>
      <c r="J426" s="187"/>
      <c r="K426" s="189"/>
      <c r="L426" s="187"/>
      <c r="M426" s="187"/>
      <c r="N426" s="190"/>
      <c r="O426" s="196"/>
      <c r="P426" s="192"/>
    </row>
    <row r="427" ht="15.75" customHeight="1">
      <c r="A427" s="186"/>
      <c r="B427" s="197"/>
      <c r="C427" s="198"/>
      <c r="D427" s="199"/>
      <c r="E427" s="200"/>
      <c r="F427" s="201"/>
      <c r="G427" s="201"/>
      <c r="H427" s="199"/>
      <c r="I427" s="200"/>
      <c r="J427" s="187"/>
      <c r="K427" s="189"/>
      <c r="L427" s="187"/>
      <c r="M427" s="187"/>
      <c r="N427" s="190"/>
      <c r="O427" s="196"/>
      <c r="P427" s="192"/>
    </row>
    <row r="428" ht="15.75" customHeight="1">
      <c r="A428" s="186"/>
      <c r="B428" s="197"/>
      <c r="C428" s="198"/>
      <c r="D428" s="199"/>
      <c r="E428" s="200"/>
      <c r="F428" s="201"/>
      <c r="G428" s="201"/>
      <c r="H428" s="199"/>
      <c r="I428" s="200"/>
      <c r="J428" s="187"/>
      <c r="K428" s="189"/>
      <c r="L428" s="187"/>
      <c r="M428" s="187"/>
      <c r="N428" s="190"/>
      <c r="O428" s="196"/>
      <c r="P428" s="192"/>
    </row>
    <row r="429" ht="15.75" customHeight="1">
      <c r="A429" s="186"/>
      <c r="B429" s="197"/>
      <c r="C429" s="198"/>
      <c r="D429" s="199"/>
      <c r="E429" s="200"/>
      <c r="F429" s="201"/>
      <c r="G429" s="201"/>
      <c r="H429" s="199"/>
      <c r="I429" s="200"/>
      <c r="J429" s="187"/>
      <c r="K429" s="189"/>
      <c r="L429" s="187"/>
      <c r="M429" s="187"/>
      <c r="N429" s="190"/>
      <c r="O429" s="196"/>
      <c r="P429" s="192"/>
    </row>
    <row r="430" ht="15.75" customHeight="1">
      <c r="A430" s="186"/>
      <c r="B430" s="197"/>
      <c r="C430" s="198"/>
      <c r="D430" s="199"/>
      <c r="E430" s="200"/>
      <c r="F430" s="201"/>
      <c r="G430" s="201"/>
      <c r="H430" s="199"/>
      <c r="I430" s="200"/>
      <c r="J430" s="187"/>
      <c r="K430" s="189"/>
      <c r="L430" s="187"/>
      <c r="M430" s="187"/>
      <c r="N430" s="190"/>
      <c r="O430" s="196"/>
      <c r="P430" s="192"/>
    </row>
    <row r="431" ht="15.75" customHeight="1">
      <c r="A431" s="186"/>
      <c r="B431" s="197"/>
      <c r="C431" s="198"/>
      <c r="D431" s="199"/>
      <c r="E431" s="200"/>
      <c r="F431" s="201"/>
      <c r="G431" s="201"/>
      <c r="H431" s="199"/>
      <c r="I431" s="200"/>
      <c r="J431" s="187"/>
      <c r="K431" s="189"/>
      <c r="L431" s="187"/>
      <c r="M431" s="187"/>
      <c r="N431" s="190"/>
      <c r="O431" s="196"/>
      <c r="P431" s="192"/>
    </row>
    <row r="432" ht="15.75" customHeight="1">
      <c r="A432" s="186"/>
      <c r="B432" s="197"/>
      <c r="C432" s="198"/>
      <c r="D432" s="199"/>
      <c r="E432" s="200"/>
      <c r="F432" s="201"/>
      <c r="G432" s="201"/>
      <c r="H432" s="199"/>
      <c r="I432" s="200"/>
      <c r="J432" s="187"/>
      <c r="K432" s="189"/>
      <c r="L432" s="187"/>
      <c r="M432" s="187"/>
      <c r="N432" s="190"/>
      <c r="O432" s="196"/>
      <c r="P432" s="192"/>
    </row>
    <row r="433" ht="15.75" customHeight="1">
      <c r="A433" s="186"/>
      <c r="B433" s="197"/>
      <c r="C433" s="198"/>
      <c r="D433" s="199"/>
      <c r="E433" s="200"/>
      <c r="F433" s="201"/>
      <c r="G433" s="201"/>
      <c r="H433" s="199"/>
      <c r="I433" s="200"/>
      <c r="J433" s="187"/>
      <c r="K433" s="189"/>
      <c r="L433" s="187"/>
      <c r="M433" s="187"/>
      <c r="N433" s="190"/>
      <c r="O433" s="196"/>
      <c r="P433" s="192"/>
    </row>
    <row r="434" ht="15.75" customHeight="1">
      <c r="A434" s="186"/>
      <c r="B434" s="197"/>
      <c r="C434" s="198"/>
      <c r="D434" s="199"/>
      <c r="E434" s="200"/>
      <c r="F434" s="201"/>
      <c r="G434" s="201"/>
      <c r="H434" s="199"/>
      <c r="I434" s="200"/>
      <c r="J434" s="187"/>
      <c r="K434" s="189"/>
      <c r="L434" s="187"/>
      <c r="M434" s="187"/>
      <c r="N434" s="190"/>
      <c r="O434" s="196"/>
      <c r="P434" s="192"/>
    </row>
    <row r="435" ht="15.75" customHeight="1">
      <c r="A435" s="186"/>
      <c r="B435" s="197"/>
      <c r="C435" s="198"/>
      <c r="D435" s="199"/>
      <c r="E435" s="200"/>
      <c r="F435" s="201"/>
      <c r="G435" s="201"/>
      <c r="H435" s="199"/>
      <c r="I435" s="200"/>
      <c r="J435" s="187"/>
      <c r="K435" s="189"/>
      <c r="L435" s="187"/>
      <c r="M435" s="187"/>
      <c r="N435" s="190"/>
      <c r="O435" s="196"/>
      <c r="P435" s="192"/>
    </row>
    <row r="436" ht="15.75" customHeight="1">
      <c r="A436" s="186"/>
      <c r="B436" s="197"/>
      <c r="C436" s="198"/>
      <c r="D436" s="199"/>
      <c r="E436" s="200"/>
      <c r="F436" s="201"/>
      <c r="G436" s="201"/>
      <c r="H436" s="199"/>
      <c r="I436" s="200"/>
      <c r="J436" s="187"/>
      <c r="K436" s="189"/>
      <c r="L436" s="187"/>
      <c r="M436" s="187"/>
      <c r="N436" s="190"/>
      <c r="O436" s="196"/>
      <c r="P436" s="192"/>
    </row>
    <row r="437" ht="15.75" customHeight="1">
      <c r="A437" s="186"/>
      <c r="B437" s="197"/>
      <c r="C437" s="198"/>
      <c r="D437" s="199"/>
      <c r="E437" s="200"/>
      <c r="F437" s="201"/>
      <c r="G437" s="201"/>
      <c r="H437" s="199"/>
      <c r="I437" s="200"/>
      <c r="J437" s="187"/>
      <c r="K437" s="189"/>
      <c r="L437" s="187"/>
      <c r="M437" s="187"/>
      <c r="N437" s="190"/>
      <c r="O437" s="196"/>
      <c r="P437" s="192"/>
    </row>
    <row r="438" ht="15.75" customHeight="1">
      <c r="A438" s="186"/>
      <c r="B438" s="197"/>
      <c r="C438" s="198"/>
      <c r="D438" s="199"/>
      <c r="E438" s="200"/>
      <c r="F438" s="201"/>
      <c r="G438" s="201"/>
      <c r="H438" s="199"/>
      <c r="I438" s="200"/>
      <c r="J438" s="187"/>
      <c r="K438" s="189"/>
      <c r="L438" s="187"/>
      <c r="M438" s="187"/>
      <c r="N438" s="190"/>
      <c r="O438" s="196"/>
      <c r="P438" s="192"/>
    </row>
    <row r="439" ht="15.75" customHeight="1">
      <c r="A439" s="186"/>
      <c r="B439" s="197"/>
      <c r="C439" s="198"/>
      <c r="D439" s="199"/>
      <c r="E439" s="200"/>
      <c r="F439" s="201"/>
      <c r="G439" s="201"/>
      <c r="H439" s="199"/>
      <c r="I439" s="200"/>
      <c r="J439" s="187"/>
      <c r="K439" s="189"/>
      <c r="L439" s="187"/>
      <c r="M439" s="187"/>
      <c r="N439" s="190"/>
      <c r="O439" s="196"/>
      <c r="P439" s="192"/>
    </row>
    <row r="440" ht="15.75" customHeight="1">
      <c r="A440" s="186"/>
      <c r="B440" s="197"/>
      <c r="C440" s="198"/>
      <c r="D440" s="199"/>
      <c r="E440" s="200"/>
      <c r="F440" s="201"/>
      <c r="G440" s="201"/>
      <c r="H440" s="199"/>
      <c r="I440" s="200"/>
      <c r="J440" s="187"/>
      <c r="K440" s="189"/>
      <c r="L440" s="187"/>
      <c r="M440" s="187"/>
      <c r="N440" s="190"/>
      <c r="O440" s="196"/>
      <c r="P440" s="192"/>
    </row>
    <row r="441" ht="15.75" customHeight="1">
      <c r="A441" s="186"/>
      <c r="B441" s="197"/>
      <c r="C441" s="198"/>
      <c r="D441" s="199"/>
      <c r="E441" s="200"/>
      <c r="F441" s="201"/>
      <c r="G441" s="201"/>
      <c r="H441" s="199"/>
      <c r="I441" s="200"/>
      <c r="J441" s="187"/>
      <c r="K441" s="189"/>
      <c r="L441" s="187"/>
      <c r="M441" s="187"/>
      <c r="N441" s="190"/>
      <c r="O441" s="196"/>
      <c r="P441" s="192"/>
    </row>
    <row r="442" ht="15.75" customHeight="1">
      <c r="A442" s="186"/>
      <c r="B442" s="197"/>
      <c r="C442" s="198"/>
      <c r="D442" s="199"/>
      <c r="E442" s="200"/>
      <c r="F442" s="201"/>
      <c r="G442" s="201"/>
      <c r="H442" s="199"/>
      <c r="I442" s="200"/>
      <c r="J442" s="187"/>
      <c r="K442" s="189"/>
      <c r="L442" s="187"/>
      <c r="M442" s="187"/>
      <c r="N442" s="190"/>
      <c r="O442" s="196"/>
      <c r="P442" s="192"/>
    </row>
    <row r="443" ht="15.75" customHeight="1">
      <c r="A443" s="186"/>
      <c r="B443" s="197"/>
      <c r="C443" s="198"/>
      <c r="D443" s="199"/>
      <c r="E443" s="200"/>
      <c r="F443" s="201"/>
      <c r="G443" s="201"/>
      <c r="H443" s="199"/>
      <c r="I443" s="200"/>
      <c r="J443" s="187"/>
      <c r="K443" s="189"/>
      <c r="L443" s="187"/>
      <c r="M443" s="187"/>
      <c r="N443" s="190"/>
      <c r="O443" s="196"/>
      <c r="P443" s="192"/>
    </row>
    <row r="444" ht="15.75" customHeight="1">
      <c r="A444" s="186"/>
      <c r="B444" s="197"/>
      <c r="C444" s="198"/>
      <c r="D444" s="199"/>
      <c r="E444" s="200"/>
      <c r="F444" s="201"/>
      <c r="G444" s="201"/>
      <c r="H444" s="199"/>
      <c r="I444" s="200"/>
      <c r="J444" s="187"/>
      <c r="K444" s="189"/>
      <c r="L444" s="187"/>
      <c r="M444" s="187"/>
      <c r="N444" s="190"/>
      <c r="O444" s="196"/>
      <c r="P444" s="192"/>
    </row>
    <row r="445" ht="15.75" customHeight="1">
      <c r="A445" s="186"/>
      <c r="B445" s="197"/>
      <c r="C445" s="198"/>
      <c r="D445" s="199"/>
      <c r="E445" s="200"/>
      <c r="F445" s="201"/>
      <c r="G445" s="201"/>
      <c r="H445" s="199"/>
      <c r="I445" s="200"/>
      <c r="J445" s="187"/>
      <c r="K445" s="189"/>
      <c r="L445" s="187"/>
      <c r="M445" s="187"/>
      <c r="N445" s="190"/>
      <c r="O445" s="196"/>
      <c r="P445" s="192"/>
    </row>
    <row r="446" ht="15.75" customHeight="1">
      <c r="A446" s="186"/>
      <c r="B446" s="197"/>
      <c r="C446" s="198"/>
      <c r="D446" s="199"/>
      <c r="E446" s="200"/>
      <c r="F446" s="201"/>
      <c r="G446" s="201"/>
      <c r="H446" s="199"/>
      <c r="I446" s="200"/>
      <c r="J446" s="187"/>
      <c r="K446" s="189"/>
      <c r="L446" s="187"/>
      <c r="M446" s="187"/>
      <c r="N446" s="190"/>
      <c r="O446" s="196"/>
      <c r="P446" s="192"/>
    </row>
    <row r="447" ht="15.75" customHeight="1">
      <c r="A447" s="186"/>
      <c r="B447" s="197"/>
      <c r="C447" s="198"/>
      <c r="D447" s="199"/>
      <c r="E447" s="200"/>
      <c r="F447" s="201"/>
      <c r="G447" s="201"/>
      <c r="H447" s="199"/>
      <c r="I447" s="200"/>
      <c r="J447" s="187"/>
      <c r="K447" s="189"/>
      <c r="L447" s="187"/>
      <c r="M447" s="187"/>
      <c r="N447" s="190"/>
      <c r="O447" s="196"/>
      <c r="P447" s="192"/>
    </row>
    <row r="448" ht="15.75" customHeight="1">
      <c r="A448" s="186"/>
      <c r="B448" s="197"/>
      <c r="C448" s="198"/>
      <c r="D448" s="199"/>
      <c r="E448" s="200"/>
      <c r="F448" s="201"/>
      <c r="G448" s="201"/>
      <c r="H448" s="199"/>
      <c r="I448" s="200"/>
      <c r="J448" s="187"/>
      <c r="K448" s="189"/>
      <c r="L448" s="187"/>
      <c r="M448" s="187"/>
      <c r="N448" s="190"/>
      <c r="O448" s="196"/>
      <c r="P448" s="192"/>
    </row>
    <row r="449" ht="15.75" customHeight="1">
      <c r="A449" s="186"/>
      <c r="B449" s="197"/>
      <c r="C449" s="198"/>
      <c r="D449" s="199"/>
      <c r="E449" s="200"/>
      <c r="F449" s="201"/>
      <c r="G449" s="201"/>
      <c r="H449" s="199"/>
      <c r="I449" s="200"/>
      <c r="J449" s="187"/>
      <c r="K449" s="189"/>
      <c r="L449" s="187"/>
      <c r="M449" s="187"/>
      <c r="N449" s="190"/>
      <c r="O449" s="196"/>
      <c r="P449" s="192"/>
    </row>
    <row r="450" ht="15.75" customHeight="1">
      <c r="A450" s="186"/>
      <c r="B450" s="197"/>
      <c r="C450" s="198"/>
      <c r="D450" s="199"/>
      <c r="E450" s="200"/>
      <c r="F450" s="201"/>
      <c r="G450" s="201"/>
      <c r="H450" s="199"/>
      <c r="I450" s="200"/>
      <c r="J450" s="187"/>
      <c r="K450" s="189"/>
      <c r="L450" s="187"/>
      <c r="M450" s="187"/>
      <c r="N450" s="190"/>
      <c r="O450" s="196"/>
      <c r="P450" s="192"/>
    </row>
    <row r="451" ht="15.75" customHeight="1">
      <c r="A451" s="186"/>
      <c r="B451" s="197"/>
      <c r="C451" s="198"/>
      <c r="D451" s="199"/>
      <c r="E451" s="200"/>
      <c r="F451" s="201"/>
      <c r="G451" s="201"/>
      <c r="H451" s="199"/>
      <c r="I451" s="200"/>
      <c r="J451" s="187"/>
      <c r="K451" s="189"/>
      <c r="L451" s="187"/>
      <c r="M451" s="187"/>
      <c r="N451" s="190"/>
      <c r="O451" s="196"/>
      <c r="P451" s="192"/>
    </row>
    <row r="452" ht="15.75" customHeight="1">
      <c r="A452" s="186"/>
      <c r="B452" s="197"/>
      <c r="C452" s="198"/>
      <c r="D452" s="199"/>
      <c r="E452" s="200"/>
      <c r="F452" s="201"/>
      <c r="G452" s="201"/>
      <c r="H452" s="199"/>
      <c r="I452" s="200"/>
      <c r="J452" s="187"/>
      <c r="K452" s="189"/>
      <c r="L452" s="187"/>
      <c r="M452" s="187"/>
      <c r="N452" s="190"/>
      <c r="O452" s="196"/>
      <c r="P452" s="192"/>
    </row>
    <row r="453" ht="15.75" customHeight="1">
      <c r="A453" s="186"/>
      <c r="B453" s="197"/>
      <c r="C453" s="198"/>
      <c r="D453" s="199"/>
      <c r="E453" s="200"/>
      <c r="F453" s="201"/>
      <c r="G453" s="201"/>
      <c r="H453" s="199"/>
      <c r="I453" s="200"/>
      <c r="J453" s="187"/>
      <c r="K453" s="189"/>
      <c r="L453" s="187"/>
      <c r="M453" s="187"/>
      <c r="N453" s="190"/>
      <c r="O453" s="196"/>
      <c r="P453" s="192"/>
    </row>
    <row r="454" ht="15.75" customHeight="1">
      <c r="A454" s="186"/>
      <c r="B454" s="197"/>
      <c r="C454" s="198"/>
      <c r="D454" s="199"/>
      <c r="E454" s="200"/>
      <c r="F454" s="201"/>
      <c r="G454" s="201"/>
      <c r="H454" s="199"/>
      <c r="I454" s="200"/>
      <c r="J454" s="187"/>
      <c r="K454" s="189"/>
      <c r="L454" s="187"/>
      <c r="M454" s="187"/>
      <c r="N454" s="190"/>
      <c r="O454" s="196"/>
      <c r="P454" s="192"/>
    </row>
    <row r="455" ht="15.75" customHeight="1">
      <c r="A455" s="186"/>
      <c r="B455" s="197"/>
      <c r="C455" s="198"/>
      <c r="D455" s="199"/>
      <c r="E455" s="200"/>
      <c r="F455" s="201"/>
      <c r="G455" s="201"/>
      <c r="H455" s="199"/>
      <c r="I455" s="200"/>
      <c r="J455" s="187"/>
      <c r="K455" s="189"/>
      <c r="L455" s="187"/>
      <c r="M455" s="187"/>
      <c r="N455" s="190"/>
      <c r="O455" s="196"/>
      <c r="P455" s="192"/>
    </row>
    <row r="456" ht="15.75" customHeight="1">
      <c r="A456" s="186"/>
      <c r="B456" s="197"/>
      <c r="C456" s="198"/>
      <c r="D456" s="199"/>
      <c r="E456" s="200"/>
      <c r="F456" s="201"/>
      <c r="G456" s="201"/>
      <c r="H456" s="199"/>
      <c r="I456" s="200"/>
      <c r="J456" s="187"/>
      <c r="K456" s="189"/>
      <c r="L456" s="187"/>
      <c r="M456" s="187"/>
      <c r="N456" s="190"/>
      <c r="O456" s="196"/>
      <c r="P456" s="192"/>
    </row>
    <row r="457" ht="15.75" customHeight="1">
      <c r="A457" s="186"/>
      <c r="B457" s="197"/>
      <c r="C457" s="198"/>
      <c r="D457" s="199"/>
      <c r="E457" s="200"/>
      <c r="F457" s="201"/>
      <c r="G457" s="201"/>
      <c r="H457" s="199"/>
      <c r="I457" s="200"/>
      <c r="J457" s="187"/>
      <c r="K457" s="189"/>
      <c r="L457" s="187"/>
      <c r="M457" s="187"/>
      <c r="N457" s="190"/>
      <c r="O457" s="196"/>
      <c r="P457" s="192"/>
    </row>
    <row r="458" ht="15.75" customHeight="1">
      <c r="A458" s="186"/>
      <c r="B458" s="197"/>
      <c r="C458" s="198"/>
      <c r="D458" s="199"/>
      <c r="E458" s="200"/>
      <c r="F458" s="201"/>
      <c r="G458" s="201"/>
      <c r="H458" s="199"/>
      <c r="I458" s="200"/>
      <c r="J458" s="187"/>
      <c r="K458" s="189"/>
      <c r="L458" s="187"/>
      <c r="M458" s="187"/>
      <c r="N458" s="190"/>
      <c r="O458" s="196"/>
      <c r="P458" s="192"/>
    </row>
    <row r="459" ht="15.75" customHeight="1">
      <c r="A459" s="186"/>
      <c r="B459" s="197"/>
      <c r="C459" s="198"/>
      <c r="D459" s="199"/>
      <c r="E459" s="200"/>
      <c r="F459" s="201"/>
      <c r="G459" s="201"/>
      <c r="H459" s="199"/>
      <c r="I459" s="200"/>
      <c r="J459" s="187"/>
      <c r="K459" s="189"/>
      <c r="L459" s="187"/>
      <c r="M459" s="187"/>
      <c r="N459" s="190"/>
      <c r="O459" s="196"/>
      <c r="P459" s="192"/>
    </row>
    <row r="460" ht="15.75" customHeight="1">
      <c r="A460" s="186"/>
      <c r="B460" s="197"/>
      <c r="C460" s="198"/>
      <c r="D460" s="199"/>
      <c r="E460" s="200"/>
      <c r="F460" s="201"/>
      <c r="G460" s="201"/>
      <c r="H460" s="199"/>
      <c r="I460" s="200"/>
      <c r="J460" s="187"/>
      <c r="K460" s="189"/>
      <c r="L460" s="187"/>
      <c r="M460" s="187"/>
      <c r="N460" s="190"/>
      <c r="O460" s="196"/>
      <c r="P460" s="192"/>
    </row>
    <row r="461" ht="15.75" customHeight="1">
      <c r="A461" s="186"/>
      <c r="B461" s="197"/>
      <c r="C461" s="198"/>
      <c r="D461" s="199"/>
      <c r="E461" s="200"/>
      <c r="F461" s="201"/>
      <c r="G461" s="201"/>
      <c r="H461" s="199"/>
      <c r="I461" s="200"/>
      <c r="J461" s="187"/>
      <c r="K461" s="189"/>
      <c r="L461" s="187"/>
      <c r="M461" s="187"/>
      <c r="N461" s="190"/>
      <c r="O461" s="196"/>
      <c r="P461" s="192"/>
    </row>
    <row r="462" ht="15.75" customHeight="1">
      <c r="A462" s="186"/>
      <c r="B462" s="197"/>
      <c r="C462" s="198"/>
      <c r="D462" s="199"/>
      <c r="E462" s="200"/>
      <c r="F462" s="201"/>
      <c r="G462" s="201"/>
      <c r="H462" s="199"/>
      <c r="I462" s="200"/>
      <c r="J462" s="187"/>
      <c r="K462" s="189"/>
      <c r="L462" s="187"/>
      <c r="M462" s="187"/>
      <c r="N462" s="190"/>
      <c r="O462" s="196"/>
      <c r="P462" s="192"/>
    </row>
    <row r="463" ht="15.75" customHeight="1">
      <c r="A463" s="186"/>
      <c r="B463" s="197"/>
      <c r="C463" s="198"/>
      <c r="D463" s="199"/>
      <c r="E463" s="200"/>
      <c r="F463" s="201"/>
      <c r="G463" s="201"/>
      <c r="H463" s="199"/>
      <c r="I463" s="200"/>
      <c r="J463" s="187"/>
      <c r="K463" s="189"/>
      <c r="L463" s="187"/>
      <c r="M463" s="187"/>
      <c r="N463" s="190"/>
      <c r="O463" s="196"/>
      <c r="P463" s="192"/>
    </row>
    <row r="464" ht="15.75" customHeight="1">
      <c r="A464" s="186"/>
      <c r="B464" s="197"/>
      <c r="C464" s="198"/>
      <c r="D464" s="199"/>
      <c r="E464" s="200"/>
      <c r="F464" s="201"/>
      <c r="G464" s="201"/>
      <c r="H464" s="199"/>
      <c r="I464" s="200"/>
      <c r="J464" s="187"/>
      <c r="K464" s="189"/>
      <c r="L464" s="187"/>
      <c r="M464" s="187"/>
      <c r="N464" s="190"/>
      <c r="O464" s="196"/>
      <c r="P464" s="192"/>
    </row>
    <row r="465" ht="15.75" customHeight="1">
      <c r="A465" s="186"/>
      <c r="B465" s="197"/>
      <c r="C465" s="198"/>
      <c r="D465" s="199"/>
      <c r="E465" s="200"/>
      <c r="F465" s="201"/>
      <c r="G465" s="201"/>
      <c r="H465" s="199"/>
      <c r="I465" s="200"/>
      <c r="J465" s="187"/>
      <c r="K465" s="189"/>
      <c r="L465" s="187"/>
      <c r="M465" s="187"/>
      <c r="N465" s="190"/>
      <c r="O465" s="196"/>
      <c r="P465" s="192"/>
    </row>
    <row r="466" ht="15.75" customHeight="1">
      <c r="A466" s="186"/>
      <c r="B466" s="197"/>
      <c r="C466" s="198"/>
      <c r="D466" s="199"/>
      <c r="E466" s="200"/>
      <c r="F466" s="201"/>
      <c r="G466" s="201"/>
      <c r="H466" s="199"/>
      <c r="I466" s="200"/>
      <c r="J466" s="187"/>
      <c r="K466" s="189"/>
      <c r="L466" s="187"/>
      <c r="M466" s="187"/>
      <c r="N466" s="190"/>
      <c r="O466" s="196"/>
      <c r="P466" s="192"/>
    </row>
    <row r="467" ht="15.75" customHeight="1">
      <c r="A467" s="186"/>
      <c r="B467" s="197"/>
      <c r="C467" s="198"/>
      <c r="D467" s="199"/>
      <c r="E467" s="200"/>
      <c r="F467" s="201"/>
      <c r="G467" s="201"/>
      <c r="H467" s="199"/>
      <c r="I467" s="200"/>
      <c r="J467" s="187"/>
      <c r="K467" s="189"/>
      <c r="L467" s="187"/>
      <c r="M467" s="187"/>
      <c r="N467" s="190"/>
      <c r="O467" s="196"/>
      <c r="P467" s="192"/>
    </row>
    <row r="468" ht="15.75" customHeight="1">
      <c r="A468" s="186"/>
      <c r="B468" s="197"/>
      <c r="C468" s="198"/>
      <c r="D468" s="199"/>
      <c r="E468" s="200"/>
      <c r="F468" s="201"/>
      <c r="G468" s="201"/>
      <c r="H468" s="199"/>
      <c r="I468" s="200"/>
      <c r="J468" s="187"/>
      <c r="K468" s="189"/>
      <c r="L468" s="187"/>
      <c r="M468" s="187"/>
      <c r="N468" s="190"/>
      <c r="O468" s="196"/>
      <c r="P468" s="192"/>
    </row>
    <row r="469" ht="15.75" customHeight="1">
      <c r="A469" s="186"/>
      <c r="B469" s="197"/>
      <c r="C469" s="198"/>
      <c r="D469" s="199"/>
      <c r="E469" s="200"/>
      <c r="F469" s="201"/>
      <c r="G469" s="201"/>
      <c r="H469" s="199"/>
      <c r="I469" s="200"/>
      <c r="J469" s="187"/>
      <c r="K469" s="189"/>
      <c r="L469" s="187"/>
      <c r="M469" s="187"/>
      <c r="N469" s="190"/>
      <c r="O469" s="196"/>
      <c r="P469" s="192"/>
    </row>
    <row r="470" ht="15.75" customHeight="1">
      <c r="A470" s="186"/>
      <c r="B470" s="197"/>
      <c r="C470" s="198"/>
      <c r="D470" s="199"/>
      <c r="E470" s="200"/>
      <c r="F470" s="201"/>
      <c r="G470" s="201"/>
      <c r="H470" s="199"/>
      <c r="I470" s="200"/>
      <c r="J470" s="187"/>
      <c r="K470" s="189"/>
      <c r="L470" s="187"/>
      <c r="M470" s="187"/>
      <c r="N470" s="190"/>
      <c r="O470" s="196"/>
      <c r="P470" s="192"/>
    </row>
    <row r="471" ht="15.75" customHeight="1">
      <c r="A471" s="186"/>
      <c r="B471" s="197"/>
      <c r="C471" s="198"/>
      <c r="D471" s="199"/>
      <c r="E471" s="200"/>
      <c r="F471" s="201"/>
      <c r="G471" s="201"/>
      <c r="H471" s="199"/>
      <c r="I471" s="200"/>
      <c r="J471" s="187"/>
      <c r="K471" s="189"/>
      <c r="L471" s="187"/>
      <c r="M471" s="187"/>
      <c r="N471" s="190"/>
      <c r="O471" s="196"/>
      <c r="P471" s="192"/>
    </row>
    <row r="472" ht="15.75" customHeight="1">
      <c r="A472" s="186"/>
      <c r="B472" s="197"/>
      <c r="C472" s="198"/>
      <c r="D472" s="199"/>
      <c r="E472" s="200"/>
      <c r="F472" s="201"/>
      <c r="G472" s="201"/>
      <c r="H472" s="199"/>
      <c r="I472" s="200"/>
      <c r="J472" s="187"/>
      <c r="K472" s="189"/>
      <c r="L472" s="187"/>
      <c r="M472" s="187"/>
      <c r="N472" s="190"/>
      <c r="O472" s="196"/>
      <c r="P472" s="192"/>
    </row>
    <row r="473" ht="15.75" customHeight="1">
      <c r="A473" s="186"/>
      <c r="B473" s="197"/>
      <c r="C473" s="198"/>
      <c r="D473" s="199"/>
      <c r="E473" s="200"/>
      <c r="F473" s="201"/>
      <c r="G473" s="201"/>
      <c r="H473" s="199"/>
      <c r="I473" s="200"/>
      <c r="J473" s="187"/>
      <c r="K473" s="189"/>
      <c r="L473" s="187"/>
      <c r="M473" s="187"/>
      <c r="N473" s="190"/>
      <c r="O473" s="196"/>
      <c r="P473" s="192"/>
    </row>
    <row r="474" ht="15.75" customHeight="1">
      <c r="A474" s="186"/>
      <c r="B474" s="197"/>
      <c r="C474" s="198"/>
      <c r="D474" s="199"/>
      <c r="E474" s="200"/>
      <c r="F474" s="201"/>
      <c r="G474" s="201"/>
      <c r="H474" s="199"/>
      <c r="I474" s="200"/>
      <c r="J474" s="187"/>
      <c r="K474" s="189"/>
      <c r="L474" s="187"/>
      <c r="M474" s="187"/>
      <c r="N474" s="190"/>
      <c r="O474" s="196"/>
      <c r="P474" s="192"/>
    </row>
    <row r="475" ht="15.75" customHeight="1">
      <c r="A475" s="186"/>
      <c r="B475" s="197"/>
      <c r="C475" s="198"/>
      <c r="D475" s="199"/>
      <c r="E475" s="200"/>
      <c r="F475" s="201"/>
      <c r="G475" s="201"/>
      <c r="H475" s="199"/>
      <c r="I475" s="200"/>
      <c r="J475" s="187"/>
      <c r="K475" s="189"/>
      <c r="L475" s="187"/>
      <c r="M475" s="187"/>
      <c r="N475" s="190"/>
      <c r="O475" s="196"/>
      <c r="P475" s="192"/>
    </row>
    <row r="476" ht="15.75" customHeight="1">
      <c r="A476" s="186"/>
      <c r="B476" s="197"/>
      <c r="C476" s="198"/>
      <c r="D476" s="199"/>
      <c r="E476" s="200"/>
      <c r="F476" s="201"/>
      <c r="G476" s="201"/>
      <c r="H476" s="199"/>
      <c r="I476" s="200"/>
      <c r="J476" s="187"/>
      <c r="K476" s="189"/>
      <c r="L476" s="187"/>
      <c r="M476" s="187"/>
      <c r="N476" s="190"/>
      <c r="O476" s="196"/>
      <c r="P476" s="192"/>
    </row>
    <row r="477" ht="15.75" customHeight="1">
      <c r="A477" s="186"/>
      <c r="B477" s="197"/>
      <c r="C477" s="198"/>
      <c r="D477" s="199"/>
      <c r="E477" s="200"/>
      <c r="F477" s="201"/>
      <c r="G477" s="201"/>
      <c r="H477" s="199"/>
      <c r="I477" s="200"/>
      <c r="J477" s="187"/>
      <c r="K477" s="189"/>
      <c r="L477" s="187"/>
      <c r="M477" s="187"/>
      <c r="N477" s="190"/>
      <c r="O477" s="196"/>
      <c r="P477" s="192"/>
    </row>
    <row r="478" ht="15.75" customHeight="1">
      <c r="A478" s="186"/>
      <c r="B478" s="197"/>
      <c r="C478" s="198"/>
      <c r="D478" s="199"/>
      <c r="E478" s="200"/>
      <c r="F478" s="201"/>
      <c r="G478" s="201"/>
      <c r="H478" s="199"/>
      <c r="I478" s="200"/>
      <c r="J478" s="187"/>
      <c r="K478" s="189"/>
      <c r="L478" s="187"/>
      <c r="M478" s="187"/>
      <c r="N478" s="190"/>
      <c r="O478" s="196"/>
      <c r="P478" s="192"/>
    </row>
    <row r="479" ht="15.75" customHeight="1">
      <c r="A479" s="186"/>
      <c r="B479" s="197"/>
      <c r="C479" s="198"/>
      <c r="D479" s="199"/>
      <c r="E479" s="200"/>
      <c r="F479" s="201"/>
      <c r="G479" s="201"/>
      <c r="H479" s="199"/>
      <c r="I479" s="200"/>
      <c r="J479" s="187"/>
      <c r="K479" s="189"/>
      <c r="L479" s="187"/>
      <c r="M479" s="187"/>
      <c r="N479" s="190"/>
      <c r="O479" s="196"/>
      <c r="P479" s="192"/>
    </row>
    <row r="480" ht="15.75" customHeight="1">
      <c r="A480" s="186"/>
      <c r="B480" s="197"/>
      <c r="C480" s="198"/>
      <c r="D480" s="199"/>
      <c r="E480" s="200"/>
      <c r="F480" s="201"/>
      <c r="G480" s="201"/>
      <c r="H480" s="199"/>
      <c r="I480" s="200"/>
      <c r="J480" s="187"/>
      <c r="K480" s="189"/>
      <c r="L480" s="187"/>
      <c r="M480" s="187"/>
      <c r="N480" s="190"/>
      <c r="O480" s="196"/>
      <c r="P480" s="192"/>
    </row>
    <row r="481" ht="15.75" customHeight="1">
      <c r="A481" s="186"/>
      <c r="B481" s="197"/>
      <c r="C481" s="198"/>
      <c r="D481" s="199"/>
      <c r="E481" s="200"/>
      <c r="F481" s="201"/>
      <c r="G481" s="201"/>
      <c r="H481" s="199"/>
      <c r="I481" s="200"/>
      <c r="J481" s="187"/>
      <c r="K481" s="189"/>
      <c r="L481" s="187"/>
      <c r="M481" s="187"/>
      <c r="N481" s="190"/>
      <c r="O481" s="196"/>
      <c r="P481" s="192"/>
    </row>
    <row r="482" ht="15.75" customHeight="1">
      <c r="A482" s="186"/>
      <c r="B482" s="197"/>
      <c r="C482" s="198"/>
      <c r="D482" s="199"/>
      <c r="E482" s="200"/>
      <c r="F482" s="201"/>
      <c r="G482" s="201"/>
      <c r="H482" s="199"/>
      <c r="I482" s="200"/>
      <c r="J482" s="187"/>
      <c r="K482" s="189"/>
      <c r="L482" s="187"/>
      <c r="M482" s="187"/>
      <c r="N482" s="190"/>
      <c r="O482" s="196"/>
      <c r="P482" s="192"/>
    </row>
    <row r="483" ht="15.75" customHeight="1">
      <c r="A483" s="186"/>
      <c r="B483" s="197"/>
      <c r="C483" s="198"/>
      <c r="D483" s="199"/>
      <c r="E483" s="200"/>
      <c r="F483" s="201"/>
      <c r="G483" s="201"/>
      <c r="H483" s="199"/>
      <c r="I483" s="200"/>
      <c r="J483" s="187"/>
      <c r="K483" s="189"/>
      <c r="L483" s="187"/>
      <c r="M483" s="187"/>
      <c r="N483" s="190"/>
      <c r="O483" s="196"/>
      <c r="P483" s="192"/>
    </row>
    <row r="484" ht="15.75" customHeight="1">
      <c r="A484" s="186"/>
      <c r="B484" s="197"/>
      <c r="C484" s="198"/>
      <c r="D484" s="199"/>
      <c r="E484" s="200"/>
      <c r="F484" s="201"/>
      <c r="G484" s="201"/>
      <c r="H484" s="199"/>
      <c r="I484" s="200"/>
      <c r="J484" s="187"/>
      <c r="K484" s="189"/>
      <c r="L484" s="187"/>
      <c r="M484" s="187"/>
      <c r="N484" s="190"/>
      <c r="O484" s="196"/>
      <c r="P484" s="192"/>
    </row>
    <row r="485" ht="15.75" customHeight="1">
      <c r="A485" s="186"/>
      <c r="B485" s="197"/>
      <c r="C485" s="198"/>
      <c r="D485" s="199"/>
      <c r="E485" s="200"/>
      <c r="F485" s="201"/>
      <c r="G485" s="201"/>
      <c r="H485" s="199"/>
      <c r="I485" s="200"/>
      <c r="J485" s="187"/>
      <c r="K485" s="189"/>
      <c r="L485" s="187"/>
      <c r="M485" s="187"/>
      <c r="N485" s="190"/>
      <c r="O485" s="196"/>
      <c r="P485" s="192"/>
    </row>
    <row r="486" ht="15.75" customHeight="1">
      <c r="A486" s="186"/>
      <c r="B486" s="197"/>
      <c r="C486" s="198"/>
      <c r="D486" s="199"/>
      <c r="E486" s="200"/>
      <c r="F486" s="201"/>
      <c r="G486" s="201"/>
      <c r="H486" s="199"/>
      <c r="I486" s="200"/>
      <c r="J486" s="187"/>
      <c r="K486" s="189"/>
      <c r="L486" s="187"/>
      <c r="M486" s="187"/>
      <c r="N486" s="190"/>
      <c r="O486" s="196"/>
      <c r="P486" s="192"/>
    </row>
    <row r="487" ht="15.75" customHeight="1">
      <c r="A487" s="186"/>
      <c r="B487" s="197"/>
      <c r="C487" s="198"/>
      <c r="D487" s="199"/>
      <c r="E487" s="200"/>
      <c r="F487" s="201"/>
      <c r="G487" s="201"/>
      <c r="H487" s="199"/>
      <c r="I487" s="200"/>
      <c r="J487" s="187"/>
      <c r="K487" s="189"/>
      <c r="L487" s="187"/>
      <c r="M487" s="187"/>
      <c r="N487" s="190"/>
      <c r="O487" s="196"/>
      <c r="P487" s="192"/>
    </row>
    <row r="488" ht="15.75" customHeight="1">
      <c r="A488" s="186"/>
      <c r="B488" s="197"/>
      <c r="C488" s="198"/>
      <c r="D488" s="199"/>
      <c r="E488" s="200"/>
      <c r="F488" s="201"/>
      <c r="G488" s="201"/>
      <c r="H488" s="199"/>
      <c r="I488" s="200"/>
      <c r="J488" s="187"/>
      <c r="K488" s="189"/>
      <c r="L488" s="187"/>
      <c r="M488" s="187"/>
      <c r="N488" s="190"/>
      <c r="O488" s="196"/>
      <c r="P488" s="192"/>
    </row>
    <row r="489" ht="15.75" customHeight="1">
      <c r="A489" s="186"/>
      <c r="B489" s="197"/>
      <c r="C489" s="198"/>
      <c r="D489" s="199"/>
      <c r="E489" s="200"/>
      <c r="F489" s="201"/>
      <c r="G489" s="201"/>
      <c r="H489" s="199"/>
      <c r="I489" s="200"/>
      <c r="J489" s="187"/>
      <c r="K489" s="189"/>
      <c r="L489" s="187"/>
      <c r="M489" s="187"/>
      <c r="N489" s="190"/>
      <c r="O489" s="196"/>
      <c r="P489" s="192"/>
    </row>
    <row r="490" ht="15.75" customHeight="1">
      <c r="A490" s="186"/>
      <c r="B490" s="197"/>
      <c r="C490" s="198"/>
      <c r="D490" s="199"/>
      <c r="E490" s="200"/>
      <c r="F490" s="201"/>
      <c r="G490" s="201"/>
      <c r="H490" s="199"/>
      <c r="I490" s="200"/>
      <c r="J490" s="187"/>
      <c r="K490" s="189"/>
      <c r="L490" s="187"/>
      <c r="M490" s="187"/>
      <c r="N490" s="190"/>
      <c r="O490" s="196"/>
      <c r="P490" s="192"/>
    </row>
    <row r="491" ht="15.75" customHeight="1">
      <c r="A491" s="186"/>
      <c r="B491" s="197"/>
      <c r="C491" s="198"/>
      <c r="D491" s="199"/>
      <c r="E491" s="200"/>
      <c r="F491" s="201"/>
      <c r="G491" s="201"/>
      <c r="H491" s="199"/>
      <c r="I491" s="200"/>
      <c r="J491" s="187"/>
      <c r="K491" s="189"/>
      <c r="L491" s="187"/>
      <c r="M491" s="187"/>
      <c r="N491" s="190"/>
      <c r="O491" s="196"/>
      <c r="P491" s="192"/>
    </row>
    <row r="492" ht="15.75" customHeight="1">
      <c r="A492" s="186"/>
      <c r="B492" s="197"/>
      <c r="C492" s="198"/>
      <c r="D492" s="199"/>
      <c r="E492" s="200"/>
      <c r="F492" s="201"/>
      <c r="G492" s="201"/>
      <c r="H492" s="199"/>
      <c r="I492" s="200"/>
      <c r="J492" s="187"/>
      <c r="K492" s="189"/>
      <c r="L492" s="187"/>
      <c r="M492" s="187"/>
      <c r="N492" s="190"/>
      <c r="O492" s="196"/>
      <c r="P492" s="192"/>
    </row>
    <row r="493" ht="15.75" customHeight="1">
      <c r="A493" s="186"/>
      <c r="B493" s="197"/>
      <c r="C493" s="198"/>
      <c r="D493" s="199"/>
      <c r="E493" s="200"/>
      <c r="F493" s="201"/>
      <c r="G493" s="201"/>
      <c r="H493" s="199"/>
      <c r="I493" s="200"/>
      <c r="J493" s="187"/>
      <c r="K493" s="189"/>
      <c r="L493" s="187"/>
      <c r="M493" s="187"/>
      <c r="N493" s="190"/>
      <c r="O493" s="196"/>
      <c r="P493" s="192"/>
    </row>
    <row r="494" ht="15.75" customHeight="1">
      <c r="A494" s="186"/>
      <c r="B494" s="197"/>
      <c r="C494" s="198"/>
      <c r="D494" s="199"/>
      <c r="E494" s="200"/>
      <c r="F494" s="201"/>
      <c r="G494" s="201"/>
      <c r="H494" s="199"/>
      <c r="I494" s="200"/>
      <c r="J494" s="187"/>
      <c r="K494" s="189"/>
      <c r="L494" s="187"/>
      <c r="M494" s="187"/>
      <c r="N494" s="190"/>
      <c r="O494" s="196"/>
      <c r="P494" s="192"/>
    </row>
    <row r="495" ht="15.75" customHeight="1">
      <c r="A495" s="186"/>
      <c r="B495" s="197"/>
      <c r="C495" s="198"/>
      <c r="D495" s="199"/>
      <c r="E495" s="200"/>
      <c r="F495" s="201"/>
      <c r="G495" s="201"/>
      <c r="H495" s="199"/>
      <c r="I495" s="200"/>
      <c r="J495" s="187"/>
      <c r="K495" s="189"/>
      <c r="L495" s="187"/>
      <c r="M495" s="187"/>
      <c r="N495" s="190"/>
      <c r="O495" s="196"/>
      <c r="P495" s="192"/>
    </row>
    <row r="496" ht="15.75" customHeight="1">
      <c r="A496" s="186"/>
      <c r="B496" s="197"/>
      <c r="C496" s="198"/>
      <c r="D496" s="199"/>
      <c r="E496" s="200"/>
      <c r="F496" s="201"/>
      <c r="G496" s="201"/>
      <c r="H496" s="199"/>
      <c r="I496" s="200"/>
      <c r="J496" s="187"/>
      <c r="K496" s="189"/>
      <c r="L496" s="187"/>
      <c r="M496" s="187"/>
      <c r="N496" s="190"/>
      <c r="O496" s="196"/>
      <c r="P496" s="192"/>
    </row>
    <row r="497" ht="15.75" customHeight="1">
      <c r="A497" s="186"/>
      <c r="B497" s="197"/>
      <c r="C497" s="198"/>
      <c r="D497" s="199"/>
      <c r="E497" s="200"/>
      <c r="F497" s="201"/>
      <c r="G497" s="201"/>
      <c r="H497" s="199"/>
      <c r="I497" s="200"/>
      <c r="J497" s="187"/>
      <c r="K497" s="189"/>
      <c r="L497" s="187"/>
      <c r="M497" s="187"/>
      <c r="N497" s="190"/>
      <c r="O497" s="196"/>
      <c r="P497" s="192"/>
    </row>
    <row r="498" ht="15.75" customHeight="1">
      <c r="A498" s="186"/>
      <c r="B498" s="197"/>
      <c r="C498" s="198"/>
      <c r="D498" s="199"/>
      <c r="E498" s="200"/>
      <c r="F498" s="201"/>
      <c r="G498" s="201"/>
      <c r="H498" s="199"/>
      <c r="I498" s="200"/>
      <c r="J498" s="187"/>
      <c r="K498" s="189"/>
      <c r="L498" s="187"/>
      <c r="M498" s="187"/>
      <c r="N498" s="190"/>
      <c r="O498" s="196"/>
      <c r="P498" s="192"/>
    </row>
    <row r="499" ht="15.75" customHeight="1">
      <c r="A499" s="186"/>
      <c r="B499" s="197"/>
      <c r="C499" s="198"/>
      <c r="D499" s="199"/>
      <c r="E499" s="200"/>
      <c r="F499" s="201"/>
      <c r="G499" s="201"/>
      <c r="H499" s="199"/>
      <c r="I499" s="200"/>
      <c r="J499" s="187"/>
      <c r="K499" s="189"/>
      <c r="L499" s="187"/>
      <c r="M499" s="187"/>
      <c r="N499" s="190"/>
      <c r="O499" s="196"/>
      <c r="P499" s="192"/>
    </row>
    <row r="500" ht="15.75" customHeight="1">
      <c r="A500" s="186"/>
      <c r="B500" s="197"/>
      <c r="C500" s="198"/>
      <c r="D500" s="199"/>
      <c r="E500" s="200"/>
      <c r="F500" s="201"/>
      <c r="G500" s="201"/>
      <c r="H500" s="199"/>
      <c r="I500" s="200"/>
      <c r="J500" s="187"/>
      <c r="K500" s="189"/>
      <c r="L500" s="187"/>
      <c r="M500" s="187"/>
      <c r="N500" s="190"/>
      <c r="O500" s="196"/>
      <c r="P500" s="192"/>
    </row>
    <row r="501" ht="15.75" customHeight="1">
      <c r="A501" s="186"/>
      <c r="B501" s="197"/>
      <c r="C501" s="198"/>
      <c r="D501" s="199"/>
      <c r="E501" s="200"/>
      <c r="F501" s="201"/>
      <c r="G501" s="201"/>
      <c r="H501" s="199"/>
      <c r="I501" s="200"/>
      <c r="J501" s="187"/>
      <c r="K501" s="189"/>
      <c r="L501" s="187"/>
      <c r="M501" s="187"/>
      <c r="N501" s="190"/>
      <c r="O501" s="196"/>
      <c r="P501" s="192"/>
    </row>
    <row r="502" ht="15.75" customHeight="1">
      <c r="A502" s="186"/>
      <c r="B502" s="197"/>
      <c r="C502" s="198"/>
      <c r="D502" s="199"/>
      <c r="E502" s="200"/>
      <c r="F502" s="201"/>
      <c r="G502" s="201"/>
      <c r="H502" s="199"/>
      <c r="I502" s="200"/>
      <c r="J502" s="187"/>
      <c r="K502" s="189"/>
      <c r="L502" s="187"/>
      <c r="M502" s="187"/>
      <c r="N502" s="190"/>
      <c r="O502" s="196"/>
      <c r="P502" s="192"/>
    </row>
    <row r="503" ht="15.75" customHeight="1">
      <c r="A503" s="186"/>
      <c r="B503" s="197"/>
      <c r="C503" s="198"/>
      <c r="D503" s="199"/>
      <c r="E503" s="200"/>
      <c r="F503" s="201"/>
      <c r="G503" s="201"/>
      <c r="H503" s="199"/>
      <c r="I503" s="200"/>
      <c r="J503" s="187"/>
      <c r="K503" s="189"/>
      <c r="L503" s="187"/>
      <c r="M503" s="187"/>
      <c r="N503" s="190"/>
      <c r="O503" s="196"/>
      <c r="P503" s="192"/>
    </row>
    <row r="504" ht="15.75" customHeight="1">
      <c r="A504" s="186"/>
      <c r="B504" s="197"/>
      <c r="C504" s="198"/>
      <c r="D504" s="199"/>
      <c r="E504" s="200"/>
      <c r="F504" s="201"/>
      <c r="G504" s="201"/>
      <c r="H504" s="199"/>
      <c r="I504" s="200"/>
      <c r="J504" s="187"/>
      <c r="K504" s="189"/>
      <c r="L504" s="187"/>
      <c r="M504" s="187"/>
      <c r="N504" s="190"/>
      <c r="O504" s="196"/>
      <c r="P504" s="192"/>
    </row>
    <row r="505" ht="15.75" customHeight="1">
      <c r="A505" s="186"/>
      <c r="B505" s="197"/>
      <c r="C505" s="198"/>
      <c r="D505" s="199"/>
      <c r="E505" s="200"/>
      <c r="F505" s="201"/>
      <c r="G505" s="201"/>
      <c r="H505" s="199"/>
      <c r="I505" s="200"/>
      <c r="J505" s="187"/>
      <c r="K505" s="189"/>
      <c r="L505" s="187"/>
      <c r="M505" s="187"/>
      <c r="N505" s="190"/>
      <c r="O505" s="196"/>
      <c r="P505" s="192"/>
    </row>
    <row r="506" ht="15.75" customHeight="1">
      <c r="A506" s="186"/>
      <c r="B506" s="197"/>
      <c r="C506" s="198"/>
      <c r="D506" s="199"/>
      <c r="E506" s="200"/>
      <c r="F506" s="201"/>
      <c r="G506" s="201"/>
      <c r="H506" s="199"/>
      <c r="I506" s="200"/>
      <c r="J506" s="187"/>
      <c r="K506" s="189"/>
      <c r="L506" s="187"/>
      <c r="M506" s="187"/>
      <c r="N506" s="190"/>
      <c r="O506" s="196"/>
      <c r="P506" s="192"/>
    </row>
    <row r="507" ht="15.75" customHeight="1">
      <c r="A507" s="186"/>
      <c r="B507" s="197"/>
      <c r="C507" s="198"/>
      <c r="D507" s="199"/>
      <c r="E507" s="200"/>
      <c r="F507" s="201"/>
      <c r="G507" s="201"/>
      <c r="H507" s="199"/>
      <c r="I507" s="200"/>
      <c r="J507" s="187"/>
      <c r="K507" s="189"/>
      <c r="L507" s="187"/>
      <c r="M507" s="187"/>
      <c r="N507" s="190"/>
      <c r="O507" s="196"/>
      <c r="P507" s="192"/>
    </row>
    <row r="508" ht="15.75" customHeight="1">
      <c r="A508" s="186"/>
      <c r="B508" s="197"/>
      <c r="C508" s="198"/>
      <c r="D508" s="199"/>
      <c r="E508" s="200"/>
      <c r="F508" s="201"/>
      <c r="G508" s="201"/>
      <c r="H508" s="199"/>
      <c r="I508" s="200"/>
      <c r="J508" s="187"/>
      <c r="K508" s="189"/>
      <c r="L508" s="187"/>
      <c r="M508" s="187"/>
      <c r="N508" s="190"/>
      <c r="O508" s="196"/>
      <c r="P508" s="192"/>
    </row>
    <row r="509" ht="15.75" customHeight="1">
      <c r="A509" s="186"/>
      <c r="B509" s="197"/>
      <c r="C509" s="198"/>
      <c r="D509" s="199"/>
      <c r="E509" s="200"/>
      <c r="F509" s="201"/>
      <c r="G509" s="201"/>
      <c r="H509" s="199"/>
      <c r="I509" s="200"/>
      <c r="J509" s="187"/>
      <c r="K509" s="189"/>
      <c r="L509" s="187"/>
      <c r="M509" s="187"/>
      <c r="N509" s="190"/>
      <c r="O509" s="196"/>
      <c r="P509" s="192"/>
    </row>
    <row r="510" ht="15.75" customHeight="1">
      <c r="A510" s="186"/>
      <c r="B510" s="197"/>
      <c r="C510" s="198"/>
      <c r="D510" s="199"/>
      <c r="E510" s="200"/>
      <c r="F510" s="201"/>
      <c r="G510" s="201"/>
      <c r="H510" s="199"/>
      <c r="I510" s="200"/>
      <c r="J510" s="187"/>
      <c r="K510" s="189"/>
      <c r="L510" s="187"/>
      <c r="M510" s="187"/>
      <c r="N510" s="190"/>
      <c r="O510" s="196"/>
      <c r="P510" s="192"/>
    </row>
    <row r="511" ht="15.75" customHeight="1">
      <c r="A511" s="186"/>
      <c r="B511" s="197"/>
      <c r="C511" s="198"/>
      <c r="D511" s="199"/>
      <c r="E511" s="200"/>
      <c r="F511" s="201"/>
      <c r="G511" s="201"/>
      <c r="H511" s="199"/>
      <c r="I511" s="200"/>
      <c r="J511" s="187"/>
      <c r="K511" s="189"/>
      <c r="L511" s="187"/>
      <c r="M511" s="187"/>
      <c r="N511" s="190"/>
      <c r="O511" s="196"/>
      <c r="P511" s="192"/>
    </row>
    <row r="512" ht="15.75" customHeight="1">
      <c r="A512" s="186"/>
      <c r="B512" s="197"/>
      <c r="C512" s="198"/>
      <c r="D512" s="199"/>
      <c r="E512" s="200"/>
      <c r="F512" s="201"/>
      <c r="G512" s="201"/>
      <c r="H512" s="199"/>
      <c r="I512" s="200"/>
      <c r="J512" s="187"/>
      <c r="K512" s="189"/>
      <c r="L512" s="187"/>
      <c r="M512" s="187"/>
      <c r="N512" s="190"/>
      <c r="O512" s="196"/>
      <c r="P512" s="192"/>
    </row>
    <row r="513" ht="15.75" customHeight="1">
      <c r="A513" s="186"/>
      <c r="B513" s="197"/>
      <c r="C513" s="198"/>
      <c r="D513" s="199"/>
      <c r="E513" s="200"/>
      <c r="F513" s="201"/>
      <c r="G513" s="201"/>
      <c r="H513" s="199"/>
      <c r="I513" s="200"/>
      <c r="J513" s="187"/>
      <c r="K513" s="189"/>
      <c r="L513" s="187"/>
      <c r="M513" s="187"/>
      <c r="N513" s="190"/>
      <c r="O513" s="196"/>
      <c r="P513" s="192"/>
    </row>
    <row r="514" ht="15.75" customHeight="1">
      <c r="A514" s="186"/>
      <c r="B514" s="197"/>
      <c r="C514" s="198"/>
      <c r="D514" s="199"/>
      <c r="E514" s="200"/>
      <c r="F514" s="201"/>
      <c r="G514" s="201"/>
      <c r="H514" s="199"/>
      <c r="I514" s="200"/>
      <c r="J514" s="187"/>
      <c r="K514" s="189"/>
      <c r="L514" s="187"/>
      <c r="M514" s="187"/>
      <c r="N514" s="190"/>
      <c r="O514" s="196"/>
      <c r="P514" s="192"/>
    </row>
    <row r="515" ht="15.75" customHeight="1">
      <c r="A515" s="186"/>
      <c r="B515" s="197"/>
      <c r="C515" s="198"/>
      <c r="D515" s="199"/>
      <c r="E515" s="200"/>
      <c r="F515" s="201"/>
      <c r="G515" s="201"/>
      <c r="H515" s="199"/>
      <c r="I515" s="200"/>
      <c r="J515" s="187"/>
      <c r="K515" s="189"/>
      <c r="L515" s="187"/>
      <c r="M515" s="187"/>
      <c r="N515" s="190"/>
      <c r="O515" s="196"/>
      <c r="P515" s="192"/>
    </row>
    <row r="516" ht="15.75" customHeight="1">
      <c r="A516" s="186"/>
      <c r="B516" s="197"/>
      <c r="C516" s="198"/>
      <c r="D516" s="199"/>
      <c r="E516" s="200"/>
      <c r="F516" s="201"/>
      <c r="G516" s="201"/>
      <c r="H516" s="199"/>
      <c r="I516" s="200"/>
      <c r="J516" s="187"/>
      <c r="K516" s="189"/>
      <c r="L516" s="187"/>
      <c r="M516" s="187"/>
      <c r="N516" s="190"/>
      <c r="O516" s="196"/>
      <c r="P516" s="192"/>
    </row>
    <row r="517" ht="15.75" customHeight="1">
      <c r="A517" s="186"/>
      <c r="B517" s="197"/>
      <c r="C517" s="198"/>
      <c r="D517" s="199"/>
      <c r="E517" s="200"/>
      <c r="F517" s="201"/>
      <c r="G517" s="201"/>
      <c r="H517" s="199"/>
      <c r="I517" s="200"/>
      <c r="J517" s="187"/>
      <c r="K517" s="189"/>
      <c r="L517" s="187"/>
      <c r="M517" s="187"/>
      <c r="N517" s="190"/>
      <c r="O517" s="196"/>
      <c r="P517" s="192"/>
    </row>
    <row r="518" ht="15.75" customHeight="1">
      <c r="A518" s="186"/>
      <c r="B518" s="197"/>
      <c r="C518" s="198"/>
      <c r="D518" s="199"/>
      <c r="E518" s="200"/>
      <c r="F518" s="201"/>
      <c r="G518" s="201"/>
      <c r="H518" s="199"/>
      <c r="I518" s="200"/>
      <c r="J518" s="187"/>
      <c r="K518" s="189"/>
      <c r="L518" s="187"/>
      <c r="M518" s="187"/>
      <c r="N518" s="190"/>
      <c r="O518" s="196"/>
      <c r="P518" s="192"/>
    </row>
    <row r="519" ht="15.75" customHeight="1">
      <c r="A519" s="186"/>
      <c r="B519" s="197"/>
      <c r="C519" s="198"/>
      <c r="D519" s="199"/>
      <c r="E519" s="200"/>
      <c r="F519" s="201"/>
      <c r="G519" s="201"/>
      <c r="H519" s="199"/>
      <c r="I519" s="200"/>
      <c r="J519" s="187"/>
      <c r="K519" s="189"/>
      <c r="L519" s="187"/>
      <c r="M519" s="187"/>
      <c r="N519" s="190"/>
      <c r="O519" s="196"/>
      <c r="P519" s="192"/>
    </row>
    <row r="520" ht="15.75" customHeight="1">
      <c r="A520" s="186"/>
      <c r="B520" s="197"/>
      <c r="C520" s="198"/>
      <c r="D520" s="199"/>
      <c r="E520" s="200"/>
      <c r="F520" s="201"/>
      <c r="G520" s="201"/>
      <c r="H520" s="199"/>
      <c r="I520" s="200"/>
      <c r="J520" s="187"/>
      <c r="K520" s="189"/>
      <c r="L520" s="187"/>
      <c r="M520" s="187"/>
      <c r="N520" s="190"/>
      <c r="O520" s="196"/>
      <c r="P520" s="192"/>
    </row>
    <row r="521" ht="15.75" customHeight="1">
      <c r="A521" s="186"/>
      <c r="B521" s="197"/>
      <c r="C521" s="198"/>
      <c r="D521" s="199"/>
      <c r="E521" s="200"/>
      <c r="F521" s="201"/>
      <c r="G521" s="201"/>
      <c r="H521" s="199"/>
      <c r="I521" s="200"/>
      <c r="J521" s="187"/>
      <c r="K521" s="189"/>
      <c r="L521" s="187"/>
      <c r="M521" s="187"/>
      <c r="N521" s="190"/>
      <c r="O521" s="196"/>
      <c r="P521" s="192"/>
    </row>
    <row r="522" ht="15.75" customHeight="1">
      <c r="A522" s="186"/>
      <c r="B522" s="197"/>
      <c r="C522" s="198"/>
      <c r="D522" s="199"/>
      <c r="E522" s="200"/>
      <c r="F522" s="201"/>
      <c r="G522" s="201"/>
      <c r="H522" s="199"/>
      <c r="I522" s="200"/>
      <c r="J522" s="187"/>
      <c r="K522" s="189"/>
      <c r="L522" s="187"/>
      <c r="M522" s="187"/>
      <c r="N522" s="190"/>
      <c r="O522" s="196"/>
      <c r="P522" s="192"/>
    </row>
    <row r="523" ht="15.75" customHeight="1">
      <c r="A523" s="186"/>
      <c r="B523" s="197"/>
      <c r="C523" s="198"/>
      <c r="D523" s="199"/>
      <c r="E523" s="200"/>
      <c r="F523" s="201"/>
      <c r="G523" s="201"/>
      <c r="H523" s="199"/>
      <c r="I523" s="200"/>
      <c r="J523" s="187"/>
      <c r="K523" s="189"/>
      <c r="L523" s="187"/>
      <c r="M523" s="187"/>
      <c r="N523" s="190"/>
      <c r="O523" s="196"/>
      <c r="P523" s="192"/>
    </row>
    <row r="524" ht="15.75" customHeight="1">
      <c r="A524" s="186"/>
      <c r="B524" s="197"/>
      <c r="C524" s="198"/>
      <c r="D524" s="199"/>
      <c r="E524" s="200"/>
      <c r="F524" s="201"/>
      <c r="G524" s="201"/>
      <c r="H524" s="199"/>
      <c r="I524" s="200"/>
      <c r="J524" s="187"/>
      <c r="K524" s="189"/>
      <c r="L524" s="187"/>
      <c r="M524" s="187"/>
      <c r="N524" s="190"/>
      <c r="O524" s="196"/>
      <c r="P524" s="192"/>
    </row>
    <row r="525" ht="15.75" customHeight="1">
      <c r="A525" s="186"/>
      <c r="B525" s="197"/>
      <c r="C525" s="198"/>
      <c r="D525" s="199"/>
      <c r="E525" s="200"/>
      <c r="F525" s="201"/>
      <c r="G525" s="201"/>
      <c r="H525" s="199"/>
      <c r="I525" s="200"/>
      <c r="J525" s="187"/>
      <c r="K525" s="189"/>
      <c r="L525" s="187"/>
      <c r="M525" s="187"/>
      <c r="N525" s="190"/>
      <c r="O525" s="196"/>
      <c r="P525" s="192"/>
    </row>
    <row r="526" ht="15.75" customHeight="1">
      <c r="A526" s="186"/>
      <c r="B526" s="197"/>
      <c r="C526" s="198"/>
      <c r="D526" s="199"/>
      <c r="E526" s="200"/>
      <c r="F526" s="201"/>
      <c r="G526" s="201"/>
      <c r="H526" s="199"/>
      <c r="I526" s="200"/>
      <c r="J526" s="187"/>
      <c r="K526" s="189"/>
      <c r="L526" s="187"/>
      <c r="M526" s="187"/>
      <c r="N526" s="190"/>
      <c r="O526" s="196"/>
      <c r="P526" s="192"/>
    </row>
    <row r="527" ht="15.75" customHeight="1">
      <c r="A527" s="186"/>
      <c r="B527" s="197"/>
      <c r="C527" s="198"/>
      <c r="D527" s="199"/>
      <c r="E527" s="200"/>
      <c r="F527" s="201"/>
      <c r="G527" s="201"/>
      <c r="H527" s="199"/>
      <c r="I527" s="200"/>
      <c r="J527" s="187"/>
      <c r="K527" s="189"/>
      <c r="L527" s="187"/>
      <c r="M527" s="187"/>
      <c r="N527" s="190"/>
      <c r="O527" s="196"/>
      <c r="P527" s="192"/>
    </row>
    <row r="528" ht="15.75" customHeight="1">
      <c r="A528" s="186"/>
      <c r="B528" s="197"/>
      <c r="C528" s="198"/>
      <c r="D528" s="199"/>
      <c r="E528" s="200"/>
      <c r="F528" s="201"/>
      <c r="G528" s="201"/>
      <c r="H528" s="199"/>
      <c r="I528" s="200"/>
      <c r="J528" s="187"/>
      <c r="K528" s="189"/>
      <c r="L528" s="187"/>
      <c r="M528" s="187"/>
      <c r="N528" s="190"/>
      <c r="O528" s="196"/>
      <c r="P528" s="192"/>
    </row>
    <row r="529" ht="15.75" customHeight="1">
      <c r="A529" s="186"/>
      <c r="B529" s="197"/>
      <c r="C529" s="198"/>
      <c r="D529" s="199"/>
      <c r="E529" s="200"/>
      <c r="F529" s="201"/>
      <c r="G529" s="201"/>
      <c r="H529" s="199"/>
      <c r="I529" s="200"/>
      <c r="J529" s="187"/>
      <c r="K529" s="189"/>
      <c r="L529" s="187"/>
      <c r="M529" s="187"/>
      <c r="N529" s="190"/>
      <c r="O529" s="196"/>
      <c r="P529" s="192"/>
    </row>
    <row r="530" ht="15.75" customHeight="1">
      <c r="A530" s="186"/>
      <c r="B530" s="197"/>
      <c r="C530" s="198"/>
      <c r="D530" s="199"/>
      <c r="E530" s="200"/>
      <c r="F530" s="201"/>
      <c r="G530" s="201"/>
      <c r="H530" s="199"/>
      <c r="I530" s="200"/>
      <c r="J530" s="187"/>
      <c r="K530" s="189"/>
      <c r="L530" s="187"/>
      <c r="M530" s="187"/>
      <c r="N530" s="190"/>
      <c r="O530" s="196"/>
      <c r="P530" s="192"/>
    </row>
    <row r="531" ht="15.75" customHeight="1">
      <c r="A531" s="186"/>
      <c r="B531" s="197"/>
      <c r="C531" s="198"/>
      <c r="D531" s="199"/>
      <c r="E531" s="200"/>
      <c r="F531" s="201"/>
      <c r="G531" s="201"/>
      <c r="H531" s="199"/>
      <c r="I531" s="200"/>
      <c r="J531" s="187"/>
      <c r="K531" s="189"/>
      <c r="L531" s="187"/>
      <c r="M531" s="187"/>
      <c r="N531" s="190"/>
      <c r="O531" s="196"/>
      <c r="P531" s="192"/>
    </row>
    <row r="532" ht="15.75" customHeight="1">
      <c r="A532" s="186"/>
      <c r="B532" s="197"/>
      <c r="C532" s="198"/>
      <c r="D532" s="199"/>
      <c r="E532" s="200"/>
      <c r="F532" s="201"/>
      <c r="G532" s="201"/>
      <c r="H532" s="199"/>
      <c r="I532" s="200"/>
      <c r="J532" s="187"/>
      <c r="K532" s="189"/>
      <c r="L532" s="187"/>
      <c r="M532" s="187"/>
      <c r="N532" s="190"/>
      <c r="O532" s="196"/>
      <c r="P532" s="192"/>
    </row>
    <row r="533" ht="15.75" customHeight="1">
      <c r="A533" s="186"/>
      <c r="B533" s="197"/>
      <c r="C533" s="198"/>
      <c r="D533" s="199"/>
      <c r="E533" s="200"/>
      <c r="F533" s="201"/>
      <c r="G533" s="201"/>
      <c r="H533" s="199"/>
      <c r="I533" s="200"/>
      <c r="J533" s="187"/>
      <c r="K533" s="189"/>
      <c r="L533" s="187"/>
      <c r="M533" s="187"/>
      <c r="N533" s="190"/>
      <c r="O533" s="196"/>
      <c r="P533" s="192"/>
    </row>
    <row r="534" ht="15.75" customHeight="1">
      <c r="A534" s="186"/>
      <c r="B534" s="197"/>
      <c r="C534" s="198"/>
      <c r="D534" s="199"/>
      <c r="E534" s="200"/>
      <c r="F534" s="201"/>
      <c r="G534" s="201"/>
      <c r="H534" s="199"/>
      <c r="I534" s="200"/>
      <c r="J534" s="187"/>
      <c r="K534" s="189"/>
      <c r="L534" s="187"/>
      <c r="M534" s="187"/>
      <c r="N534" s="190"/>
      <c r="O534" s="196"/>
      <c r="P534" s="192"/>
    </row>
    <row r="535" ht="15.75" customHeight="1">
      <c r="A535" s="186"/>
      <c r="B535" s="197"/>
      <c r="C535" s="198"/>
      <c r="D535" s="199"/>
      <c r="E535" s="200"/>
      <c r="F535" s="201"/>
      <c r="G535" s="201"/>
      <c r="H535" s="199"/>
      <c r="I535" s="200"/>
      <c r="J535" s="187"/>
      <c r="K535" s="189"/>
      <c r="L535" s="187"/>
      <c r="M535" s="187"/>
      <c r="N535" s="190"/>
      <c r="O535" s="196"/>
      <c r="P535" s="192"/>
    </row>
    <row r="536" ht="15.75" customHeight="1">
      <c r="A536" s="186"/>
      <c r="B536" s="197"/>
      <c r="C536" s="198"/>
      <c r="D536" s="199"/>
      <c r="E536" s="200"/>
      <c r="F536" s="201"/>
      <c r="G536" s="201"/>
      <c r="H536" s="199"/>
      <c r="I536" s="200"/>
      <c r="J536" s="187"/>
      <c r="K536" s="189"/>
      <c r="L536" s="187"/>
      <c r="M536" s="187"/>
      <c r="N536" s="190"/>
      <c r="O536" s="196"/>
      <c r="P536" s="192"/>
    </row>
    <row r="537" ht="15.75" customHeight="1">
      <c r="A537" s="186"/>
      <c r="B537" s="197"/>
      <c r="C537" s="198"/>
      <c r="D537" s="199"/>
      <c r="E537" s="200"/>
      <c r="F537" s="201"/>
      <c r="G537" s="201"/>
      <c r="H537" s="199"/>
      <c r="I537" s="200"/>
      <c r="J537" s="187"/>
      <c r="K537" s="189"/>
      <c r="L537" s="187"/>
      <c r="M537" s="187"/>
      <c r="N537" s="190"/>
      <c r="O537" s="196"/>
      <c r="P537" s="192"/>
    </row>
    <row r="538" ht="15.75" customHeight="1">
      <c r="A538" s="186"/>
      <c r="B538" s="197"/>
      <c r="C538" s="198"/>
      <c r="D538" s="199"/>
      <c r="E538" s="200"/>
      <c r="F538" s="201"/>
      <c r="G538" s="201"/>
      <c r="H538" s="199"/>
      <c r="I538" s="200"/>
      <c r="J538" s="187"/>
      <c r="K538" s="189"/>
      <c r="L538" s="187"/>
      <c r="M538" s="187"/>
      <c r="N538" s="190"/>
      <c r="O538" s="196"/>
      <c r="P538" s="192"/>
    </row>
    <row r="539" ht="15.75" customHeight="1">
      <c r="A539" s="186"/>
      <c r="B539" s="197"/>
      <c r="C539" s="198"/>
      <c r="D539" s="199"/>
      <c r="E539" s="200"/>
      <c r="F539" s="201"/>
      <c r="G539" s="201"/>
      <c r="H539" s="199"/>
      <c r="I539" s="200"/>
      <c r="J539" s="187"/>
      <c r="K539" s="189"/>
      <c r="L539" s="187"/>
      <c r="M539" s="187"/>
      <c r="N539" s="190"/>
      <c r="O539" s="196"/>
      <c r="P539" s="192"/>
    </row>
    <row r="540" ht="15.75" customHeight="1">
      <c r="A540" s="186"/>
      <c r="B540" s="197"/>
      <c r="C540" s="198"/>
      <c r="D540" s="199"/>
      <c r="E540" s="200"/>
      <c r="F540" s="201"/>
      <c r="G540" s="201"/>
      <c r="H540" s="199"/>
      <c r="I540" s="200"/>
      <c r="J540" s="187"/>
      <c r="K540" s="189"/>
      <c r="L540" s="187"/>
      <c r="M540" s="187"/>
      <c r="N540" s="190"/>
      <c r="O540" s="196"/>
      <c r="P540" s="192"/>
    </row>
    <row r="541" ht="15.75" customHeight="1">
      <c r="A541" s="186"/>
      <c r="B541" s="197"/>
      <c r="C541" s="198"/>
      <c r="D541" s="199"/>
      <c r="E541" s="200"/>
      <c r="F541" s="201"/>
      <c r="G541" s="201"/>
      <c r="H541" s="199"/>
      <c r="I541" s="200"/>
      <c r="J541" s="187"/>
      <c r="K541" s="189"/>
      <c r="L541" s="187"/>
      <c r="M541" s="187"/>
      <c r="N541" s="190"/>
      <c r="O541" s="196"/>
      <c r="P541" s="192"/>
    </row>
    <row r="542" ht="15.75" customHeight="1">
      <c r="A542" s="186"/>
      <c r="B542" s="197"/>
      <c r="C542" s="198"/>
      <c r="D542" s="199"/>
      <c r="E542" s="200"/>
      <c r="F542" s="201"/>
      <c r="G542" s="201"/>
      <c r="H542" s="199"/>
      <c r="I542" s="200"/>
      <c r="J542" s="187"/>
      <c r="K542" s="189"/>
      <c r="L542" s="187"/>
      <c r="M542" s="187"/>
      <c r="N542" s="190"/>
      <c r="O542" s="196"/>
      <c r="P542" s="192"/>
    </row>
    <row r="543" ht="15.75" customHeight="1">
      <c r="A543" s="186"/>
      <c r="B543" s="197"/>
      <c r="C543" s="198"/>
      <c r="D543" s="199"/>
      <c r="E543" s="200"/>
      <c r="F543" s="201"/>
      <c r="G543" s="201"/>
      <c r="H543" s="199"/>
      <c r="I543" s="200"/>
      <c r="J543" s="187"/>
      <c r="K543" s="189"/>
      <c r="L543" s="187"/>
      <c r="M543" s="187"/>
      <c r="N543" s="190"/>
      <c r="O543" s="196"/>
      <c r="P543" s="192"/>
    </row>
    <row r="544" ht="15.75" customHeight="1">
      <c r="A544" s="186"/>
      <c r="B544" s="197"/>
      <c r="C544" s="198"/>
      <c r="D544" s="199"/>
      <c r="E544" s="200"/>
      <c r="F544" s="201"/>
      <c r="G544" s="201"/>
      <c r="H544" s="199"/>
      <c r="I544" s="200"/>
      <c r="J544" s="187"/>
      <c r="K544" s="189"/>
      <c r="L544" s="187"/>
      <c r="M544" s="187"/>
      <c r="N544" s="190"/>
      <c r="O544" s="196"/>
      <c r="P544" s="192"/>
    </row>
    <row r="545" ht="15.75" customHeight="1">
      <c r="A545" s="186"/>
      <c r="B545" s="197"/>
      <c r="C545" s="198"/>
      <c r="D545" s="199"/>
      <c r="E545" s="200"/>
      <c r="F545" s="201"/>
      <c r="G545" s="201"/>
      <c r="H545" s="199"/>
      <c r="I545" s="200"/>
      <c r="J545" s="187"/>
      <c r="K545" s="189"/>
      <c r="L545" s="187"/>
      <c r="M545" s="187"/>
      <c r="N545" s="190"/>
      <c r="O545" s="196"/>
      <c r="P545" s="192"/>
    </row>
    <row r="546" ht="15.75" customHeight="1">
      <c r="A546" s="186"/>
      <c r="B546" s="197"/>
      <c r="C546" s="198"/>
      <c r="D546" s="199"/>
      <c r="E546" s="200"/>
      <c r="F546" s="201"/>
      <c r="G546" s="201"/>
      <c r="H546" s="199"/>
      <c r="I546" s="200"/>
      <c r="J546" s="187"/>
      <c r="K546" s="189"/>
      <c r="L546" s="187"/>
      <c r="M546" s="187"/>
      <c r="N546" s="190"/>
      <c r="O546" s="196"/>
      <c r="P546" s="192"/>
    </row>
    <row r="547" ht="15.75" customHeight="1">
      <c r="A547" s="186"/>
      <c r="B547" s="197"/>
      <c r="C547" s="198"/>
      <c r="D547" s="199"/>
      <c r="E547" s="200"/>
      <c r="F547" s="201"/>
      <c r="G547" s="201"/>
      <c r="H547" s="199"/>
      <c r="I547" s="200"/>
      <c r="J547" s="187"/>
      <c r="K547" s="189"/>
      <c r="L547" s="187"/>
      <c r="M547" s="187"/>
      <c r="N547" s="190"/>
      <c r="O547" s="196"/>
      <c r="P547" s="192"/>
    </row>
    <row r="548" ht="15.75" customHeight="1">
      <c r="A548" s="186"/>
      <c r="B548" s="197"/>
      <c r="C548" s="198"/>
      <c r="D548" s="199"/>
      <c r="E548" s="200"/>
      <c r="F548" s="201"/>
      <c r="G548" s="201"/>
      <c r="H548" s="199"/>
      <c r="I548" s="200"/>
      <c r="J548" s="187"/>
      <c r="K548" s="189"/>
      <c r="L548" s="187"/>
      <c r="M548" s="187"/>
      <c r="N548" s="190"/>
      <c r="O548" s="196"/>
      <c r="P548" s="192"/>
    </row>
    <row r="549" ht="15.75" customHeight="1">
      <c r="A549" s="186"/>
      <c r="B549" s="197"/>
      <c r="C549" s="198"/>
      <c r="D549" s="199"/>
      <c r="E549" s="200"/>
      <c r="F549" s="201"/>
      <c r="G549" s="201"/>
      <c r="H549" s="199"/>
      <c r="I549" s="200"/>
      <c r="J549" s="187"/>
      <c r="K549" s="189"/>
      <c r="L549" s="187"/>
      <c r="M549" s="187"/>
      <c r="N549" s="190"/>
      <c r="O549" s="196"/>
      <c r="P549" s="192"/>
    </row>
    <row r="550" ht="15.75" customHeight="1">
      <c r="A550" s="186"/>
      <c r="B550" s="197"/>
      <c r="C550" s="198"/>
      <c r="D550" s="199"/>
      <c r="E550" s="200"/>
      <c r="F550" s="201"/>
      <c r="G550" s="201"/>
      <c r="H550" s="199"/>
      <c r="I550" s="200"/>
      <c r="J550" s="187"/>
      <c r="K550" s="189"/>
      <c r="L550" s="187"/>
      <c r="M550" s="187"/>
      <c r="N550" s="190"/>
      <c r="O550" s="196"/>
      <c r="P550" s="192"/>
    </row>
    <row r="551" ht="15.75" customHeight="1">
      <c r="A551" s="186"/>
      <c r="B551" s="197"/>
      <c r="C551" s="198"/>
      <c r="D551" s="199"/>
      <c r="E551" s="200"/>
      <c r="F551" s="201"/>
      <c r="G551" s="201"/>
      <c r="H551" s="199"/>
      <c r="I551" s="200"/>
      <c r="J551" s="187"/>
      <c r="K551" s="189"/>
      <c r="L551" s="187"/>
      <c r="M551" s="187"/>
      <c r="N551" s="190"/>
      <c r="O551" s="196"/>
      <c r="P551" s="192"/>
    </row>
    <row r="552" ht="15.75" customHeight="1">
      <c r="A552" s="186"/>
      <c r="B552" s="197"/>
      <c r="C552" s="198"/>
      <c r="D552" s="199"/>
      <c r="E552" s="200"/>
      <c r="F552" s="201"/>
      <c r="G552" s="201"/>
      <c r="H552" s="199"/>
      <c r="I552" s="200"/>
      <c r="J552" s="187"/>
      <c r="K552" s="189"/>
      <c r="L552" s="187"/>
      <c r="M552" s="187"/>
      <c r="N552" s="190"/>
      <c r="O552" s="196"/>
      <c r="P552" s="192"/>
    </row>
    <row r="553" ht="15.75" customHeight="1">
      <c r="A553" s="186"/>
      <c r="B553" s="197"/>
      <c r="C553" s="198"/>
      <c r="D553" s="199"/>
      <c r="E553" s="200"/>
      <c r="F553" s="201"/>
      <c r="G553" s="201"/>
      <c r="H553" s="199"/>
      <c r="I553" s="200"/>
      <c r="J553" s="187"/>
      <c r="K553" s="189"/>
      <c r="L553" s="187"/>
      <c r="M553" s="187"/>
      <c r="N553" s="190"/>
      <c r="O553" s="196"/>
      <c r="P553" s="192"/>
    </row>
    <row r="554" ht="15.75" customHeight="1">
      <c r="A554" s="186"/>
      <c r="B554" s="197"/>
      <c r="C554" s="198"/>
      <c r="D554" s="199"/>
      <c r="E554" s="200"/>
      <c r="F554" s="201"/>
      <c r="G554" s="201"/>
      <c r="H554" s="199"/>
      <c r="I554" s="200"/>
      <c r="J554" s="187"/>
      <c r="K554" s="189"/>
      <c r="L554" s="187"/>
      <c r="M554" s="187"/>
      <c r="N554" s="190"/>
      <c r="O554" s="196"/>
      <c r="P554" s="192"/>
    </row>
    <row r="555" ht="15.75" customHeight="1">
      <c r="A555" s="186"/>
      <c r="B555" s="197"/>
      <c r="C555" s="198"/>
      <c r="D555" s="199"/>
      <c r="E555" s="200"/>
      <c r="F555" s="201"/>
      <c r="G555" s="201"/>
      <c r="H555" s="199"/>
      <c r="I555" s="200"/>
      <c r="J555" s="187"/>
      <c r="K555" s="189"/>
      <c r="L555" s="187"/>
      <c r="M555" s="187"/>
      <c r="N555" s="190"/>
      <c r="O555" s="196"/>
      <c r="P555" s="192"/>
    </row>
    <row r="556" ht="15.75" customHeight="1">
      <c r="A556" s="186"/>
      <c r="B556" s="197"/>
      <c r="C556" s="198"/>
      <c r="D556" s="199"/>
      <c r="E556" s="200"/>
      <c r="F556" s="201"/>
      <c r="G556" s="201"/>
      <c r="H556" s="199"/>
      <c r="I556" s="200"/>
      <c r="J556" s="187"/>
      <c r="K556" s="189"/>
      <c r="L556" s="187"/>
      <c r="M556" s="187"/>
      <c r="N556" s="190"/>
      <c r="O556" s="196"/>
      <c r="P556" s="192"/>
    </row>
    <row r="557" ht="15.75" customHeight="1">
      <c r="A557" s="186"/>
      <c r="B557" s="197"/>
      <c r="C557" s="198"/>
      <c r="D557" s="199"/>
      <c r="E557" s="200"/>
      <c r="F557" s="201"/>
      <c r="G557" s="201"/>
      <c r="H557" s="199"/>
      <c r="I557" s="200"/>
      <c r="J557" s="187"/>
      <c r="K557" s="189"/>
      <c r="L557" s="187"/>
      <c r="M557" s="187"/>
      <c r="N557" s="190"/>
      <c r="O557" s="196"/>
      <c r="P557" s="192"/>
    </row>
    <row r="558" ht="15.75" customHeight="1">
      <c r="A558" s="186"/>
      <c r="B558" s="197"/>
      <c r="C558" s="198"/>
      <c r="D558" s="199"/>
      <c r="E558" s="200"/>
      <c r="F558" s="201"/>
      <c r="G558" s="201"/>
      <c r="H558" s="199"/>
      <c r="I558" s="200"/>
      <c r="J558" s="187"/>
      <c r="K558" s="189"/>
      <c r="L558" s="187"/>
      <c r="M558" s="187"/>
      <c r="N558" s="190"/>
      <c r="O558" s="196"/>
      <c r="P558" s="192"/>
    </row>
    <row r="559" ht="15.75" customHeight="1">
      <c r="A559" s="186"/>
      <c r="B559" s="197"/>
      <c r="C559" s="198"/>
      <c r="D559" s="199"/>
      <c r="E559" s="200"/>
      <c r="F559" s="201"/>
      <c r="G559" s="201"/>
      <c r="H559" s="199"/>
      <c r="I559" s="200"/>
      <c r="J559" s="187"/>
      <c r="K559" s="189"/>
      <c r="L559" s="187"/>
      <c r="M559" s="187"/>
      <c r="N559" s="190"/>
      <c r="O559" s="196"/>
      <c r="P559" s="192"/>
    </row>
    <row r="560" ht="15.75" customHeight="1">
      <c r="A560" s="186"/>
      <c r="B560" s="197"/>
      <c r="C560" s="198"/>
      <c r="D560" s="199"/>
      <c r="E560" s="200"/>
      <c r="F560" s="201"/>
      <c r="G560" s="201"/>
      <c r="H560" s="199"/>
      <c r="I560" s="200"/>
      <c r="J560" s="187"/>
      <c r="K560" s="189"/>
      <c r="L560" s="187"/>
      <c r="M560" s="187"/>
      <c r="N560" s="190"/>
      <c r="O560" s="196"/>
      <c r="P560" s="192"/>
    </row>
    <row r="561" ht="15.75" customHeight="1">
      <c r="A561" s="186"/>
      <c r="B561" s="197"/>
      <c r="C561" s="198"/>
      <c r="D561" s="199"/>
      <c r="E561" s="200"/>
      <c r="F561" s="201"/>
      <c r="G561" s="201"/>
      <c r="H561" s="199"/>
      <c r="I561" s="200"/>
      <c r="J561" s="187"/>
      <c r="K561" s="189"/>
      <c r="L561" s="187"/>
      <c r="M561" s="187"/>
      <c r="N561" s="190"/>
      <c r="O561" s="196"/>
      <c r="P561" s="192"/>
    </row>
    <row r="562" ht="15.75" customHeight="1">
      <c r="A562" s="186"/>
      <c r="B562" s="197"/>
      <c r="C562" s="198"/>
      <c r="D562" s="199"/>
      <c r="E562" s="200"/>
      <c r="F562" s="201"/>
      <c r="G562" s="201"/>
      <c r="H562" s="199"/>
      <c r="I562" s="200"/>
      <c r="J562" s="187"/>
      <c r="K562" s="189"/>
      <c r="L562" s="187"/>
      <c r="M562" s="187"/>
      <c r="N562" s="190"/>
      <c r="O562" s="196"/>
      <c r="P562" s="192"/>
    </row>
    <row r="563" ht="15.75" customHeight="1">
      <c r="A563" s="186"/>
      <c r="B563" s="197"/>
      <c r="C563" s="198"/>
      <c r="D563" s="199"/>
      <c r="E563" s="200"/>
      <c r="F563" s="201"/>
      <c r="G563" s="201"/>
      <c r="H563" s="199"/>
      <c r="I563" s="200"/>
      <c r="J563" s="187"/>
      <c r="K563" s="189"/>
      <c r="L563" s="187"/>
      <c r="M563" s="187"/>
      <c r="N563" s="190"/>
      <c r="O563" s="196"/>
      <c r="P563" s="192"/>
    </row>
    <row r="564" ht="15.75" customHeight="1">
      <c r="A564" s="186"/>
      <c r="B564" s="197"/>
      <c r="C564" s="198"/>
      <c r="D564" s="199"/>
      <c r="E564" s="200"/>
      <c r="F564" s="201"/>
      <c r="G564" s="201"/>
      <c r="H564" s="199"/>
      <c r="I564" s="200"/>
      <c r="J564" s="187"/>
      <c r="K564" s="189"/>
      <c r="L564" s="187"/>
      <c r="M564" s="187"/>
      <c r="N564" s="190"/>
      <c r="O564" s="196"/>
      <c r="P564" s="192"/>
    </row>
    <row r="565" ht="15.75" customHeight="1">
      <c r="A565" s="186"/>
      <c r="B565" s="197"/>
      <c r="C565" s="198"/>
      <c r="D565" s="199"/>
      <c r="E565" s="200"/>
      <c r="F565" s="201"/>
      <c r="G565" s="201"/>
      <c r="H565" s="199"/>
      <c r="I565" s="200"/>
      <c r="J565" s="187"/>
      <c r="K565" s="189"/>
      <c r="L565" s="187"/>
      <c r="M565" s="187"/>
      <c r="N565" s="190"/>
      <c r="O565" s="196"/>
      <c r="P565" s="192"/>
    </row>
    <row r="566" ht="15.75" customHeight="1">
      <c r="A566" s="186"/>
      <c r="B566" s="197"/>
      <c r="C566" s="198"/>
      <c r="D566" s="199"/>
      <c r="E566" s="200"/>
      <c r="F566" s="201"/>
      <c r="G566" s="201"/>
      <c r="H566" s="199"/>
      <c r="I566" s="200"/>
      <c r="J566" s="187"/>
      <c r="K566" s="189"/>
      <c r="L566" s="187"/>
      <c r="M566" s="187"/>
      <c r="N566" s="190"/>
      <c r="O566" s="196"/>
      <c r="P566" s="192"/>
    </row>
    <row r="567" ht="15.75" customHeight="1">
      <c r="A567" s="186"/>
      <c r="B567" s="197"/>
      <c r="C567" s="198"/>
      <c r="D567" s="199"/>
      <c r="E567" s="200"/>
      <c r="F567" s="201"/>
      <c r="G567" s="201"/>
      <c r="H567" s="199"/>
      <c r="I567" s="200"/>
      <c r="J567" s="187"/>
      <c r="K567" s="189"/>
      <c r="L567" s="187"/>
      <c r="M567" s="187"/>
      <c r="N567" s="190"/>
      <c r="O567" s="196"/>
      <c r="P567" s="192"/>
    </row>
    <row r="568" ht="15.75" customHeight="1">
      <c r="A568" s="186"/>
      <c r="B568" s="197"/>
      <c r="C568" s="198"/>
      <c r="D568" s="199"/>
      <c r="E568" s="200"/>
      <c r="F568" s="201"/>
      <c r="G568" s="201"/>
      <c r="H568" s="199"/>
      <c r="I568" s="200"/>
      <c r="J568" s="187"/>
      <c r="K568" s="189"/>
      <c r="L568" s="187"/>
      <c r="M568" s="187"/>
      <c r="N568" s="190"/>
      <c r="O568" s="196"/>
      <c r="P568" s="192"/>
    </row>
    <row r="569" ht="15.75" customHeight="1">
      <c r="A569" s="186"/>
      <c r="B569" s="197"/>
      <c r="C569" s="198"/>
      <c r="D569" s="199"/>
      <c r="E569" s="200"/>
      <c r="F569" s="201"/>
      <c r="G569" s="201"/>
      <c r="H569" s="199"/>
      <c r="I569" s="200"/>
      <c r="J569" s="187"/>
      <c r="K569" s="189"/>
      <c r="L569" s="187"/>
      <c r="M569" s="187"/>
      <c r="N569" s="190"/>
      <c r="O569" s="196"/>
      <c r="P569" s="192"/>
    </row>
    <row r="570" ht="15.75" customHeight="1">
      <c r="A570" s="186"/>
      <c r="B570" s="197"/>
      <c r="C570" s="198"/>
      <c r="D570" s="199"/>
      <c r="E570" s="200"/>
      <c r="F570" s="201"/>
      <c r="G570" s="201"/>
      <c r="H570" s="199"/>
      <c r="I570" s="200"/>
      <c r="J570" s="187"/>
      <c r="K570" s="189"/>
      <c r="L570" s="187"/>
      <c r="M570" s="187"/>
      <c r="N570" s="190"/>
      <c r="O570" s="196"/>
      <c r="P570" s="192"/>
    </row>
    <row r="571" ht="15.75" customHeight="1">
      <c r="A571" s="186"/>
      <c r="B571" s="197"/>
      <c r="C571" s="198"/>
      <c r="D571" s="199"/>
      <c r="E571" s="200"/>
      <c r="F571" s="201"/>
      <c r="G571" s="201"/>
      <c r="H571" s="199"/>
      <c r="I571" s="200"/>
      <c r="J571" s="187"/>
      <c r="K571" s="189"/>
      <c r="L571" s="187"/>
      <c r="M571" s="187"/>
      <c r="N571" s="190"/>
      <c r="O571" s="196"/>
      <c r="P571" s="192"/>
    </row>
    <row r="572" ht="15.75" customHeight="1">
      <c r="A572" s="186"/>
      <c r="B572" s="197"/>
      <c r="C572" s="198"/>
      <c r="D572" s="199"/>
      <c r="E572" s="200"/>
      <c r="F572" s="201"/>
      <c r="G572" s="201"/>
      <c r="H572" s="199"/>
      <c r="I572" s="200"/>
      <c r="J572" s="187"/>
      <c r="K572" s="189"/>
      <c r="L572" s="187"/>
      <c r="M572" s="187"/>
      <c r="N572" s="190"/>
      <c r="O572" s="196"/>
      <c r="P572" s="192"/>
    </row>
    <row r="573" ht="15.75" customHeight="1">
      <c r="A573" s="186"/>
      <c r="B573" s="197"/>
      <c r="C573" s="198"/>
      <c r="D573" s="199"/>
      <c r="E573" s="200"/>
      <c r="F573" s="201"/>
      <c r="G573" s="201"/>
      <c r="H573" s="199"/>
      <c r="I573" s="200"/>
      <c r="J573" s="187"/>
      <c r="K573" s="189"/>
      <c r="L573" s="187"/>
      <c r="M573" s="187"/>
      <c r="N573" s="190"/>
      <c r="O573" s="196"/>
      <c r="P573" s="192"/>
    </row>
    <row r="574" ht="15.75" customHeight="1">
      <c r="A574" s="186"/>
      <c r="B574" s="197"/>
      <c r="C574" s="198"/>
      <c r="D574" s="199"/>
      <c r="E574" s="200"/>
      <c r="F574" s="201"/>
      <c r="G574" s="201"/>
      <c r="H574" s="199"/>
      <c r="I574" s="200"/>
      <c r="J574" s="187"/>
      <c r="K574" s="189"/>
      <c r="L574" s="187"/>
      <c r="M574" s="187"/>
      <c r="N574" s="190"/>
      <c r="O574" s="196"/>
      <c r="P574" s="192"/>
    </row>
    <row r="575" ht="15.75" customHeight="1">
      <c r="A575" s="186"/>
      <c r="B575" s="197"/>
      <c r="C575" s="198"/>
      <c r="D575" s="199"/>
      <c r="E575" s="200"/>
      <c r="F575" s="201"/>
      <c r="G575" s="201"/>
      <c r="H575" s="199"/>
      <c r="I575" s="200"/>
      <c r="J575" s="187"/>
      <c r="K575" s="189"/>
      <c r="L575" s="187"/>
      <c r="M575" s="187"/>
      <c r="N575" s="190"/>
      <c r="O575" s="196"/>
      <c r="P575" s="192"/>
    </row>
    <row r="576" ht="15.75" customHeight="1">
      <c r="A576" s="186"/>
      <c r="B576" s="197"/>
      <c r="C576" s="198"/>
      <c r="D576" s="199"/>
      <c r="E576" s="200"/>
      <c r="F576" s="201"/>
      <c r="G576" s="201"/>
      <c r="H576" s="199"/>
      <c r="I576" s="200"/>
      <c r="J576" s="187"/>
      <c r="K576" s="189"/>
      <c r="L576" s="187"/>
      <c r="M576" s="187"/>
      <c r="N576" s="190"/>
      <c r="O576" s="196"/>
      <c r="P576" s="192"/>
    </row>
    <row r="577" ht="15.75" customHeight="1">
      <c r="A577" s="186"/>
      <c r="B577" s="197"/>
      <c r="C577" s="198"/>
      <c r="D577" s="199"/>
      <c r="E577" s="200"/>
      <c r="F577" s="201"/>
      <c r="G577" s="201"/>
      <c r="H577" s="199"/>
      <c r="I577" s="200"/>
      <c r="J577" s="187"/>
      <c r="K577" s="189"/>
      <c r="L577" s="187"/>
      <c r="M577" s="187"/>
      <c r="N577" s="190"/>
      <c r="O577" s="196"/>
      <c r="P577" s="192"/>
    </row>
    <row r="578" ht="15.75" customHeight="1">
      <c r="A578" s="186"/>
      <c r="B578" s="197"/>
      <c r="C578" s="198"/>
      <c r="D578" s="199"/>
      <c r="E578" s="200"/>
      <c r="F578" s="201"/>
      <c r="G578" s="201"/>
      <c r="H578" s="199"/>
      <c r="I578" s="200"/>
      <c r="J578" s="187"/>
      <c r="K578" s="189"/>
      <c r="L578" s="187"/>
      <c r="M578" s="187"/>
      <c r="N578" s="190"/>
      <c r="O578" s="196"/>
      <c r="P578" s="192"/>
    </row>
    <row r="579" ht="15.75" customHeight="1">
      <c r="A579" s="186"/>
      <c r="B579" s="197"/>
      <c r="C579" s="198"/>
      <c r="D579" s="199"/>
      <c r="E579" s="200"/>
      <c r="F579" s="201"/>
      <c r="G579" s="201"/>
      <c r="H579" s="199"/>
      <c r="I579" s="200"/>
      <c r="J579" s="187"/>
      <c r="K579" s="189"/>
      <c r="L579" s="187"/>
      <c r="M579" s="187"/>
      <c r="N579" s="190"/>
      <c r="O579" s="196"/>
      <c r="P579" s="192"/>
    </row>
    <row r="580" ht="15.75" customHeight="1">
      <c r="A580" s="186"/>
      <c r="B580" s="197"/>
      <c r="C580" s="198"/>
      <c r="D580" s="199"/>
      <c r="E580" s="200"/>
      <c r="F580" s="201"/>
      <c r="G580" s="201"/>
      <c r="H580" s="199"/>
      <c r="I580" s="200"/>
      <c r="J580" s="187"/>
      <c r="K580" s="189"/>
      <c r="L580" s="187"/>
      <c r="M580" s="187"/>
      <c r="N580" s="190"/>
      <c r="O580" s="196"/>
      <c r="P580" s="192"/>
    </row>
    <row r="581" ht="15.75" customHeight="1">
      <c r="A581" s="186"/>
      <c r="B581" s="197"/>
      <c r="C581" s="198"/>
      <c r="D581" s="199"/>
      <c r="E581" s="200"/>
      <c r="F581" s="201"/>
      <c r="G581" s="201"/>
      <c r="H581" s="199"/>
      <c r="I581" s="200"/>
      <c r="J581" s="187"/>
      <c r="K581" s="189"/>
      <c r="L581" s="187"/>
      <c r="M581" s="187"/>
      <c r="N581" s="190"/>
      <c r="O581" s="196"/>
      <c r="P581" s="192"/>
    </row>
    <row r="582" ht="15.75" customHeight="1">
      <c r="A582" s="186"/>
      <c r="B582" s="197"/>
      <c r="C582" s="198"/>
      <c r="D582" s="199"/>
      <c r="E582" s="200"/>
      <c r="F582" s="201"/>
      <c r="G582" s="201"/>
      <c r="H582" s="199"/>
      <c r="I582" s="200"/>
      <c r="J582" s="187"/>
      <c r="K582" s="189"/>
      <c r="L582" s="187"/>
      <c r="M582" s="187"/>
      <c r="N582" s="190"/>
      <c r="O582" s="196"/>
      <c r="P582" s="192"/>
    </row>
    <row r="583" ht="15.75" customHeight="1">
      <c r="A583" s="186"/>
      <c r="B583" s="197"/>
      <c r="C583" s="198"/>
      <c r="D583" s="199"/>
      <c r="E583" s="200"/>
      <c r="F583" s="201"/>
      <c r="G583" s="201"/>
      <c r="H583" s="199"/>
      <c r="I583" s="200"/>
      <c r="J583" s="187"/>
      <c r="K583" s="189"/>
      <c r="L583" s="187"/>
      <c r="M583" s="187"/>
      <c r="N583" s="190"/>
      <c r="O583" s="196"/>
      <c r="P583" s="192"/>
    </row>
    <row r="584" ht="15.75" customHeight="1">
      <c r="A584" s="186"/>
      <c r="B584" s="197"/>
      <c r="C584" s="198"/>
      <c r="D584" s="199"/>
      <c r="E584" s="200"/>
      <c r="F584" s="201"/>
      <c r="G584" s="201"/>
      <c r="H584" s="199"/>
      <c r="I584" s="200"/>
      <c r="J584" s="187"/>
      <c r="K584" s="189"/>
      <c r="L584" s="187"/>
      <c r="M584" s="187"/>
      <c r="N584" s="190"/>
      <c r="O584" s="196"/>
      <c r="P584" s="192"/>
    </row>
    <row r="585" ht="15.75" customHeight="1">
      <c r="A585" s="186"/>
      <c r="B585" s="197"/>
      <c r="C585" s="198"/>
      <c r="D585" s="199"/>
      <c r="E585" s="200"/>
      <c r="F585" s="201"/>
      <c r="G585" s="201"/>
      <c r="H585" s="199"/>
      <c r="I585" s="200"/>
      <c r="J585" s="187"/>
      <c r="K585" s="189"/>
      <c r="L585" s="187"/>
      <c r="M585" s="187"/>
      <c r="N585" s="190"/>
      <c r="O585" s="196"/>
      <c r="P585" s="192"/>
    </row>
    <row r="586" ht="15.75" customHeight="1">
      <c r="A586" s="186"/>
      <c r="B586" s="197"/>
      <c r="C586" s="198"/>
      <c r="D586" s="199"/>
      <c r="E586" s="200"/>
      <c r="F586" s="201"/>
      <c r="G586" s="201"/>
      <c r="H586" s="199"/>
      <c r="I586" s="200"/>
      <c r="J586" s="187"/>
      <c r="K586" s="189"/>
      <c r="L586" s="187"/>
      <c r="M586" s="187"/>
      <c r="N586" s="190"/>
      <c r="O586" s="196"/>
      <c r="P586" s="192"/>
    </row>
    <row r="587" ht="15.75" customHeight="1">
      <c r="A587" s="186"/>
      <c r="B587" s="197"/>
      <c r="C587" s="198"/>
      <c r="D587" s="199"/>
      <c r="E587" s="200"/>
      <c r="F587" s="201"/>
      <c r="G587" s="201"/>
      <c r="H587" s="199"/>
      <c r="I587" s="200"/>
      <c r="J587" s="187"/>
      <c r="K587" s="189"/>
      <c r="L587" s="187"/>
      <c r="M587" s="187"/>
      <c r="N587" s="190"/>
      <c r="O587" s="196"/>
      <c r="P587" s="192"/>
    </row>
    <row r="588" ht="15.75" customHeight="1">
      <c r="A588" s="186"/>
      <c r="B588" s="197"/>
      <c r="C588" s="198"/>
      <c r="D588" s="199"/>
      <c r="E588" s="200"/>
      <c r="F588" s="201"/>
      <c r="G588" s="201"/>
      <c r="H588" s="199"/>
      <c r="I588" s="200"/>
      <c r="J588" s="187"/>
      <c r="K588" s="189"/>
      <c r="L588" s="187"/>
      <c r="M588" s="187"/>
      <c r="N588" s="190"/>
      <c r="O588" s="196"/>
      <c r="P588" s="192"/>
    </row>
    <row r="589" ht="15.75" customHeight="1">
      <c r="A589" s="186"/>
      <c r="B589" s="197"/>
      <c r="C589" s="198"/>
      <c r="D589" s="199"/>
      <c r="E589" s="200"/>
      <c r="F589" s="201"/>
      <c r="G589" s="201"/>
      <c r="H589" s="199"/>
      <c r="I589" s="200"/>
      <c r="J589" s="187"/>
      <c r="K589" s="189"/>
      <c r="L589" s="187"/>
      <c r="M589" s="187"/>
      <c r="N589" s="190"/>
      <c r="O589" s="196"/>
      <c r="P589" s="192"/>
    </row>
    <row r="590" ht="15.75" customHeight="1">
      <c r="A590" s="186"/>
      <c r="B590" s="197"/>
      <c r="C590" s="198"/>
      <c r="D590" s="199"/>
      <c r="E590" s="200"/>
      <c r="F590" s="201"/>
      <c r="G590" s="201"/>
      <c r="H590" s="199"/>
      <c r="I590" s="200"/>
      <c r="J590" s="187"/>
      <c r="K590" s="189"/>
      <c r="L590" s="187"/>
      <c r="M590" s="187"/>
      <c r="N590" s="190"/>
      <c r="O590" s="196"/>
      <c r="P590" s="192"/>
    </row>
    <row r="591" ht="15.75" customHeight="1">
      <c r="A591" s="186"/>
      <c r="B591" s="197"/>
      <c r="C591" s="198"/>
      <c r="D591" s="199"/>
      <c r="E591" s="200"/>
      <c r="F591" s="201"/>
      <c r="G591" s="201"/>
      <c r="H591" s="199"/>
      <c r="I591" s="200"/>
      <c r="J591" s="187"/>
      <c r="K591" s="189"/>
      <c r="L591" s="187"/>
      <c r="M591" s="187"/>
      <c r="N591" s="190"/>
      <c r="O591" s="196"/>
      <c r="P591" s="192"/>
    </row>
    <row r="592" ht="15.75" customHeight="1">
      <c r="A592" s="186"/>
      <c r="B592" s="197"/>
      <c r="C592" s="198"/>
      <c r="D592" s="199"/>
      <c r="E592" s="200"/>
      <c r="F592" s="201"/>
      <c r="G592" s="201"/>
      <c r="H592" s="199"/>
      <c r="I592" s="200"/>
      <c r="J592" s="187"/>
      <c r="K592" s="189"/>
      <c r="L592" s="187"/>
      <c r="M592" s="187"/>
      <c r="N592" s="190"/>
      <c r="O592" s="196"/>
      <c r="P592" s="192"/>
    </row>
    <row r="593" ht="15.75" customHeight="1">
      <c r="A593" s="186"/>
      <c r="B593" s="197"/>
      <c r="C593" s="198"/>
      <c r="D593" s="199"/>
      <c r="E593" s="200"/>
      <c r="F593" s="201"/>
      <c r="G593" s="201"/>
      <c r="H593" s="199"/>
      <c r="I593" s="200"/>
      <c r="J593" s="187"/>
      <c r="K593" s="189"/>
      <c r="L593" s="187"/>
      <c r="M593" s="187"/>
      <c r="N593" s="190"/>
      <c r="O593" s="196"/>
      <c r="P593" s="192"/>
    </row>
    <row r="594" ht="15.75" customHeight="1">
      <c r="A594" s="186"/>
      <c r="B594" s="197"/>
      <c r="C594" s="198"/>
      <c r="D594" s="199"/>
      <c r="E594" s="200"/>
      <c r="F594" s="201"/>
      <c r="G594" s="201"/>
      <c r="H594" s="199"/>
      <c r="I594" s="200"/>
      <c r="J594" s="187"/>
      <c r="K594" s="189"/>
      <c r="L594" s="187"/>
      <c r="M594" s="187"/>
      <c r="N594" s="190"/>
      <c r="O594" s="196"/>
      <c r="P594" s="192"/>
    </row>
    <row r="595" ht="15.75" customHeight="1">
      <c r="A595" s="186"/>
      <c r="B595" s="197"/>
      <c r="C595" s="198"/>
      <c r="D595" s="199"/>
      <c r="E595" s="200"/>
      <c r="F595" s="201"/>
      <c r="G595" s="201"/>
      <c r="H595" s="199"/>
      <c r="I595" s="200"/>
      <c r="J595" s="187"/>
      <c r="K595" s="189"/>
      <c r="L595" s="187"/>
      <c r="M595" s="187"/>
      <c r="N595" s="190"/>
      <c r="O595" s="196"/>
      <c r="P595" s="192"/>
    </row>
    <row r="596" ht="15.75" customHeight="1">
      <c r="A596" s="186"/>
      <c r="B596" s="197"/>
      <c r="C596" s="198"/>
      <c r="D596" s="199"/>
      <c r="E596" s="200"/>
      <c r="F596" s="201"/>
      <c r="G596" s="201"/>
      <c r="H596" s="199"/>
      <c r="I596" s="200"/>
      <c r="J596" s="187"/>
      <c r="K596" s="189"/>
      <c r="L596" s="187"/>
      <c r="M596" s="187"/>
      <c r="N596" s="190"/>
      <c r="O596" s="196"/>
      <c r="P596" s="192"/>
    </row>
    <row r="597" ht="15.75" customHeight="1">
      <c r="A597" s="186"/>
      <c r="B597" s="197"/>
      <c r="C597" s="198"/>
      <c r="D597" s="199"/>
      <c r="E597" s="200"/>
      <c r="F597" s="201"/>
      <c r="G597" s="201"/>
      <c r="H597" s="199"/>
      <c r="I597" s="200"/>
      <c r="J597" s="187"/>
      <c r="K597" s="189"/>
      <c r="L597" s="187"/>
      <c r="M597" s="187"/>
      <c r="N597" s="190"/>
      <c r="O597" s="196"/>
      <c r="P597" s="192"/>
    </row>
    <row r="598" ht="15.75" customHeight="1">
      <c r="A598" s="186"/>
      <c r="B598" s="197"/>
      <c r="C598" s="198"/>
      <c r="D598" s="199"/>
      <c r="E598" s="200"/>
      <c r="F598" s="201"/>
      <c r="G598" s="201"/>
      <c r="H598" s="199"/>
      <c r="I598" s="200"/>
      <c r="J598" s="187"/>
      <c r="K598" s="189"/>
      <c r="L598" s="187"/>
      <c r="M598" s="187"/>
      <c r="N598" s="190"/>
      <c r="O598" s="196"/>
      <c r="P598" s="192"/>
    </row>
    <row r="599" ht="15.75" customHeight="1">
      <c r="A599" s="186"/>
      <c r="B599" s="197"/>
      <c r="C599" s="198"/>
      <c r="D599" s="199"/>
      <c r="E599" s="200"/>
      <c r="F599" s="201"/>
      <c r="G599" s="201"/>
      <c r="H599" s="199"/>
      <c r="I599" s="200"/>
      <c r="J599" s="187"/>
      <c r="K599" s="189"/>
      <c r="L599" s="187"/>
      <c r="M599" s="187"/>
      <c r="N599" s="190"/>
      <c r="O599" s="196"/>
      <c r="P599" s="192"/>
    </row>
    <row r="600" ht="15.75" customHeight="1">
      <c r="A600" s="186"/>
      <c r="B600" s="197"/>
      <c r="C600" s="198"/>
      <c r="D600" s="199"/>
      <c r="E600" s="200"/>
      <c r="F600" s="201"/>
      <c r="G600" s="201"/>
      <c r="H600" s="199"/>
      <c r="I600" s="200"/>
      <c r="J600" s="187"/>
      <c r="K600" s="189"/>
      <c r="L600" s="187"/>
      <c r="M600" s="187"/>
      <c r="N600" s="190"/>
      <c r="O600" s="196"/>
      <c r="P600" s="192"/>
    </row>
    <row r="601" ht="15.75" customHeight="1">
      <c r="A601" s="186"/>
      <c r="B601" s="197"/>
      <c r="C601" s="198"/>
      <c r="D601" s="199"/>
      <c r="E601" s="200"/>
      <c r="F601" s="201"/>
      <c r="G601" s="201"/>
      <c r="H601" s="199"/>
      <c r="I601" s="200"/>
      <c r="J601" s="187"/>
      <c r="K601" s="189"/>
      <c r="L601" s="187"/>
      <c r="M601" s="187"/>
      <c r="N601" s="190"/>
      <c r="O601" s="196"/>
      <c r="P601" s="192"/>
    </row>
    <row r="602" ht="15.75" customHeight="1">
      <c r="A602" s="186"/>
      <c r="B602" s="197"/>
      <c r="C602" s="198"/>
      <c r="D602" s="199"/>
      <c r="E602" s="200"/>
      <c r="F602" s="201"/>
      <c r="G602" s="201"/>
      <c r="H602" s="199"/>
      <c r="I602" s="200"/>
      <c r="J602" s="187"/>
      <c r="K602" s="189"/>
      <c r="L602" s="187"/>
      <c r="M602" s="187"/>
      <c r="N602" s="190"/>
      <c r="O602" s="196"/>
      <c r="P602" s="192"/>
    </row>
    <row r="603" ht="15.75" customHeight="1">
      <c r="A603" s="186"/>
      <c r="B603" s="197"/>
      <c r="C603" s="198"/>
      <c r="D603" s="199"/>
      <c r="E603" s="200"/>
      <c r="F603" s="201"/>
      <c r="G603" s="201"/>
      <c r="H603" s="199"/>
      <c r="I603" s="200"/>
      <c r="J603" s="187"/>
      <c r="K603" s="189"/>
      <c r="L603" s="187"/>
      <c r="M603" s="187"/>
      <c r="N603" s="190"/>
      <c r="O603" s="196"/>
      <c r="P603" s="192"/>
    </row>
    <row r="604" ht="15.75" customHeight="1">
      <c r="A604" s="186"/>
      <c r="B604" s="197"/>
      <c r="C604" s="198"/>
      <c r="D604" s="199"/>
      <c r="E604" s="200"/>
      <c r="F604" s="201"/>
      <c r="G604" s="201"/>
      <c r="H604" s="199"/>
      <c r="I604" s="200"/>
      <c r="J604" s="187"/>
      <c r="K604" s="189"/>
      <c r="L604" s="187"/>
      <c r="M604" s="187"/>
      <c r="N604" s="190"/>
      <c r="O604" s="196"/>
      <c r="P604" s="192"/>
    </row>
    <row r="605" ht="15.75" customHeight="1">
      <c r="A605" s="186"/>
      <c r="B605" s="197"/>
      <c r="C605" s="198"/>
      <c r="D605" s="199"/>
      <c r="E605" s="200"/>
      <c r="F605" s="201"/>
      <c r="G605" s="201"/>
      <c r="H605" s="199"/>
      <c r="I605" s="200"/>
      <c r="J605" s="187"/>
      <c r="K605" s="189"/>
      <c r="L605" s="187"/>
      <c r="M605" s="187"/>
      <c r="N605" s="190"/>
      <c r="O605" s="196"/>
      <c r="P605" s="192"/>
    </row>
    <row r="606" ht="15.75" customHeight="1">
      <c r="A606" s="186"/>
      <c r="B606" s="197"/>
      <c r="C606" s="198"/>
      <c r="D606" s="199"/>
      <c r="E606" s="200"/>
      <c r="F606" s="201"/>
      <c r="G606" s="201"/>
      <c r="H606" s="199"/>
      <c r="I606" s="200"/>
      <c r="J606" s="187"/>
      <c r="K606" s="189"/>
      <c r="L606" s="187"/>
      <c r="M606" s="187"/>
      <c r="N606" s="190"/>
      <c r="O606" s="196"/>
      <c r="P606" s="192"/>
    </row>
    <row r="607" ht="15.75" customHeight="1">
      <c r="A607" s="186"/>
      <c r="B607" s="197"/>
      <c r="C607" s="198"/>
      <c r="D607" s="199"/>
      <c r="E607" s="200"/>
      <c r="F607" s="201"/>
      <c r="G607" s="201"/>
      <c r="H607" s="199"/>
      <c r="I607" s="200"/>
      <c r="J607" s="187"/>
      <c r="K607" s="189"/>
      <c r="L607" s="187"/>
      <c r="M607" s="187"/>
      <c r="N607" s="190"/>
      <c r="O607" s="196"/>
      <c r="P607" s="192"/>
    </row>
    <row r="608" ht="15.75" customHeight="1">
      <c r="A608" s="186"/>
      <c r="B608" s="197"/>
      <c r="C608" s="198"/>
      <c r="D608" s="199"/>
      <c r="E608" s="200"/>
      <c r="F608" s="201"/>
      <c r="G608" s="201"/>
      <c r="H608" s="199"/>
      <c r="I608" s="200"/>
      <c r="J608" s="187"/>
      <c r="K608" s="189"/>
      <c r="L608" s="187"/>
      <c r="M608" s="187"/>
      <c r="N608" s="190"/>
      <c r="O608" s="196"/>
      <c r="P608" s="192"/>
    </row>
    <row r="609" ht="15.75" customHeight="1">
      <c r="A609" s="186"/>
      <c r="B609" s="197"/>
      <c r="C609" s="198"/>
      <c r="D609" s="199"/>
      <c r="E609" s="200"/>
      <c r="F609" s="201"/>
      <c r="G609" s="201"/>
      <c r="H609" s="199"/>
      <c r="I609" s="200"/>
      <c r="J609" s="187"/>
      <c r="K609" s="189"/>
      <c r="L609" s="187"/>
      <c r="M609" s="187"/>
      <c r="N609" s="190"/>
      <c r="O609" s="196"/>
      <c r="P609" s="192"/>
    </row>
    <row r="610" ht="15.75" customHeight="1">
      <c r="A610" s="186"/>
      <c r="B610" s="197"/>
      <c r="C610" s="198"/>
      <c r="D610" s="199"/>
      <c r="E610" s="200"/>
      <c r="F610" s="201"/>
      <c r="G610" s="201"/>
      <c r="H610" s="199"/>
      <c r="I610" s="200"/>
      <c r="J610" s="187"/>
      <c r="K610" s="189"/>
      <c r="L610" s="187"/>
      <c r="M610" s="187"/>
      <c r="N610" s="190"/>
      <c r="O610" s="196"/>
      <c r="P610" s="192"/>
    </row>
    <row r="611" ht="15.75" customHeight="1">
      <c r="A611" s="186"/>
      <c r="B611" s="197"/>
      <c r="C611" s="198"/>
      <c r="D611" s="199"/>
      <c r="E611" s="200"/>
      <c r="F611" s="201"/>
      <c r="G611" s="201"/>
      <c r="H611" s="199"/>
      <c r="I611" s="200"/>
      <c r="J611" s="187"/>
      <c r="K611" s="189"/>
      <c r="L611" s="187"/>
      <c r="M611" s="187"/>
      <c r="N611" s="190"/>
      <c r="O611" s="196"/>
      <c r="P611" s="192"/>
    </row>
    <row r="612" ht="15.75" customHeight="1">
      <c r="A612" s="186"/>
      <c r="B612" s="197"/>
      <c r="C612" s="198"/>
      <c r="D612" s="199"/>
      <c r="E612" s="200"/>
      <c r="F612" s="201"/>
      <c r="G612" s="201"/>
      <c r="H612" s="199"/>
      <c r="I612" s="200"/>
      <c r="J612" s="187"/>
      <c r="K612" s="189"/>
      <c r="L612" s="187"/>
      <c r="M612" s="187"/>
      <c r="N612" s="190"/>
      <c r="O612" s="196"/>
      <c r="P612" s="192"/>
    </row>
    <row r="613" ht="15.75" customHeight="1">
      <c r="A613" s="186"/>
      <c r="B613" s="197"/>
      <c r="C613" s="198"/>
      <c r="D613" s="199"/>
      <c r="E613" s="200"/>
      <c r="F613" s="201"/>
      <c r="G613" s="201"/>
      <c r="H613" s="199"/>
      <c r="I613" s="200"/>
      <c r="J613" s="187"/>
      <c r="K613" s="189"/>
      <c r="L613" s="187"/>
      <c r="M613" s="187"/>
      <c r="N613" s="190"/>
      <c r="O613" s="196"/>
      <c r="P613" s="192"/>
    </row>
    <row r="614" ht="15.75" customHeight="1">
      <c r="A614" s="186"/>
      <c r="B614" s="197"/>
      <c r="C614" s="198"/>
      <c r="D614" s="199"/>
      <c r="E614" s="200"/>
      <c r="F614" s="201"/>
      <c r="G614" s="201"/>
      <c r="H614" s="199"/>
      <c r="I614" s="200"/>
      <c r="J614" s="187"/>
      <c r="K614" s="189"/>
      <c r="L614" s="187"/>
      <c r="M614" s="187"/>
      <c r="N614" s="190"/>
      <c r="O614" s="196"/>
      <c r="P614" s="192"/>
    </row>
    <row r="615" ht="15.75" customHeight="1">
      <c r="A615" s="186"/>
      <c r="B615" s="197"/>
      <c r="C615" s="198"/>
      <c r="D615" s="199"/>
      <c r="E615" s="200"/>
      <c r="F615" s="201"/>
      <c r="G615" s="201"/>
      <c r="H615" s="199"/>
      <c r="I615" s="200"/>
      <c r="J615" s="187"/>
      <c r="K615" s="189"/>
      <c r="L615" s="187"/>
      <c r="M615" s="187"/>
      <c r="N615" s="190"/>
      <c r="O615" s="196"/>
      <c r="P615" s="192"/>
    </row>
    <row r="616" ht="15.75" customHeight="1">
      <c r="A616" s="186"/>
      <c r="B616" s="197"/>
      <c r="C616" s="198"/>
      <c r="D616" s="199"/>
      <c r="E616" s="200"/>
      <c r="F616" s="201"/>
      <c r="G616" s="201"/>
      <c r="H616" s="199"/>
      <c r="I616" s="200"/>
      <c r="J616" s="187"/>
      <c r="K616" s="189"/>
      <c r="L616" s="187"/>
      <c r="M616" s="187"/>
      <c r="N616" s="190"/>
      <c r="O616" s="196"/>
      <c r="P616" s="192"/>
    </row>
    <row r="617" ht="15.75" customHeight="1">
      <c r="A617" s="186"/>
      <c r="B617" s="197"/>
      <c r="C617" s="198"/>
      <c r="D617" s="199"/>
      <c r="E617" s="200"/>
      <c r="F617" s="201"/>
      <c r="G617" s="201"/>
      <c r="H617" s="199"/>
      <c r="I617" s="200"/>
      <c r="J617" s="187"/>
      <c r="K617" s="189"/>
      <c r="L617" s="187"/>
      <c r="M617" s="187"/>
      <c r="N617" s="190"/>
      <c r="O617" s="196"/>
      <c r="P617" s="192"/>
    </row>
    <row r="618" ht="15.75" customHeight="1">
      <c r="A618" s="186"/>
      <c r="B618" s="197"/>
      <c r="C618" s="198"/>
      <c r="D618" s="199"/>
      <c r="E618" s="200"/>
      <c r="F618" s="201"/>
      <c r="G618" s="201"/>
      <c r="H618" s="199"/>
      <c r="I618" s="200"/>
      <c r="J618" s="187"/>
      <c r="K618" s="189"/>
      <c r="L618" s="187"/>
      <c r="M618" s="187"/>
      <c r="N618" s="190"/>
      <c r="O618" s="196"/>
      <c r="P618" s="192"/>
    </row>
    <row r="619" ht="15.75" customHeight="1">
      <c r="A619" s="186"/>
      <c r="B619" s="197"/>
      <c r="C619" s="198"/>
      <c r="D619" s="199"/>
      <c r="E619" s="200"/>
      <c r="F619" s="201"/>
      <c r="G619" s="201"/>
      <c r="H619" s="199"/>
      <c r="I619" s="200"/>
      <c r="J619" s="187"/>
      <c r="K619" s="189"/>
      <c r="L619" s="187"/>
      <c r="M619" s="187"/>
      <c r="N619" s="190"/>
      <c r="O619" s="196"/>
      <c r="P619" s="192"/>
    </row>
    <row r="620" ht="15.75" customHeight="1">
      <c r="A620" s="186"/>
      <c r="B620" s="197"/>
      <c r="C620" s="198"/>
      <c r="D620" s="199"/>
      <c r="E620" s="200"/>
      <c r="F620" s="201"/>
      <c r="G620" s="201"/>
      <c r="H620" s="199"/>
      <c r="I620" s="200"/>
      <c r="J620" s="187"/>
      <c r="K620" s="189"/>
      <c r="L620" s="187"/>
      <c r="M620" s="187"/>
      <c r="N620" s="190"/>
      <c r="O620" s="196"/>
      <c r="P620" s="192"/>
    </row>
    <row r="621" ht="15.75" customHeight="1">
      <c r="A621" s="186"/>
      <c r="B621" s="197"/>
      <c r="C621" s="198"/>
      <c r="D621" s="199"/>
      <c r="E621" s="200"/>
      <c r="F621" s="201"/>
      <c r="G621" s="201"/>
      <c r="H621" s="199"/>
      <c r="I621" s="200"/>
      <c r="J621" s="187"/>
      <c r="K621" s="189"/>
      <c r="L621" s="187"/>
      <c r="M621" s="187"/>
      <c r="N621" s="190"/>
      <c r="O621" s="196"/>
      <c r="P621" s="192"/>
    </row>
    <row r="622" ht="15.75" customHeight="1">
      <c r="A622" s="186"/>
      <c r="B622" s="197"/>
      <c r="C622" s="198"/>
      <c r="D622" s="199"/>
      <c r="E622" s="200"/>
      <c r="F622" s="201"/>
      <c r="G622" s="201"/>
      <c r="H622" s="199"/>
      <c r="I622" s="200"/>
      <c r="J622" s="187"/>
      <c r="K622" s="189"/>
      <c r="L622" s="187"/>
      <c r="M622" s="187"/>
      <c r="N622" s="190"/>
      <c r="O622" s="196"/>
      <c r="P622" s="192"/>
    </row>
    <row r="623" ht="15.75" customHeight="1">
      <c r="A623" s="186"/>
      <c r="B623" s="197"/>
      <c r="C623" s="198"/>
      <c r="D623" s="199"/>
      <c r="E623" s="200"/>
      <c r="F623" s="201"/>
      <c r="G623" s="201"/>
      <c r="H623" s="199"/>
      <c r="I623" s="200"/>
      <c r="J623" s="187"/>
      <c r="K623" s="189"/>
      <c r="L623" s="187"/>
      <c r="M623" s="187"/>
      <c r="N623" s="190"/>
      <c r="O623" s="196"/>
      <c r="P623" s="192"/>
    </row>
    <row r="624" ht="15.75" customHeight="1">
      <c r="A624" s="186"/>
      <c r="B624" s="197"/>
      <c r="C624" s="198"/>
      <c r="D624" s="199"/>
      <c r="E624" s="200"/>
      <c r="F624" s="201"/>
      <c r="G624" s="201"/>
      <c r="H624" s="199"/>
      <c r="I624" s="200"/>
      <c r="J624" s="187"/>
      <c r="K624" s="189"/>
      <c r="L624" s="187"/>
      <c r="M624" s="187"/>
      <c r="N624" s="190"/>
      <c r="O624" s="196"/>
      <c r="P624" s="192"/>
    </row>
    <row r="625" ht="15.75" customHeight="1">
      <c r="A625" s="186"/>
      <c r="B625" s="197"/>
      <c r="C625" s="198"/>
      <c r="D625" s="199"/>
      <c r="E625" s="200"/>
      <c r="F625" s="201"/>
      <c r="G625" s="201"/>
      <c r="H625" s="199"/>
      <c r="I625" s="200"/>
      <c r="J625" s="187"/>
      <c r="K625" s="189"/>
      <c r="L625" s="187"/>
      <c r="M625" s="187"/>
      <c r="N625" s="190"/>
      <c r="O625" s="196"/>
      <c r="P625" s="192"/>
    </row>
    <row r="626" ht="15.75" customHeight="1">
      <c r="A626" s="186"/>
      <c r="B626" s="197"/>
      <c r="C626" s="198"/>
      <c r="D626" s="199"/>
      <c r="E626" s="200"/>
      <c r="F626" s="201"/>
      <c r="G626" s="201"/>
      <c r="H626" s="199"/>
      <c r="I626" s="200"/>
      <c r="J626" s="187"/>
      <c r="K626" s="189"/>
      <c r="L626" s="187"/>
      <c r="M626" s="187"/>
      <c r="N626" s="190"/>
      <c r="O626" s="196"/>
      <c r="P626" s="192"/>
    </row>
    <row r="627" ht="15.75" customHeight="1">
      <c r="A627" s="186"/>
      <c r="B627" s="197"/>
      <c r="C627" s="198"/>
      <c r="D627" s="199"/>
      <c r="E627" s="200"/>
      <c r="F627" s="201"/>
      <c r="G627" s="201"/>
      <c r="H627" s="199"/>
      <c r="I627" s="200"/>
      <c r="J627" s="187"/>
      <c r="K627" s="189"/>
      <c r="L627" s="187"/>
      <c r="M627" s="187"/>
      <c r="N627" s="190"/>
      <c r="O627" s="196"/>
      <c r="P627" s="192"/>
    </row>
    <row r="628" ht="15.75" customHeight="1">
      <c r="A628" s="186"/>
      <c r="B628" s="197"/>
      <c r="C628" s="198"/>
      <c r="D628" s="199"/>
      <c r="E628" s="200"/>
      <c r="F628" s="201"/>
      <c r="G628" s="201"/>
      <c r="H628" s="199"/>
      <c r="I628" s="200"/>
      <c r="J628" s="187"/>
      <c r="K628" s="189"/>
      <c r="L628" s="187"/>
      <c r="M628" s="187"/>
      <c r="N628" s="190"/>
      <c r="O628" s="196"/>
      <c r="P628" s="192"/>
    </row>
    <row r="629" ht="15.75" customHeight="1">
      <c r="A629" s="186"/>
      <c r="B629" s="197"/>
      <c r="C629" s="198"/>
      <c r="D629" s="199"/>
      <c r="E629" s="200"/>
      <c r="F629" s="201"/>
      <c r="G629" s="201"/>
      <c r="H629" s="199"/>
      <c r="I629" s="200"/>
      <c r="J629" s="187"/>
      <c r="K629" s="189"/>
      <c r="L629" s="187"/>
      <c r="M629" s="187"/>
      <c r="N629" s="190"/>
      <c r="O629" s="196"/>
      <c r="P629" s="192"/>
    </row>
    <row r="630" ht="15.75" customHeight="1">
      <c r="A630" s="186"/>
      <c r="B630" s="197"/>
      <c r="C630" s="198"/>
      <c r="D630" s="199"/>
      <c r="E630" s="200"/>
      <c r="F630" s="201"/>
      <c r="G630" s="201"/>
      <c r="H630" s="199"/>
      <c r="I630" s="200"/>
      <c r="J630" s="187"/>
      <c r="K630" s="189"/>
      <c r="L630" s="187"/>
      <c r="M630" s="187"/>
      <c r="N630" s="190"/>
      <c r="O630" s="196"/>
      <c r="P630" s="192"/>
    </row>
    <row r="631" ht="15.75" customHeight="1">
      <c r="A631" s="186"/>
      <c r="B631" s="197"/>
      <c r="C631" s="198"/>
      <c r="D631" s="199"/>
      <c r="E631" s="200"/>
      <c r="F631" s="201"/>
      <c r="G631" s="201"/>
      <c r="H631" s="199"/>
      <c r="I631" s="200"/>
      <c r="J631" s="187"/>
      <c r="K631" s="189"/>
      <c r="L631" s="187"/>
      <c r="M631" s="187"/>
      <c r="N631" s="190"/>
      <c r="O631" s="196"/>
      <c r="P631" s="192"/>
    </row>
    <row r="632" ht="15.75" customHeight="1">
      <c r="A632" s="186"/>
      <c r="B632" s="197"/>
      <c r="C632" s="198"/>
      <c r="D632" s="199"/>
      <c r="E632" s="200"/>
      <c r="F632" s="201"/>
      <c r="G632" s="201"/>
      <c r="H632" s="199"/>
      <c r="I632" s="200"/>
      <c r="J632" s="187"/>
      <c r="K632" s="189"/>
      <c r="L632" s="187"/>
      <c r="M632" s="187"/>
      <c r="N632" s="190"/>
      <c r="O632" s="196"/>
      <c r="P632" s="192"/>
    </row>
    <row r="633" ht="15.75" customHeight="1">
      <c r="A633" s="186"/>
      <c r="B633" s="197"/>
      <c r="C633" s="198"/>
      <c r="D633" s="199"/>
      <c r="E633" s="200"/>
      <c r="F633" s="201"/>
      <c r="G633" s="201"/>
      <c r="H633" s="199"/>
      <c r="I633" s="200"/>
      <c r="J633" s="187"/>
      <c r="K633" s="189"/>
      <c r="L633" s="187"/>
      <c r="M633" s="187"/>
      <c r="N633" s="190"/>
      <c r="O633" s="196"/>
      <c r="P633" s="192"/>
    </row>
    <row r="634" ht="15.75" customHeight="1">
      <c r="A634" s="186"/>
      <c r="B634" s="197"/>
      <c r="C634" s="198"/>
      <c r="D634" s="199"/>
      <c r="E634" s="200"/>
      <c r="F634" s="201"/>
      <c r="G634" s="201"/>
      <c r="H634" s="199"/>
      <c r="I634" s="200"/>
      <c r="J634" s="187"/>
      <c r="K634" s="189"/>
      <c r="L634" s="187"/>
      <c r="M634" s="187"/>
      <c r="N634" s="190"/>
      <c r="O634" s="196"/>
      <c r="P634" s="192"/>
    </row>
    <row r="635" ht="15.75" customHeight="1">
      <c r="A635" s="186"/>
      <c r="B635" s="197"/>
      <c r="C635" s="198"/>
      <c r="D635" s="199"/>
      <c r="E635" s="200"/>
      <c r="F635" s="201"/>
      <c r="G635" s="201"/>
      <c r="H635" s="199"/>
      <c r="I635" s="200"/>
      <c r="J635" s="187"/>
      <c r="K635" s="189"/>
      <c r="L635" s="187"/>
      <c r="M635" s="187"/>
      <c r="N635" s="190"/>
      <c r="O635" s="196"/>
      <c r="P635" s="192"/>
    </row>
    <row r="636" ht="15.75" customHeight="1">
      <c r="A636" s="186"/>
      <c r="B636" s="197"/>
      <c r="C636" s="198"/>
      <c r="D636" s="199"/>
      <c r="E636" s="200"/>
      <c r="F636" s="201"/>
      <c r="G636" s="201"/>
      <c r="H636" s="199"/>
      <c r="I636" s="200"/>
      <c r="J636" s="187"/>
      <c r="K636" s="189"/>
      <c r="L636" s="187"/>
      <c r="M636" s="187"/>
      <c r="N636" s="190"/>
      <c r="O636" s="196"/>
      <c r="P636" s="192"/>
    </row>
    <row r="637" ht="15.75" customHeight="1">
      <c r="A637" s="186"/>
      <c r="B637" s="197"/>
      <c r="C637" s="198"/>
      <c r="D637" s="199"/>
      <c r="E637" s="200"/>
      <c r="F637" s="201"/>
      <c r="G637" s="201"/>
      <c r="H637" s="199"/>
      <c r="I637" s="200"/>
      <c r="J637" s="187"/>
      <c r="K637" s="189"/>
      <c r="L637" s="187"/>
      <c r="M637" s="187"/>
      <c r="N637" s="190"/>
      <c r="O637" s="196"/>
      <c r="P637" s="192"/>
    </row>
    <row r="638" ht="15.75" customHeight="1">
      <c r="A638" s="186"/>
      <c r="B638" s="197"/>
      <c r="C638" s="198"/>
      <c r="D638" s="199"/>
      <c r="E638" s="200"/>
      <c r="F638" s="201"/>
      <c r="G638" s="201"/>
      <c r="H638" s="199"/>
      <c r="I638" s="200"/>
      <c r="J638" s="187"/>
      <c r="K638" s="189"/>
      <c r="L638" s="187"/>
      <c r="M638" s="187"/>
      <c r="N638" s="190"/>
      <c r="O638" s="196"/>
      <c r="P638" s="192"/>
    </row>
    <row r="639" ht="15.75" customHeight="1">
      <c r="A639" s="186"/>
      <c r="B639" s="197"/>
      <c r="C639" s="198"/>
      <c r="D639" s="199"/>
      <c r="E639" s="200"/>
      <c r="F639" s="201"/>
      <c r="G639" s="201"/>
      <c r="H639" s="199"/>
      <c r="I639" s="200"/>
      <c r="J639" s="187"/>
      <c r="K639" s="189"/>
      <c r="L639" s="187"/>
      <c r="M639" s="187"/>
      <c r="N639" s="190"/>
      <c r="O639" s="196"/>
      <c r="P639" s="192"/>
    </row>
    <row r="640" ht="15.75" customHeight="1">
      <c r="A640" s="186"/>
      <c r="B640" s="197"/>
      <c r="C640" s="198"/>
      <c r="D640" s="199"/>
      <c r="E640" s="200"/>
      <c r="F640" s="201"/>
      <c r="G640" s="201"/>
      <c r="H640" s="199"/>
      <c r="I640" s="200"/>
      <c r="J640" s="187"/>
      <c r="K640" s="189"/>
      <c r="L640" s="187"/>
      <c r="M640" s="187"/>
      <c r="N640" s="190"/>
      <c r="O640" s="196"/>
      <c r="P640" s="192"/>
    </row>
    <row r="641" ht="15.75" customHeight="1">
      <c r="A641" s="186"/>
      <c r="B641" s="197"/>
      <c r="C641" s="198"/>
      <c r="D641" s="199"/>
      <c r="E641" s="200"/>
      <c r="F641" s="201"/>
      <c r="G641" s="201"/>
      <c r="H641" s="199"/>
      <c r="I641" s="200"/>
      <c r="J641" s="187"/>
      <c r="K641" s="189"/>
      <c r="L641" s="187"/>
      <c r="M641" s="187"/>
      <c r="N641" s="190"/>
      <c r="O641" s="196"/>
      <c r="P641" s="192"/>
    </row>
    <row r="642" ht="15.75" customHeight="1">
      <c r="A642" s="186"/>
      <c r="B642" s="197"/>
      <c r="C642" s="198"/>
      <c r="D642" s="199"/>
      <c r="E642" s="200"/>
      <c r="F642" s="201"/>
      <c r="G642" s="201"/>
      <c r="H642" s="199"/>
      <c r="I642" s="200"/>
      <c r="J642" s="187"/>
      <c r="K642" s="189"/>
      <c r="L642" s="187"/>
      <c r="M642" s="187"/>
      <c r="N642" s="190"/>
      <c r="O642" s="196"/>
      <c r="P642" s="192"/>
    </row>
    <row r="643" ht="15.75" customHeight="1">
      <c r="A643" s="186"/>
      <c r="B643" s="197"/>
      <c r="C643" s="198"/>
      <c r="D643" s="199"/>
      <c r="E643" s="200"/>
      <c r="F643" s="201"/>
      <c r="G643" s="201"/>
      <c r="H643" s="199"/>
      <c r="I643" s="200"/>
      <c r="J643" s="187"/>
      <c r="K643" s="189"/>
      <c r="L643" s="187"/>
      <c r="M643" s="187"/>
      <c r="N643" s="190"/>
      <c r="O643" s="196"/>
      <c r="P643" s="192"/>
    </row>
    <row r="644" ht="15.75" customHeight="1">
      <c r="A644" s="186"/>
      <c r="B644" s="197"/>
      <c r="C644" s="198"/>
      <c r="D644" s="199"/>
      <c r="E644" s="200"/>
      <c r="F644" s="201"/>
      <c r="G644" s="201"/>
      <c r="H644" s="199"/>
      <c r="I644" s="200"/>
      <c r="J644" s="187"/>
      <c r="K644" s="189"/>
      <c r="L644" s="187"/>
      <c r="M644" s="187"/>
      <c r="N644" s="190"/>
      <c r="O644" s="196"/>
      <c r="P644" s="192"/>
    </row>
    <row r="645" ht="15.75" customHeight="1">
      <c r="A645" s="186"/>
      <c r="B645" s="197"/>
      <c r="C645" s="198"/>
      <c r="D645" s="199"/>
      <c r="E645" s="200"/>
      <c r="F645" s="201"/>
      <c r="G645" s="201"/>
      <c r="H645" s="199"/>
      <c r="I645" s="200"/>
      <c r="J645" s="187"/>
      <c r="K645" s="189"/>
      <c r="L645" s="187"/>
      <c r="M645" s="187"/>
      <c r="N645" s="190"/>
      <c r="O645" s="196"/>
      <c r="P645" s="192"/>
    </row>
    <row r="646" ht="15.75" customHeight="1">
      <c r="A646" s="186"/>
      <c r="B646" s="197"/>
      <c r="C646" s="198"/>
      <c r="D646" s="199"/>
      <c r="E646" s="200"/>
      <c r="F646" s="201"/>
      <c r="G646" s="201"/>
      <c r="H646" s="199"/>
      <c r="I646" s="200"/>
      <c r="J646" s="187"/>
      <c r="K646" s="189"/>
      <c r="L646" s="187"/>
      <c r="M646" s="187"/>
      <c r="N646" s="190"/>
      <c r="O646" s="196"/>
      <c r="P646" s="192"/>
    </row>
    <row r="647" ht="15.75" customHeight="1">
      <c r="A647" s="186"/>
      <c r="B647" s="197"/>
      <c r="C647" s="198"/>
      <c r="D647" s="199"/>
      <c r="E647" s="200"/>
      <c r="F647" s="201"/>
      <c r="G647" s="201"/>
      <c r="H647" s="199"/>
      <c r="I647" s="200"/>
      <c r="J647" s="187"/>
      <c r="K647" s="189"/>
      <c r="L647" s="187"/>
      <c r="M647" s="187"/>
      <c r="N647" s="190"/>
      <c r="O647" s="196"/>
      <c r="P647" s="192"/>
    </row>
    <row r="648" ht="15.75" customHeight="1">
      <c r="A648" s="186"/>
      <c r="B648" s="197"/>
      <c r="C648" s="198"/>
      <c r="D648" s="199"/>
      <c r="E648" s="200"/>
      <c r="F648" s="201"/>
      <c r="G648" s="201"/>
      <c r="H648" s="199"/>
      <c r="I648" s="200"/>
      <c r="J648" s="187"/>
      <c r="K648" s="189"/>
      <c r="L648" s="187"/>
      <c r="M648" s="187"/>
      <c r="N648" s="190"/>
      <c r="O648" s="196"/>
      <c r="P648" s="192"/>
    </row>
    <row r="649" ht="15.75" customHeight="1">
      <c r="A649" s="186"/>
      <c r="B649" s="197"/>
      <c r="C649" s="198"/>
      <c r="D649" s="199"/>
      <c r="E649" s="200"/>
      <c r="F649" s="201"/>
      <c r="G649" s="201"/>
      <c r="H649" s="199"/>
      <c r="I649" s="200"/>
      <c r="J649" s="187"/>
      <c r="K649" s="189"/>
      <c r="L649" s="187"/>
      <c r="M649" s="187"/>
      <c r="N649" s="190"/>
      <c r="O649" s="196"/>
      <c r="P649" s="192"/>
    </row>
    <row r="650" ht="15.75" customHeight="1">
      <c r="A650" s="186"/>
      <c r="B650" s="197"/>
      <c r="C650" s="198"/>
      <c r="D650" s="199"/>
      <c r="E650" s="200"/>
      <c r="F650" s="201"/>
      <c r="G650" s="201"/>
      <c r="H650" s="199"/>
      <c r="I650" s="200"/>
      <c r="J650" s="187"/>
      <c r="K650" s="189"/>
      <c r="L650" s="187"/>
      <c r="M650" s="187"/>
      <c r="N650" s="190"/>
      <c r="O650" s="196"/>
      <c r="P650" s="192"/>
    </row>
    <row r="651" ht="15.75" customHeight="1">
      <c r="A651" s="186"/>
      <c r="B651" s="197"/>
      <c r="C651" s="198"/>
      <c r="D651" s="199"/>
      <c r="E651" s="200"/>
      <c r="F651" s="201"/>
      <c r="G651" s="201"/>
      <c r="H651" s="199"/>
      <c r="I651" s="200"/>
      <c r="J651" s="187"/>
      <c r="K651" s="189"/>
      <c r="L651" s="187"/>
      <c r="M651" s="187"/>
      <c r="N651" s="190"/>
      <c r="O651" s="196"/>
      <c r="P651" s="192"/>
    </row>
    <row r="652" ht="15.75" customHeight="1">
      <c r="A652" s="186"/>
      <c r="B652" s="197"/>
      <c r="C652" s="198"/>
      <c r="D652" s="199"/>
      <c r="E652" s="200"/>
      <c r="F652" s="201"/>
      <c r="G652" s="201"/>
      <c r="H652" s="199"/>
      <c r="I652" s="200"/>
      <c r="J652" s="187"/>
      <c r="K652" s="189"/>
      <c r="L652" s="187"/>
      <c r="M652" s="187"/>
      <c r="N652" s="190"/>
      <c r="O652" s="196"/>
      <c r="P652" s="192"/>
    </row>
    <row r="653" ht="15.75" customHeight="1">
      <c r="A653" s="186"/>
      <c r="B653" s="197"/>
      <c r="C653" s="198"/>
      <c r="D653" s="199"/>
      <c r="E653" s="200"/>
      <c r="F653" s="201"/>
      <c r="G653" s="201"/>
      <c r="H653" s="199"/>
      <c r="I653" s="200"/>
      <c r="J653" s="187"/>
      <c r="K653" s="189"/>
      <c r="L653" s="187"/>
      <c r="M653" s="187"/>
      <c r="N653" s="190"/>
      <c r="O653" s="196"/>
      <c r="P653" s="192"/>
    </row>
    <row r="654" ht="15.75" customHeight="1">
      <c r="A654" s="186"/>
      <c r="B654" s="197"/>
      <c r="C654" s="198"/>
      <c r="D654" s="199"/>
      <c r="E654" s="200"/>
      <c r="F654" s="201"/>
      <c r="G654" s="201"/>
      <c r="H654" s="199"/>
      <c r="I654" s="200"/>
      <c r="J654" s="187"/>
      <c r="K654" s="189"/>
      <c r="L654" s="187"/>
      <c r="M654" s="187"/>
      <c r="N654" s="190"/>
      <c r="O654" s="196"/>
      <c r="P654" s="192"/>
    </row>
    <row r="655" ht="15.75" customHeight="1">
      <c r="A655" s="186"/>
      <c r="B655" s="197"/>
      <c r="C655" s="198"/>
      <c r="D655" s="199"/>
      <c r="E655" s="200"/>
      <c r="F655" s="201"/>
      <c r="G655" s="201"/>
      <c r="H655" s="199"/>
      <c r="I655" s="200"/>
      <c r="J655" s="187"/>
      <c r="K655" s="189"/>
      <c r="L655" s="187"/>
      <c r="M655" s="187"/>
      <c r="N655" s="190"/>
      <c r="O655" s="196"/>
      <c r="P655" s="192"/>
    </row>
    <row r="656" ht="15.75" customHeight="1">
      <c r="A656" s="186"/>
      <c r="B656" s="197"/>
      <c r="C656" s="198"/>
      <c r="D656" s="199"/>
      <c r="E656" s="200"/>
      <c r="F656" s="201"/>
      <c r="G656" s="201"/>
      <c r="H656" s="199"/>
      <c r="I656" s="200"/>
      <c r="J656" s="187"/>
      <c r="K656" s="189"/>
      <c r="L656" s="187"/>
      <c r="M656" s="187"/>
      <c r="N656" s="190"/>
      <c r="O656" s="196"/>
      <c r="P656" s="192"/>
    </row>
    <row r="657" ht="15.75" customHeight="1">
      <c r="A657" s="186"/>
      <c r="B657" s="197"/>
      <c r="C657" s="198"/>
      <c r="D657" s="199"/>
      <c r="E657" s="200"/>
      <c r="F657" s="201"/>
      <c r="G657" s="201"/>
      <c r="H657" s="199"/>
      <c r="I657" s="200"/>
      <c r="J657" s="187"/>
      <c r="K657" s="189"/>
      <c r="L657" s="187"/>
      <c r="M657" s="187"/>
      <c r="N657" s="190"/>
      <c r="O657" s="196"/>
      <c r="P657" s="192"/>
    </row>
    <row r="658" ht="15.75" customHeight="1">
      <c r="A658" s="186"/>
      <c r="B658" s="197"/>
      <c r="C658" s="198"/>
      <c r="D658" s="199"/>
      <c r="E658" s="200"/>
      <c r="F658" s="201"/>
      <c r="G658" s="201"/>
      <c r="H658" s="199"/>
      <c r="I658" s="200"/>
      <c r="J658" s="187"/>
      <c r="K658" s="189"/>
      <c r="L658" s="187"/>
      <c r="M658" s="187"/>
      <c r="N658" s="190"/>
      <c r="O658" s="196"/>
      <c r="P658" s="192"/>
    </row>
    <row r="659" ht="15.75" customHeight="1">
      <c r="A659" s="186"/>
      <c r="B659" s="197"/>
      <c r="C659" s="198"/>
      <c r="D659" s="199"/>
      <c r="E659" s="200"/>
      <c r="F659" s="201"/>
      <c r="G659" s="201"/>
      <c r="H659" s="199"/>
      <c r="I659" s="200"/>
      <c r="J659" s="187"/>
      <c r="K659" s="189"/>
      <c r="L659" s="187"/>
      <c r="M659" s="187"/>
      <c r="N659" s="190"/>
      <c r="O659" s="196"/>
      <c r="P659" s="192"/>
    </row>
    <row r="660" ht="15.75" customHeight="1">
      <c r="A660" s="186"/>
      <c r="B660" s="197"/>
      <c r="C660" s="198"/>
      <c r="D660" s="199"/>
      <c r="E660" s="200"/>
      <c r="F660" s="201"/>
      <c r="G660" s="201"/>
      <c r="H660" s="199"/>
      <c r="I660" s="200"/>
      <c r="J660" s="187"/>
      <c r="K660" s="189"/>
      <c r="L660" s="187"/>
      <c r="M660" s="187"/>
      <c r="N660" s="190"/>
      <c r="O660" s="196"/>
      <c r="P660" s="192"/>
    </row>
    <row r="661" ht="15.75" customHeight="1">
      <c r="A661" s="186"/>
      <c r="B661" s="197"/>
      <c r="C661" s="198"/>
      <c r="D661" s="199"/>
      <c r="E661" s="200"/>
      <c r="F661" s="201"/>
      <c r="G661" s="201"/>
      <c r="H661" s="199"/>
      <c r="I661" s="200"/>
      <c r="J661" s="187"/>
      <c r="K661" s="189"/>
      <c r="L661" s="187"/>
      <c r="M661" s="187"/>
      <c r="N661" s="190"/>
      <c r="O661" s="196"/>
      <c r="P661" s="192"/>
    </row>
    <row r="662" ht="15.75" customHeight="1">
      <c r="A662" s="186"/>
      <c r="B662" s="197"/>
      <c r="C662" s="198"/>
      <c r="D662" s="199"/>
      <c r="E662" s="200"/>
      <c r="F662" s="201"/>
      <c r="G662" s="201"/>
      <c r="H662" s="199"/>
      <c r="I662" s="200"/>
      <c r="J662" s="187"/>
      <c r="K662" s="189"/>
      <c r="L662" s="187"/>
      <c r="M662" s="187"/>
      <c r="N662" s="190"/>
      <c r="O662" s="196"/>
      <c r="P662" s="192"/>
    </row>
    <row r="663" ht="15.75" customHeight="1">
      <c r="A663" s="186"/>
      <c r="B663" s="197"/>
      <c r="C663" s="198"/>
      <c r="D663" s="199"/>
      <c r="E663" s="200"/>
      <c r="F663" s="201"/>
      <c r="G663" s="201"/>
      <c r="H663" s="199"/>
      <c r="I663" s="200"/>
      <c r="J663" s="187"/>
      <c r="K663" s="189"/>
      <c r="L663" s="187"/>
      <c r="M663" s="187"/>
      <c r="N663" s="190"/>
      <c r="O663" s="196"/>
      <c r="P663" s="192"/>
    </row>
    <row r="664" ht="15.75" customHeight="1">
      <c r="A664" s="186"/>
      <c r="B664" s="197"/>
      <c r="C664" s="198"/>
      <c r="D664" s="199"/>
      <c r="E664" s="200"/>
      <c r="F664" s="201"/>
      <c r="G664" s="201"/>
      <c r="H664" s="199"/>
      <c r="I664" s="200"/>
      <c r="J664" s="187"/>
      <c r="K664" s="189"/>
      <c r="L664" s="187"/>
      <c r="M664" s="187"/>
      <c r="N664" s="190"/>
      <c r="O664" s="196"/>
      <c r="P664" s="192"/>
    </row>
    <row r="665" ht="15.75" customHeight="1">
      <c r="A665" s="186"/>
      <c r="B665" s="197"/>
      <c r="C665" s="198"/>
      <c r="D665" s="199"/>
      <c r="E665" s="200"/>
      <c r="F665" s="201"/>
      <c r="G665" s="201"/>
      <c r="H665" s="199"/>
      <c r="I665" s="200"/>
      <c r="J665" s="187"/>
      <c r="K665" s="189"/>
      <c r="L665" s="187"/>
      <c r="M665" s="187"/>
      <c r="N665" s="190"/>
      <c r="O665" s="196"/>
      <c r="P665" s="192"/>
    </row>
    <row r="666" ht="15.75" customHeight="1">
      <c r="A666" s="186"/>
      <c r="B666" s="197"/>
      <c r="C666" s="198"/>
      <c r="D666" s="199"/>
      <c r="E666" s="200"/>
      <c r="F666" s="201"/>
      <c r="G666" s="201"/>
      <c r="H666" s="199"/>
      <c r="I666" s="200"/>
      <c r="J666" s="187"/>
      <c r="K666" s="189"/>
      <c r="L666" s="187"/>
      <c r="M666" s="187"/>
      <c r="N666" s="190"/>
      <c r="O666" s="196"/>
      <c r="P666" s="192"/>
    </row>
    <row r="667" ht="15.75" customHeight="1">
      <c r="A667" s="186"/>
      <c r="B667" s="197"/>
      <c r="C667" s="198"/>
      <c r="D667" s="199"/>
      <c r="E667" s="200"/>
      <c r="F667" s="201"/>
      <c r="G667" s="201"/>
      <c r="H667" s="199"/>
      <c r="I667" s="200"/>
      <c r="J667" s="187"/>
      <c r="K667" s="189"/>
      <c r="L667" s="187"/>
      <c r="M667" s="187"/>
      <c r="N667" s="190"/>
      <c r="O667" s="196"/>
      <c r="P667" s="192"/>
    </row>
    <row r="668" ht="15.75" customHeight="1">
      <c r="A668" s="186"/>
      <c r="B668" s="197"/>
      <c r="C668" s="198"/>
      <c r="D668" s="199"/>
      <c r="E668" s="200"/>
      <c r="F668" s="201"/>
      <c r="G668" s="201"/>
      <c r="H668" s="199"/>
      <c r="I668" s="200"/>
      <c r="J668" s="187"/>
      <c r="K668" s="189"/>
      <c r="L668" s="187"/>
      <c r="M668" s="187"/>
      <c r="N668" s="190"/>
      <c r="O668" s="196"/>
      <c r="P668" s="192"/>
    </row>
    <row r="669" ht="15.75" customHeight="1">
      <c r="A669" s="186"/>
      <c r="B669" s="197"/>
      <c r="C669" s="198"/>
      <c r="D669" s="199"/>
      <c r="E669" s="200"/>
      <c r="F669" s="201"/>
      <c r="G669" s="201"/>
      <c r="H669" s="199"/>
      <c r="I669" s="200"/>
      <c r="J669" s="187"/>
      <c r="K669" s="189"/>
      <c r="L669" s="187"/>
      <c r="M669" s="187"/>
      <c r="N669" s="190"/>
      <c r="O669" s="196"/>
      <c r="P669" s="192"/>
    </row>
    <row r="670" ht="15.75" customHeight="1">
      <c r="A670" s="186"/>
      <c r="B670" s="197"/>
      <c r="C670" s="198"/>
      <c r="D670" s="199"/>
      <c r="E670" s="200"/>
      <c r="F670" s="201"/>
      <c r="G670" s="201"/>
      <c r="H670" s="199"/>
      <c r="I670" s="200"/>
      <c r="J670" s="187"/>
      <c r="K670" s="189"/>
      <c r="L670" s="187"/>
      <c r="M670" s="187"/>
      <c r="N670" s="190"/>
      <c r="O670" s="196"/>
      <c r="P670" s="192"/>
    </row>
    <row r="671" ht="15.75" customHeight="1">
      <c r="A671" s="186"/>
      <c r="B671" s="197"/>
      <c r="C671" s="198"/>
      <c r="D671" s="199"/>
      <c r="E671" s="200"/>
      <c r="F671" s="201"/>
      <c r="G671" s="201"/>
      <c r="H671" s="199"/>
      <c r="I671" s="200"/>
      <c r="J671" s="187"/>
      <c r="K671" s="189"/>
      <c r="L671" s="187"/>
      <c r="M671" s="187"/>
      <c r="N671" s="190"/>
      <c r="O671" s="196"/>
      <c r="P671" s="192"/>
    </row>
    <row r="672" ht="15.75" customHeight="1">
      <c r="A672" s="186"/>
      <c r="B672" s="197"/>
      <c r="C672" s="198"/>
      <c r="D672" s="199"/>
      <c r="E672" s="200"/>
      <c r="F672" s="201"/>
      <c r="G672" s="201"/>
      <c r="H672" s="199"/>
      <c r="I672" s="200"/>
      <c r="J672" s="187"/>
      <c r="K672" s="189"/>
      <c r="L672" s="187"/>
      <c r="M672" s="187"/>
      <c r="N672" s="190"/>
      <c r="O672" s="196"/>
      <c r="P672" s="192"/>
    </row>
    <row r="673" ht="15.75" customHeight="1">
      <c r="A673" s="186"/>
      <c r="B673" s="197"/>
      <c r="C673" s="198"/>
      <c r="D673" s="199"/>
      <c r="E673" s="200"/>
      <c r="F673" s="201"/>
      <c r="G673" s="201"/>
      <c r="H673" s="199"/>
      <c r="I673" s="200"/>
      <c r="J673" s="187"/>
      <c r="K673" s="189"/>
      <c r="L673" s="187"/>
      <c r="M673" s="187"/>
      <c r="N673" s="190"/>
      <c r="O673" s="196"/>
      <c r="P673" s="192"/>
    </row>
    <row r="674" ht="15.75" customHeight="1">
      <c r="A674" s="186"/>
      <c r="B674" s="197"/>
      <c r="C674" s="198"/>
      <c r="D674" s="199"/>
      <c r="E674" s="200"/>
      <c r="F674" s="201"/>
      <c r="G674" s="201"/>
      <c r="H674" s="199"/>
      <c r="I674" s="200"/>
      <c r="J674" s="187"/>
      <c r="K674" s="189"/>
      <c r="L674" s="187"/>
      <c r="M674" s="187"/>
      <c r="N674" s="190"/>
      <c r="O674" s="196"/>
      <c r="P674" s="192"/>
    </row>
    <row r="675" ht="15.75" customHeight="1">
      <c r="A675" s="186"/>
      <c r="B675" s="197"/>
      <c r="C675" s="198"/>
      <c r="D675" s="199"/>
      <c r="E675" s="200"/>
      <c r="F675" s="201"/>
      <c r="G675" s="201"/>
      <c r="H675" s="199"/>
      <c r="I675" s="200"/>
      <c r="J675" s="187"/>
      <c r="K675" s="189"/>
      <c r="L675" s="187"/>
      <c r="M675" s="187"/>
      <c r="N675" s="190"/>
      <c r="O675" s="196"/>
      <c r="P675" s="192"/>
    </row>
    <row r="676" ht="15.75" customHeight="1">
      <c r="A676" s="186"/>
      <c r="B676" s="197"/>
      <c r="C676" s="198"/>
      <c r="D676" s="199"/>
      <c r="E676" s="200"/>
      <c r="F676" s="201"/>
      <c r="G676" s="201"/>
      <c r="H676" s="199"/>
      <c r="I676" s="200"/>
      <c r="J676" s="187"/>
      <c r="K676" s="189"/>
      <c r="L676" s="187"/>
      <c r="M676" s="187"/>
      <c r="N676" s="190"/>
      <c r="O676" s="196"/>
      <c r="P676" s="192"/>
    </row>
    <row r="677" ht="15.75" customHeight="1">
      <c r="A677" s="186"/>
      <c r="B677" s="197"/>
      <c r="C677" s="198"/>
      <c r="D677" s="199"/>
      <c r="E677" s="200"/>
      <c r="F677" s="201"/>
      <c r="G677" s="201"/>
      <c r="H677" s="199"/>
      <c r="I677" s="200"/>
      <c r="J677" s="187"/>
      <c r="K677" s="189"/>
      <c r="L677" s="187"/>
      <c r="M677" s="187"/>
      <c r="N677" s="190"/>
      <c r="O677" s="196"/>
      <c r="P677" s="192"/>
    </row>
    <row r="678" ht="15.75" customHeight="1">
      <c r="A678" s="186"/>
      <c r="B678" s="197"/>
      <c r="C678" s="198"/>
      <c r="D678" s="199"/>
      <c r="E678" s="200"/>
      <c r="F678" s="201"/>
      <c r="G678" s="201"/>
      <c r="H678" s="199"/>
      <c r="I678" s="200"/>
      <c r="J678" s="187"/>
      <c r="K678" s="189"/>
      <c r="L678" s="187"/>
      <c r="M678" s="187"/>
      <c r="N678" s="190"/>
      <c r="O678" s="196"/>
      <c r="P678" s="192"/>
    </row>
    <row r="679" ht="15.75" customHeight="1">
      <c r="A679" s="186"/>
      <c r="B679" s="197"/>
      <c r="C679" s="198"/>
      <c r="D679" s="199"/>
      <c r="E679" s="200"/>
      <c r="F679" s="201"/>
      <c r="G679" s="201"/>
      <c r="H679" s="199"/>
      <c r="I679" s="200"/>
      <c r="J679" s="187"/>
      <c r="K679" s="189"/>
      <c r="L679" s="187"/>
      <c r="M679" s="187"/>
      <c r="N679" s="190"/>
      <c r="O679" s="196"/>
      <c r="P679" s="192"/>
    </row>
    <row r="680" ht="15.75" customHeight="1">
      <c r="A680" s="186"/>
      <c r="B680" s="197"/>
      <c r="C680" s="198"/>
      <c r="D680" s="199"/>
      <c r="E680" s="200"/>
      <c r="F680" s="201"/>
      <c r="G680" s="201"/>
      <c r="H680" s="199"/>
      <c r="I680" s="200"/>
      <c r="J680" s="187"/>
      <c r="K680" s="189"/>
      <c r="L680" s="187"/>
      <c r="M680" s="187"/>
      <c r="N680" s="190"/>
      <c r="O680" s="196"/>
      <c r="P680" s="192"/>
    </row>
    <row r="681" ht="15.75" customHeight="1">
      <c r="A681" s="186"/>
      <c r="B681" s="197"/>
      <c r="C681" s="198"/>
      <c r="D681" s="199"/>
      <c r="E681" s="200"/>
      <c r="F681" s="201"/>
      <c r="G681" s="201"/>
      <c r="H681" s="199"/>
      <c r="I681" s="200"/>
      <c r="J681" s="187"/>
      <c r="K681" s="189"/>
      <c r="L681" s="187"/>
      <c r="M681" s="187"/>
      <c r="N681" s="190"/>
      <c r="O681" s="196"/>
      <c r="P681" s="192"/>
    </row>
    <row r="682" ht="15.75" customHeight="1">
      <c r="A682" s="186"/>
      <c r="B682" s="197"/>
      <c r="C682" s="198"/>
      <c r="D682" s="199"/>
      <c r="E682" s="200"/>
      <c r="F682" s="201"/>
      <c r="G682" s="201"/>
      <c r="H682" s="199"/>
      <c r="I682" s="200"/>
      <c r="J682" s="187"/>
      <c r="K682" s="189"/>
      <c r="L682" s="187"/>
      <c r="M682" s="187"/>
      <c r="N682" s="190"/>
      <c r="O682" s="196"/>
      <c r="P682" s="192"/>
    </row>
    <row r="683" ht="15.75" customHeight="1">
      <c r="A683" s="186"/>
      <c r="B683" s="197"/>
      <c r="C683" s="198"/>
      <c r="D683" s="199"/>
      <c r="E683" s="200"/>
      <c r="F683" s="201"/>
      <c r="G683" s="201"/>
      <c r="H683" s="199"/>
      <c r="I683" s="200"/>
      <c r="J683" s="187"/>
      <c r="K683" s="189"/>
      <c r="L683" s="187"/>
      <c r="M683" s="187"/>
      <c r="N683" s="190"/>
      <c r="O683" s="196"/>
      <c r="P683" s="192"/>
    </row>
    <row r="684" ht="15.75" customHeight="1">
      <c r="A684" s="186"/>
      <c r="B684" s="197"/>
      <c r="C684" s="198"/>
      <c r="D684" s="199"/>
      <c r="E684" s="200"/>
      <c r="F684" s="201"/>
      <c r="G684" s="201"/>
      <c r="H684" s="199"/>
      <c r="I684" s="200"/>
      <c r="J684" s="187"/>
      <c r="K684" s="189"/>
      <c r="L684" s="187"/>
      <c r="M684" s="187"/>
      <c r="N684" s="190"/>
      <c r="O684" s="196"/>
      <c r="P684" s="192"/>
    </row>
    <row r="685" ht="15.75" customHeight="1">
      <c r="A685" s="186"/>
      <c r="B685" s="197"/>
      <c r="C685" s="198"/>
      <c r="D685" s="199"/>
      <c r="E685" s="200"/>
      <c r="F685" s="201"/>
      <c r="G685" s="201"/>
      <c r="H685" s="199"/>
      <c r="I685" s="200"/>
      <c r="J685" s="187"/>
      <c r="K685" s="189"/>
      <c r="L685" s="187"/>
      <c r="M685" s="187"/>
      <c r="N685" s="190"/>
      <c r="O685" s="196"/>
      <c r="P685" s="192"/>
    </row>
    <row r="686" ht="15.75" customHeight="1">
      <c r="A686" s="186"/>
      <c r="B686" s="197"/>
      <c r="C686" s="198"/>
      <c r="D686" s="199"/>
      <c r="E686" s="200"/>
      <c r="F686" s="201"/>
      <c r="G686" s="201"/>
      <c r="H686" s="199"/>
      <c r="I686" s="200"/>
      <c r="J686" s="187"/>
      <c r="K686" s="189"/>
      <c r="L686" s="187"/>
      <c r="M686" s="187"/>
      <c r="N686" s="190"/>
      <c r="O686" s="196"/>
      <c r="P686" s="192"/>
    </row>
    <row r="687" ht="15.75" customHeight="1">
      <c r="A687" s="186"/>
      <c r="B687" s="197"/>
      <c r="C687" s="198"/>
      <c r="D687" s="199"/>
      <c r="E687" s="200"/>
      <c r="F687" s="201"/>
      <c r="G687" s="201"/>
      <c r="H687" s="199"/>
      <c r="I687" s="200"/>
      <c r="J687" s="187"/>
      <c r="K687" s="189"/>
      <c r="L687" s="187"/>
      <c r="M687" s="187"/>
      <c r="N687" s="190"/>
      <c r="O687" s="196"/>
      <c r="P687" s="192"/>
    </row>
    <row r="688" ht="15.75" customHeight="1">
      <c r="A688" s="186"/>
      <c r="B688" s="197"/>
      <c r="C688" s="198"/>
      <c r="D688" s="199"/>
      <c r="E688" s="200"/>
      <c r="F688" s="201"/>
      <c r="G688" s="201"/>
      <c r="H688" s="199"/>
      <c r="I688" s="200"/>
      <c r="J688" s="187"/>
      <c r="K688" s="189"/>
      <c r="L688" s="187"/>
      <c r="M688" s="187"/>
      <c r="N688" s="190"/>
      <c r="O688" s="196"/>
      <c r="P688" s="192"/>
    </row>
    <row r="689" ht="15.75" customHeight="1">
      <c r="A689" s="186"/>
      <c r="B689" s="197"/>
      <c r="C689" s="198"/>
      <c r="D689" s="199"/>
      <c r="E689" s="200"/>
      <c r="F689" s="201"/>
      <c r="G689" s="201"/>
      <c r="H689" s="199"/>
      <c r="I689" s="200"/>
      <c r="J689" s="187"/>
      <c r="K689" s="189"/>
      <c r="L689" s="187"/>
      <c r="M689" s="187"/>
      <c r="N689" s="190"/>
      <c r="O689" s="196"/>
      <c r="P689" s="192"/>
    </row>
    <row r="690" ht="15.75" customHeight="1">
      <c r="A690" s="186"/>
      <c r="B690" s="197"/>
      <c r="C690" s="198"/>
      <c r="D690" s="199"/>
      <c r="E690" s="200"/>
      <c r="F690" s="201"/>
      <c r="G690" s="201"/>
      <c r="H690" s="199"/>
      <c r="I690" s="200"/>
      <c r="J690" s="187"/>
      <c r="K690" s="189"/>
      <c r="L690" s="187"/>
      <c r="M690" s="187"/>
      <c r="N690" s="190"/>
      <c r="O690" s="196"/>
      <c r="P690" s="192"/>
    </row>
    <row r="691" ht="15.75" customHeight="1">
      <c r="A691" s="186"/>
      <c r="B691" s="197"/>
      <c r="C691" s="198"/>
      <c r="D691" s="199"/>
      <c r="E691" s="200"/>
      <c r="F691" s="201"/>
      <c r="G691" s="201"/>
      <c r="H691" s="199"/>
      <c r="I691" s="200"/>
      <c r="J691" s="187"/>
      <c r="K691" s="189"/>
      <c r="L691" s="187"/>
      <c r="M691" s="187"/>
      <c r="N691" s="190"/>
      <c r="O691" s="196"/>
      <c r="P691" s="192"/>
    </row>
    <row r="692" ht="15.75" customHeight="1">
      <c r="A692" s="186"/>
      <c r="B692" s="197"/>
      <c r="C692" s="198"/>
      <c r="D692" s="199"/>
      <c r="E692" s="200"/>
      <c r="F692" s="201"/>
      <c r="G692" s="201"/>
      <c r="H692" s="199"/>
      <c r="I692" s="200"/>
      <c r="J692" s="187"/>
      <c r="K692" s="189"/>
      <c r="L692" s="187"/>
      <c r="M692" s="187"/>
      <c r="N692" s="190"/>
      <c r="O692" s="196"/>
      <c r="P692" s="192"/>
    </row>
    <row r="693" ht="15.75" customHeight="1">
      <c r="A693" s="186"/>
      <c r="B693" s="197"/>
      <c r="C693" s="198"/>
      <c r="D693" s="199"/>
      <c r="E693" s="200"/>
      <c r="F693" s="201"/>
      <c r="G693" s="201"/>
      <c r="H693" s="199"/>
      <c r="I693" s="200"/>
      <c r="J693" s="187"/>
      <c r="K693" s="189"/>
      <c r="L693" s="187"/>
      <c r="M693" s="187"/>
      <c r="N693" s="190"/>
      <c r="O693" s="196"/>
      <c r="P693" s="192"/>
    </row>
    <row r="694" ht="15.75" customHeight="1">
      <c r="A694" s="186"/>
      <c r="B694" s="197"/>
      <c r="C694" s="198"/>
      <c r="D694" s="199"/>
      <c r="E694" s="200"/>
      <c r="F694" s="201"/>
      <c r="G694" s="201"/>
      <c r="H694" s="199"/>
      <c r="I694" s="200"/>
      <c r="J694" s="187"/>
      <c r="K694" s="189"/>
      <c r="L694" s="187"/>
      <c r="M694" s="187"/>
      <c r="N694" s="190"/>
      <c r="O694" s="196"/>
      <c r="P694" s="192"/>
    </row>
    <row r="695" ht="15.75" customHeight="1">
      <c r="A695" s="186"/>
      <c r="B695" s="197"/>
      <c r="C695" s="198"/>
      <c r="D695" s="199"/>
      <c r="E695" s="200"/>
      <c r="F695" s="201"/>
      <c r="G695" s="201"/>
      <c r="H695" s="199"/>
      <c r="I695" s="200"/>
      <c r="J695" s="187"/>
      <c r="K695" s="189"/>
      <c r="L695" s="187"/>
      <c r="M695" s="187"/>
      <c r="N695" s="190"/>
      <c r="O695" s="196"/>
      <c r="P695" s="192"/>
    </row>
    <row r="696" ht="15.75" customHeight="1">
      <c r="A696" s="186"/>
      <c r="B696" s="197"/>
      <c r="C696" s="198"/>
      <c r="D696" s="199"/>
      <c r="E696" s="200"/>
      <c r="F696" s="201"/>
      <c r="G696" s="201"/>
      <c r="H696" s="199"/>
      <c r="I696" s="200"/>
      <c r="J696" s="187"/>
      <c r="K696" s="189"/>
      <c r="L696" s="187"/>
      <c r="M696" s="187"/>
      <c r="N696" s="190"/>
      <c r="O696" s="196"/>
      <c r="P696" s="192"/>
    </row>
    <row r="697" ht="15.75" customHeight="1">
      <c r="A697" s="186"/>
      <c r="B697" s="197"/>
      <c r="C697" s="198"/>
      <c r="D697" s="199"/>
      <c r="E697" s="200"/>
      <c r="F697" s="201"/>
      <c r="G697" s="201"/>
      <c r="H697" s="199"/>
      <c r="I697" s="200"/>
      <c r="J697" s="187"/>
      <c r="K697" s="189"/>
      <c r="L697" s="187"/>
      <c r="M697" s="187"/>
      <c r="N697" s="190"/>
      <c r="O697" s="196"/>
      <c r="P697" s="192"/>
    </row>
    <row r="698" ht="15.75" customHeight="1">
      <c r="A698" s="186"/>
      <c r="B698" s="197"/>
      <c r="C698" s="198"/>
      <c r="D698" s="199"/>
      <c r="E698" s="200"/>
      <c r="F698" s="201"/>
      <c r="G698" s="201"/>
      <c r="H698" s="199"/>
      <c r="I698" s="200"/>
      <c r="J698" s="187"/>
      <c r="K698" s="189"/>
      <c r="L698" s="187"/>
      <c r="M698" s="187"/>
      <c r="N698" s="190"/>
      <c r="O698" s="196"/>
      <c r="P698" s="192"/>
    </row>
    <row r="699" ht="15.75" customHeight="1">
      <c r="A699" s="186"/>
      <c r="B699" s="197"/>
      <c r="C699" s="198"/>
      <c r="D699" s="199"/>
      <c r="E699" s="200"/>
      <c r="F699" s="201"/>
      <c r="G699" s="201"/>
      <c r="H699" s="199"/>
      <c r="I699" s="200"/>
      <c r="J699" s="187"/>
      <c r="K699" s="189"/>
      <c r="L699" s="187"/>
      <c r="M699" s="187"/>
      <c r="N699" s="190"/>
      <c r="O699" s="196"/>
      <c r="P699" s="192"/>
    </row>
    <row r="700" ht="15.75" customHeight="1">
      <c r="A700" s="186"/>
      <c r="B700" s="197"/>
      <c r="C700" s="198"/>
      <c r="D700" s="199"/>
      <c r="E700" s="200"/>
      <c r="F700" s="201"/>
      <c r="G700" s="201"/>
      <c r="H700" s="199"/>
      <c r="I700" s="200"/>
      <c r="J700" s="187"/>
      <c r="K700" s="189"/>
      <c r="L700" s="187"/>
      <c r="M700" s="187"/>
      <c r="N700" s="190"/>
      <c r="O700" s="196"/>
      <c r="P700" s="192"/>
    </row>
    <row r="701" ht="15.75" customHeight="1">
      <c r="A701" s="186"/>
      <c r="B701" s="197"/>
      <c r="C701" s="198"/>
      <c r="D701" s="199"/>
      <c r="E701" s="200"/>
      <c r="F701" s="201"/>
      <c r="G701" s="201"/>
      <c r="H701" s="199"/>
      <c r="I701" s="200"/>
      <c r="J701" s="187"/>
      <c r="K701" s="189"/>
      <c r="L701" s="187"/>
      <c r="M701" s="187"/>
      <c r="N701" s="190"/>
      <c r="O701" s="196"/>
      <c r="P701" s="192"/>
    </row>
    <row r="702" ht="15.75" customHeight="1">
      <c r="A702" s="186"/>
      <c r="B702" s="197"/>
      <c r="C702" s="198"/>
      <c r="D702" s="199"/>
      <c r="E702" s="200"/>
      <c r="F702" s="201"/>
      <c r="G702" s="201"/>
      <c r="H702" s="199"/>
      <c r="I702" s="200"/>
      <c r="J702" s="187"/>
      <c r="K702" s="189"/>
      <c r="L702" s="187"/>
      <c r="M702" s="187"/>
      <c r="N702" s="190"/>
      <c r="O702" s="196"/>
      <c r="P702" s="192"/>
    </row>
    <row r="703" ht="15.75" customHeight="1">
      <c r="A703" s="186"/>
      <c r="B703" s="197"/>
      <c r="C703" s="198"/>
      <c r="D703" s="199"/>
      <c r="E703" s="200"/>
      <c r="F703" s="201"/>
      <c r="G703" s="201"/>
      <c r="H703" s="199"/>
      <c r="I703" s="200"/>
      <c r="J703" s="187"/>
      <c r="K703" s="189"/>
      <c r="L703" s="187"/>
      <c r="M703" s="187"/>
      <c r="N703" s="190"/>
      <c r="O703" s="196"/>
      <c r="P703" s="192"/>
    </row>
    <row r="704" ht="15.75" customHeight="1">
      <c r="A704" s="186"/>
      <c r="B704" s="197"/>
      <c r="C704" s="198"/>
      <c r="D704" s="199"/>
      <c r="E704" s="200"/>
      <c r="F704" s="201"/>
      <c r="G704" s="201"/>
      <c r="H704" s="199"/>
      <c r="I704" s="200"/>
      <c r="J704" s="187"/>
      <c r="K704" s="189"/>
      <c r="L704" s="187"/>
      <c r="M704" s="187"/>
      <c r="N704" s="190"/>
      <c r="O704" s="196"/>
      <c r="P704" s="192"/>
    </row>
    <row r="705" ht="15.75" customHeight="1">
      <c r="A705" s="186"/>
      <c r="B705" s="197"/>
      <c r="C705" s="198"/>
      <c r="D705" s="199"/>
      <c r="E705" s="200"/>
      <c r="F705" s="201"/>
      <c r="G705" s="201"/>
      <c r="H705" s="199"/>
      <c r="I705" s="200"/>
      <c r="J705" s="187"/>
      <c r="K705" s="189"/>
      <c r="L705" s="187"/>
      <c r="M705" s="187"/>
      <c r="N705" s="190"/>
      <c r="O705" s="196"/>
      <c r="P705" s="192"/>
    </row>
    <row r="706" ht="15.75" customHeight="1">
      <c r="A706" s="186"/>
      <c r="B706" s="197"/>
      <c r="C706" s="198"/>
      <c r="D706" s="199"/>
      <c r="E706" s="200"/>
      <c r="F706" s="201"/>
      <c r="G706" s="201"/>
      <c r="H706" s="199"/>
      <c r="I706" s="200"/>
      <c r="J706" s="187"/>
      <c r="K706" s="189"/>
      <c r="L706" s="187"/>
      <c r="M706" s="187"/>
      <c r="N706" s="190"/>
      <c r="O706" s="196"/>
      <c r="P706" s="192"/>
    </row>
    <row r="707" ht="15.75" customHeight="1">
      <c r="A707" s="186"/>
      <c r="B707" s="197"/>
      <c r="C707" s="198"/>
      <c r="D707" s="199"/>
      <c r="E707" s="200"/>
      <c r="F707" s="201"/>
      <c r="G707" s="201"/>
      <c r="H707" s="199"/>
      <c r="I707" s="200"/>
      <c r="J707" s="187"/>
      <c r="K707" s="189"/>
      <c r="L707" s="187"/>
      <c r="M707" s="187"/>
      <c r="N707" s="190"/>
      <c r="O707" s="196"/>
      <c r="P707" s="192"/>
    </row>
    <row r="708" ht="15.75" customHeight="1">
      <c r="A708" s="186"/>
      <c r="B708" s="197"/>
      <c r="C708" s="198"/>
      <c r="D708" s="199"/>
      <c r="E708" s="200"/>
      <c r="F708" s="201"/>
      <c r="G708" s="201"/>
      <c r="H708" s="199"/>
      <c r="I708" s="200"/>
      <c r="J708" s="187"/>
      <c r="K708" s="189"/>
      <c r="L708" s="187"/>
      <c r="M708" s="187"/>
      <c r="N708" s="190"/>
      <c r="O708" s="196"/>
      <c r="P708" s="192"/>
    </row>
    <row r="709" ht="15.75" customHeight="1">
      <c r="A709" s="186"/>
      <c r="B709" s="197"/>
      <c r="C709" s="198"/>
      <c r="D709" s="199"/>
      <c r="E709" s="200"/>
      <c r="F709" s="201"/>
      <c r="G709" s="201"/>
      <c r="H709" s="199"/>
      <c r="I709" s="200"/>
      <c r="J709" s="187"/>
      <c r="K709" s="189"/>
      <c r="L709" s="187"/>
      <c r="M709" s="187"/>
      <c r="N709" s="190"/>
      <c r="O709" s="196"/>
      <c r="P709" s="192"/>
    </row>
    <row r="710" ht="15.75" customHeight="1">
      <c r="A710" s="186"/>
      <c r="B710" s="197"/>
      <c r="C710" s="198"/>
      <c r="D710" s="199"/>
      <c r="E710" s="200"/>
      <c r="F710" s="201"/>
      <c r="G710" s="201"/>
      <c r="H710" s="199"/>
      <c r="I710" s="200"/>
      <c r="J710" s="187"/>
      <c r="K710" s="189"/>
      <c r="L710" s="187"/>
      <c r="M710" s="187"/>
      <c r="N710" s="190"/>
      <c r="O710" s="196"/>
      <c r="P710" s="192"/>
    </row>
    <row r="711" ht="15.75" customHeight="1">
      <c r="A711" s="186"/>
      <c r="B711" s="197"/>
      <c r="C711" s="198"/>
      <c r="D711" s="199"/>
      <c r="E711" s="200"/>
      <c r="F711" s="201"/>
      <c r="G711" s="201"/>
      <c r="H711" s="199"/>
      <c r="I711" s="200"/>
      <c r="J711" s="187"/>
      <c r="K711" s="189"/>
      <c r="L711" s="187"/>
      <c r="M711" s="187"/>
      <c r="N711" s="190"/>
      <c r="O711" s="196"/>
      <c r="P711" s="192"/>
    </row>
    <row r="712" ht="15.75" customHeight="1">
      <c r="A712" s="186"/>
      <c r="B712" s="197"/>
      <c r="C712" s="198"/>
      <c r="D712" s="199"/>
      <c r="E712" s="200"/>
      <c r="F712" s="201"/>
      <c r="G712" s="201"/>
      <c r="H712" s="199"/>
      <c r="I712" s="200"/>
      <c r="J712" s="187"/>
      <c r="K712" s="189"/>
      <c r="L712" s="187"/>
      <c r="M712" s="187"/>
      <c r="N712" s="190"/>
      <c r="O712" s="196"/>
      <c r="P712" s="192"/>
    </row>
    <row r="713" ht="15.75" customHeight="1">
      <c r="A713" s="186"/>
      <c r="B713" s="197"/>
      <c r="C713" s="198"/>
      <c r="D713" s="199"/>
      <c r="E713" s="200"/>
      <c r="F713" s="201"/>
      <c r="G713" s="201"/>
      <c r="H713" s="199"/>
      <c r="I713" s="200"/>
      <c r="J713" s="187"/>
      <c r="K713" s="189"/>
      <c r="L713" s="187"/>
      <c r="M713" s="187"/>
      <c r="N713" s="190"/>
      <c r="O713" s="196"/>
      <c r="P713" s="192"/>
    </row>
    <row r="714" ht="15.75" customHeight="1">
      <c r="A714" s="186"/>
      <c r="B714" s="197"/>
      <c r="C714" s="198"/>
      <c r="D714" s="199"/>
      <c r="E714" s="200"/>
      <c r="F714" s="201"/>
      <c r="G714" s="201"/>
      <c r="H714" s="199"/>
      <c r="I714" s="200"/>
      <c r="J714" s="187"/>
      <c r="K714" s="189"/>
      <c r="L714" s="187"/>
      <c r="M714" s="187"/>
      <c r="N714" s="190"/>
      <c r="O714" s="196"/>
      <c r="P714" s="192"/>
    </row>
    <row r="715" ht="15.75" customHeight="1">
      <c r="A715" s="186"/>
      <c r="B715" s="197"/>
      <c r="C715" s="198"/>
      <c r="D715" s="199"/>
      <c r="E715" s="200"/>
      <c r="F715" s="201"/>
      <c r="G715" s="201"/>
      <c r="H715" s="199"/>
      <c r="I715" s="200"/>
      <c r="J715" s="187"/>
      <c r="K715" s="189"/>
      <c r="L715" s="187"/>
      <c r="M715" s="187"/>
      <c r="N715" s="190"/>
      <c r="O715" s="196"/>
      <c r="P715" s="192"/>
    </row>
    <row r="716" ht="15.75" customHeight="1">
      <c r="A716" s="186"/>
      <c r="B716" s="197"/>
      <c r="C716" s="198"/>
      <c r="D716" s="199"/>
      <c r="E716" s="200"/>
      <c r="F716" s="201"/>
      <c r="G716" s="201"/>
      <c r="H716" s="199"/>
      <c r="I716" s="200"/>
      <c r="J716" s="187"/>
      <c r="K716" s="189"/>
      <c r="L716" s="187"/>
      <c r="M716" s="187"/>
      <c r="N716" s="190"/>
      <c r="O716" s="196"/>
      <c r="P716" s="192"/>
    </row>
    <row r="717" ht="15.75" customHeight="1">
      <c r="A717" s="186"/>
      <c r="B717" s="197"/>
      <c r="C717" s="198"/>
      <c r="D717" s="199"/>
      <c r="E717" s="200"/>
      <c r="F717" s="201"/>
      <c r="G717" s="201"/>
      <c r="H717" s="199"/>
      <c r="I717" s="200"/>
      <c r="J717" s="187"/>
      <c r="K717" s="189"/>
      <c r="L717" s="187"/>
      <c r="M717" s="187"/>
      <c r="N717" s="190"/>
      <c r="O717" s="196"/>
      <c r="P717" s="192"/>
    </row>
    <row r="718" ht="15.75" customHeight="1">
      <c r="A718" s="186"/>
      <c r="B718" s="197"/>
      <c r="C718" s="198"/>
      <c r="D718" s="199"/>
      <c r="E718" s="200"/>
      <c r="F718" s="201"/>
      <c r="G718" s="201"/>
      <c r="H718" s="199"/>
      <c r="I718" s="200"/>
      <c r="J718" s="187"/>
      <c r="K718" s="189"/>
      <c r="L718" s="187"/>
      <c r="M718" s="187"/>
      <c r="N718" s="190"/>
      <c r="O718" s="196"/>
      <c r="P718" s="192"/>
    </row>
    <row r="719" ht="15.75" customHeight="1">
      <c r="A719" s="186"/>
      <c r="B719" s="197"/>
      <c r="C719" s="198"/>
      <c r="D719" s="199"/>
      <c r="E719" s="200"/>
      <c r="F719" s="201"/>
      <c r="G719" s="201"/>
      <c r="H719" s="199"/>
      <c r="I719" s="200"/>
      <c r="J719" s="187"/>
      <c r="K719" s="189"/>
      <c r="L719" s="187"/>
      <c r="M719" s="187"/>
      <c r="N719" s="190"/>
      <c r="O719" s="196"/>
      <c r="P719" s="192"/>
    </row>
    <row r="720" ht="15.75" customHeight="1">
      <c r="A720" s="186"/>
      <c r="B720" s="197"/>
      <c r="C720" s="198"/>
      <c r="D720" s="199"/>
      <c r="E720" s="200"/>
      <c r="F720" s="201"/>
      <c r="G720" s="201"/>
      <c r="H720" s="199"/>
      <c r="I720" s="200"/>
      <c r="J720" s="187"/>
      <c r="K720" s="189"/>
      <c r="L720" s="187"/>
      <c r="M720" s="187"/>
      <c r="N720" s="190"/>
      <c r="O720" s="196"/>
      <c r="P720" s="192"/>
    </row>
    <row r="721" ht="15.75" customHeight="1">
      <c r="A721" s="186"/>
      <c r="B721" s="197"/>
      <c r="C721" s="198"/>
      <c r="D721" s="199"/>
      <c r="E721" s="200"/>
      <c r="F721" s="201"/>
      <c r="G721" s="201"/>
      <c r="H721" s="199"/>
      <c r="I721" s="200"/>
      <c r="J721" s="187"/>
      <c r="K721" s="189"/>
      <c r="L721" s="187"/>
      <c r="M721" s="187"/>
      <c r="N721" s="190"/>
      <c r="O721" s="196"/>
      <c r="P721" s="192"/>
    </row>
    <row r="722" ht="15.75" customHeight="1">
      <c r="A722" s="186"/>
      <c r="B722" s="197"/>
      <c r="C722" s="198"/>
      <c r="D722" s="199"/>
      <c r="E722" s="200"/>
      <c r="F722" s="201"/>
      <c r="G722" s="201"/>
      <c r="H722" s="199"/>
      <c r="I722" s="200"/>
      <c r="J722" s="187"/>
      <c r="K722" s="189"/>
      <c r="L722" s="187"/>
      <c r="M722" s="187"/>
      <c r="N722" s="190"/>
      <c r="O722" s="196"/>
      <c r="P722" s="192"/>
    </row>
    <row r="723" ht="15.75" customHeight="1">
      <c r="A723" s="186"/>
      <c r="B723" s="197"/>
      <c r="C723" s="198"/>
      <c r="D723" s="199"/>
      <c r="E723" s="200"/>
      <c r="F723" s="201"/>
      <c r="G723" s="201"/>
      <c r="H723" s="199"/>
      <c r="I723" s="200"/>
      <c r="J723" s="187"/>
      <c r="K723" s="189"/>
      <c r="L723" s="187"/>
      <c r="M723" s="187"/>
      <c r="N723" s="190"/>
      <c r="O723" s="196"/>
      <c r="P723" s="192"/>
    </row>
    <row r="724" ht="15.75" customHeight="1">
      <c r="A724" s="186"/>
      <c r="B724" s="197"/>
      <c r="C724" s="198"/>
      <c r="D724" s="199"/>
      <c r="E724" s="200"/>
      <c r="F724" s="201"/>
      <c r="G724" s="201"/>
      <c r="H724" s="199"/>
      <c r="I724" s="200"/>
      <c r="J724" s="187"/>
      <c r="K724" s="189"/>
      <c r="L724" s="187"/>
      <c r="M724" s="187"/>
      <c r="N724" s="190"/>
      <c r="O724" s="196"/>
      <c r="P724" s="192"/>
    </row>
    <row r="725" ht="15.75" customHeight="1">
      <c r="A725" s="186"/>
      <c r="B725" s="197"/>
      <c r="C725" s="198"/>
      <c r="D725" s="199"/>
      <c r="E725" s="200"/>
      <c r="F725" s="201"/>
      <c r="G725" s="201"/>
      <c r="H725" s="199"/>
      <c r="I725" s="200"/>
      <c r="J725" s="187"/>
      <c r="K725" s="189"/>
      <c r="L725" s="187"/>
      <c r="M725" s="187"/>
      <c r="N725" s="190"/>
      <c r="O725" s="196"/>
      <c r="P725" s="192"/>
    </row>
    <row r="726" ht="15.75" customHeight="1">
      <c r="A726" s="186"/>
      <c r="B726" s="197"/>
      <c r="C726" s="198"/>
      <c r="D726" s="199"/>
      <c r="E726" s="200"/>
      <c r="F726" s="201"/>
      <c r="G726" s="201"/>
      <c r="H726" s="199"/>
      <c r="I726" s="200"/>
      <c r="J726" s="187"/>
      <c r="K726" s="189"/>
      <c r="L726" s="187"/>
      <c r="M726" s="187"/>
      <c r="N726" s="190"/>
      <c r="O726" s="196"/>
      <c r="P726" s="192"/>
    </row>
    <row r="727" ht="15.75" customHeight="1">
      <c r="A727" s="186"/>
      <c r="B727" s="197"/>
      <c r="C727" s="198"/>
      <c r="D727" s="199"/>
      <c r="E727" s="200"/>
      <c r="F727" s="201"/>
      <c r="G727" s="201"/>
      <c r="H727" s="199"/>
      <c r="I727" s="200"/>
      <c r="J727" s="187"/>
      <c r="K727" s="189"/>
      <c r="L727" s="187"/>
      <c r="M727" s="187"/>
      <c r="N727" s="190"/>
      <c r="O727" s="196"/>
      <c r="P727" s="192"/>
    </row>
    <row r="728" ht="15.75" customHeight="1">
      <c r="A728" s="186"/>
      <c r="B728" s="197"/>
      <c r="C728" s="198"/>
      <c r="D728" s="199"/>
      <c r="E728" s="200"/>
      <c r="F728" s="201"/>
      <c r="G728" s="201"/>
      <c r="H728" s="199"/>
      <c r="I728" s="200"/>
      <c r="J728" s="187"/>
      <c r="K728" s="189"/>
      <c r="L728" s="187"/>
      <c r="M728" s="187"/>
      <c r="N728" s="190"/>
      <c r="O728" s="196"/>
      <c r="P728" s="192"/>
    </row>
    <row r="729" ht="15.75" customHeight="1">
      <c r="A729" s="186"/>
      <c r="B729" s="197"/>
      <c r="C729" s="198"/>
      <c r="D729" s="199"/>
      <c r="E729" s="200"/>
      <c r="F729" s="201"/>
      <c r="G729" s="201"/>
      <c r="H729" s="199"/>
      <c r="I729" s="200"/>
      <c r="J729" s="187"/>
      <c r="K729" s="189"/>
      <c r="L729" s="187"/>
      <c r="M729" s="187"/>
      <c r="N729" s="190"/>
      <c r="O729" s="196"/>
      <c r="P729" s="192"/>
    </row>
    <row r="730" ht="15.75" customHeight="1">
      <c r="A730" s="186"/>
      <c r="B730" s="197"/>
      <c r="C730" s="198"/>
      <c r="D730" s="199"/>
      <c r="E730" s="200"/>
      <c r="F730" s="201"/>
      <c r="G730" s="201"/>
      <c r="H730" s="199"/>
      <c r="I730" s="200"/>
      <c r="J730" s="187"/>
      <c r="K730" s="189"/>
      <c r="L730" s="187"/>
      <c r="M730" s="187"/>
      <c r="N730" s="190"/>
      <c r="O730" s="196"/>
      <c r="P730" s="192"/>
    </row>
    <row r="731" ht="15.75" customHeight="1">
      <c r="A731" s="186"/>
      <c r="B731" s="197"/>
      <c r="C731" s="198"/>
      <c r="D731" s="199"/>
      <c r="E731" s="200"/>
      <c r="F731" s="201"/>
      <c r="G731" s="201"/>
      <c r="H731" s="199"/>
      <c r="I731" s="200"/>
      <c r="J731" s="187"/>
      <c r="K731" s="189"/>
      <c r="L731" s="187"/>
      <c r="M731" s="187"/>
      <c r="N731" s="190"/>
      <c r="O731" s="196"/>
      <c r="P731" s="192"/>
    </row>
    <row r="732" ht="15.75" customHeight="1">
      <c r="A732" s="186"/>
      <c r="B732" s="197"/>
      <c r="C732" s="198"/>
      <c r="D732" s="199"/>
      <c r="E732" s="200"/>
      <c r="F732" s="201"/>
      <c r="G732" s="201"/>
      <c r="H732" s="199"/>
      <c r="I732" s="200"/>
      <c r="J732" s="187"/>
      <c r="K732" s="189"/>
      <c r="L732" s="187"/>
      <c r="M732" s="187"/>
      <c r="N732" s="190"/>
      <c r="O732" s="196"/>
      <c r="P732" s="192"/>
    </row>
    <row r="733" ht="15.75" customHeight="1">
      <c r="A733" s="186"/>
      <c r="B733" s="197"/>
      <c r="C733" s="198"/>
      <c r="D733" s="199"/>
      <c r="E733" s="200"/>
      <c r="F733" s="201"/>
      <c r="G733" s="201"/>
      <c r="H733" s="199"/>
      <c r="I733" s="200"/>
      <c r="J733" s="187"/>
      <c r="K733" s="189"/>
      <c r="L733" s="187"/>
      <c r="M733" s="187"/>
      <c r="N733" s="190"/>
      <c r="O733" s="196"/>
      <c r="P733" s="192"/>
    </row>
    <row r="734" ht="15.75" customHeight="1">
      <c r="A734" s="186"/>
      <c r="B734" s="197"/>
      <c r="C734" s="198"/>
      <c r="D734" s="199"/>
      <c r="E734" s="200"/>
      <c r="F734" s="201"/>
      <c r="G734" s="201"/>
      <c r="H734" s="199"/>
      <c r="I734" s="200"/>
      <c r="J734" s="187"/>
      <c r="K734" s="189"/>
      <c r="L734" s="187"/>
      <c r="M734" s="187"/>
      <c r="N734" s="190"/>
      <c r="O734" s="196"/>
      <c r="P734" s="192"/>
    </row>
    <row r="735" ht="15.75" customHeight="1">
      <c r="A735" s="186"/>
      <c r="B735" s="197"/>
      <c r="C735" s="198"/>
      <c r="D735" s="199"/>
      <c r="E735" s="200"/>
      <c r="F735" s="201"/>
      <c r="G735" s="201"/>
      <c r="H735" s="199"/>
      <c r="I735" s="200"/>
      <c r="J735" s="187"/>
      <c r="K735" s="189"/>
      <c r="L735" s="187"/>
      <c r="M735" s="187"/>
      <c r="N735" s="190"/>
      <c r="O735" s="196"/>
      <c r="P735" s="192"/>
    </row>
    <row r="736" ht="15.75" customHeight="1">
      <c r="A736" s="186"/>
      <c r="B736" s="197"/>
      <c r="C736" s="198"/>
      <c r="D736" s="199"/>
      <c r="E736" s="200"/>
      <c r="F736" s="201"/>
      <c r="G736" s="201"/>
      <c r="H736" s="199"/>
      <c r="I736" s="200"/>
      <c r="J736" s="187"/>
      <c r="K736" s="189"/>
      <c r="L736" s="187"/>
      <c r="M736" s="187"/>
      <c r="N736" s="190"/>
      <c r="O736" s="196"/>
      <c r="P736" s="192"/>
    </row>
    <row r="737" ht="15.75" customHeight="1">
      <c r="A737" s="186"/>
      <c r="B737" s="197"/>
      <c r="C737" s="198"/>
      <c r="D737" s="199"/>
      <c r="E737" s="200"/>
      <c r="F737" s="201"/>
      <c r="G737" s="201"/>
      <c r="H737" s="199"/>
      <c r="I737" s="200"/>
      <c r="J737" s="187"/>
      <c r="K737" s="189"/>
      <c r="L737" s="187"/>
      <c r="M737" s="187"/>
      <c r="N737" s="190"/>
      <c r="O737" s="196"/>
      <c r="P737" s="192"/>
    </row>
    <row r="738" ht="15.75" customHeight="1">
      <c r="A738" s="186"/>
      <c r="B738" s="197"/>
      <c r="C738" s="198"/>
      <c r="D738" s="199"/>
      <c r="E738" s="200"/>
      <c r="F738" s="201"/>
      <c r="G738" s="201"/>
      <c r="H738" s="199"/>
      <c r="I738" s="200"/>
      <c r="J738" s="187"/>
      <c r="K738" s="189"/>
      <c r="L738" s="187"/>
      <c r="M738" s="187"/>
      <c r="N738" s="190"/>
      <c r="O738" s="196"/>
      <c r="P738" s="192"/>
    </row>
    <row r="739" ht="15.75" customHeight="1">
      <c r="A739" s="186"/>
      <c r="B739" s="197"/>
      <c r="C739" s="198"/>
      <c r="D739" s="199"/>
      <c r="E739" s="200"/>
      <c r="F739" s="201"/>
      <c r="G739" s="201"/>
      <c r="H739" s="199"/>
      <c r="I739" s="200"/>
      <c r="J739" s="187"/>
      <c r="K739" s="189"/>
      <c r="L739" s="187"/>
      <c r="M739" s="187"/>
      <c r="N739" s="190"/>
      <c r="O739" s="196"/>
      <c r="P739" s="192"/>
    </row>
    <row r="740" ht="15.75" customHeight="1">
      <c r="A740" s="186"/>
      <c r="B740" s="197"/>
      <c r="C740" s="198"/>
      <c r="D740" s="199"/>
      <c r="E740" s="200"/>
      <c r="F740" s="201"/>
      <c r="G740" s="201"/>
      <c r="H740" s="199"/>
      <c r="I740" s="200"/>
      <c r="J740" s="187"/>
      <c r="K740" s="189"/>
      <c r="L740" s="187"/>
      <c r="M740" s="187"/>
      <c r="N740" s="190"/>
      <c r="O740" s="196"/>
      <c r="P740" s="192"/>
    </row>
    <row r="741" ht="15.75" customHeight="1">
      <c r="A741" s="186"/>
      <c r="B741" s="197"/>
      <c r="C741" s="198"/>
      <c r="D741" s="199"/>
      <c r="E741" s="200"/>
      <c r="F741" s="201"/>
      <c r="G741" s="201"/>
      <c r="H741" s="199"/>
      <c r="I741" s="200"/>
      <c r="J741" s="187"/>
      <c r="K741" s="189"/>
      <c r="L741" s="187"/>
      <c r="M741" s="187"/>
      <c r="N741" s="190"/>
      <c r="O741" s="196"/>
      <c r="P741" s="192"/>
    </row>
    <row r="742" ht="15.75" customHeight="1">
      <c r="A742" s="186"/>
      <c r="B742" s="197"/>
      <c r="C742" s="198"/>
      <c r="D742" s="199"/>
      <c r="E742" s="200"/>
      <c r="F742" s="201"/>
      <c r="G742" s="201"/>
      <c r="H742" s="199"/>
      <c r="I742" s="200"/>
      <c r="J742" s="187"/>
      <c r="K742" s="189"/>
      <c r="L742" s="187"/>
      <c r="M742" s="187"/>
      <c r="N742" s="190"/>
      <c r="O742" s="196"/>
      <c r="P742" s="192"/>
    </row>
    <row r="743" ht="15.75" customHeight="1">
      <c r="A743" s="186"/>
      <c r="B743" s="197"/>
      <c r="C743" s="198"/>
      <c r="D743" s="199"/>
      <c r="E743" s="200"/>
      <c r="F743" s="201"/>
      <c r="G743" s="201"/>
      <c r="H743" s="199"/>
      <c r="I743" s="200"/>
      <c r="J743" s="187"/>
      <c r="K743" s="189"/>
      <c r="L743" s="187"/>
      <c r="M743" s="187"/>
      <c r="N743" s="190"/>
      <c r="O743" s="196"/>
      <c r="P743" s="192"/>
    </row>
    <row r="744" ht="15.75" customHeight="1">
      <c r="A744" s="186"/>
      <c r="B744" s="197"/>
      <c r="C744" s="198"/>
      <c r="D744" s="199"/>
      <c r="E744" s="200"/>
      <c r="F744" s="201"/>
      <c r="G744" s="201"/>
      <c r="H744" s="199"/>
      <c r="I744" s="200"/>
      <c r="J744" s="187"/>
      <c r="K744" s="189"/>
      <c r="L744" s="187"/>
      <c r="M744" s="187"/>
      <c r="N744" s="190"/>
      <c r="O744" s="196"/>
      <c r="P744" s="192"/>
    </row>
    <row r="745" ht="15.75" customHeight="1">
      <c r="A745" s="186"/>
      <c r="B745" s="197"/>
      <c r="C745" s="198"/>
      <c r="D745" s="199"/>
      <c r="E745" s="200"/>
      <c r="F745" s="201"/>
      <c r="G745" s="201"/>
      <c r="H745" s="199"/>
      <c r="I745" s="200"/>
      <c r="J745" s="187"/>
      <c r="K745" s="189"/>
      <c r="L745" s="187"/>
      <c r="M745" s="187"/>
      <c r="N745" s="190"/>
      <c r="O745" s="196"/>
      <c r="P745" s="192"/>
    </row>
    <row r="746" ht="15.75" customHeight="1">
      <c r="A746" s="186"/>
      <c r="B746" s="197"/>
      <c r="C746" s="198"/>
      <c r="D746" s="199"/>
      <c r="E746" s="200"/>
      <c r="F746" s="201"/>
      <c r="G746" s="201"/>
      <c r="H746" s="199"/>
      <c r="I746" s="200"/>
      <c r="J746" s="187"/>
      <c r="K746" s="189"/>
      <c r="L746" s="187"/>
      <c r="M746" s="187"/>
      <c r="N746" s="190"/>
      <c r="O746" s="196"/>
      <c r="P746" s="192"/>
    </row>
    <row r="747" ht="15.75" customHeight="1">
      <c r="A747" s="186"/>
      <c r="B747" s="197"/>
      <c r="C747" s="198"/>
      <c r="D747" s="199"/>
      <c r="E747" s="200"/>
      <c r="F747" s="201"/>
      <c r="G747" s="201"/>
      <c r="H747" s="199"/>
      <c r="I747" s="200"/>
      <c r="J747" s="187"/>
      <c r="K747" s="189"/>
      <c r="L747" s="187"/>
      <c r="M747" s="187"/>
      <c r="N747" s="190"/>
      <c r="O747" s="196"/>
      <c r="P747" s="192"/>
    </row>
    <row r="748" ht="15.75" customHeight="1">
      <c r="A748" s="186"/>
      <c r="B748" s="197"/>
      <c r="C748" s="198"/>
      <c r="D748" s="199"/>
      <c r="E748" s="200"/>
      <c r="F748" s="201"/>
      <c r="G748" s="201"/>
      <c r="H748" s="199"/>
      <c r="I748" s="200"/>
      <c r="J748" s="187"/>
      <c r="K748" s="189"/>
      <c r="L748" s="187"/>
      <c r="M748" s="187"/>
      <c r="N748" s="190"/>
      <c r="O748" s="196"/>
      <c r="P748" s="192"/>
    </row>
    <row r="749" ht="15.75" customHeight="1">
      <c r="A749" s="186"/>
      <c r="B749" s="197"/>
      <c r="C749" s="198"/>
      <c r="D749" s="199"/>
      <c r="E749" s="200"/>
      <c r="F749" s="201"/>
      <c r="G749" s="201"/>
      <c r="H749" s="199"/>
      <c r="I749" s="200"/>
      <c r="J749" s="187"/>
      <c r="K749" s="189"/>
      <c r="L749" s="187"/>
      <c r="M749" s="187"/>
      <c r="N749" s="190"/>
      <c r="O749" s="196"/>
      <c r="P749" s="192"/>
    </row>
    <row r="750" ht="15.75" customHeight="1">
      <c r="A750" s="186"/>
      <c r="B750" s="197"/>
      <c r="C750" s="198"/>
      <c r="D750" s="199"/>
      <c r="E750" s="200"/>
      <c r="F750" s="201"/>
      <c r="G750" s="201"/>
      <c r="H750" s="199"/>
      <c r="I750" s="200"/>
      <c r="J750" s="187"/>
      <c r="K750" s="189"/>
      <c r="L750" s="187"/>
      <c r="M750" s="187"/>
      <c r="N750" s="190"/>
      <c r="O750" s="196"/>
      <c r="P750" s="192"/>
    </row>
    <row r="751" ht="15.75" customHeight="1">
      <c r="A751" s="186"/>
      <c r="B751" s="197"/>
      <c r="C751" s="198"/>
      <c r="D751" s="199"/>
      <c r="E751" s="200"/>
      <c r="F751" s="201"/>
      <c r="G751" s="201"/>
      <c r="H751" s="199"/>
      <c r="I751" s="200"/>
      <c r="J751" s="187"/>
      <c r="K751" s="189"/>
      <c r="L751" s="187"/>
      <c r="M751" s="187"/>
      <c r="N751" s="190"/>
      <c r="O751" s="196"/>
      <c r="P751" s="192"/>
    </row>
    <row r="752" ht="15.75" customHeight="1">
      <c r="A752" s="186"/>
      <c r="B752" s="197"/>
      <c r="C752" s="198"/>
      <c r="D752" s="199"/>
      <c r="E752" s="200"/>
      <c r="F752" s="201"/>
      <c r="G752" s="201"/>
      <c r="H752" s="199"/>
      <c r="I752" s="200"/>
      <c r="J752" s="187"/>
      <c r="K752" s="189"/>
      <c r="L752" s="187"/>
      <c r="M752" s="187"/>
      <c r="N752" s="190"/>
      <c r="O752" s="196"/>
      <c r="P752" s="192"/>
    </row>
    <row r="753" ht="15.75" customHeight="1">
      <c r="A753" s="186"/>
      <c r="B753" s="197"/>
      <c r="C753" s="198"/>
      <c r="D753" s="199"/>
      <c r="E753" s="200"/>
      <c r="F753" s="201"/>
      <c r="G753" s="201"/>
      <c r="H753" s="199"/>
      <c r="I753" s="200"/>
      <c r="J753" s="187"/>
      <c r="K753" s="189"/>
      <c r="L753" s="187"/>
      <c r="M753" s="187"/>
      <c r="N753" s="190"/>
      <c r="O753" s="196"/>
      <c r="P753" s="192"/>
    </row>
    <row r="754" ht="15.75" customHeight="1">
      <c r="A754" s="186"/>
      <c r="B754" s="197"/>
      <c r="C754" s="198"/>
      <c r="D754" s="199"/>
      <c r="E754" s="200"/>
      <c r="F754" s="201"/>
      <c r="G754" s="201"/>
      <c r="H754" s="199"/>
      <c r="I754" s="200"/>
      <c r="J754" s="187"/>
      <c r="K754" s="189"/>
      <c r="L754" s="187"/>
      <c r="M754" s="187"/>
      <c r="N754" s="190"/>
      <c r="O754" s="196"/>
      <c r="P754" s="192"/>
    </row>
    <row r="755" ht="15.75" customHeight="1">
      <c r="A755" s="186"/>
      <c r="B755" s="197"/>
      <c r="C755" s="198"/>
      <c r="D755" s="199"/>
      <c r="E755" s="200"/>
      <c r="F755" s="201"/>
      <c r="G755" s="201"/>
      <c r="H755" s="199"/>
      <c r="I755" s="200"/>
      <c r="J755" s="187"/>
      <c r="K755" s="189"/>
      <c r="L755" s="187"/>
      <c r="M755" s="187"/>
      <c r="N755" s="190"/>
      <c r="O755" s="196"/>
      <c r="P755" s="192"/>
    </row>
    <row r="756" ht="15.75" customHeight="1">
      <c r="A756" s="186"/>
      <c r="B756" s="197"/>
      <c r="C756" s="198"/>
      <c r="D756" s="199"/>
      <c r="E756" s="200"/>
      <c r="F756" s="201"/>
      <c r="G756" s="201"/>
      <c r="H756" s="199"/>
      <c r="I756" s="200"/>
      <c r="J756" s="187"/>
      <c r="K756" s="189"/>
      <c r="L756" s="187"/>
      <c r="M756" s="187"/>
      <c r="N756" s="190"/>
      <c r="O756" s="196"/>
      <c r="P756" s="192"/>
    </row>
    <row r="757" ht="15.75" customHeight="1">
      <c r="A757" s="186"/>
      <c r="B757" s="197"/>
      <c r="C757" s="198"/>
      <c r="D757" s="199"/>
      <c r="E757" s="200"/>
      <c r="F757" s="201"/>
      <c r="G757" s="201"/>
      <c r="H757" s="199"/>
      <c r="I757" s="200"/>
      <c r="J757" s="187"/>
      <c r="K757" s="189"/>
      <c r="L757" s="187"/>
      <c r="M757" s="187"/>
      <c r="N757" s="190"/>
      <c r="O757" s="196"/>
      <c r="P757" s="192"/>
    </row>
    <row r="758" ht="15.75" customHeight="1">
      <c r="A758" s="186"/>
      <c r="B758" s="197"/>
      <c r="C758" s="198"/>
      <c r="D758" s="199"/>
      <c r="E758" s="200"/>
      <c r="F758" s="201"/>
      <c r="G758" s="201"/>
      <c r="H758" s="199"/>
      <c r="I758" s="200"/>
      <c r="J758" s="187"/>
      <c r="K758" s="189"/>
      <c r="L758" s="187"/>
      <c r="M758" s="187"/>
      <c r="N758" s="190"/>
      <c r="O758" s="196"/>
      <c r="P758" s="192"/>
    </row>
    <row r="759" ht="15.75" customHeight="1">
      <c r="A759" s="186"/>
      <c r="B759" s="197"/>
      <c r="C759" s="198"/>
      <c r="D759" s="199"/>
      <c r="E759" s="200"/>
      <c r="F759" s="201"/>
      <c r="G759" s="201"/>
      <c r="H759" s="199"/>
      <c r="I759" s="200"/>
      <c r="J759" s="187"/>
      <c r="K759" s="189"/>
      <c r="L759" s="187"/>
      <c r="M759" s="187"/>
      <c r="N759" s="190"/>
      <c r="O759" s="196"/>
      <c r="P759" s="192"/>
    </row>
    <row r="760" ht="15.75" customHeight="1">
      <c r="A760" s="186"/>
      <c r="B760" s="197"/>
      <c r="C760" s="198"/>
      <c r="D760" s="199"/>
      <c r="E760" s="200"/>
      <c r="F760" s="201"/>
      <c r="G760" s="201"/>
      <c r="H760" s="199"/>
      <c r="I760" s="200"/>
      <c r="J760" s="187"/>
      <c r="K760" s="189"/>
      <c r="L760" s="187"/>
      <c r="M760" s="187"/>
      <c r="N760" s="190"/>
      <c r="O760" s="196"/>
      <c r="P760" s="192"/>
    </row>
    <row r="761" ht="15.75" customHeight="1">
      <c r="A761" s="186"/>
      <c r="B761" s="197"/>
      <c r="C761" s="198"/>
      <c r="D761" s="199"/>
      <c r="E761" s="200"/>
      <c r="F761" s="201"/>
      <c r="G761" s="201"/>
      <c r="H761" s="199"/>
      <c r="I761" s="200"/>
      <c r="J761" s="187"/>
      <c r="K761" s="189"/>
      <c r="L761" s="187"/>
      <c r="M761" s="187"/>
      <c r="N761" s="190"/>
      <c r="O761" s="196"/>
      <c r="P761" s="192"/>
    </row>
    <row r="762" ht="15.75" customHeight="1">
      <c r="A762" s="186"/>
      <c r="B762" s="197"/>
      <c r="C762" s="198"/>
      <c r="D762" s="199"/>
      <c r="E762" s="200"/>
      <c r="F762" s="201"/>
      <c r="G762" s="201"/>
      <c r="H762" s="199"/>
      <c r="I762" s="200"/>
      <c r="J762" s="187"/>
      <c r="K762" s="189"/>
      <c r="L762" s="187"/>
      <c r="M762" s="187"/>
      <c r="N762" s="190"/>
      <c r="O762" s="196"/>
      <c r="P762" s="192"/>
    </row>
    <row r="763" ht="15.75" customHeight="1">
      <c r="A763" s="186"/>
      <c r="B763" s="197"/>
      <c r="C763" s="198"/>
      <c r="D763" s="199"/>
      <c r="E763" s="200"/>
      <c r="F763" s="201"/>
      <c r="G763" s="201"/>
      <c r="H763" s="199"/>
      <c r="I763" s="200"/>
      <c r="J763" s="187"/>
      <c r="K763" s="189"/>
      <c r="L763" s="187"/>
      <c r="M763" s="187"/>
      <c r="N763" s="190"/>
      <c r="O763" s="196"/>
      <c r="P763" s="192"/>
    </row>
    <row r="764" ht="15.75" customHeight="1">
      <c r="A764" s="186"/>
      <c r="B764" s="197"/>
      <c r="C764" s="198"/>
      <c r="D764" s="199"/>
      <c r="E764" s="200"/>
      <c r="F764" s="201"/>
      <c r="G764" s="201"/>
      <c r="H764" s="199"/>
      <c r="I764" s="200"/>
      <c r="J764" s="187"/>
      <c r="K764" s="189"/>
      <c r="L764" s="187"/>
      <c r="M764" s="187"/>
      <c r="N764" s="190"/>
      <c r="O764" s="196"/>
      <c r="P764" s="192"/>
    </row>
    <row r="765" ht="15.75" customHeight="1">
      <c r="A765" s="186"/>
      <c r="B765" s="197"/>
      <c r="C765" s="198"/>
      <c r="D765" s="199"/>
      <c r="E765" s="200"/>
      <c r="F765" s="201"/>
      <c r="G765" s="201"/>
      <c r="H765" s="199"/>
      <c r="I765" s="200"/>
      <c r="J765" s="187"/>
      <c r="K765" s="189"/>
      <c r="L765" s="187"/>
      <c r="M765" s="187"/>
      <c r="N765" s="190"/>
      <c r="O765" s="196"/>
      <c r="P765" s="192"/>
    </row>
    <row r="766" ht="15.75" customHeight="1">
      <c r="A766" s="186"/>
      <c r="B766" s="197"/>
      <c r="C766" s="198"/>
      <c r="D766" s="199"/>
      <c r="E766" s="200"/>
      <c r="F766" s="201"/>
      <c r="G766" s="201"/>
      <c r="H766" s="199"/>
      <c r="I766" s="200"/>
      <c r="J766" s="187"/>
      <c r="K766" s="189"/>
      <c r="L766" s="187"/>
      <c r="M766" s="187"/>
      <c r="N766" s="190"/>
      <c r="O766" s="196"/>
      <c r="P766" s="192"/>
    </row>
    <row r="767" ht="15.75" customHeight="1">
      <c r="A767" s="186"/>
      <c r="B767" s="197"/>
      <c r="C767" s="198"/>
      <c r="D767" s="199"/>
      <c r="E767" s="200"/>
      <c r="F767" s="201"/>
      <c r="G767" s="201"/>
      <c r="H767" s="199"/>
      <c r="I767" s="200"/>
      <c r="J767" s="187"/>
      <c r="K767" s="189"/>
      <c r="L767" s="187"/>
      <c r="M767" s="187"/>
      <c r="N767" s="190"/>
      <c r="O767" s="196"/>
      <c r="P767" s="192"/>
    </row>
    <row r="768" ht="15.75" customHeight="1">
      <c r="A768" s="186"/>
      <c r="B768" s="197"/>
      <c r="C768" s="198"/>
      <c r="D768" s="199"/>
      <c r="E768" s="200"/>
      <c r="F768" s="201"/>
      <c r="G768" s="201"/>
      <c r="H768" s="199"/>
      <c r="I768" s="200"/>
      <c r="J768" s="187"/>
      <c r="K768" s="189"/>
      <c r="L768" s="187"/>
      <c r="M768" s="187"/>
      <c r="N768" s="190"/>
      <c r="O768" s="196"/>
      <c r="P768" s="192"/>
    </row>
    <row r="769" ht="15.75" customHeight="1">
      <c r="A769" s="186"/>
      <c r="B769" s="197"/>
      <c r="C769" s="198"/>
      <c r="D769" s="199"/>
      <c r="E769" s="200"/>
      <c r="F769" s="201"/>
      <c r="G769" s="201"/>
      <c r="H769" s="199"/>
      <c r="I769" s="200"/>
      <c r="J769" s="187"/>
      <c r="K769" s="189"/>
      <c r="L769" s="187"/>
      <c r="M769" s="187"/>
      <c r="N769" s="190"/>
      <c r="O769" s="196"/>
      <c r="P769" s="192"/>
    </row>
    <row r="770" ht="15.75" customHeight="1">
      <c r="A770" s="186"/>
      <c r="B770" s="197"/>
      <c r="C770" s="198"/>
      <c r="D770" s="199"/>
      <c r="E770" s="200"/>
      <c r="F770" s="201"/>
      <c r="G770" s="201"/>
      <c r="H770" s="199"/>
      <c r="I770" s="200"/>
      <c r="J770" s="187"/>
      <c r="K770" s="189"/>
      <c r="L770" s="187"/>
      <c r="M770" s="187"/>
      <c r="N770" s="190"/>
      <c r="O770" s="196"/>
      <c r="P770" s="192"/>
    </row>
    <row r="771" ht="15.75" customHeight="1">
      <c r="A771" s="186"/>
      <c r="B771" s="197"/>
      <c r="C771" s="198"/>
      <c r="D771" s="199"/>
      <c r="E771" s="200"/>
      <c r="F771" s="201"/>
      <c r="G771" s="201"/>
      <c r="H771" s="199"/>
      <c r="I771" s="200"/>
      <c r="J771" s="187"/>
      <c r="K771" s="189"/>
      <c r="L771" s="187"/>
      <c r="M771" s="187"/>
      <c r="N771" s="190"/>
      <c r="O771" s="196"/>
      <c r="P771" s="192"/>
    </row>
    <row r="772" ht="15.75" customHeight="1">
      <c r="A772" s="186"/>
      <c r="B772" s="197"/>
      <c r="C772" s="198"/>
      <c r="D772" s="199"/>
      <c r="E772" s="200"/>
      <c r="F772" s="201"/>
      <c r="G772" s="201"/>
      <c r="H772" s="199"/>
      <c r="I772" s="200"/>
      <c r="J772" s="187"/>
      <c r="K772" s="189"/>
      <c r="L772" s="187"/>
      <c r="M772" s="187"/>
      <c r="N772" s="190"/>
      <c r="O772" s="196"/>
      <c r="P772" s="192"/>
    </row>
    <row r="773" ht="15.75" customHeight="1">
      <c r="A773" s="186"/>
      <c r="B773" s="197"/>
      <c r="C773" s="198"/>
      <c r="D773" s="199"/>
      <c r="E773" s="200"/>
      <c r="F773" s="201"/>
      <c r="G773" s="201"/>
      <c r="H773" s="199"/>
      <c r="I773" s="200"/>
      <c r="J773" s="187"/>
      <c r="K773" s="189"/>
      <c r="L773" s="187"/>
      <c r="M773" s="187"/>
      <c r="N773" s="190"/>
      <c r="O773" s="196"/>
      <c r="P773" s="192"/>
    </row>
    <row r="774" ht="15.75" customHeight="1">
      <c r="A774" s="186"/>
      <c r="B774" s="197"/>
      <c r="C774" s="198"/>
      <c r="D774" s="199"/>
      <c r="E774" s="200"/>
      <c r="F774" s="201"/>
      <c r="G774" s="201"/>
      <c r="H774" s="199"/>
      <c r="I774" s="200"/>
      <c r="J774" s="187"/>
      <c r="K774" s="189"/>
      <c r="L774" s="187"/>
      <c r="M774" s="187"/>
      <c r="N774" s="190"/>
      <c r="O774" s="196"/>
      <c r="P774" s="192"/>
    </row>
    <row r="775" ht="15.75" customHeight="1">
      <c r="A775" s="186"/>
      <c r="B775" s="197"/>
      <c r="C775" s="198"/>
      <c r="D775" s="199"/>
      <c r="E775" s="200"/>
      <c r="F775" s="201"/>
      <c r="G775" s="201"/>
      <c r="H775" s="199"/>
      <c r="I775" s="200"/>
      <c r="J775" s="187"/>
      <c r="K775" s="189"/>
      <c r="L775" s="187"/>
      <c r="M775" s="187"/>
      <c r="N775" s="190"/>
      <c r="O775" s="196"/>
      <c r="P775" s="192"/>
    </row>
    <row r="776" ht="15.75" customHeight="1">
      <c r="A776" s="186"/>
      <c r="B776" s="197"/>
      <c r="C776" s="198"/>
      <c r="D776" s="199"/>
      <c r="E776" s="200"/>
      <c r="F776" s="201"/>
      <c r="G776" s="201"/>
      <c r="H776" s="199"/>
      <c r="I776" s="200"/>
      <c r="J776" s="187"/>
      <c r="K776" s="189"/>
      <c r="L776" s="187"/>
      <c r="M776" s="187"/>
      <c r="N776" s="190"/>
      <c r="O776" s="196"/>
      <c r="P776" s="192"/>
    </row>
    <row r="777" ht="15.75" customHeight="1">
      <c r="A777" s="186"/>
      <c r="B777" s="197"/>
      <c r="C777" s="198"/>
      <c r="D777" s="199"/>
      <c r="E777" s="200"/>
      <c r="F777" s="201"/>
      <c r="G777" s="201"/>
      <c r="H777" s="199"/>
      <c r="I777" s="200"/>
      <c r="J777" s="187"/>
      <c r="K777" s="189"/>
      <c r="L777" s="187"/>
      <c r="M777" s="187"/>
      <c r="N777" s="190"/>
      <c r="O777" s="196"/>
      <c r="P777" s="192"/>
    </row>
    <row r="778" ht="15.75" customHeight="1">
      <c r="A778" s="186"/>
      <c r="B778" s="197"/>
      <c r="C778" s="198"/>
      <c r="D778" s="199"/>
      <c r="E778" s="200"/>
      <c r="F778" s="201"/>
      <c r="G778" s="201"/>
      <c r="H778" s="199"/>
      <c r="I778" s="200"/>
      <c r="J778" s="187"/>
      <c r="K778" s="189"/>
      <c r="L778" s="187"/>
      <c r="M778" s="187"/>
      <c r="N778" s="190"/>
      <c r="O778" s="196"/>
      <c r="P778" s="192"/>
    </row>
    <row r="779" ht="15.75" customHeight="1">
      <c r="A779" s="186"/>
      <c r="B779" s="197"/>
      <c r="C779" s="198"/>
      <c r="D779" s="199"/>
      <c r="E779" s="200"/>
      <c r="F779" s="201"/>
      <c r="G779" s="201"/>
      <c r="H779" s="199"/>
      <c r="I779" s="200"/>
      <c r="J779" s="187"/>
      <c r="K779" s="189"/>
      <c r="L779" s="187"/>
      <c r="M779" s="187"/>
      <c r="N779" s="190"/>
      <c r="O779" s="196"/>
      <c r="P779" s="192"/>
    </row>
    <row r="780" ht="15.75" customHeight="1">
      <c r="A780" s="186"/>
      <c r="B780" s="197"/>
      <c r="C780" s="198"/>
      <c r="D780" s="199"/>
      <c r="E780" s="200"/>
      <c r="F780" s="201"/>
      <c r="G780" s="201"/>
      <c r="H780" s="199"/>
      <c r="I780" s="200"/>
      <c r="J780" s="187"/>
      <c r="K780" s="189"/>
      <c r="L780" s="187"/>
      <c r="M780" s="187"/>
      <c r="N780" s="190"/>
      <c r="O780" s="196"/>
      <c r="P780" s="192"/>
    </row>
    <row r="781" ht="15.75" customHeight="1">
      <c r="A781" s="186"/>
      <c r="B781" s="197"/>
      <c r="C781" s="198"/>
      <c r="D781" s="199"/>
      <c r="E781" s="200"/>
      <c r="F781" s="201"/>
      <c r="G781" s="201"/>
      <c r="H781" s="199"/>
      <c r="I781" s="200"/>
      <c r="J781" s="187"/>
      <c r="K781" s="189"/>
      <c r="L781" s="187"/>
      <c r="M781" s="187"/>
      <c r="N781" s="190"/>
      <c r="O781" s="196"/>
      <c r="P781" s="192"/>
    </row>
    <row r="782" ht="15.75" customHeight="1">
      <c r="A782" s="186"/>
      <c r="B782" s="197"/>
      <c r="C782" s="198"/>
      <c r="D782" s="199"/>
      <c r="E782" s="200"/>
      <c r="F782" s="201"/>
      <c r="G782" s="201"/>
      <c r="H782" s="199"/>
      <c r="I782" s="200"/>
      <c r="J782" s="187"/>
      <c r="K782" s="189"/>
      <c r="L782" s="187"/>
      <c r="M782" s="187"/>
      <c r="N782" s="190"/>
      <c r="O782" s="196"/>
      <c r="P782" s="192"/>
    </row>
    <row r="783" ht="15.75" customHeight="1">
      <c r="A783" s="186"/>
      <c r="B783" s="197"/>
      <c r="C783" s="198"/>
      <c r="D783" s="199"/>
      <c r="E783" s="200"/>
      <c r="F783" s="201"/>
      <c r="G783" s="201"/>
      <c r="H783" s="199"/>
      <c r="I783" s="200"/>
      <c r="J783" s="187"/>
      <c r="K783" s="189"/>
      <c r="L783" s="187"/>
      <c r="M783" s="187"/>
      <c r="N783" s="190"/>
      <c r="O783" s="196"/>
      <c r="P783" s="192"/>
    </row>
    <row r="784" ht="15.75" customHeight="1">
      <c r="A784" s="186"/>
      <c r="B784" s="197"/>
      <c r="C784" s="198"/>
      <c r="D784" s="199"/>
      <c r="E784" s="200"/>
      <c r="F784" s="201"/>
      <c r="G784" s="201"/>
      <c r="H784" s="199"/>
      <c r="I784" s="200"/>
      <c r="J784" s="187"/>
      <c r="K784" s="189"/>
      <c r="L784" s="187"/>
      <c r="M784" s="187"/>
      <c r="N784" s="190"/>
      <c r="O784" s="196"/>
      <c r="P784" s="192"/>
    </row>
    <row r="785" ht="15.75" customHeight="1">
      <c r="A785" s="186"/>
      <c r="B785" s="197"/>
      <c r="C785" s="198"/>
      <c r="D785" s="199"/>
      <c r="E785" s="200"/>
      <c r="F785" s="201"/>
      <c r="G785" s="201"/>
      <c r="H785" s="199"/>
      <c r="I785" s="200"/>
      <c r="J785" s="187"/>
      <c r="K785" s="189"/>
      <c r="L785" s="187"/>
      <c r="M785" s="187"/>
      <c r="N785" s="190"/>
      <c r="O785" s="196"/>
      <c r="P785" s="192"/>
    </row>
    <row r="786" ht="15.75" customHeight="1">
      <c r="A786" s="186"/>
      <c r="B786" s="197"/>
      <c r="C786" s="198"/>
      <c r="D786" s="199"/>
      <c r="E786" s="200"/>
      <c r="F786" s="201"/>
      <c r="G786" s="201"/>
      <c r="H786" s="199"/>
      <c r="I786" s="200"/>
      <c r="J786" s="187"/>
      <c r="K786" s="189"/>
      <c r="L786" s="187"/>
      <c r="M786" s="187"/>
      <c r="N786" s="190"/>
      <c r="O786" s="196"/>
      <c r="P786" s="192"/>
    </row>
    <row r="787" ht="15.75" customHeight="1">
      <c r="A787" s="186"/>
      <c r="B787" s="197"/>
      <c r="C787" s="198"/>
      <c r="D787" s="199"/>
      <c r="E787" s="200"/>
      <c r="F787" s="201"/>
      <c r="G787" s="201"/>
      <c r="H787" s="199"/>
      <c r="I787" s="200"/>
      <c r="J787" s="187"/>
      <c r="K787" s="189"/>
      <c r="L787" s="187"/>
      <c r="M787" s="187"/>
      <c r="N787" s="190"/>
      <c r="O787" s="196"/>
      <c r="P787" s="192"/>
    </row>
    <row r="788" ht="15.75" customHeight="1">
      <c r="A788" s="186"/>
      <c r="B788" s="197"/>
      <c r="C788" s="198"/>
      <c r="D788" s="199"/>
      <c r="E788" s="200"/>
      <c r="F788" s="201"/>
      <c r="G788" s="201"/>
      <c r="H788" s="199"/>
      <c r="I788" s="200"/>
      <c r="J788" s="187"/>
      <c r="K788" s="189"/>
      <c r="L788" s="187"/>
      <c r="M788" s="187"/>
      <c r="N788" s="190"/>
      <c r="O788" s="196"/>
      <c r="P788" s="192"/>
    </row>
    <row r="789" ht="15.75" customHeight="1">
      <c r="A789" s="186"/>
      <c r="B789" s="197"/>
      <c r="C789" s="198"/>
      <c r="D789" s="199"/>
      <c r="E789" s="200"/>
      <c r="F789" s="201"/>
      <c r="G789" s="201"/>
      <c r="H789" s="199"/>
      <c r="I789" s="200"/>
      <c r="J789" s="187"/>
      <c r="K789" s="189"/>
      <c r="L789" s="187"/>
      <c r="M789" s="187"/>
      <c r="N789" s="190"/>
      <c r="O789" s="196"/>
      <c r="P789" s="192"/>
    </row>
    <row r="790" ht="15.75" customHeight="1">
      <c r="A790" s="186"/>
      <c r="B790" s="197"/>
      <c r="C790" s="198"/>
      <c r="D790" s="199"/>
      <c r="E790" s="200"/>
      <c r="F790" s="201"/>
      <c r="G790" s="201"/>
      <c r="H790" s="199"/>
      <c r="I790" s="200"/>
      <c r="J790" s="187"/>
      <c r="K790" s="189"/>
      <c r="L790" s="187"/>
      <c r="M790" s="187"/>
      <c r="N790" s="190"/>
      <c r="O790" s="196"/>
      <c r="P790" s="192"/>
    </row>
    <row r="791" ht="15.75" customHeight="1">
      <c r="A791" s="186"/>
      <c r="B791" s="197"/>
      <c r="C791" s="198"/>
      <c r="D791" s="199"/>
      <c r="E791" s="200"/>
      <c r="F791" s="201"/>
      <c r="G791" s="201"/>
      <c r="H791" s="199"/>
      <c r="I791" s="200"/>
      <c r="J791" s="187"/>
      <c r="K791" s="189"/>
      <c r="L791" s="187"/>
      <c r="M791" s="187"/>
      <c r="N791" s="190"/>
      <c r="O791" s="196"/>
      <c r="P791" s="192"/>
    </row>
    <row r="792" ht="15.75" customHeight="1">
      <c r="A792" s="186"/>
      <c r="B792" s="197"/>
      <c r="C792" s="198"/>
      <c r="D792" s="199"/>
      <c r="E792" s="200"/>
      <c r="F792" s="201"/>
      <c r="G792" s="201"/>
      <c r="H792" s="199"/>
      <c r="I792" s="200"/>
      <c r="J792" s="187"/>
      <c r="K792" s="189"/>
      <c r="L792" s="187"/>
      <c r="M792" s="187"/>
      <c r="N792" s="190"/>
      <c r="O792" s="196"/>
      <c r="P792" s="192"/>
    </row>
    <row r="793" ht="15.75" customHeight="1">
      <c r="A793" s="186"/>
      <c r="B793" s="197"/>
      <c r="C793" s="198"/>
      <c r="D793" s="199"/>
      <c r="E793" s="200"/>
      <c r="F793" s="201"/>
      <c r="G793" s="201"/>
      <c r="H793" s="199"/>
      <c r="I793" s="200"/>
      <c r="J793" s="187"/>
      <c r="K793" s="189"/>
      <c r="L793" s="187"/>
      <c r="M793" s="187"/>
      <c r="N793" s="190"/>
      <c r="O793" s="196"/>
      <c r="P793" s="192"/>
    </row>
    <row r="794" ht="15.75" customHeight="1">
      <c r="A794" s="186"/>
      <c r="B794" s="197"/>
      <c r="C794" s="198"/>
      <c r="D794" s="199"/>
      <c r="E794" s="200"/>
      <c r="F794" s="201"/>
      <c r="G794" s="201"/>
      <c r="H794" s="199"/>
      <c r="I794" s="200"/>
      <c r="J794" s="187"/>
      <c r="K794" s="189"/>
      <c r="L794" s="187"/>
      <c r="M794" s="187"/>
      <c r="N794" s="190"/>
      <c r="O794" s="196"/>
      <c r="P794" s="192"/>
    </row>
    <row r="795" ht="15.75" customHeight="1">
      <c r="A795" s="186"/>
      <c r="B795" s="197"/>
      <c r="C795" s="198"/>
      <c r="D795" s="199"/>
      <c r="E795" s="200"/>
      <c r="F795" s="201"/>
      <c r="G795" s="201"/>
      <c r="H795" s="199"/>
      <c r="I795" s="200"/>
      <c r="J795" s="187"/>
      <c r="K795" s="189"/>
      <c r="L795" s="187"/>
      <c r="M795" s="187"/>
      <c r="N795" s="190"/>
      <c r="O795" s="196"/>
      <c r="P795" s="192"/>
    </row>
    <row r="796" ht="15.75" customHeight="1">
      <c r="A796" s="186"/>
      <c r="B796" s="197"/>
      <c r="C796" s="198"/>
      <c r="D796" s="199"/>
      <c r="E796" s="200"/>
      <c r="F796" s="201"/>
      <c r="G796" s="201"/>
      <c r="H796" s="199"/>
      <c r="I796" s="200"/>
      <c r="J796" s="187"/>
      <c r="K796" s="189"/>
      <c r="L796" s="187"/>
      <c r="M796" s="187"/>
      <c r="N796" s="190"/>
      <c r="O796" s="196"/>
      <c r="P796" s="192"/>
    </row>
    <row r="797" ht="15.75" customHeight="1">
      <c r="A797" s="186"/>
      <c r="B797" s="197"/>
      <c r="C797" s="198"/>
      <c r="D797" s="199"/>
      <c r="E797" s="200"/>
      <c r="F797" s="201"/>
      <c r="G797" s="201"/>
      <c r="H797" s="199"/>
      <c r="I797" s="200"/>
      <c r="J797" s="187"/>
      <c r="K797" s="189"/>
      <c r="L797" s="187"/>
      <c r="M797" s="187"/>
      <c r="N797" s="190"/>
      <c r="O797" s="196"/>
      <c r="P797" s="192"/>
    </row>
    <row r="798" ht="15.75" customHeight="1">
      <c r="A798" s="186"/>
      <c r="B798" s="197"/>
      <c r="C798" s="198"/>
      <c r="D798" s="199"/>
      <c r="E798" s="200"/>
      <c r="F798" s="201"/>
      <c r="G798" s="201"/>
      <c r="H798" s="199"/>
      <c r="I798" s="200"/>
      <c r="J798" s="187"/>
      <c r="K798" s="189"/>
      <c r="L798" s="187"/>
      <c r="M798" s="187"/>
      <c r="N798" s="190"/>
      <c r="O798" s="196"/>
      <c r="P798" s="192"/>
    </row>
    <row r="799" ht="15.75" customHeight="1">
      <c r="A799" s="186"/>
      <c r="B799" s="197"/>
      <c r="C799" s="198"/>
      <c r="D799" s="199"/>
      <c r="E799" s="200"/>
      <c r="F799" s="201"/>
      <c r="G799" s="201"/>
      <c r="H799" s="199"/>
      <c r="I799" s="200"/>
      <c r="J799" s="187"/>
      <c r="K799" s="189"/>
      <c r="L799" s="187"/>
      <c r="M799" s="187"/>
      <c r="N799" s="190"/>
      <c r="O799" s="196"/>
      <c r="P799" s="192"/>
    </row>
    <row r="800" ht="15.75" customHeight="1">
      <c r="A800" s="186"/>
      <c r="B800" s="197"/>
      <c r="C800" s="198"/>
      <c r="D800" s="199"/>
      <c r="E800" s="200"/>
      <c r="F800" s="201"/>
      <c r="G800" s="201"/>
      <c r="H800" s="199"/>
      <c r="I800" s="200"/>
      <c r="J800" s="187"/>
      <c r="K800" s="189"/>
      <c r="L800" s="187"/>
      <c r="M800" s="187"/>
      <c r="N800" s="190"/>
      <c r="O800" s="196"/>
      <c r="P800" s="192"/>
    </row>
    <row r="801" ht="15.75" customHeight="1">
      <c r="A801" s="186"/>
      <c r="B801" s="197"/>
      <c r="C801" s="198"/>
      <c r="D801" s="199"/>
      <c r="E801" s="200"/>
      <c r="F801" s="201"/>
      <c r="G801" s="201"/>
      <c r="H801" s="199"/>
      <c r="I801" s="200"/>
      <c r="J801" s="187"/>
      <c r="K801" s="189"/>
      <c r="L801" s="187"/>
      <c r="M801" s="187"/>
      <c r="N801" s="190"/>
      <c r="O801" s="196"/>
      <c r="P801" s="192"/>
    </row>
    <row r="802" ht="15.75" customHeight="1">
      <c r="A802" s="186"/>
      <c r="B802" s="197"/>
      <c r="C802" s="198"/>
      <c r="D802" s="199"/>
      <c r="E802" s="200"/>
      <c r="F802" s="201"/>
      <c r="G802" s="201"/>
      <c r="H802" s="199"/>
      <c r="I802" s="200"/>
      <c r="J802" s="187"/>
      <c r="K802" s="189"/>
      <c r="L802" s="187"/>
      <c r="M802" s="187"/>
      <c r="N802" s="190"/>
      <c r="O802" s="196"/>
      <c r="P802" s="192"/>
    </row>
    <row r="803" ht="15.75" customHeight="1">
      <c r="A803" s="186"/>
      <c r="B803" s="197"/>
      <c r="C803" s="198"/>
      <c r="D803" s="199"/>
      <c r="E803" s="200"/>
      <c r="F803" s="201"/>
      <c r="G803" s="201"/>
      <c r="H803" s="199"/>
      <c r="I803" s="200"/>
      <c r="J803" s="187"/>
      <c r="K803" s="189"/>
      <c r="L803" s="187"/>
      <c r="M803" s="187"/>
      <c r="N803" s="190"/>
      <c r="O803" s="196"/>
      <c r="P803" s="192"/>
    </row>
    <row r="804" ht="15.75" customHeight="1">
      <c r="A804" s="186"/>
      <c r="B804" s="197"/>
      <c r="C804" s="198"/>
      <c r="D804" s="199"/>
      <c r="E804" s="200"/>
      <c r="F804" s="201"/>
      <c r="G804" s="201"/>
      <c r="H804" s="199"/>
      <c r="I804" s="200"/>
      <c r="J804" s="187"/>
      <c r="K804" s="189"/>
      <c r="L804" s="187"/>
      <c r="M804" s="187"/>
      <c r="N804" s="190"/>
      <c r="O804" s="196"/>
      <c r="P804" s="192"/>
    </row>
    <row r="805" ht="15.75" customHeight="1">
      <c r="A805" s="186"/>
      <c r="B805" s="197"/>
      <c r="C805" s="198"/>
      <c r="D805" s="199"/>
      <c r="E805" s="200"/>
      <c r="F805" s="201"/>
      <c r="G805" s="201"/>
      <c r="H805" s="199"/>
      <c r="I805" s="200"/>
      <c r="J805" s="187"/>
      <c r="K805" s="189"/>
      <c r="L805" s="187"/>
      <c r="M805" s="187"/>
      <c r="N805" s="190"/>
      <c r="O805" s="196"/>
      <c r="P805" s="192"/>
    </row>
    <row r="806" ht="15.75" customHeight="1">
      <c r="A806" s="186"/>
      <c r="B806" s="197"/>
      <c r="C806" s="198"/>
      <c r="D806" s="199"/>
      <c r="E806" s="200"/>
      <c r="F806" s="201"/>
      <c r="G806" s="201"/>
      <c r="H806" s="199"/>
      <c r="I806" s="200"/>
      <c r="J806" s="187"/>
      <c r="K806" s="189"/>
      <c r="L806" s="187"/>
      <c r="M806" s="187"/>
      <c r="N806" s="190"/>
      <c r="O806" s="196"/>
      <c r="P806" s="192"/>
    </row>
    <row r="807" ht="15.75" customHeight="1">
      <c r="A807" s="186"/>
      <c r="B807" s="197"/>
      <c r="C807" s="198"/>
      <c r="D807" s="199"/>
      <c r="E807" s="200"/>
      <c r="F807" s="201"/>
      <c r="G807" s="201"/>
      <c r="H807" s="199"/>
      <c r="I807" s="200"/>
      <c r="J807" s="187"/>
      <c r="K807" s="189"/>
      <c r="L807" s="187"/>
      <c r="M807" s="187"/>
      <c r="N807" s="190"/>
      <c r="O807" s="196"/>
      <c r="P807" s="192"/>
    </row>
    <row r="808" ht="15.75" customHeight="1">
      <c r="A808" s="186"/>
      <c r="B808" s="197"/>
      <c r="C808" s="198"/>
      <c r="D808" s="199"/>
      <c r="E808" s="200"/>
      <c r="F808" s="201"/>
      <c r="G808" s="201"/>
      <c r="H808" s="199"/>
      <c r="I808" s="200"/>
      <c r="J808" s="187"/>
      <c r="K808" s="189"/>
      <c r="L808" s="187"/>
      <c r="M808" s="187"/>
      <c r="N808" s="190"/>
      <c r="O808" s="196"/>
      <c r="P808" s="192"/>
    </row>
    <row r="809" ht="15.75" customHeight="1">
      <c r="A809" s="186"/>
      <c r="B809" s="197"/>
      <c r="C809" s="198"/>
      <c r="D809" s="199"/>
      <c r="E809" s="200"/>
      <c r="F809" s="201"/>
      <c r="G809" s="201"/>
      <c r="H809" s="199"/>
      <c r="I809" s="200"/>
      <c r="J809" s="187"/>
      <c r="K809" s="189"/>
      <c r="L809" s="187"/>
      <c r="M809" s="187"/>
      <c r="N809" s="190"/>
      <c r="O809" s="196"/>
      <c r="P809" s="192"/>
    </row>
    <row r="810" ht="15.75" customHeight="1">
      <c r="A810" s="186"/>
      <c r="B810" s="197"/>
      <c r="C810" s="198"/>
      <c r="D810" s="199"/>
      <c r="E810" s="200"/>
      <c r="F810" s="201"/>
      <c r="G810" s="201"/>
      <c r="H810" s="199"/>
      <c r="I810" s="200"/>
      <c r="J810" s="187"/>
      <c r="K810" s="189"/>
      <c r="L810" s="187"/>
      <c r="M810" s="187"/>
      <c r="N810" s="190"/>
      <c r="O810" s="196"/>
      <c r="P810" s="192"/>
    </row>
    <row r="811" ht="15.75" customHeight="1">
      <c r="A811" s="186"/>
      <c r="B811" s="197"/>
      <c r="C811" s="198"/>
      <c r="D811" s="199"/>
      <c r="E811" s="200"/>
      <c r="F811" s="201"/>
      <c r="G811" s="201"/>
      <c r="H811" s="199"/>
      <c r="I811" s="200"/>
      <c r="J811" s="187"/>
      <c r="K811" s="189"/>
      <c r="L811" s="187"/>
      <c r="M811" s="187"/>
      <c r="N811" s="190"/>
      <c r="O811" s="196"/>
      <c r="P811" s="192"/>
    </row>
    <row r="812" ht="15.75" customHeight="1">
      <c r="A812" s="186"/>
      <c r="B812" s="197"/>
      <c r="C812" s="198"/>
      <c r="D812" s="199"/>
      <c r="E812" s="200"/>
      <c r="F812" s="201"/>
      <c r="G812" s="201"/>
      <c r="H812" s="199"/>
      <c r="I812" s="200"/>
      <c r="J812" s="187"/>
      <c r="K812" s="189"/>
      <c r="L812" s="187"/>
      <c r="M812" s="187"/>
      <c r="N812" s="190"/>
      <c r="O812" s="196"/>
      <c r="P812" s="192"/>
    </row>
    <row r="813" ht="15.75" customHeight="1">
      <c r="A813" s="186"/>
      <c r="B813" s="197"/>
      <c r="C813" s="198"/>
      <c r="D813" s="199"/>
      <c r="E813" s="200"/>
      <c r="F813" s="201"/>
      <c r="G813" s="201"/>
      <c r="H813" s="199"/>
      <c r="I813" s="200"/>
      <c r="J813" s="187"/>
      <c r="K813" s="189"/>
      <c r="L813" s="187"/>
      <c r="M813" s="187"/>
      <c r="N813" s="190"/>
      <c r="O813" s="196"/>
      <c r="P813" s="192"/>
    </row>
    <row r="814" ht="15.75" customHeight="1">
      <c r="A814" s="186"/>
      <c r="B814" s="197"/>
      <c r="C814" s="198"/>
      <c r="D814" s="199"/>
      <c r="E814" s="200"/>
      <c r="F814" s="201"/>
      <c r="G814" s="201"/>
      <c r="H814" s="199"/>
      <c r="I814" s="200"/>
      <c r="J814" s="187"/>
      <c r="K814" s="189"/>
      <c r="L814" s="187"/>
      <c r="M814" s="187"/>
      <c r="N814" s="190"/>
      <c r="O814" s="196"/>
      <c r="P814" s="192"/>
    </row>
    <row r="815" ht="15.75" customHeight="1">
      <c r="A815" s="186"/>
      <c r="B815" s="197"/>
      <c r="C815" s="198"/>
      <c r="D815" s="199"/>
      <c r="E815" s="200"/>
      <c r="F815" s="201"/>
      <c r="G815" s="201"/>
      <c r="H815" s="199"/>
      <c r="I815" s="200"/>
      <c r="J815" s="187"/>
      <c r="K815" s="189"/>
      <c r="L815" s="187"/>
      <c r="M815" s="187"/>
      <c r="N815" s="190"/>
      <c r="O815" s="196"/>
      <c r="P815" s="192"/>
    </row>
    <row r="816" ht="15.75" customHeight="1">
      <c r="A816" s="186"/>
      <c r="B816" s="197"/>
      <c r="C816" s="198"/>
      <c r="D816" s="199"/>
      <c r="E816" s="200"/>
      <c r="F816" s="201"/>
      <c r="G816" s="201"/>
      <c r="H816" s="199"/>
      <c r="I816" s="200"/>
      <c r="J816" s="187"/>
      <c r="K816" s="189"/>
      <c r="L816" s="187"/>
      <c r="M816" s="187"/>
      <c r="N816" s="190"/>
      <c r="O816" s="196"/>
      <c r="P816" s="192"/>
    </row>
    <row r="817" ht="15.75" customHeight="1">
      <c r="A817" s="186"/>
      <c r="B817" s="197"/>
      <c r="C817" s="198"/>
      <c r="D817" s="199"/>
      <c r="E817" s="200"/>
      <c r="F817" s="201"/>
      <c r="G817" s="201"/>
      <c r="H817" s="199"/>
      <c r="I817" s="200"/>
      <c r="J817" s="187"/>
      <c r="K817" s="189"/>
      <c r="L817" s="187"/>
      <c r="M817" s="187"/>
      <c r="N817" s="190"/>
      <c r="O817" s="196"/>
      <c r="P817" s="192"/>
    </row>
    <row r="818" ht="15.75" customHeight="1">
      <c r="A818" s="186"/>
      <c r="B818" s="197"/>
      <c r="C818" s="198"/>
      <c r="D818" s="199"/>
      <c r="E818" s="200"/>
      <c r="F818" s="201"/>
      <c r="G818" s="201"/>
      <c r="H818" s="199"/>
      <c r="I818" s="200"/>
      <c r="J818" s="187"/>
      <c r="K818" s="189"/>
      <c r="L818" s="187"/>
      <c r="M818" s="187"/>
      <c r="N818" s="190"/>
      <c r="O818" s="196"/>
      <c r="P818" s="192"/>
    </row>
    <row r="819" ht="15.75" customHeight="1">
      <c r="A819" s="186"/>
      <c r="B819" s="197"/>
      <c r="C819" s="198"/>
      <c r="D819" s="199"/>
      <c r="E819" s="200"/>
      <c r="F819" s="201"/>
      <c r="G819" s="201"/>
      <c r="H819" s="199"/>
      <c r="I819" s="200"/>
      <c r="J819" s="187"/>
      <c r="K819" s="189"/>
      <c r="L819" s="187"/>
      <c r="M819" s="187"/>
      <c r="N819" s="190"/>
      <c r="O819" s="196"/>
      <c r="P819" s="192"/>
    </row>
    <row r="820" ht="15.75" customHeight="1">
      <c r="A820" s="186"/>
      <c r="B820" s="197"/>
      <c r="C820" s="198"/>
      <c r="D820" s="199"/>
      <c r="E820" s="200"/>
      <c r="F820" s="201"/>
      <c r="G820" s="201"/>
      <c r="H820" s="199"/>
      <c r="I820" s="200"/>
      <c r="J820" s="187"/>
      <c r="K820" s="189"/>
      <c r="L820" s="187"/>
      <c r="M820" s="187"/>
      <c r="N820" s="190"/>
      <c r="O820" s="196"/>
      <c r="P820" s="192"/>
    </row>
    <row r="821" ht="15.75" customHeight="1">
      <c r="A821" s="186"/>
      <c r="B821" s="197"/>
      <c r="C821" s="198"/>
      <c r="D821" s="199"/>
      <c r="E821" s="200"/>
      <c r="F821" s="201"/>
      <c r="G821" s="201"/>
      <c r="H821" s="199"/>
      <c r="I821" s="200"/>
      <c r="J821" s="187"/>
      <c r="K821" s="189"/>
      <c r="L821" s="187"/>
      <c r="M821" s="187"/>
      <c r="N821" s="190"/>
      <c r="O821" s="196"/>
      <c r="P821" s="192"/>
    </row>
    <row r="822" ht="15.75" customHeight="1">
      <c r="A822" s="186"/>
      <c r="B822" s="197"/>
      <c r="C822" s="198"/>
      <c r="D822" s="199"/>
      <c r="E822" s="200"/>
      <c r="F822" s="201"/>
      <c r="G822" s="201"/>
      <c r="H822" s="199"/>
      <c r="I822" s="200"/>
      <c r="J822" s="187"/>
      <c r="K822" s="189"/>
      <c r="L822" s="187"/>
      <c r="M822" s="187"/>
      <c r="N822" s="190"/>
      <c r="O822" s="196"/>
      <c r="P822" s="192"/>
    </row>
    <row r="823" ht="15.75" customHeight="1">
      <c r="A823" s="186"/>
      <c r="B823" s="197"/>
      <c r="C823" s="198"/>
      <c r="D823" s="199"/>
      <c r="E823" s="200"/>
      <c r="F823" s="201"/>
      <c r="G823" s="201"/>
      <c r="H823" s="199"/>
      <c r="I823" s="200"/>
      <c r="J823" s="187"/>
      <c r="K823" s="189"/>
      <c r="L823" s="187"/>
      <c r="M823" s="187"/>
      <c r="N823" s="190"/>
      <c r="O823" s="196"/>
      <c r="P823" s="192"/>
    </row>
    <row r="824" ht="15.75" customHeight="1">
      <c r="A824" s="186"/>
      <c r="B824" s="197"/>
      <c r="C824" s="198"/>
      <c r="D824" s="199"/>
      <c r="E824" s="200"/>
      <c r="F824" s="201"/>
      <c r="G824" s="201"/>
      <c r="H824" s="199"/>
      <c r="I824" s="200"/>
      <c r="J824" s="187"/>
      <c r="K824" s="189"/>
      <c r="L824" s="187"/>
      <c r="M824" s="187"/>
      <c r="N824" s="190"/>
      <c r="O824" s="196"/>
      <c r="P824" s="192"/>
    </row>
    <row r="825" ht="15.75" customHeight="1">
      <c r="A825" s="186"/>
      <c r="B825" s="197"/>
      <c r="C825" s="198"/>
      <c r="D825" s="199"/>
      <c r="E825" s="200"/>
      <c r="F825" s="201"/>
      <c r="G825" s="201"/>
      <c r="H825" s="199"/>
      <c r="I825" s="200"/>
      <c r="J825" s="187"/>
      <c r="K825" s="189"/>
      <c r="L825" s="187"/>
      <c r="M825" s="187"/>
      <c r="N825" s="190"/>
      <c r="O825" s="196"/>
      <c r="P825" s="192"/>
    </row>
    <row r="826" ht="15.75" customHeight="1">
      <c r="A826" s="186"/>
      <c r="B826" s="197"/>
      <c r="C826" s="198"/>
      <c r="D826" s="199"/>
      <c r="E826" s="200"/>
      <c r="F826" s="201"/>
      <c r="G826" s="201"/>
      <c r="H826" s="199"/>
      <c r="I826" s="200"/>
      <c r="J826" s="187"/>
      <c r="K826" s="189"/>
      <c r="L826" s="187"/>
      <c r="M826" s="187"/>
      <c r="N826" s="190"/>
      <c r="O826" s="196"/>
      <c r="P826" s="192"/>
    </row>
    <row r="827" ht="15.75" customHeight="1">
      <c r="A827" s="186"/>
      <c r="B827" s="197"/>
      <c r="C827" s="198"/>
      <c r="D827" s="199"/>
      <c r="E827" s="200"/>
      <c r="F827" s="201"/>
      <c r="G827" s="201"/>
      <c r="H827" s="199"/>
      <c r="I827" s="200"/>
      <c r="J827" s="187"/>
      <c r="K827" s="189"/>
      <c r="L827" s="187"/>
      <c r="M827" s="187"/>
      <c r="N827" s="190"/>
      <c r="O827" s="196"/>
      <c r="P827" s="192"/>
    </row>
    <row r="828" ht="15.75" customHeight="1">
      <c r="A828" s="186"/>
      <c r="B828" s="197"/>
      <c r="C828" s="198"/>
      <c r="D828" s="199"/>
      <c r="E828" s="200"/>
      <c r="F828" s="201"/>
      <c r="G828" s="201"/>
      <c r="H828" s="199"/>
      <c r="I828" s="200"/>
      <c r="J828" s="187"/>
      <c r="K828" s="189"/>
      <c r="L828" s="187"/>
      <c r="M828" s="187"/>
      <c r="N828" s="190"/>
      <c r="O828" s="196"/>
      <c r="P828" s="192"/>
    </row>
    <row r="829" ht="15.75" customHeight="1">
      <c r="A829" s="186"/>
      <c r="B829" s="197"/>
      <c r="C829" s="198"/>
      <c r="D829" s="199"/>
      <c r="E829" s="200"/>
      <c r="F829" s="201"/>
      <c r="G829" s="201"/>
      <c r="H829" s="199"/>
      <c r="I829" s="200"/>
      <c r="J829" s="187"/>
      <c r="K829" s="189"/>
      <c r="L829" s="187"/>
      <c r="M829" s="187"/>
      <c r="N829" s="190"/>
      <c r="O829" s="196"/>
      <c r="P829" s="192"/>
    </row>
    <row r="830" ht="15.75" customHeight="1">
      <c r="A830" s="186"/>
      <c r="B830" s="197"/>
      <c r="C830" s="198"/>
      <c r="D830" s="199"/>
      <c r="E830" s="200"/>
      <c r="F830" s="201"/>
      <c r="G830" s="201"/>
      <c r="H830" s="199"/>
      <c r="I830" s="200"/>
      <c r="J830" s="187"/>
      <c r="K830" s="189"/>
      <c r="L830" s="187"/>
      <c r="M830" s="187"/>
      <c r="N830" s="190"/>
      <c r="O830" s="196"/>
      <c r="P830" s="192"/>
    </row>
    <row r="831" ht="15.75" customHeight="1">
      <c r="A831" s="186"/>
      <c r="B831" s="197"/>
      <c r="C831" s="198"/>
      <c r="D831" s="199"/>
      <c r="E831" s="200"/>
      <c r="F831" s="201"/>
      <c r="G831" s="201"/>
      <c r="H831" s="199"/>
      <c r="I831" s="200"/>
      <c r="J831" s="187"/>
      <c r="K831" s="189"/>
      <c r="L831" s="187"/>
      <c r="M831" s="187"/>
      <c r="N831" s="190"/>
      <c r="O831" s="196"/>
      <c r="P831" s="192"/>
    </row>
    <row r="832" ht="15.75" customHeight="1">
      <c r="A832" s="186"/>
      <c r="B832" s="197"/>
      <c r="C832" s="198"/>
      <c r="D832" s="199"/>
      <c r="E832" s="200"/>
      <c r="F832" s="201"/>
      <c r="G832" s="201"/>
      <c r="H832" s="199"/>
      <c r="I832" s="200"/>
      <c r="J832" s="187"/>
      <c r="K832" s="189"/>
      <c r="L832" s="187"/>
      <c r="M832" s="187"/>
      <c r="N832" s="190"/>
      <c r="O832" s="196"/>
      <c r="P832" s="192"/>
    </row>
    <row r="833" ht="15.75" customHeight="1">
      <c r="A833" s="186"/>
      <c r="B833" s="197"/>
      <c r="C833" s="198"/>
      <c r="D833" s="199"/>
      <c r="E833" s="200"/>
      <c r="F833" s="201"/>
      <c r="G833" s="201"/>
      <c r="H833" s="199"/>
      <c r="I833" s="200"/>
      <c r="J833" s="187"/>
      <c r="K833" s="189"/>
      <c r="L833" s="187"/>
      <c r="M833" s="187"/>
      <c r="N833" s="190"/>
      <c r="O833" s="196"/>
      <c r="P833" s="192"/>
    </row>
    <row r="834" ht="15.75" customHeight="1">
      <c r="A834" s="186"/>
      <c r="B834" s="197"/>
      <c r="C834" s="198"/>
      <c r="D834" s="199"/>
      <c r="E834" s="200"/>
      <c r="F834" s="201"/>
      <c r="G834" s="201"/>
      <c r="H834" s="199"/>
      <c r="I834" s="200"/>
      <c r="J834" s="187"/>
      <c r="K834" s="189"/>
      <c r="L834" s="187"/>
      <c r="M834" s="187"/>
      <c r="N834" s="190"/>
      <c r="O834" s="196"/>
      <c r="P834" s="192"/>
    </row>
    <row r="835" ht="15.75" customHeight="1">
      <c r="A835" s="186"/>
      <c r="B835" s="197"/>
      <c r="C835" s="198"/>
      <c r="D835" s="199"/>
      <c r="E835" s="200"/>
      <c r="F835" s="201"/>
      <c r="G835" s="201"/>
      <c r="H835" s="199"/>
      <c r="I835" s="200"/>
      <c r="J835" s="187"/>
      <c r="K835" s="189"/>
      <c r="L835" s="187"/>
      <c r="M835" s="187"/>
      <c r="N835" s="190"/>
      <c r="O835" s="196"/>
      <c r="P835" s="192"/>
    </row>
    <row r="836" ht="15.75" customHeight="1">
      <c r="A836" s="186"/>
      <c r="B836" s="197"/>
      <c r="C836" s="198"/>
      <c r="D836" s="199"/>
      <c r="E836" s="200"/>
      <c r="F836" s="201"/>
      <c r="G836" s="201"/>
      <c r="H836" s="199"/>
      <c r="I836" s="200"/>
      <c r="J836" s="187"/>
      <c r="K836" s="189"/>
      <c r="L836" s="187"/>
      <c r="M836" s="187"/>
      <c r="N836" s="190"/>
      <c r="O836" s="196"/>
      <c r="P836" s="192"/>
    </row>
    <row r="837" ht="15.75" customHeight="1">
      <c r="A837" s="186"/>
      <c r="B837" s="197"/>
      <c r="C837" s="198"/>
      <c r="D837" s="199"/>
      <c r="E837" s="200"/>
      <c r="F837" s="201"/>
      <c r="G837" s="201"/>
      <c r="H837" s="199"/>
      <c r="I837" s="200"/>
      <c r="J837" s="187"/>
      <c r="K837" s="189"/>
      <c r="L837" s="187"/>
      <c r="M837" s="187"/>
      <c r="N837" s="190"/>
      <c r="O837" s="196"/>
      <c r="P837" s="192"/>
    </row>
    <row r="838" ht="15.75" customHeight="1">
      <c r="A838" s="186"/>
      <c r="B838" s="197"/>
      <c r="C838" s="198"/>
      <c r="D838" s="199"/>
      <c r="E838" s="200"/>
      <c r="F838" s="201"/>
      <c r="G838" s="201"/>
      <c r="H838" s="199"/>
      <c r="I838" s="200"/>
      <c r="J838" s="187"/>
      <c r="K838" s="189"/>
      <c r="L838" s="187"/>
      <c r="M838" s="187"/>
      <c r="N838" s="190"/>
      <c r="O838" s="196"/>
      <c r="P838" s="192"/>
    </row>
    <row r="839" ht="15.75" customHeight="1">
      <c r="A839" s="186"/>
      <c r="B839" s="197"/>
      <c r="C839" s="198"/>
      <c r="D839" s="199"/>
      <c r="E839" s="200"/>
      <c r="F839" s="201"/>
      <c r="G839" s="201"/>
      <c r="H839" s="199"/>
      <c r="I839" s="200"/>
      <c r="J839" s="187"/>
      <c r="K839" s="189"/>
      <c r="L839" s="187"/>
      <c r="M839" s="187"/>
      <c r="N839" s="190"/>
      <c r="O839" s="196"/>
      <c r="P839" s="192"/>
    </row>
    <row r="840" ht="15.75" customHeight="1">
      <c r="A840" s="186"/>
      <c r="B840" s="197"/>
      <c r="C840" s="198"/>
      <c r="D840" s="199"/>
      <c r="E840" s="200"/>
      <c r="F840" s="201"/>
      <c r="G840" s="201"/>
      <c r="H840" s="199"/>
      <c r="I840" s="200"/>
      <c r="J840" s="187"/>
      <c r="K840" s="189"/>
      <c r="L840" s="187"/>
      <c r="M840" s="187"/>
      <c r="N840" s="190"/>
      <c r="O840" s="196"/>
      <c r="P840" s="192"/>
    </row>
    <row r="841" ht="15.75" customHeight="1">
      <c r="A841" s="186"/>
      <c r="B841" s="197"/>
      <c r="C841" s="198"/>
      <c r="D841" s="199"/>
      <c r="E841" s="200"/>
      <c r="F841" s="201"/>
      <c r="G841" s="201"/>
      <c r="H841" s="199"/>
      <c r="I841" s="200"/>
      <c r="J841" s="187"/>
      <c r="K841" s="189"/>
      <c r="L841" s="187"/>
      <c r="M841" s="187"/>
      <c r="N841" s="190"/>
      <c r="O841" s="196"/>
      <c r="P841" s="192"/>
    </row>
    <row r="842" ht="15.75" customHeight="1">
      <c r="A842" s="186"/>
      <c r="B842" s="197"/>
      <c r="C842" s="198"/>
      <c r="D842" s="199"/>
      <c r="E842" s="200"/>
      <c r="F842" s="201"/>
      <c r="G842" s="201"/>
      <c r="H842" s="199"/>
      <c r="I842" s="200"/>
      <c r="J842" s="187"/>
      <c r="K842" s="189"/>
      <c r="L842" s="187"/>
      <c r="M842" s="187"/>
      <c r="N842" s="190"/>
      <c r="O842" s="196"/>
      <c r="P842" s="192"/>
    </row>
    <row r="843" ht="15.75" customHeight="1">
      <c r="A843" s="186"/>
      <c r="B843" s="197"/>
      <c r="C843" s="198"/>
      <c r="D843" s="199"/>
      <c r="E843" s="200"/>
      <c r="F843" s="201"/>
      <c r="G843" s="201"/>
      <c r="H843" s="199"/>
      <c r="I843" s="200"/>
      <c r="J843" s="187"/>
      <c r="K843" s="189"/>
      <c r="L843" s="187"/>
      <c r="M843" s="187"/>
      <c r="N843" s="190"/>
      <c r="O843" s="196"/>
      <c r="P843" s="192"/>
    </row>
    <row r="844" ht="15.75" customHeight="1">
      <c r="A844" s="186"/>
      <c r="B844" s="197"/>
      <c r="C844" s="198"/>
      <c r="D844" s="199"/>
      <c r="E844" s="200"/>
      <c r="F844" s="201"/>
      <c r="G844" s="201"/>
      <c r="H844" s="199"/>
      <c r="I844" s="200"/>
      <c r="J844" s="187"/>
      <c r="K844" s="189"/>
      <c r="L844" s="187"/>
      <c r="M844" s="187"/>
      <c r="N844" s="190"/>
      <c r="O844" s="196"/>
      <c r="P844" s="192"/>
    </row>
    <row r="845" ht="15.75" customHeight="1">
      <c r="A845" s="186"/>
      <c r="B845" s="197"/>
      <c r="C845" s="198"/>
      <c r="D845" s="199"/>
      <c r="E845" s="200"/>
      <c r="F845" s="201"/>
      <c r="G845" s="201"/>
      <c r="H845" s="199"/>
      <c r="I845" s="200"/>
      <c r="J845" s="187"/>
      <c r="K845" s="189"/>
      <c r="L845" s="187"/>
      <c r="M845" s="187"/>
      <c r="N845" s="190"/>
      <c r="O845" s="196"/>
      <c r="P845" s="192"/>
    </row>
    <row r="846" ht="15.75" customHeight="1">
      <c r="A846" s="186"/>
      <c r="B846" s="197"/>
      <c r="C846" s="198"/>
      <c r="D846" s="199"/>
      <c r="E846" s="200"/>
      <c r="F846" s="201"/>
      <c r="G846" s="201"/>
      <c r="H846" s="199"/>
      <c r="I846" s="200"/>
      <c r="J846" s="187"/>
      <c r="K846" s="189"/>
      <c r="L846" s="187"/>
      <c r="M846" s="187"/>
      <c r="N846" s="190"/>
      <c r="O846" s="196"/>
      <c r="P846" s="192"/>
    </row>
    <row r="847" ht="15.75" customHeight="1">
      <c r="A847" s="186"/>
      <c r="B847" s="197"/>
      <c r="C847" s="198"/>
      <c r="D847" s="199"/>
      <c r="E847" s="200"/>
      <c r="F847" s="201"/>
      <c r="G847" s="201"/>
      <c r="H847" s="199"/>
      <c r="I847" s="200"/>
      <c r="J847" s="187"/>
      <c r="K847" s="189"/>
      <c r="L847" s="187"/>
      <c r="M847" s="187"/>
      <c r="N847" s="190"/>
      <c r="O847" s="196"/>
      <c r="P847" s="192"/>
    </row>
    <row r="848" ht="15.75" customHeight="1">
      <c r="A848" s="186"/>
      <c r="B848" s="197"/>
      <c r="C848" s="198"/>
      <c r="D848" s="199"/>
      <c r="E848" s="200"/>
      <c r="F848" s="201"/>
      <c r="G848" s="201"/>
      <c r="H848" s="199"/>
      <c r="I848" s="200"/>
      <c r="J848" s="187"/>
      <c r="K848" s="189"/>
      <c r="L848" s="187"/>
      <c r="M848" s="187"/>
      <c r="N848" s="190"/>
      <c r="O848" s="196"/>
      <c r="P848" s="192"/>
    </row>
    <row r="849" ht="15.75" customHeight="1">
      <c r="A849" s="186"/>
      <c r="B849" s="197"/>
      <c r="C849" s="198"/>
      <c r="D849" s="199"/>
      <c r="E849" s="200"/>
      <c r="F849" s="201"/>
      <c r="G849" s="201"/>
      <c r="H849" s="199"/>
      <c r="I849" s="200"/>
      <c r="J849" s="187"/>
      <c r="K849" s="189"/>
      <c r="L849" s="187"/>
      <c r="M849" s="187"/>
      <c r="N849" s="190"/>
      <c r="O849" s="196"/>
      <c r="P849" s="192"/>
    </row>
    <row r="850" ht="15.75" customHeight="1">
      <c r="A850" s="186"/>
      <c r="B850" s="197"/>
      <c r="C850" s="198"/>
      <c r="D850" s="199"/>
      <c r="E850" s="200"/>
      <c r="F850" s="201"/>
      <c r="G850" s="201"/>
      <c r="H850" s="199"/>
      <c r="I850" s="200"/>
      <c r="J850" s="187"/>
      <c r="K850" s="189"/>
      <c r="L850" s="187"/>
      <c r="M850" s="187"/>
      <c r="N850" s="190"/>
      <c r="O850" s="196"/>
      <c r="P850" s="192"/>
    </row>
    <row r="851" ht="15.75" customHeight="1">
      <c r="A851" s="186"/>
      <c r="B851" s="197"/>
      <c r="C851" s="198"/>
      <c r="D851" s="199"/>
      <c r="E851" s="200"/>
      <c r="F851" s="201"/>
      <c r="G851" s="201"/>
      <c r="H851" s="199"/>
      <c r="I851" s="200"/>
      <c r="J851" s="187"/>
      <c r="K851" s="189"/>
      <c r="L851" s="187"/>
      <c r="M851" s="187"/>
      <c r="N851" s="190"/>
      <c r="O851" s="196"/>
      <c r="P851" s="192"/>
    </row>
    <row r="852" ht="15.75" customHeight="1">
      <c r="A852" s="186"/>
      <c r="B852" s="197"/>
      <c r="C852" s="198"/>
      <c r="D852" s="199"/>
      <c r="E852" s="200"/>
      <c r="F852" s="201"/>
      <c r="G852" s="201"/>
      <c r="H852" s="199"/>
      <c r="I852" s="200"/>
      <c r="J852" s="187"/>
      <c r="K852" s="189"/>
      <c r="L852" s="187"/>
      <c r="M852" s="187"/>
      <c r="N852" s="190"/>
      <c r="O852" s="196"/>
      <c r="P852" s="192"/>
    </row>
    <row r="853" ht="15.75" customHeight="1">
      <c r="A853" s="186"/>
      <c r="B853" s="197"/>
      <c r="C853" s="198"/>
      <c r="D853" s="199"/>
      <c r="E853" s="200"/>
      <c r="F853" s="201"/>
      <c r="G853" s="201"/>
      <c r="H853" s="199"/>
      <c r="I853" s="200"/>
      <c r="J853" s="187"/>
      <c r="K853" s="189"/>
      <c r="L853" s="187"/>
      <c r="M853" s="187"/>
      <c r="N853" s="190"/>
      <c r="O853" s="196"/>
      <c r="P853" s="192"/>
    </row>
    <row r="854" ht="15.75" customHeight="1">
      <c r="A854" s="186"/>
      <c r="B854" s="197"/>
      <c r="C854" s="198"/>
      <c r="D854" s="199"/>
      <c r="E854" s="200"/>
      <c r="F854" s="201"/>
      <c r="G854" s="201"/>
      <c r="H854" s="199"/>
      <c r="I854" s="200"/>
      <c r="J854" s="187"/>
      <c r="K854" s="189"/>
      <c r="L854" s="187"/>
      <c r="M854" s="187"/>
      <c r="N854" s="190"/>
      <c r="O854" s="196"/>
      <c r="P854" s="192"/>
    </row>
    <row r="855" ht="15.75" customHeight="1">
      <c r="A855" s="186"/>
      <c r="B855" s="197"/>
      <c r="C855" s="198"/>
      <c r="D855" s="199"/>
      <c r="E855" s="200"/>
      <c r="F855" s="201"/>
      <c r="G855" s="201"/>
      <c r="H855" s="199"/>
      <c r="I855" s="200"/>
      <c r="J855" s="187"/>
      <c r="K855" s="189"/>
      <c r="L855" s="187"/>
      <c r="M855" s="187"/>
      <c r="N855" s="190"/>
      <c r="O855" s="196"/>
      <c r="P855" s="192"/>
    </row>
    <row r="856" ht="15.75" customHeight="1">
      <c r="A856" s="186"/>
      <c r="B856" s="197"/>
      <c r="C856" s="198"/>
      <c r="D856" s="199"/>
      <c r="E856" s="200"/>
      <c r="F856" s="201"/>
      <c r="G856" s="201"/>
      <c r="H856" s="199"/>
      <c r="I856" s="200"/>
      <c r="J856" s="187"/>
      <c r="K856" s="189"/>
      <c r="L856" s="187"/>
      <c r="M856" s="187"/>
      <c r="N856" s="190"/>
      <c r="O856" s="196"/>
      <c r="P856" s="192"/>
    </row>
    <row r="857" ht="15.75" customHeight="1">
      <c r="A857" s="186"/>
      <c r="B857" s="197"/>
      <c r="C857" s="198"/>
      <c r="D857" s="199"/>
      <c r="E857" s="200"/>
      <c r="F857" s="201"/>
      <c r="G857" s="201"/>
      <c r="H857" s="199"/>
      <c r="I857" s="200"/>
      <c r="J857" s="187"/>
      <c r="K857" s="189"/>
      <c r="L857" s="187"/>
      <c r="M857" s="187"/>
      <c r="N857" s="190"/>
      <c r="O857" s="196"/>
      <c r="P857" s="192"/>
    </row>
    <row r="858" ht="15.75" customHeight="1">
      <c r="A858" s="186"/>
      <c r="B858" s="197"/>
      <c r="C858" s="198"/>
      <c r="D858" s="199"/>
      <c r="E858" s="200"/>
      <c r="F858" s="201"/>
      <c r="G858" s="201"/>
      <c r="H858" s="199"/>
      <c r="I858" s="200"/>
      <c r="J858" s="187"/>
      <c r="K858" s="189"/>
      <c r="L858" s="187"/>
      <c r="M858" s="187"/>
      <c r="N858" s="190"/>
      <c r="O858" s="196"/>
      <c r="P858" s="192"/>
    </row>
    <row r="859" ht="15.75" customHeight="1">
      <c r="A859" s="186"/>
      <c r="B859" s="197"/>
      <c r="C859" s="198"/>
      <c r="D859" s="199"/>
      <c r="E859" s="200"/>
      <c r="F859" s="201"/>
      <c r="G859" s="201"/>
      <c r="H859" s="199"/>
      <c r="I859" s="200"/>
      <c r="J859" s="187"/>
      <c r="K859" s="189"/>
      <c r="L859" s="187"/>
      <c r="M859" s="187"/>
      <c r="N859" s="190"/>
      <c r="O859" s="196"/>
      <c r="P859" s="192"/>
    </row>
    <row r="860" ht="15.75" customHeight="1">
      <c r="A860" s="186"/>
      <c r="B860" s="197"/>
      <c r="C860" s="198"/>
      <c r="D860" s="199"/>
      <c r="E860" s="200"/>
      <c r="F860" s="201"/>
      <c r="G860" s="201"/>
      <c r="H860" s="199"/>
      <c r="I860" s="200"/>
      <c r="J860" s="187"/>
      <c r="K860" s="189"/>
      <c r="L860" s="187"/>
      <c r="M860" s="187"/>
      <c r="N860" s="190"/>
      <c r="O860" s="196"/>
      <c r="P860" s="192"/>
    </row>
    <row r="861" ht="15.75" customHeight="1">
      <c r="A861" s="186"/>
      <c r="B861" s="197"/>
      <c r="C861" s="198"/>
      <c r="D861" s="199"/>
      <c r="E861" s="200"/>
      <c r="F861" s="201"/>
      <c r="G861" s="201"/>
      <c r="H861" s="199"/>
      <c r="I861" s="200"/>
      <c r="J861" s="187"/>
      <c r="K861" s="189"/>
      <c r="L861" s="187"/>
      <c r="M861" s="187"/>
      <c r="N861" s="190"/>
      <c r="O861" s="196"/>
      <c r="P861" s="192"/>
    </row>
    <row r="862" ht="15.75" customHeight="1">
      <c r="A862" s="186"/>
      <c r="B862" s="197"/>
      <c r="C862" s="198"/>
      <c r="D862" s="199"/>
      <c r="E862" s="200"/>
      <c r="F862" s="201"/>
      <c r="G862" s="201"/>
      <c r="H862" s="199"/>
      <c r="I862" s="200"/>
      <c r="J862" s="187"/>
      <c r="K862" s="189"/>
      <c r="L862" s="187"/>
      <c r="M862" s="187"/>
      <c r="N862" s="190"/>
      <c r="O862" s="196"/>
      <c r="P862" s="192"/>
    </row>
    <row r="863" ht="15.75" customHeight="1">
      <c r="A863" s="186"/>
      <c r="B863" s="197"/>
      <c r="C863" s="198"/>
      <c r="D863" s="199"/>
      <c r="E863" s="200"/>
      <c r="F863" s="201"/>
      <c r="G863" s="201"/>
      <c r="H863" s="199"/>
      <c r="I863" s="200"/>
      <c r="J863" s="187"/>
      <c r="K863" s="189"/>
      <c r="L863" s="187"/>
      <c r="M863" s="187"/>
      <c r="N863" s="190"/>
      <c r="O863" s="196"/>
      <c r="P863" s="192"/>
    </row>
    <row r="864" ht="15.75" customHeight="1">
      <c r="A864" s="186"/>
      <c r="B864" s="197"/>
      <c r="C864" s="198"/>
      <c r="D864" s="199"/>
      <c r="E864" s="200"/>
      <c r="F864" s="201"/>
      <c r="G864" s="201"/>
      <c r="H864" s="199"/>
      <c r="I864" s="200"/>
      <c r="J864" s="187"/>
      <c r="K864" s="189"/>
      <c r="L864" s="187"/>
      <c r="M864" s="187"/>
      <c r="N864" s="190"/>
      <c r="O864" s="196"/>
      <c r="P864" s="192"/>
    </row>
    <row r="865" ht="15.75" customHeight="1">
      <c r="A865" s="186"/>
      <c r="B865" s="197"/>
      <c r="C865" s="198"/>
      <c r="D865" s="199"/>
      <c r="E865" s="200"/>
      <c r="F865" s="201"/>
      <c r="G865" s="201"/>
      <c r="H865" s="199"/>
      <c r="I865" s="200"/>
      <c r="J865" s="187"/>
      <c r="K865" s="189"/>
      <c r="L865" s="187"/>
      <c r="M865" s="187"/>
      <c r="N865" s="190"/>
      <c r="O865" s="196"/>
      <c r="P865" s="192"/>
    </row>
    <row r="866" ht="15.75" customHeight="1">
      <c r="A866" s="186"/>
      <c r="B866" s="197"/>
      <c r="C866" s="198"/>
      <c r="D866" s="199"/>
      <c r="E866" s="200"/>
      <c r="F866" s="201"/>
      <c r="G866" s="201"/>
      <c r="H866" s="199"/>
      <c r="I866" s="200"/>
      <c r="J866" s="187"/>
      <c r="K866" s="189"/>
      <c r="L866" s="187"/>
      <c r="M866" s="187"/>
      <c r="N866" s="190"/>
      <c r="O866" s="196"/>
      <c r="P866" s="192"/>
    </row>
    <row r="867" ht="15.75" customHeight="1">
      <c r="A867" s="186"/>
      <c r="B867" s="197"/>
      <c r="C867" s="198"/>
      <c r="D867" s="199"/>
      <c r="E867" s="200"/>
      <c r="F867" s="201"/>
      <c r="G867" s="201"/>
      <c r="H867" s="199"/>
      <c r="I867" s="200"/>
      <c r="J867" s="187"/>
      <c r="K867" s="189"/>
      <c r="L867" s="187"/>
      <c r="M867" s="187"/>
      <c r="N867" s="190"/>
      <c r="O867" s="196"/>
      <c r="P867" s="192"/>
    </row>
    <row r="868" ht="15.75" customHeight="1">
      <c r="A868" s="186"/>
      <c r="B868" s="197"/>
      <c r="C868" s="198"/>
      <c r="D868" s="199"/>
      <c r="E868" s="200"/>
      <c r="F868" s="201"/>
      <c r="G868" s="201"/>
      <c r="H868" s="199"/>
      <c r="I868" s="200"/>
      <c r="J868" s="187"/>
      <c r="K868" s="189"/>
      <c r="L868" s="187"/>
      <c r="M868" s="187"/>
      <c r="N868" s="190"/>
      <c r="O868" s="196"/>
      <c r="P868" s="192"/>
    </row>
    <row r="869" ht="15.75" customHeight="1">
      <c r="A869" s="186"/>
      <c r="B869" s="197"/>
      <c r="C869" s="198"/>
      <c r="D869" s="199"/>
      <c r="E869" s="200"/>
      <c r="F869" s="201"/>
      <c r="G869" s="201"/>
      <c r="H869" s="199"/>
      <c r="I869" s="200"/>
      <c r="J869" s="187"/>
      <c r="K869" s="189"/>
      <c r="L869" s="187"/>
      <c r="M869" s="187"/>
      <c r="N869" s="190"/>
      <c r="O869" s="196"/>
      <c r="P869" s="192"/>
    </row>
    <row r="870" ht="15.75" customHeight="1">
      <c r="A870" s="186"/>
      <c r="B870" s="197"/>
      <c r="C870" s="198"/>
      <c r="D870" s="199"/>
      <c r="E870" s="200"/>
      <c r="F870" s="201"/>
      <c r="G870" s="201"/>
      <c r="H870" s="199"/>
      <c r="I870" s="200"/>
      <c r="J870" s="187"/>
      <c r="K870" s="189"/>
      <c r="L870" s="187"/>
      <c r="M870" s="187"/>
      <c r="N870" s="190"/>
      <c r="O870" s="196"/>
      <c r="P870" s="192"/>
    </row>
    <row r="871" ht="15.75" customHeight="1">
      <c r="A871" s="186"/>
      <c r="B871" s="197"/>
      <c r="C871" s="198"/>
      <c r="D871" s="199"/>
      <c r="E871" s="200"/>
      <c r="F871" s="201"/>
      <c r="G871" s="201"/>
      <c r="H871" s="199"/>
      <c r="I871" s="200"/>
      <c r="J871" s="187"/>
      <c r="K871" s="189"/>
      <c r="L871" s="187"/>
      <c r="M871" s="187"/>
      <c r="N871" s="190"/>
      <c r="O871" s="196"/>
      <c r="P871" s="192"/>
    </row>
    <row r="872" ht="15.75" customHeight="1">
      <c r="A872" s="186"/>
      <c r="B872" s="197"/>
      <c r="C872" s="198"/>
      <c r="D872" s="199"/>
      <c r="E872" s="200"/>
      <c r="F872" s="201"/>
      <c r="G872" s="201"/>
      <c r="H872" s="199"/>
      <c r="I872" s="200"/>
      <c r="J872" s="187"/>
      <c r="K872" s="189"/>
      <c r="L872" s="187"/>
      <c r="M872" s="187"/>
      <c r="N872" s="190"/>
      <c r="O872" s="196"/>
      <c r="P872" s="192"/>
    </row>
    <row r="873" ht="15.75" customHeight="1">
      <c r="A873" s="186"/>
      <c r="B873" s="197"/>
      <c r="C873" s="198"/>
      <c r="D873" s="199"/>
      <c r="E873" s="200"/>
      <c r="F873" s="201"/>
      <c r="G873" s="201"/>
      <c r="H873" s="199"/>
      <c r="I873" s="200"/>
      <c r="J873" s="187"/>
      <c r="K873" s="189"/>
      <c r="L873" s="187"/>
      <c r="M873" s="187"/>
      <c r="N873" s="190"/>
      <c r="O873" s="196"/>
      <c r="P873" s="192"/>
    </row>
    <row r="874" ht="15.75" customHeight="1">
      <c r="A874" s="186"/>
      <c r="B874" s="197"/>
      <c r="C874" s="198"/>
      <c r="D874" s="199"/>
      <c r="E874" s="200"/>
      <c r="F874" s="201"/>
      <c r="G874" s="201"/>
      <c r="H874" s="199"/>
      <c r="I874" s="200"/>
      <c r="J874" s="187"/>
      <c r="K874" s="189"/>
      <c r="L874" s="187"/>
      <c r="M874" s="187"/>
      <c r="N874" s="190"/>
      <c r="O874" s="196"/>
      <c r="P874" s="192"/>
    </row>
    <row r="875" ht="15.75" customHeight="1">
      <c r="A875" s="186"/>
      <c r="B875" s="197"/>
      <c r="C875" s="198"/>
      <c r="D875" s="199"/>
      <c r="E875" s="200"/>
      <c r="F875" s="201"/>
      <c r="G875" s="201"/>
      <c r="H875" s="199"/>
      <c r="I875" s="200"/>
      <c r="J875" s="187"/>
      <c r="K875" s="189"/>
      <c r="L875" s="187"/>
      <c r="M875" s="187"/>
      <c r="N875" s="190"/>
      <c r="O875" s="196"/>
      <c r="P875" s="192"/>
    </row>
    <row r="876" ht="15.75" customHeight="1">
      <c r="A876" s="186"/>
      <c r="B876" s="197"/>
      <c r="C876" s="198"/>
      <c r="D876" s="199"/>
      <c r="E876" s="200"/>
      <c r="F876" s="201"/>
      <c r="G876" s="201"/>
      <c r="H876" s="199"/>
      <c r="I876" s="200"/>
      <c r="J876" s="187"/>
      <c r="K876" s="189"/>
      <c r="L876" s="187"/>
      <c r="M876" s="187"/>
      <c r="N876" s="190"/>
      <c r="O876" s="196"/>
      <c r="P876" s="192"/>
    </row>
    <row r="877" ht="15.75" customHeight="1">
      <c r="A877" s="186"/>
      <c r="B877" s="197"/>
      <c r="C877" s="198"/>
      <c r="D877" s="199"/>
      <c r="E877" s="200"/>
      <c r="F877" s="201"/>
      <c r="G877" s="201"/>
      <c r="H877" s="199"/>
      <c r="I877" s="200"/>
      <c r="J877" s="187"/>
      <c r="K877" s="189"/>
      <c r="L877" s="187"/>
      <c r="M877" s="187"/>
      <c r="N877" s="190"/>
      <c r="O877" s="196"/>
      <c r="P877" s="192"/>
    </row>
    <row r="878" ht="15.75" customHeight="1">
      <c r="A878" s="186"/>
      <c r="B878" s="197"/>
      <c r="C878" s="198"/>
      <c r="D878" s="199"/>
      <c r="E878" s="200"/>
      <c r="F878" s="201"/>
      <c r="G878" s="201"/>
      <c r="H878" s="199"/>
      <c r="I878" s="200"/>
      <c r="J878" s="187"/>
      <c r="K878" s="189"/>
      <c r="L878" s="187"/>
      <c r="M878" s="187"/>
      <c r="N878" s="190"/>
      <c r="O878" s="196"/>
      <c r="P878" s="192"/>
    </row>
    <row r="879" ht="15.75" customHeight="1">
      <c r="A879" s="186"/>
      <c r="B879" s="197"/>
      <c r="C879" s="198"/>
      <c r="D879" s="199"/>
      <c r="E879" s="200"/>
      <c r="F879" s="201"/>
      <c r="G879" s="201"/>
      <c r="H879" s="199"/>
      <c r="I879" s="200"/>
      <c r="J879" s="187"/>
      <c r="K879" s="189"/>
      <c r="L879" s="187"/>
      <c r="M879" s="187"/>
      <c r="N879" s="190"/>
      <c r="O879" s="196"/>
      <c r="P879" s="192"/>
    </row>
    <row r="880" ht="15.75" customHeight="1">
      <c r="A880" s="186"/>
      <c r="B880" s="197"/>
      <c r="C880" s="198"/>
      <c r="D880" s="199"/>
      <c r="E880" s="200"/>
      <c r="F880" s="201"/>
      <c r="G880" s="201"/>
      <c r="H880" s="199"/>
      <c r="I880" s="200"/>
      <c r="J880" s="187"/>
      <c r="K880" s="189"/>
      <c r="L880" s="187"/>
      <c r="M880" s="187"/>
      <c r="N880" s="190"/>
      <c r="O880" s="196"/>
      <c r="P880" s="192"/>
    </row>
    <row r="881" ht="15.75" customHeight="1">
      <c r="A881" s="186"/>
      <c r="B881" s="197"/>
      <c r="C881" s="198"/>
      <c r="D881" s="199"/>
      <c r="E881" s="200"/>
      <c r="F881" s="201"/>
      <c r="G881" s="201"/>
      <c r="H881" s="199"/>
      <c r="I881" s="200"/>
      <c r="J881" s="187"/>
      <c r="K881" s="189"/>
      <c r="L881" s="187"/>
      <c r="M881" s="187"/>
      <c r="N881" s="190"/>
      <c r="O881" s="196"/>
      <c r="P881" s="192"/>
    </row>
    <row r="882" ht="15.75" customHeight="1">
      <c r="A882" s="186"/>
      <c r="B882" s="197"/>
      <c r="C882" s="198"/>
      <c r="D882" s="199"/>
      <c r="E882" s="200"/>
      <c r="F882" s="201"/>
      <c r="G882" s="201"/>
      <c r="H882" s="199"/>
      <c r="I882" s="200"/>
      <c r="J882" s="187"/>
      <c r="K882" s="189"/>
      <c r="L882" s="187"/>
      <c r="M882" s="187"/>
      <c r="N882" s="190"/>
      <c r="O882" s="196"/>
      <c r="P882" s="192"/>
    </row>
    <row r="883" ht="15.75" customHeight="1">
      <c r="A883" s="186"/>
      <c r="B883" s="197"/>
      <c r="C883" s="198"/>
      <c r="D883" s="199"/>
      <c r="E883" s="200"/>
      <c r="F883" s="201"/>
      <c r="G883" s="201"/>
      <c r="H883" s="199"/>
      <c r="I883" s="200"/>
      <c r="J883" s="187"/>
      <c r="K883" s="189"/>
      <c r="L883" s="187"/>
      <c r="M883" s="187"/>
      <c r="N883" s="190"/>
      <c r="O883" s="196"/>
      <c r="P883" s="192"/>
    </row>
    <row r="884" ht="15.75" customHeight="1">
      <c r="A884" s="186"/>
      <c r="B884" s="197"/>
      <c r="C884" s="198"/>
      <c r="D884" s="199"/>
      <c r="E884" s="200"/>
      <c r="F884" s="201"/>
      <c r="G884" s="201"/>
      <c r="H884" s="199"/>
      <c r="I884" s="200"/>
      <c r="J884" s="187"/>
      <c r="K884" s="189"/>
      <c r="L884" s="187"/>
      <c r="M884" s="187"/>
      <c r="N884" s="190"/>
      <c r="O884" s="196"/>
      <c r="P884" s="192"/>
    </row>
    <row r="885" ht="15.75" customHeight="1">
      <c r="A885" s="186"/>
      <c r="B885" s="197"/>
      <c r="C885" s="198"/>
      <c r="D885" s="199"/>
      <c r="E885" s="200"/>
      <c r="F885" s="201"/>
      <c r="G885" s="201"/>
      <c r="H885" s="199"/>
      <c r="I885" s="200"/>
      <c r="J885" s="187"/>
      <c r="K885" s="189"/>
      <c r="L885" s="187"/>
      <c r="M885" s="187"/>
      <c r="N885" s="190"/>
      <c r="O885" s="196"/>
      <c r="P885" s="192"/>
    </row>
    <row r="886" ht="15.75" customHeight="1">
      <c r="A886" s="186"/>
      <c r="B886" s="197"/>
      <c r="C886" s="198"/>
      <c r="D886" s="199"/>
      <c r="E886" s="200"/>
      <c r="F886" s="201"/>
      <c r="G886" s="201"/>
      <c r="H886" s="199"/>
      <c r="I886" s="200"/>
      <c r="J886" s="187"/>
      <c r="K886" s="189"/>
      <c r="L886" s="187"/>
      <c r="M886" s="187"/>
      <c r="N886" s="190"/>
      <c r="O886" s="196"/>
      <c r="P886" s="192"/>
    </row>
    <row r="887" ht="15.75" customHeight="1">
      <c r="A887" s="186"/>
      <c r="B887" s="197"/>
      <c r="C887" s="198"/>
      <c r="D887" s="199"/>
      <c r="E887" s="200"/>
      <c r="F887" s="201"/>
      <c r="G887" s="201"/>
      <c r="H887" s="199"/>
      <c r="I887" s="200"/>
      <c r="J887" s="187"/>
      <c r="K887" s="189"/>
      <c r="L887" s="187"/>
      <c r="M887" s="187"/>
      <c r="N887" s="190"/>
      <c r="O887" s="196"/>
      <c r="P887" s="192"/>
    </row>
    <row r="888" ht="15.75" customHeight="1">
      <c r="A888" s="186"/>
      <c r="B888" s="197"/>
      <c r="C888" s="198"/>
      <c r="D888" s="199"/>
      <c r="E888" s="200"/>
      <c r="F888" s="201"/>
      <c r="G888" s="201"/>
      <c r="H888" s="199"/>
      <c r="I888" s="200"/>
      <c r="J888" s="187"/>
      <c r="K888" s="189"/>
      <c r="L888" s="187"/>
      <c r="M888" s="187"/>
      <c r="N888" s="190"/>
      <c r="O888" s="196"/>
      <c r="P888" s="192"/>
    </row>
    <row r="889" ht="15.75" customHeight="1">
      <c r="A889" s="186"/>
      <c r="B889" s="197"/>
      <c r="C889" s="198"/>
      <c r="D889" s="199"/>
      <c r="E889" s="200"/>
      <c r="F889" s="201"/>
      <c r="G889" s="201"/>
      <c r="H889" s="199"/>
      <c r="I889" s="200"/>
      <c r="J889" s="187"/>
      <c r="K889" s="189"/>
      <c r="L889" s="187"/>
      <c r="M889" s="187"/>
      <c r="N889" s="190"/>
      <c r="O889" s="196"/>
      <c r="P889" s="192"/>
    </row>
    <row r="890" ht="15.75" customHeight="1">
      <c r="A890" s="186"/>
      <c r="B890" s="197"/>
      <c r="C890" s="198"/>
      <c r="D890" s="199"/>
      <c r="E890" s="200"/>
      <c r="F890" s="201"/>
      <c r="G890" s="201"/>
      <c r="H890" s="199"/>
      <c r="I890" s="200"/>
      <c r="J890" s="187"/>
      <c r="K890" s="189"/>
      <c r="L890" s="187"/>
      <c r="M890" s="187"/>
      <c r="N890" s="190"/>
      <c r="O890" s="196"/>
      <c r="P890" s="192"/>
    </row>
    <row r="891" ht="15.75" customHeight="1">
      <c r="A891" s="186"/>
      <c r="B891" s="197"/>
      <c r="C891" s="198"/>
      <c r="D891" s="199"/>
      <c r="E891" s="200"/>
      <c r="F891" s="201"/>
      <c r="G891" s="201"/>
      <c r="H891" s="199"/>
      <c r="I891" s="200"/>
      <c r="J891" s="187"/>
      <c r="K891" s="189"/>
      <c r="L891" s="187"/>
      <c r="M891" s="187"/>
      <c r="N891" s="190"/>
      <c r="O891" s="196"/>
      <c r="P891" s="192"/>
    </row>
    <row r="892" ht="15.75" customHeight="1">
      <c r="A892" s="186"/>
      <c r="B892" s="197"/>
      <c r="C892" s="198"/>
      <c r="D892" s="199"/>
      <c r="E892" s="200"/>
      <c r="F892" s="201"/>
      <c r="G892" s="201"/>
      <c r="H892" s="199"/>
      <c r="I892" s="200"/>
      <c r="J892" s="187"/>
      <c r="K892" s="189"/>
      <c r="L892" s="187"/>
      <c r="M892" s="187"/>
      <c r="N892" s="190"/>
      <c r="O892" s="196"/>
      <c r="P892" s="192"/>
    </row>
    <row r="893" ht="15.75" customHeight="1">
      <c r="A893" s="186"/>
      <c r="B893" s="197"/>
      <c r="C893" s="198"/>
      <c r="D893" s="199"/>
      <c r="E893" s="200"/>
      <c r="F893" s="201"/>
      <c r="G893" s="201"/>
      <c r="H893" s="199"/>
      <c r="I893" s="200"/>
      <c r="J893" s="187"/>
      <c r="K893" s="189"/>
      <c r="L893" s="187"/>
      <c r="M893" s="187"/>
      <c r="N893" s="190"/>
      <c r="O893" s="196"/>
      <c r="P893" s="192"/>
    </row>
    <row r="894" ht="15.75" customHeight="1">
      <c r="A894" s="186"/>
      <c r="B894" s="197"/>
      <c r="C894" s="198"/>
      <c r="D894" s="199"/>
      <c r="E894" s="200"/>
      <c r="F894" s="201"/>
      <c r="G894" s="201"/>
      <c r="H894" s="199"/>
      <c r="I894" s="200"/>
      <c r="J894" s="187"/>
      <c r="K894" s="189"/>
      <c r="L894" s="187"/>
      <c r="M894" s="187"/>
      <c r="N894" s="190"/>
      <c r="O894" s="196"/>
      <c r="P894" s="192"/>
    </row>
    <row r="895" ht="15.75" customHeight="1">
      <c r="A895" s="186"/>
      <c r="B895" s="197"/>
      <c r="C895" s="198"/>
      <c r="D895" s="199"/>
      <c r="E895" s="200"/>
      <c r="F895" s="201"/>
      <c r="G895" s="201"/>
      <c r="H895" s="199"/>
      <c r="I895" s="200"/>
      <c r="J895" s="187"/>
      <c r="K895" s="189"/>
      <c r="L895" s="187"/>
      <c r="M895" s="187"/>
      <c r="N895" s="190"/>
      <c r="O895" s="196"/>
      <c r="P895" s="192"/>
    </row>
    <row r="896" ht="15.75" customHeight="1">
      <c r="A896" s="186"/>
      <c r="B896" s="197"/>
      <c r="C896" s="198"/>
      <c r="D896" s="199"/>
      <c r="E896" s="200"/>
      <c r="F896" s="201"/>
      <c r="G896" s="201"/>
      <c r="H896" s="199"/>
      <c r="I896" s="200"/>
      <c r="J896" s="187"/>
      <c r="K896" s="189"/>
      <c r="L896" s="187"/>
      <c r="M896" s="187"/>
      <c r="N896" s="190"/>
      <c r="O896" s="196"/>
      <c r="P896" s="192"/>
    </row>
    <row r="897" ht="15.75" customHeight="1">
      <c r="A897" s="186"/>
      <c r="B897" s="197"/>
      <c r="C897" s="198"/>
      <c r="D897" s="199"/>
      <c r="E897" s="200"/>
      <c r="F897" s="201"/>
      <c r="G897" s="201"/>
      <c r="H897" s="199"/>
      <c r="I897" s="200"/>
      <c r="J897" s="187"/>
      <c r="K897" s="189"/>
      <c r="L897" s="187"/>
      <c r="M897" s="187"/>
      <c r="N897" s="190"/>
      <c r="O897" s="196"/>
      <c r="P897" s="192"/>
    </row>
    <row r="898" ht="15.75" customHeight="1">
      <c r="A898" s="186"/>
      <c r="B898" s="197"/>
      <c r="C898" s="198"/>
      <c r="D898" s="199"/>
      <c r="E898" s="200"/>
      <c r="F898" s="201"/>
      <c r="G898" s="201"/>
      <c r="H898" s="199"/>
      <c r="I898" s="200"/>
      <c r="J898" s="187"/>
      <c r="K898" s="189"/>
      <c r="L898" s="187"/>
      <c r="M898" s="187"/>
      <c r="N898" s="190"/>
      <c r="O898" s="196"/>
      <c r="P898" s="192"/>
    </row>
    <row r="899" ht="15.75" customHeight="1">
      <c r="A899" s="186"/>
      <c r="B899" s="197"/>
      <c r="C899" s="198"/>
      <c r="D899" s="199"/>
      <c r="E899" s="200"/>
      <c r="F899" s="201"/>
      <c r="G899" s="201"/>
      <c r="H899" s="199"/>
      <c r="I899" s="200"/>
      <c r="J899" s="187"/>
      <c r="K899" s="189"/>
      <c r="L899" s="187"/>
      <c r="M899" s="187"/>
      <c r="N899" s="190"/>
      <c r="O899" s="196"/>
      <c r="P899" s="192"/>
    </row>
    <row r="900" ht="15.75" customHeight="1">
      <c r="A900" s="186"/>
      <c r="B900" s="197"/>
      <c r="C900" s="198"/>
      <c r="D900" s="199"/>
      <c r="E900" s="200"/>
      <c r="F900" s="201"/>
      <c r="G900" s="201"/>
      <c r="H900" s="199"/>
      <c r="I900" s="200"/>
      <c r="J900" s="187"/>
      <c r="K900" s="189"/>
      <c r="L900" s="187"/>
      <c r="M900" s="187"/>
      <c r="N900" s="190"/>
      <c r="O900" s="196"/>
      <c r="P900" s="192"/>
    </row>
    <row r="901" ht="15.75" customHeight="1">
      <c r="A901" s="186"/>
      <c r="B901" s="197"/>
      <c r="C901" s="198"/>
      <c r="D901" s="199"/>
      <c r="E901" s="200"/>
      <c r="F901" s="201"/>
      <c r="G901" s="201"/>
      <c r="H901" s="199"/>
      <c r="I901" s="200"/>
      <c r="J901" s="187"/>
      <c r="K901" s="189"/>
      <c r="L901" s="187"/>
      <c r="M901" s="187"/>
      <c r="N901" s="190"/>
      <c r="O901" s="196"/>
      <c r="P901" s="192"/>
    </row>
    <row r="902" ht="15.75" customHeight="1">
      <c r="A902" s="186"/>
      <c r="B902" s="197"/>
      <c r="C902" s="198"/>
      <c r="D902" s="199"/>
      <c r="E902" s="200"/>
      <c r="F902" s="201"/>
      <c r="G902" s="201"/>
      <c r="H902" s="199"/>
      <c r="I902" s="200"/>
      <c r="J902" s="187"/>
      <c r="K902" s="189"/>
      <c r="L902" s="187"/>
      <c r="M902" s="187"/>
      <c r="N902" s="190"/>
      <c r="O902" s="196"/>
      <c r="P902" s="192"/>
    </row>
    <row r="903" ht="15.75" customHeight="1">
      <c r="A903" s="186"/>
      <c r="B903" s="197"/>
      <c r="C903" s="198"/>
      <c r="D903" s="199"/>
      <c r="E903" s="200"/>
      <c r="F903" s="201"/>
      <c r="G903" s="201"/>
      <c r="H903" s="199"/>
      <c r="I903" s="200"/>
      <c r="J903" s="187"/>
      <c r="K903" s="189"/>
      <c r="L903" s="187"/>
      <c r="M903" s="187"/>
      <c r="N903" s="190"/>
      <c r="O903" s="196"/>
      <c r="P903" s="192"/>
    </row>
    <row r="904" ht="15.75" customHeight="1">
      <c r="A904" s="186"/>
      <c r="B904" s="197"/>
      <c r="C904" s="198"/>
      <c r="D904" s="199"/>
      <c r="E904" s="200"/>
      <c r="F904" s="201"/>
      <c r="G904" s="201"/>
      <c r="H904" s="199"/>
      <c r="I904" s="200"/>
      <c r="J904" s="187"/>
      <c r="K904" s="189"/>
      <c r="L904" s="187"/>
      <c r="M904" s="187"/>
      <c r="N904" s="190"/>
      <c r="O904" s="196"/>
      <c r="P904" s="192"/>
    </row>
    <row r="905" ht="15.75" customHeight="1">
      <c r="A905" s="186"/>
      <c r="B905" s="197"/>
      <c r="C905" s="198"/>
      <c r="D905" s="199"/>
      <c r="E905" s="200"/>
      <c r="F905" s="201"/>
      <c r="G905" s="201"/>
      <c r="H905" s="199"/>
      <c r="I905" s="200"/>
      <c r="J905" s="187"/>
      <c r="K905" s="189"/>
      <c r="L905" s="187"/>
      <c r="M905" s="187"/>
      <c r="N905" s="190"/>
      <c r="O905" s="196"/>
      <c r="P905" s="192"/>
    </row>
    <row r="906" ht="15.75" customHeight="1">
      <c r="A906" s="186"/>
      <c r="B906" s="197"/>
      <c r="C906" s="198"/>
      <c r="D906" s="199"/>
      <c r="E906" s="200"/>
      <c r="F906" s="201"/>
      <c r="G906" s="201"/>
      <c r="H906" s="199"/>
      <c r="I906" s="200"/>
      <c r="J906" s="187"/>
      <c r="K906" s="189"/>
      <c r="L906" s="187"/>
      <c r="M906" s="187"/>
      <c r="N906" s="190"/>
      <c r="O906" s="196"/>
      <c r="P906" s="192"/>
    </row>
    <row r="907" ht="15.75" customHeight="1">
      <c r="A907" s="186"/>
      <c r="B907" s="197"/>
      <c r="C907" s="198"/>
      <c r="D907" s="199"/>
      <c r="E907" s="200"/>
      <c r="F907" s="201"/>
      <c r="G907" s="201"/>
      <c r="H907" s="199"/>
      <c r="I907" s="200"/>
      <c r="J907" s="187"/>
      <c r="K907" s="189"/>
      <c r="L907" s="187"/>
      <c r="M907" s="187"/>
      <c r="N907" s="190"/>
      <c r="O907" s="196"/>
      <c r="P907" s="192"/>
    </row>
    <row r="908" ht="15.75" customHeight="1">
      <c r="A908" s="186"/>
      <c r="B908" s="197"/>
      <c r="C908" s="198"/>
      <c r="D908" s="199"/>
      <c r="E908" s="200"/>
      <c r="F908" s="201"/>
      <c r="G908" s="201"/>
      <c r="H908" s="199"/>
      <c r="I908" s="200"/>
      <c r="J908" s="187"/>
      <c r="K908" s="189"/>
      <c r="L908" s="187"/>
      <c r="M908" s="187"/>
      <c r="N908" s="190"/>
      <c r="O908" s="196"/>
      <c r="P908" s="192"/>
    </row>
    <row r="909" ht="15.75" customHeight="1">
      <c r="A909" s="186"/>
      <c r="B909" s="197"/>
      <c r="C909" s="198"/>
      <c r="D909" s="199"/>
      <c r="E909" s="200"/>
      <c r="F909" s="201"/>
      <c r="G909" s="201"/>
      <c r="H909" s="199"/>
      <c r="I909" s="200"/>
      <c r="J909" s="187"/>
      <c r="K909" s="189"/>
      <c r="L909" s="187"/>
      <c r="M909" s="187"/>
      <c r="N909" s="190"/>
      <c r="O909" s="196"/>
      <c r="P909" s="192"/>
    </row>
    <row r="910" ht="15.75" customHeight="1">
      <c r="A910" s="186"/>
      <c r="B910" s="197"/>
      <c r="C910" s="198"/>
      <c r="D910" s="199"/>
      <c r="E910" s="200"/>
      <c r="F910" s="201"/>
      <c r="G910" s="201"/>
      <c r="H910" s="199"/>
      <c r="I910" s="200"/>
      <c r="J910" s="187"/>
      <c r="K910" s="189"/>
      <c r="L910" s="187"/>
      <c r="M910" s="187"/>
      <c r="N910" s="190"/>
      <c r="O910" s="196"/>
      <c r="P910" s="192"/>
    </row>
    <row r="911" ht="15.75" customHeight="1">
      <c r="A911" s="186"/>
      <c r="B911" s="197"/>
      <c r="C911" s="198"/>
      <c r="D911" s="199"/>
      <c r="E911" s="200"/>
      <c r="F911" s="201"/>
      <c r="G911" s="201"/>
      <c r="H911" s="199"/>
      <c r="I911" s="200"/>
      <c r="J911" s="187"/>
      <c r="K911" s="189"/>
      <c r="L911" s="187"/>
      <c r="M911" s="187"/>
      <c r="N911" s="190"/>
      <c r="O911" s="196"/>
      <c r="P911" s="192"/>
    </row>
    <row r="912" ht="15.75" customHeight="1">
      <c r="A912" s="186"/>
      <c r="B912" s="197"/>
      <c r="C912" s="198"/>
      <c r="D912" s="199"/>
      <c r="E912" s="200"/>
      <c r="F912" s="201"/>
      <c r="G912" s="201"/>
      <c r="H912" s="199"/>
      <c r="I912" s="200"/>
      <c r="J912" s="187"/>
      <c r="K912" s="189"/>
      <c r="L912" s="187"/>
      <c r="M912" s="187"/>
      <c r="N912" s="190"/>
      <c r="O912" s="196"/>
      <c r="P912" s="192"/>
    </row>
    <row r="913" ht="15.75" customHeight="1">
      <c r="A913" s="186"/>
      <c r="B913" s="197"/>
      <c r="C913" s="198"/>
      <c r="D913" s="199"/>
      <c r="E913" s="200"/>
      <c r="F913" s="201"/>
      <c r="G913" s="201"/>
      <c r="H913" s="199"/>
      <c r="I913" s="200"/>
      <c r="J913" s="187"/>
      <c r="K913" s="189"/>
      <c r="L913" s="187"/>
      <c r="M913" s="187"/>
      <c r="N913" s="190"/>
      <c r="O913" s="196"/>
      <c r="P913" s="192"/>
    </row>
    <row r="914" ht="15.75" customHeight="1">
      <c r="A914" s="186"/>
      <c r="B914" s="197"/>
      <c r="C914" s="198"/>
      <c r="D914" s="199"/>
      <c r="E914" s="200"/>
      <c r="F914" s="201"/>
      <c r="G914" s="201"/>
      <c r="H914" s="199"/>
      <c r="I914" s="200"/>
      <c r="J914" s="187"/>
      <c r="K914" s="189"/>
      <c r="L914" s="187"/>
      <c r="M914" s="187"/>
      <c r="N914" s="190"/>
      <c r="O914" s="196"/>
      <c r="P914" s="192"/>
    </row>
    <row r="915" ht="15.75" customHeight="1">
      <c r="A915" s="186"/>
      <c r="B915" s="197"/>
      <c r="C915" s="198"/>
      <c r="D915" s="199"/>
      <c r="E915" s="200"/>
      <c r="F915" s="201"/>
      <c r="G915" s="201"/>
      <c r="H915" s="199"/>
      <c r="I915" s="200"/>
      <c r="J915" s="187"/>
      <c r="K915" s="189"/>
      <c r="L915" s="187"/>
      <c r="M915" s="187"/>
      <c r="N915" s="190"/>
      <c r="O915" s="196"/>
      <c r="P915" s="192"/>
    </row>
    <row r="916" ht="15.75" customHeight="1">
      <c r="A916" s="186"/>
      <c r="B916" s="197"/>
      <c r="C916" s="198"/>
      <c r="D916" s="199"/>
      <c r="E916" s="200"/>
      <c r="F916" s="201"/>
      <c r="G916" s="201"/>
      <c r="H916" s="199"/>
      <c r="I916" s="200"/>
      <c r="J916" s="187"/>
      <c r="K916" s="189"/>
      <c r="L916" s="187"/>
      <c r="M916" s="187"/>
      <c r="N916" s="190"/>
      <c r="O916" s="196"/>
      <c r="P916" s="192"/>
    </row>
    <row r="917" ht="15.75" customHeight="1">
      <c r="A917" s="186"/>
      <c r="B917" s="197"/>
      <c r="C917" s="198"/>
      <c r="D917" s="199"/>
      <c r="E917" s="200"/>
      <c r="F917" s="201"/>
      <c r="G917" s="201"/>
      <c r="H917" s="199"/>
      <c r="I917" s="200"/>
      <c r="J917" s="187"/>
      <c r="K917" s="189"/>
      <c r="L917" s="187"/>
      <c r="M917" s="187"/>
      <c r="N917" s="190"/>
      <c r="O917" s="196"/>
      <c r="P917" s="192"/>
    </row>
    <row r="918" ht="15.75" customHeight="1">
      <c r="A918" s="186"/>
      <c r="B918" s="197"/>
      <c r="C918" s="198"/>
      <c r="D918" s="199"/>
      <c r="E918" s="200"/>
      <c r="F918" s="201"/>
      <c r="G918" s="201"/>
      <c r="H918" s="199"/>
      <c r="I918" s="200"/>
      <c r="J918" s="187"/>
      <c r="K918" s="189"/>
      <c r="L918" s="187"/>
      <c r="M918" s="187"/>
      <c r="N918" s="190"/>
      <c r="O918" s="196"/>
      <c r="P918" s="192"/>
    </row>
    <row r="919" ht="15.75" customHeight="1">
      <c r="A919" s="186"/>
      <c r="B919" s="197"/>
      <c r="C919" s="198"/>
      <c r="D919" s="199"/>
      <c r="E919" s="200"/>
      <c r="F919" s="201"/>
      <c r="G919" s="201"/>
      <c r="H919" s="199"/>
      <c r="I919" s="200"/>
      <c r="J919" s="187"/>
      <c r="K919" s="189"/>
      <c r="L919" s="187"/>
      <c r="M919" s="187"/>
      <c r="N919" s="190"/>
      <c r="O919" s="196"/>
      <c r="P919" s="192"/>
    </row>
    <row r="920" ht="15.75" customHeight="1">
      <c r="A920" s="186"/>
      <c r="B920" s="197"/>
      <c r="C920" s="198"/>
      <c r="D920" s="199"/>
      <c r="E920" s="200"/>
      <c r="F920" s="201"/>
      <c r="G920" s="201"/>
      <c r="H920" s="199"/>
      <c r="I920" s="200"/>
      <c r="J920" s="187"/>
      <c r="K920" s="189"/>
      <c r="L920" s="187"/>
      <c r="M920" s="187"/>
      <c r="N920" s="190"/>
      <c r="O920" s="196"/>
      <c r="P920" s="192"/>
    </row>
    <row r="921" ht="15.75" customHeight="1">
      <c r="A921" s="186"/>
      <c r="B921" s="197"/>
      <c r="C921" s="198"/>
      <c r="D921" s="199"/>
      <c r="E921" s="200"/>
      <c r="F921" s="201"/>
      <c r="G921" s="201"/>
      <c r="H921" s="199"/>
      <c r="I921" s="200"/>
      <c r="J921" s="187"/>
      <c r="K921" s="189"/>
      <c r="L921" s="187"/>
      <c r="M921" s="187"/>
      <c r="N921" s="190"/>
      <c r="O921" s="196"/>
      <c r="P921" s="192"/>
    </row>
    <row r="922" ht="15.75" customHeight="1">
      <c r="A922" s="186"/>
      <c r="B922" s="197"/>
      <c r="C922" s="198"/>
      <c r="D922" s="199"/>
      <c r="E922" s="200"/>
      <c r="F922" s="201"/>
      <c r="G922" s="201"/>
      <c r="H922" s="199"/>
      <c r="I922" s="200"/>
      <c r="J922" s="187"/>
      <c r="K922" s="189"/>
      <c r="L922" s="187"/>
      <c r="M922" s="187"/>
      <c r="N922" s="190"/>
      <c r="O922" s="196"/>
      <c r="P922" s="192"/>
    </row>
    <row r="923" ht="15.75" customHeight="1">
      <c r="A923" s="186"/>
      <c r="B923" s="197"/>
      <c r="C923" s="198"/>
      <c r="D923" s="199"/>
      <c r="E923" s="200"/>
      <c r="F923" s="201"/>
      <c r="G923" s="201"/>
      <c r="H923" s="199"/>
      <c r="I923" s="200"/>
      <c r="J923" s="187"/>
      <c r="K923" s="189"/>
      <c r="L923" s="187"/>
      <c r="M923" s="187"/>
      <c r="N923" s="190"/>
      <c r="O923" s="196"/>
      <c r="P923" s="192"/>
    </row>
    <row r="924" ht="15.75" customHeight="1">
      <c r="A924" s="186"/>
      <c r="B924" s="197"/>
      <c r="C924" s="198"/>
      <c r="D924" s="199"/>
      <c r="E924" s="200"/>
      <c r="F924" s="201"/>
      <c r="G924" s="201"/>
      <c r="H924" s="199"/>
      <c r="I924" s="200"/>
      <c r="J924" s="187"/>
      <c r="K924" s="189"/>
      <c r="L924" s="187"/>
      <c r="M924" s="187"/>
      <c r="N924" s="190"/>
      <c r="O924" s="196"/>
      <c r="P924" s="192"/>
    </row>
    <row r="925" ht="15.75" customHeight="1">
      <c r="A925" s="186"/>
      <c r="B925" s="197"/>
      <c r="C925" s="198"/>
      <c r="D925" s="199"/>
      <c r="E925" s="200"/>
      <c r="F925" s="201"/>
      <c r="G925" s="201"/>
      <c r="H925" s="199"/>
      <c r="I925" s="200"/>
      <c r="J925" s="187"/>
      <c r="K925" s="189"/>
      <c r="L925" s="187"/>
      <c r="M925" s="187"/>
      <c r="N925" s="190"/>
      <c r="O925" s="196"/>
      <c r="P925" s="192"/>
    </row>
    <row r="926" ht="15.75" customHeight="1">
      <c r="A926" s="186"/>
      <c r="B926" s="197"/>
      <c r="C926" s="198"/>
      <c r="D926" s="199"/>
      <c r="E926" s="200"/>
      <c r="F926" s="201"/>
      <c r="G926" s="201"/>
      <c r="H926" s="199"/>
      <c r="I926" s="200"/>
      <c r="J926" s="187"/>
      <c r="K926" s="189"/>
      <c r="L926" s="187"/>
      <c r="M926" s="187"/>
      <c r="N926" s="190"/>
      <c r="O926" s="196"/>
      <c r="P926" s="192"/>
    </row>
    <row r="927" ht="15.75" customHeight="1">
      <c r="A927" s="186"/>
      <c r="B927" s="197"/>
      <c r="C927" s="198"/>
      <c r="D927" s="199"/>
      <c r="E927" s="200"/>
      <c r="F927" s="201"/>
      <c r="G927" s="201"/>
      <c r="H927" s="199"/>
      <c r="I927" s="200"/>
      <c r="J927" s="187"/>
      <c r="K927" s="189"/>
      <c r="L927" s="187"/>
      <c r="M927" s="187"/>
      <c r="N927" s="190"/>
      <c r="O927" s="196"/>
      <c r="P927" s="192"/>
    </row>
    <row r="928" ht="15.75" customHeight="1">
      <c r="A928" s="186"/>
      <c r="B928" s="197"/>
      <c r="C928" s="198"/>
      <c r="D928" s="199"/>
      <c r="E928" s="200"/>
      <c r="F928" s="201"/>
      <c r="G928" s="201"/>
      <c r="H928" s="199"/>
      <c r="I928" s="200"/>
      <c r="J928" s="187"/>
      <c r="K928" s="189"/>
      <c r="L928" s="187"/>
      <c r="M928" s="187"/>
      <c r="N928" s="190"/>
      <c r="O928" s="196"/>
      <c r="P928" s="192"/>
    </row>
    <row r="929" ht="15.75" customHeight="1">
      <c r="A929" s="186"/>
      <c r="B929" s="197"/>
      <c r="C929" s="198"/>
      <c r="D929" s="199"/>
      <c r="E929" s="200"/>
      <c r="F929" s="201"/>
      <c r="G929" s="201"/>
      <c r="H929" s="199"/>
      <c r="I929" s="200"/>
      <c r="J929" s="187"/>
      <c r="K929" s="189"/>
      <c r="L929" s="187"/>
      <c r="M929" s="187"/>
      <c r="N929" s="190"/>
      <c r="O929" s="196"/>
      <c r="P929" s="192"/>
    </row>
    <row r="930" ht="15.75" customHeight="1">
      <c r="A930" s="186"/>
      <c r="B930" s="197"/>
      <c r="C930" s="198"/>
      <c r="D930" s="199"/>
      <c r="E930" s="200"/>
      <c r="F930" s="201"/>
      <c r="G930" s="201"/>
      <c r="H930" s="199"/>
      <c r="I930" s="200"/>
      <c r="J930" s="187"/>
      <c r="K930" s="189"/>
      <c r="L930" s="187"/>
      <c r="M930" s="187"/>
      <c r="N930" s="190"/>
      <c r="O930" s="196"/>
      <c r="P930" s="192"/>
    </row>
    <row r="931" ht="15.75" customHeight="1">
      <c r="A931" s="186"/>
      <c r="B931" s="197"/>
      <c r="C931" s="198"/>
      <c r="D931" s="199"/>
      <c r="E931" s="200"/>
      <c r="F931" s="201"/>
      <c r="G931" s="201"/>
      <c r="H931" s="199"/>
      <c r="I931" s="200"/>
      <c r="J931" s="187"/>
      <c r="K931" s="189"/>
      <c r="L931" s="187"/>
      <c r="M931" s="187"/>
      <c r="N931" s="190"/>
      <c r="O931" s="196"/>
      <c r="P931" s="192"/>
    </row>
    <row r="932" ht="15.75" customHeight="1">
      <c r="A932" s="186"/>
      <c r="B932" s="197"/>
      <c r="C932" s="198"/>
      <c r="D932" s="199"/>
      <c r="E932" s="200"/>
      <c r="F932" s="201"/>
      <c r="G932" s="201"/>
      <c r="H932" s="199"/>
      <c r="I932" s="200"/>
      <c r="J932" s="187"/>
      <c r="K932" s="189"/>
      <c r="L932" s="187"/>
      <c r="M932" s="187"/>
      <c r="N932" s="190"/>
      <c r="O932" s="196"/>
      <c r="P932" s="192"/>
    </row>
    <row r="933" ht="15.75" customHeight="1">
      <c r="A933" s="186"/>
      <c r="B933" s="197"/>
      <c r="C933" s="198"/>
      <c r="D933" s="199"/>
      <c r="E933" s="200"/>
      <c r="F933" s="201"/>
      <c r="G933" s="201"/>
      <c r="H933" s="199"/>
      <c r="I933" s="200"/>
      <c r="J933" s="187"/>
      <c r="K933" s="189"/>
      <c r="L933" s="187"/>
      <c r="M933" s="187"/>
      <c r="N933" s="190"/>
      <c r="O933" s="196"/>
      <c r="P933" s="192"/>
    </row>
    <row r="934" ht="15.75" customHeight="1">
      <c r="A934" s="186"/>
      <c r="B934" s="197"/>
      <c r="C934" s="198"/>
      <c r="D934" s="199"/>
      <c r="E934" s="200"/>
      <c r="F934" s="201"/>
      <c r="G934" s="201"/>
      <c r="H934" s="199"/>
      <c r="I934" s="200"/>
      <c r="J934" s="187"/>
      <c r="K934" s="189"/>
      <c r="L934" s="187"/>
      <c r="M934" s="187"/>
      <c r="N934" s="190"/>
      <c r="O934" s="196"/>
      <c r="P934" s="192"/>
    </row>
    <row r="935" ht="15.75" customHeight="1">
      <c r="A935" s="186"/>
      <c r="B935" s="197"/>
      <c r="C935" s="198"/>
      <c r="D935" s="199"/>
      <c r="E935" s="200"/>
      <c r="F935" s="201"/>
      <c r="G935" s="201"/>
      <c r="H935" s="199"/>
      <c r="I935" s="200"/>
      <c r="J935" s="187"/>
      <c r="K935" s="189"/>
      <c r="L935" s="187"/>
      <c r="M935" s="187"/>
      <c r="N935" s="190"/>
      <c r="O935" s="196"/>
      <c r="P935" s="192"/>
    </row>
    <row r="936" ht="15.75" customHeight="1">
      <c r="A936" s="186"/>
      <c r="B936" s="197"/>
      <c r="C936" s="198"/>
      <c r="D936" s="199"/>
      <c r="E936" s="200"/>
      <c r="F936" s="201"/>
      <c r="G936" s="201"/>
      <c r="H936" s="199"/>
      <c r="I936" s="200"/>
      <c r="J936" s="187"/>
      <c r="K936" s="189"/>
      <c r="L936" s="187"/>
      <c r="M936" s="187"/>
      <c r="N936" s="190"/>
      <c r="O936" s="196"/>
      <c r="P936" s="192"/>
    </row>
    <row r="937" ht="15.75" customHeight="1">
      <c r="A937" s="186"/>
      <c r="B937" s="197"/>
      <c r="C937" s="198"/>
      <c r="D937" s="199"/>
      <c r="E937" s="200"/>
      <c r="F937" s="201"/>
      <c r="G937" s="201"/>
      <c r="H937" s="199"/>
      <c r="I937" s="200"/>
      <c r="J937" s="187"/>
      <c r="K937" s="189"/>
      <c r="L937" s="187"/>
      <c r="M937" s="187"/>
      <c r="N937" s="190"/>
      <c r="O937" s="196"/>
      <c r="P937" s="192"/>
    </row>
    <row r="938" ht="15.75" customHeight="1">
      <c r="A938" s="186"/>
      <c r="B938" s="197"/>
      <c r="C938" s="198"/>
      <c r="D938" s="199"/>
      <c r="E938" s="200"/>
      <c r="F938" s="201"/>
      <c r="G938" s="201"/>
      <c r="H938" s="199"/>
      <c r="I938" s="200"/>
      <c r="J938" s="187"/>
      <c r="K938" s="189"/>
      <c r="L938" s="187"/>
      <c r="M938" s="187"/>
      <c r="N938" s="190"/>
      <c r="O938" s="196"/>
      <c r="P938" s="192"/>
    </row>
    <row r="939" ht="15.75" customHeight="1">
      <c r="A939" s="186"/>
      <c r="B939" s="197"/>
      <c r="C939" s="198"/>
      <c r="D939" s="199"/>
      <c r="E939" s="200"/>
      <c r="F939" s="201"/>
      <c r="G939" s="201"/>
      <c r="H939" s="199"/>
      <c r="I939" s="200"/>
      <c r="J939" s="187"/>
      <c r="K939" s="189"/>
      <c r="L939" s="187"/>
      <c r="M939" s="187"/>
      <c r="N939" s="190"/>
      <c r="O939" s="196"/>
      <c r="P939" s="192"/>
    </row>
    <row r="940" ht="15.75" customHeight="1">
      <c r="A940" s="186"/>
      <c r="B940" s="197"/>
      <c r="C940" s="198"/>
      <c r="D940" s="199"/>
      <c r="E940" s="200"/>
      <c r="F940" s="201"/>
      <c r="G940" s="201"/>
      <c r="H940" s="199"/>
      <c r="I940" s="200"/>
      <c r="J940" s="187"/>
      <c r="K940" s="189"/>
      <c r="L940" s="187"/>
      <c r="M940" s="187"/>
      <c r="N940" s="190"/>
      <c r="O940" s="196"/>
      <c r="P940" s="192"/>
    </row>
    <row r="941" ht="15.75" customHeight="1">
      <c r="A941" s="186"/>
      <c r="B941" s="197"/>
      <c r="C941" s="198"/>
      <c r="D941" s="199"/>
      <c r="E941" s="200"/>
      <c r="F941" s="201"/>
      <c r="G941" s="201"/>
      <c r="H941" s="199"/>
      <c r="I941" s="200"/>
      <c r="J941" s="187"/>
      <c r="K941" s="189"/>
      <c r="L941" s="187"/>
      <c r="M941" s="187"/>
      <c r="N941" s="190"/>
      <c r="O941" s="196"/>
      <c r="P941" s="192"/>
    </row>
    <row r="942" ht="15.75" customHeight="1">
      <c r="A942" s="186"/>
      <c r="B942" s="197"/>
      <c r="C942" s="198"/>
      <c r="D942" s="199"/>
      <c r="E942" s="200"/>
      <c r="F942" s="201"/>
      <c r="G942" s="201"/>
      <c r="H942" s="199"/>
      <c r="I942" s="200"/>
      <c r="J942" s="187"/>
      <c r="K942" s="189"/>
      <c r="L942" s="187"/>
      <c r="M942" s="187"/>
      <c r="N942" s="190"/>
      <c r="O942" s="196"/>
      <c r="P942" s="192"/>
    </row>
    <row r="943" ht="15.75" customHeight="1">
      <c r="A943" s="186"/>
      <c r="B943" s="197"/>
      <c r="C943" s="198"/>
      <c r="D943" s="199"/>
      <c r="E943" s="200"/>
      <c r="F943" s="201"/>
      <c r="G943" s="201"/>
      <c r="H943" s="199"/>
      <c r="I943" s="200"/>
      <c r="J943" s="187"/>
      <c r="K943" s="189"/>
      <c r="L943" s="187"/>
      <c r="M943" s="187"/>
      <c r="N943" s="190"/>
      <c r="O943" s="196"/>
      <c r="P943" s="192"/>
    </row>
    <row r="944" ht="15.75" customHeight="1">
      <c r="A944" s="186"/>
      <c r="B944" s="197"/>
      <c r="C944" s="198"/>
      <c r="D944" s="199"/>
      <c r="E944" s="200"/>
      <c r="F944" s="201"/>
      <c r="G944" s="201"/>
      <c r="H944" s="199"/>
      <c r="I944" s="200"/>
      <c r="J944" s="187"/>
      <c r="K944" s="189"/>
      <c r="L944" s="187"/>
      <c r="M944" s="187"/>
      <c r="N944" s="190"/>
      <c r="O944" s="196"/>
      <c r="P944" s="192"/>
    </row>
    <row r="945" ht="15.75" customHeight="1">
      <c r="A945" s="186"/>
      <c r="B945" s="197"/>
      <c r="C945" s="198"/>
      <c r="D945" s="199"/>
      <c r="E945" s="200"/>
      <c r="F945" s="201"/>
      <c r="G945" s="201"/>
      <c r="H945" s="199"/>
      <c r="I945" s="200"/>
      <c r="J945" s="187"/>
      <c r="K945" s="189"/>
      <c r="L945" s="187"/>
      <c r="M945" s="187"/>
      <c r="N945" s="190"/>
      <c r="O945" s="196"/>
      <c r="P945" s="192"/>
    </row>
    <row r="946" ht="15.75" customHeight="1">
      <c r="A946" s="186"/>
      <c r="B946" s="197"/>
      <c r="C946" s="198"/>
      <c r="D946" s="199"/>
      <c r="E946" s="200"/>
      <c r="F946" s="201"/>
      <c r="G946" s="201"/>
      <c r="H946" s="199"/>
      <c r="I946" s="200"/>
      <c r="J946" s="187"/>
      <c r="K946" s="189"/>
      <c r="L946" s="187"/>
      <c r="M946" s="187"/>
      <c r="N946" s="190"/>
      <c r="O946" s="196"/>
      <c r="P946" s="192"/>
    </row>
    <row r="947" ht="15.75" customHeight="1">
      <c r="A947" s="186"/>
      <c r="B947" s="197"/>
      <c r="C947" s="198"/>
      <c r="D947" s="199"/>
      <c r="E947" s="200"/>
      <c r="F947" s="201"/>
      <c r="G947" s="201"/>
      <c r="H947" s="199"/>
      <c r="I947" s="200"/>
      <c r="J947" s="187"/>
      <c r="K947" s="189"/>
      <c r="L947" s="187"/>
      <c r="M947" s="187"/>
      <c r="N947" s="190"/>
      <c r="O947" s="196"/>
      <c r="P947" s="192"/>
    </row>
    <row r="948" ht="15.75" customHeight="1">
      <c r="A948" s="186"/>
      <c r="B948" s="197"/>
      <c r="C948" s="198"/>
      <c r="D948" s="199"/>
      <c r="E948" s="200"/>
      <c r="F948" s="201"/>
      <c r="G948" s="201"/>
      <c r="H948" s="199"/>
      <c r="I948" s="200"/>
      <c r="J948" s="187"/>
      <c r="K948" s="189"/>
      <c r="L948" s="187"/>
      <c r="M948" s="187"/>
      <c r="N948" s="190"/>
      <c r="O948" s="196"/>
      <c r="P948" s="192"/>
    </row>
    <row r="949" ht="15.75" customHeight="1">
      <c r="A949" s="186"/>
      <c r="B949" s="197"/>
      <c r="C949" s="198"/>
      <c r="D949" s="199"/>
      <c r="E949" s="200"/>
      <c r="F949" s="201"/>
      <c r="G949" s="201"/>
      <c r="H949" s="199"/>
      <c r="I949" s="200"/>
      <c r="J949" s="187"/>
      <c r="K949" s="189"/>
      <c r="L949" s="187"/>
      <c r="M949" s="187"/>
      <c r="N949" s="190"/>
      <c r="O949" s="196"/>
      <c r="P949" s="192"/>
    </row>
    <row r="950" ht="15.75" customHeight="1">
      <c r="A950" s="186"/>
      <c r="B950" s="197"/>
      <c r="C950" s="198"/>
      <c r="D950" s="199"/>
      <c r="E950" s="200"/>
      <c r="F950" s="201"/>
      <c r="G950" s="201"/>
      <c r="H950" s="199"/>
      <c r="I950" s="200"/>
      <c r="J950" s="187"/>
      <c r="K950" s="189"/>
      <c r="L950" s="187"/>
      <c r="M950" s="187"/>
      <c r="N950" s="190"/>
      <c r="O950" s="196"/>
      <c r="P950" s="192"/>
    </row>
    <row r="951" ht="15.75" customHeight="1">
      <c r="A951" s="186"/>
      <c r="B951" s="197"/>
      <c r="C951" s="198"/>
      <c r="D951" s="199"/>
      <c r="E951" s="200"/>
      <c r="F951" s="201"/>
      <c r="G951" s="201"/>
      <c r="H951" s="199"/>
      <c r="I951" s="200"/>
      <c r="J951" s="187"/>
      <c r="K951" s="189"/>
      <c r="L951" s="187"/>
      <c r="M951" s="187"/>
      <c r="N951" s="190"/>
      <c r="O951" s="196"/>
      <c r="P951" s="192"/>
    </row>
    <row r="952" ht="15.75" customHeight="1">
      <c r="A952" s="186"/>
      <c r="B952" s="197"/>
      <c r="C952" s="198"/>
      <c r="D952" s="199"/>
      <c r="E952" s="200"/>
      <c r="F952" s="201"/>
      <c r="G952" s="201"/>
      <c r="H952" s="199"/>
      <c r="I952" s="200"/>
      <c r="J952" s="187"/>
      <c r="K952" s="189"/>
      <c r="L952" s="187"/>
      <c r="M952" s="187"/>
      <c r="N952" s="190"/>
      <c r="O952" s="196"/>
      <c r="P952" s="192"/>
    </row>
    <row r="953" ht="15.75" customHeight="1">
      <c r="A953" s="186"/>
      <c r="B953" s="197"/>
      <c r="C953" s="198"/>
      <c r="D953" s="199"/>
      <c r="E953" s="200"/>
      <c r="F953" s="201"/>
      <c r="G953" s="201"/>
      <c r="H953" s="199"/>
      <c r="I953" s="200"/>
      <c r="J953" s="187"/>
      <c r="K953" s="189"/>
      <c r="L953" s="187"/>
      <c r="M953" s="187"/>
      <c r="N953" s="190"/>
      <c r="O953" s="196"/>
      <c r="P953" s="192"/>
    </row>
    <row r="954" ht="15.75" customHeight="1">
      <c r="A954" s="186"/>
      <c r="B954" s="197"/>
      <c r="C954" s="198"/>
      <c r="D954" s="199"/>
      <c r="E954" s="200"/>
      <c r="F954" s="201"/>
      <c r="G954" s="201"/>
      <c r="H954" s="199"/>
      <c r="I954" s="200"/>
      <c r="J954" s="187"/>
      <c r="K954" s="189"/>
      <c r="L954" s="187"/>
      <c r="M954" s="187"/>
      <c r="N954" s="190"/>
      <c r="O954" s="196"/>
      <c r="P954" s="192"/>
    </row>
    <row r="955" ht="15.75" customHeight="1">
      <c r="A955" s="186"/>
      <c r="B955" s="197"/>
      <c r="C955" s="198"/>
      <c r="D955" s="199"/>
      <c r="E955" s="200"/>
      <c r="F955" s="201"/>
      <c r="G955" s="201"/>
      <c r="H955" s="199"/>
      <c r="I955" s="200"/>
      <c r="J955" s="187"/>
      <c r="K955" s="189"/>
      <c r="L955" s="187"/>
      <c r="M955" s="187"/>
      <c r="N955" s="190"/>
      <c r="O955" s="196"/>
      <c r="P955" s="192"/>
    </row>
    <row r="956" ht="15.75" customHeight="1">
      <c r="A956" s="186"/>
      <c r="B956" s="197"/>
      <c r="C956" s="198"/>
      <c r="D956" s="199"/>
      <c r="E956" s="200"/>
      <c r="F956" s="201"/>
      <c r="G956" s="201"/>
      <c r="H956" s="199"/>
      <c r="I956" s="200"/>
      <c r="J956" s="187"/>
      <c r="K956" s="189"/>
      <c r="L956" s="187"/>
      <c r="M956" s="187"/>
      <c r="N956" s="190"/>
      <c r="O956" s="196"/>
      <c r="P956" s="192"/>
    </row>
    <row r="957" ht="15.75" customHeight="1">
      <c r="A957" s="186"/>
      <c r="B957" s="197"/>
      <c r="C957" s="198"/>
      <c r="D957" s="199"/>
      <c r="E957" s="200"/>
      <c r="F957" s="201"/>
      <c r="G957" s="201"/>
      <c r="H957" s="199"/>
      <c r="I957" s="200"/>
      <c r="J957" s="187"/>
      <c r="K957" s="189"/>
      <c r="L957" s="187"/>
      <c r="M957" s="187"/>
      <c r="N957" s="190"/>
      <c r="O957" s="196"/>
      <c r="P957" s="192"/>
    </row>
    <row r="958" ht="15.75" customHeight="1">
      <c r="A958" s="186"/>
      <c r="B958" s="197"/>
      <c r="C958" s="198"/>
      <c r="D958" s="199"/>
      <c r="E958" s="200"/>
      <c r="F958" s="201"/>
      <c r="G958" s="201"/>
      <c r="H958" s="199"/>
      <c r="I958" s="200"/>
      <c r="J958" s="187"/>
      <c r="K958" s="189"/>
      <c r="L958" s="187"/>
      <c r="M958" s="187"/>
      <c r="N958" s="190"/>
      <c r="O958" s="196"/>
      <c r="P958" s="192"/>
    </row>
    <row r="959" ht="15.75" customHeight="1">
      <c r="A959" s="186"/>
      <c r="B959" s="197"/>
      <c r="C959" s="198"/>
      <c r="D959" s="199"/>
      <c r="E959" s="200"/>
      <c r="F959" s="201"/>
      <c r="G959" s="201"/>
      <c r="H959" s="199"/>
      <c r="I959" s="200"/>
      <c r="J959" s="187"/>
      <c r="K959" s="189"/>
      <c r="L959" s="187"/>
      <c r="M959" s="187"/>
      <c r="N959" s="190"/>
      <c r="O959" s="196"/>
      <c r="P959" s="192"/>
    </row>
    <row r="960" ht="15.75" customHeight="1">
      <c r="A960" s="186"/>
      <c r="B960" s="197"/>
      <c r="C960" s="198"/>
      <c r="D960" s="199"/>
      <c r="E960" s="200"/>
      <c r="F960" s="201"/>
      <c r="G960" s="201"/>
      <c r="H960" s="199"/>
      <c r="I960" s="200"/>
      <c r="J960" s="187"/>
      <c r="K960" s="189"/>
      <c r="L960" s="187"/>
      <c r="M960" s="187"/>
      <c r="N960" s="190"/>
      <c r="O960" s="196"/>
      <c r="P960" s="192"/>
    </row>
    <row r="961" ht="15.75" customHeight="1">
      <c r="A961" s="186"/>
      <c r="B961" s="197"/>
      <c r="C961" s="198"/>
      <c r="D961" s="199"/>
      <c r="E961" s="200"/>
      <c r="F961" s="201"/>
      <c r="G961" s="201"/>
      <c r="H961" s="199"/>
      <c r="I961" s="200"/>
      <c r="J961" s="187"/>
      <c r="K961" s="189"/>
      <c r="L961" s="187"/>
      <c r="M961" s="187"/>
      <c r="N961" s="190"/>
      <c r="O961" s="196"/>
      <c r="P961" s="192"/>
    </row>
    <row r="962" ht="15.75" customHeight="1">
      <c r="A962" s="186"/>
      <c r="B962" s="197"/>
      <c r="C962" s="198"/>
      <c r="D962" s="199"/>
      <c r="E962" s="200"/>
      <c r="F962" s="201"/>
      <c r="G962" s="201"/>
      <c r="H962" s="199"/>
      <c r="I962" s="200"/>
      <c r="J962" s="187"/>
      <c r="K962" s="189"/>
      <c r="L962" s="187"/>
      <c r="M962" s="187"/>
      <c r="N962" s="190"/>
      <c r="O962" s="196"/>
      <c r="P962" s="192"/>
    </row>
    <row r="963" ht="15.75" customHeight="1">
      <c r="A963" s="186"/>
      <c r="B963" s="197"/>
      <c r="C963" s="198"/>
      <c r="D963" s="199"/>
      <c r="E963" s="200"/>
      <c r="F963" s="201"/>
      <c r="G963" s="201"/>
      <c r="H963" s="199"/>
      <c r="I963" s="200"/>
      <c r="J963" s="187"/>
      <c r="K963" s="189"/>
      <c r="L963" s="187"/>
      <c r="M963" s="187"/>
      <c r="N963" s="190"/>
      <c r="O963" s="196"/>
      <c r="P963" s="192"/>
    </row>
    <row r="964" ht="15.75" customHeight="1">
      <c r="A964" s="186"/>
      <c r="B964" s="197"/>
      <c r="C964" s="198"/>
      <c r="D964" s="199"/>
      <c r="E964" s="200"/>
      <c r="F964" s="201"/>
      <c r="G964" s="201"/>
      <c r="H964" s="199"/>
      <c r="I964" s="200"/>
      <c r="J964" s="187"/>
      <c r="K964" s="189"/>
      <c r="L964" s="187"/>
      <c r="M964" s="187"/>
      <c r="N964" s="190"/>
      <c r="O964" s="196"/>
      <c r="P964" s="192"/>
    </row>
    <row r="965" ht="15.75" customHeight="1">
      <c r="A965" s="186"/>
      <c r="B965" s="197"/>
      <c r="C965" s="198"/>
      <c r="D965" s="199"/>
      <c r="E965" s="200"/>
      <c r="F965" s="201"/>
      <c r="G965" s="201"/>
      <c r="H965" s="199"/>
      <c r="I965" s="200"/>
      <c r="J965" s="187"/>
      <c r="K965" s="189"/>
      <c r="L965" s="187"/>
      <c r="M965" s="187"/>
      <c r="N965" s="190"/>
      <c r="O965" s="196"/>
      <c r="P965" s="192"/>
    </row>
    <row r="966" ht="15.75" customHeight="1">
      <c r="A966" s="186"/>
      <c r="B966" s="197"/>
      <c r="C966" s="198"/>
      <c r="D966" s="199"/>
      <c r="E966" s="200"/>
      <c r="F966" s="201"/>
      <c r="G966" s="201"/>
      <c r="H966" s="199"/>
      <c r="I966" s="200"/>
      <c r="J966" s="187"/>
      <c r="K966" s="189"/>
      <c r="L966" s="187"/>
      <c r="M966" s="187"/>
      <c r="N966" s="190"/>
      <c r="O966" s="196"/>
      <c r="P966" s="192"/>
    </row>
    <row r="967" ht="15.75" customHeight="1">
      <c r="A967" s="186"/>
      <c r="B967" s="197"/>
      <c r="C967" s="198"/>
      <c r="D967" s="199"/>
      <c r="E967" s="200"/>
      <c r="F967" s="201"/>
      <c r="G967" s="201"/>
      <c r="H967" s="199"/>
      <c r="I967" s="200"/>
      <c r="J967" s="187"/>
      <c r="K967" s="189"/>
      <c r="L967" s="187"/>
      <c r="M967" s="187"/>
      <c r="N967" s="190"/>
      <c r="O967" s="196"/>
      <c r="P967" s="192"/>
    </row>
    <row r="968" ht="15.75" customHeight="1">
      <c r="A968" s="186"/>
      <c r="B968" s="197"/>
      <c r="C968" s="198"/>
      <c r="D968" s="199"/>
      <c r="E968" s="200"/>
      <c r="F968" s="201"/>
      <c r="G968" s="201"/>
      <c r="H968" s="199"/>
      <c r="I968" s="200"/>
      <c r="J968" s="187"/>
      <c r="K968" s="189"/>
      <c r="L968" s="187"/>
      <c r="M968" s="187"/>
      <c r="N968" s="190"/>
      <c r="O968" s="196"/>
      <c r="P968" s="192"/>
    </row>
    <row r="969" ht="15.75" customHeight="1">
      <c r="A969" s="186"/>
      <c r="B969" s="197"/>
      <c r="C969" s="198"/>
      <c r="D969" s="199"/>
      <c r="E969" s="200"/>
      <c r="F969" s="201"/>
      <c r="G969" s="201"/>
      <c r="H969" s="199"/>
      <c r="I969" s="200"/>
      <c r="J969" s="187"/>
      <c r="K969" s="189"/>
      <c r="L969" s="187"/>
      <c r="M969" s="187"/>
      <c r="N969" s="190"/>
      <c r="O969" s="196"/>
      <c r="P969" s="192"/>
    </row>
    <row r="970" ht="15.75" customHeight="1">
      <c r="A970" s="186"/>
      <c r="B970" s="197"/>
      <c r="C970" s="198"/>
      <c r="D970" s="199"/>
      <c r="E970" s="200"/>
      <c r="F970" s="201"/>
      <c r="G970" s="201"/>
      <c r="H970" s="199"/>
      <c r="I970" s="200"/>
      <c r="J970" s="187"/>
      <c r="K970" s="189"/>
      <c r="L970" s="187"/>
      <c r="M970" s="187"/>
      <c r="N970" s="190"/>
      <c r="O970" s="196"/>
      <c r="P970" s="192"/>
    </row>
    <row r="971" ht="15.75" customHeight="1">
      <c r="A971" s="186"/>
      <c r="B971" s="197"/>
      <c r="C971" s="198"/>
      <c r="D971" s="199"/>
      <c r="E971" s="200"/>
      <c r="F971" s="201"/>
      <c r="G971" s="201"/>
      <c r="H971" s="199"/>
      <c r="I971" s="200"/>
      <c r="J971" s="187"/>
      <c r="K971" s="189"/>
      <c r="L971" s="187"/>
      <c r="M971" s="187"/>
      <c r="N971" s="190"/>
      <c r="O971" s="196"/>
      <c r="P971" s="192"/>
    </row>
    <row r="972" ht="15.75" customHeight="1">
      <c r="A972" s="186"/>
      <c r="B972" s="197"/>
      <c r="C972" s="198"/>
      <c r="D972" s="199"/>
      <c r="E972" s="200"/>
      <c r="F972" s="201"/>
      <c r="G972" s="201"/>
      <c r="H972" s="199"/>
      <c r="I972" s="200"/>
      <c r="J972" s="187"/>
      <c r="K972" s="189"/>
      <c r="L972" s="187"/>
      <c r="M972" s="187"/>
      <c r="N972" s="190"/>
      <c r="O972" s="196"/>
      <c r="P972" s="192"/>
    </row>
    <row r="973" ht="15.75" customHeight="1">
      <c r="A973" s="186"/>
      <c r="B973" s="197"/>
      <c r="C973" s="198"/>
      <c r="D973" s="199"/>
      <c r="E973" s="200"/>
      <c r="F973" s="201"/>
      <c r="G973" s="201"/>
      <c r="H973" s="199"/>
      <c r="I973" s="200"/>
      <c r="J973" s="187"/>
      <c r="K973" s="189"/>
      <c r="L973" s="187"/>
      <c r="M973" s="187"/>
      <c r="N973" s="190"/>
      <c r="O973" s="196"/>
      <c r="P973" s="192"/>
    </row>
    <row r="974" ht="15.75" customHeight="1">
      <c r="A974" s="186"/>
      <c r="B974" s="197"/>
      <c r="C974" s="198"/>
      <c r="D974" s="199"/>
      <c r="E974" s="200"/>
      <c r="F974" s="201"/>
      <c r="G974" s="201"/>
      <c r="H974" s="199"/>
      <c r="I974" s="200"/>
      <c r="J974" s="187"/>
      <c r="K974" s="189"/>
      <c r="L974" s="187"/>
      <c r="M974" s="187"/>
      <c r="N974" s="190"/>
      <c r="O974" s="196"/>
      <c r="P974" s="192"/>
    </row>
    <row r="975" ht="15.75" customHeight="1">
      <c r="A975" s="186"/>
      <c r="B975" s="197"/>
      <c r="C975" s="198"/>
      <c r="D975" s="199"/>
      <c r="E975" s="200"/>
      <c r="F975" s="201"/>
      <c r="G975" s="201"/>
      <c r="H975" s="199"/>
      <c r="I975" s="200"/>
      <c r="J975" s="187"/>
      <c r="K975" s="189"/>
      <c r="L975" s="187"/>
      <c r="M975" s="187"/>
      <c r="N975" s="190"/>
      <c r="O975" s="196"/>
      <c r="P975" s="192"/>
    </row>
    <row r="976" ht="15.75" customHeight="1">
      <c r="A976" s="186"/>
      <c r="B976" s="197"/>
      <c r="C976" s="198"/>
      <c r="D976" s="199"/>
      <c r="E976" s="200"/>
      <c r="F976" s="201"/>
      <c r="G976" s="201"/>
      <c r="H976" s="199"/>
      <c r="I976" s="200"/>
      <c r="J976" s="187"/>
      <c r="K976" s="189"/>
      <c r="L976" s="187"/>
      <c r="M976" s="187"/>
      <c r="N976" s="190"/>
      <c r="O976" s="196"/>
      <c r="P976" s="192"/>
    </row>
    <row r="977" ht="15.75" customHeight="1">
      <c r="A977" s="186"/>
      <c r="B977" s="197"/>
      <c r="C977" s="198"/>
      <c r="D977" s="199"/>
      <c r="E977" s="200"/>
      <c r="F977" s="201"/>
      <c r="G977" s="201"/>
      <c r="H977" s="199"/>
      <c r="I977" s="200"/>
      <c r="J977" s="187"/>
      <c r="K977" s="189"/>
      <c r="L977" s="187"/>
      <c r="M977" s="187"/>
      <c r="N977" s="190"/>
      <c r="O977" s="196"/>
      <c r="P977" s="192"/>
    </row>
    <row r="978" ht="15.75" customHeight="1">
      <c r="A978" s="186"/>
      <c r="B978" s="197"/>
      <c r="C978" s="198"/>
      <c r="D978" s="199"/>
      <c r="E978" s="200"/>
      <c r="F978" s="201"/>
      <c r="G978" s="201"/>
      <c r="H978" s="199"/>
      <c r="I978" s="200"/>
      <c r="J978" s="187"/>
      <c r="K978" s="189"/>
      <c r="L978" s="187"/>
      <c r="M978" s="187"/>
      <c r="N978" s="190"/>
      <c r="O978" s="196"/>
      <c r="P978" s="192"/>
    </row>
    <row r="979" ht="15.75" customHeight="1">
      <c r="A979" s="186"/>
      <c r="B979" s="197"/>
      <c r="C979" s="198"/>
      <c r="D979" s="199"/>
      <c r="E979" s="200"/>
      <c r="F979" s="201"/>
      <c r="G979" s="201"/>
      <c r="H979" s="199"/>
      <c r="I979" s="200"/>
      <c r="J979" s="187"/>
      <c r="K979" s="189"/>
      <c r="L979" s="187"/>
      <c r="M979" s="187"/>
      <c r="N979" s="190"/>
      <c r="O979" s="196"/>
      <c r="P979" s="192"/>
    </row>
    <row r="980" ht="15.75" customHeight="1">
      <c r="A980" s="186"/>
      <c r="B980" s="197"/>
      <c r="C980" s="198"/>
      <c r="D980" s="199"/>
      <c r="E980" s="200"/>
      <c r="F980" s="201"/>
      <c r="G980" s="201"/>
      <c r="H980" s="199"/>
      <c r="I980" s="200"/>
      <c r="J980" s="187"/>
      <c r="K980" s="189"/>
      <c r="L980" s="187"/>
      <c r="M980" s="187"/>
      <c r="N980" s="190"/>
      <c r="O980" s="196"/>
      <c r="P980" s="192"/>
    </row>
    <row r="981" ht="15.75" customHeight="1">
      <c r="A981" s="186"/>
      <c r="B981" s="197"/>
      <c r="C981" s="198"/>
      <c r="D981" s="199"/>
      <c r="E981" s="200"/>
      <c r="F981" s="201"/>
      <c r="G981" s="201"/>
      <c r="H981" s="199"/>
      <c r="I981" s="200"/>
      <c r="J981" s="187"/>
      <c r="K981" s="189"/>
      <c r="L981" s="187"/>
      <c r="M981" s="187"/>
      <c r="N981" s="190"/>
      <c r="O981" s="196"/>
      <c r="P981" s="192"/>
    </row>
    <row r="982" ht="15.75" customHeight="1">
      <c r="A982" s="186"/>
      <c r="B982" s="197"/>
      <c r="C982" s="198"/>
      <c r="D982" s="199"/>
      <c r="E982" s="200"/>
      <c r="F982" s="201"/>
      <c r="G982" s="201"/>
      <c r="H982" s="199"/>
      <c r="I982" s="200"/>
      <c r="J982" s="187"/>
      <c r="K982" s="189"/>
      <c r="L982" s="187"/>
      <c r="M982" s="187"/>
      <c r="N982" s="190"/>
      <c r="O982" s="196"/>
      <c r="P982" s="192"/>
    </row>
    <row r="983" ht="15.75" customHeight="1">
      <c r="A983" s="186"/>
      <c r="B983" s="197"/>
      <c r="C983" s="198"/>
      <c r="D983" s="199"/>
      <c r="E983" s="200"/>
      <c r="F983" s="201"/>
      <c r="G983" s="201"/>
      <c r="H983" s="199"/>
      <c r="I983" s="200"/>
      <c r="J983" s="187"/>
      <c r="K983" s="189"/>
      <c r="L983" s="187"/>
      <c r="M983" s="187"/>
      <c r="N983" s="190"/>
      <c r="O983" s="196"/>
      <c r="P983" s="192"/>
    </row>
    <row r="984" ht="15.75" customHeight="1">
      <c r="A984" s="186"/>
      <c r="B984" s="197"/>
      <c r="C984" s="198"/>
      <c r="D984" s="199"/>
      <c r="E984" s="200"/>
      <c r="F984" s="201"/>
      <c r="G984" s="201"/>
      <c r="H984" s="199"/>
      <c r="I984" s="200"/>
      <c r="J984" s="187"/>
      <c r="K984" s="189"/>
      <c r="L984" s="187"/>
      <c r="M984" s="187"/>
      <c r="N984" s="190"/>
      <c r="O984" s="196"/>
      <c r="P984" s="192"/>
    </row>
    <row r="985" ht="15.75" customHeight="1">
      <c r="A985" s="186"/>
      <c r="B985" s="197"/>
      <c r="C985" s="198"/>
      <c r="D985" s="199"/>
      <c r="E985" s="200"/>
      <c r="F985" s="201"/>
      <c r="G985" s="201"/>
      <c r="H985" s="199"/>
      <c r="I985" s="200"/>
      <c r="J985" s="187"/>
      <c r="K985" s="189"/>
      <c r="L985" s="187"/>
      <c r="M985" s="187"/>
      <c r="N985" s="190"/>
      <c r="O985" s="196"/>
      <c r="P985" s="192"/>
    </row>
    <row r="986" ht="15.75" customHeight="1">
      <c r="A986" s="186"/>
      <c r="B986" s="197"/>
      <c r="C986" s="198"/>
      <c r="D986" s="199"/>
      <c r="E986" s="200"/>
      <c r="F986" s="201"/>
      <c r="G986" s="201"/>
      <c r="H986" s="199"/>
      <c r="I986" s="200"/>
      <c r="J986" s="187"/>
      <c r="K986" s="189"/>
      <c r="L986" s="187"/>
      <c r="M986" s="187"/>
      <c r="N986" s="190"/>
      <c r="O986" s="196"/>
      <c r="P986" s="192"/>
    </row>
    <row r="987" ht="15.75" customHeight="1">
      <c r="A987" s="186"/>
      <c r="B987" s="197"/>
      <c r="C987" s="198"/>
      <c r="D987" s="199"/>
      <c r="E987" s="200"/>
      <c r="F987" s="201"/>
      <c r="G987" s="201"/>
      <c r="H987" s="199"/>
      <c r="I987" s="200"/>
      <c r="J987" s="187"/>
      <c r="K987" s="189"/>
      <c r="L987" s="187"/>
      <c r="M987" s="187"/>
      <c r="N987" s="190"/>
      <c r="O987" s="196"/>
      <c r="P987" s="192"/>
    </row>
    <row r="988" ht="15.75" customHeight="1">
      <c r="A988" s="186"/>
      <c r="B988" s="197"/>
      <c r="C988" s="198"/>
      <c r="D988" s="199"/>
      <c r="E988" s="200"/>
      <c r="F988" s="201"/>
      <c r="G988" s="201"/>
      <c r="H988" s="199"/>
      <c r="I988" s="200"/>
      <c r="J988" s="187"/>
      <c r="K988" s="189"/>
      <c r="L988" s="187"/>
      <c r="M988" s="187"/>
      <c r="N988" s="190"/>
      <c r="O988" s="196"/>
      <c r="P988" s="192"/>
    </row>
    <row r="989" ht="15.75" customHeight="1">
      <c r="A989" s="186"/>
      <c r="B989" s="197"/>
      <c r="C989" s="198"/>
      <c r="D989" s="199"/>
      <c r="E989" s="200"/>
      <c r="F989" s="201"/>
      <c r="G989" s="201"/>
      <c r="H989" s="199"/>
      <c r="I989" s="200"/>
      <c r="J989" s="187"/>
      <c r="K989" s="189"/>
      <c r="L989" s="187"/>
      <c r="M989" s="187"/>
      <c r="N989" s="190"/>
      <c r="O989" s="196"/>
      <c r="P989" s="192"/>
    </row>
    <row r="990" ht="15.75" customHeight="1">
      <c r="A990" s="186"/>
      <c r="B990" s="197"/>
      <c r="C990" s="198"/>
      <c r="D990" s="199"/>
      <c r="E990" s="200"/>
      <c r="F990" s="201"/>
      <c r="G990" s="201"/>
      <c r="H990" s="199"/>
      <c r="I990" s="200"/>
      <c r="J990" s="187"/>
      <c r="K990" s="189"/>
      <c r="L990" s="187"/>
      <c r="M990" s="187"/>
      <c r="N990" s="190"/>
      <c r="O990" s="196"/>
      <c r="P990" s="192"/>
    </row>
    <row r="991" ht="15.75" customHeight="1">
      <c r="A991" s="186"/>
      <c r="B991" s="197"/>
      <c r="C991" s="198"/>
      <c r="D991" s="199"/>
      <c r="E991" s="200"/>
      <c r="F991" s="201"/>
      <c r="G991" s="201"/>
      <c r="H991" s="199"/>
      <c r="I991" s="200"/>
      <c r="J991" s="187"/>
      <c r="K991" s="189"/>
      <c r="L991" s="187"/>
      <c r="M991" s="187"/>
      <c r="N991" s="190"/>
      <c r="O991" s="196"/>
      <c r="P991" s="192"/>
    </row>
    <row r="992" ht="15.75" customHeight="1">
      <c r="A992" s="186"/>
      <c r="B992" s="197"/>
      <c r="C992" s="198"/>
      <c r="D992" s="199"/>
      <c r="E992" s="200"/>
      <c r="F992" s="201"/>
      <c r="G992" s="201"/>
      <c r="H992" s="199"/>
      <c r="I992" s="200"/>
      <c r="J992" s="187"/>
      <c r="K992" s="189"/>
      <c r="L992" s="187"/>
      <c r="M992" s="187"/>
      <c r="N992" s="190"/>
      <c r="O992" s="196"/>
      <c r="P992" s="192"/>
    </row>
    <row r="993" ht="15.75" customHeight="1">
      <c r="A993" s="186"/>
      <c r="B993" s="197"/>
      <c r="C993" s="198"/>
      <c r="D993" s="199"/>
      <c r="E993" s="200"/>
      <c r="F993" s="201"/>
      <c r="G993" s="201"/>
      <c r="H993" s="199"/>
      <c r="I993" s="200"/>
      <c r="J993" s="187"/>
      <c r="K993" s="189"/>
      <c r="L993" s="187"/>
      <c r="M993" s="187"/>
      <c r="N993" s="190"/>
      <c r="O993" s="196"/>
      <c r="P993" s="192"/>
    </row>
    <row r="994" ht="15.75" customHeight="1">
      <c r="A994" s="186"/>
      <c r="B994" s="197"/>
      <c r="C994" s="198"/>
      <c r="D994" s="199"/>
      <c r="E994" s="200"/>
      <c r="F994" s="201"/>
      <c r="G994" s="201"/>
      <c r="H994" s="199"/>
      <c r="I994" s="200"/>
      <c r="J994" s="187"/>
      <c r="K994" s="189"/>
      <c r="L994" s="187"/>
      <c r="M994" s="187"/>
      <c r="N994" s="190"/>
      <c r="O994" s="196"/>
      <c r="P994" s="192"/>
    </row>
    <row r="995" ht="15.75" customHeight="1">
      <c r="A995" s="186"/>
      <c r="B995" s="197"/>
      <c r="C995" s="198"/>
      <c r="D995" s="199"/>
      <c r="E995" s="200"/>
      <c r="F995" s="201"/>
      <c r="G995" s="201"/>
      <c r="H995" s="199"/>
      <c r="I995" s="200"/>
      <c r="J995" s="187"/>
      <c r="K995" s="189"/>
      <c r="L995" s="187"/>
      <c r="M995" s="187"/>
      <c r="N995" s="190"/>
      <c r="O995" s="196"/>
      <c r="P995" s="192"/>
    </row>
    <row r="996" ht="15.75" customHeight="1">
      <c r="A996" s="186"/>
      <c r="B996" s="197"/>
      <c r="C996" s="198"/>
      <c r="D996" s="199"/>
      <c r="E996" s="200"/>
      <c r="F996" s="201"/>
      <c r="G996" s="201"/>
      <c r="H996" s="199"/>
      <c r="I996" s="200"/>
      <c r="J996" s="187"/>
      <c r="K996" s="189"/>
      <c r="L996" s="187"/>
      <c r="M996" s="187"/>
      <c r="N996" s="190"/>
      <c r="O996" s="196"/>
      <c r="P996" s="192"/>
    </row>
    <row r="997" ht="15.75" customHeight="1">
      <c r="A997" s="186"/>
      <c r="B997" s="197"/>
      <c r="C997" s="198"/>
      <c r="D997" s="199"/>
      <c r="E997" s="200"/>
      <c r="F997" s="201"/>
      <c r="G997" s="201"/>
      <c r="H997" s="199"/>
      <c r="I997" s="200"/>
      <c r="J997" s="187"/>
      <c r="K997" s="189"/>
      <c r="L997" s="187"/>
      <c r="M997" s="187"/>
      <c r="N997" s="190"/>
      <c r="O997" s="196"/>
      <c r="P997" s="192"/>
    </row>
    <row r="998" ht="15.75" customHeight="1">
      <c r="A998" s="186"/>
      <c r="B998" s="197"/>
      <c r="C998" s="198"/>
      <c r="D998" s="199"/>
      <c r="E998" s="200"/>
      <c r="F998" s="201"/>
      <c r="G998" s="201"/>
      <c r="H998" s="199"/>
      <c r="I998" s="200"/>
      <c r="J998" s="187"/>
      <c r="K998" s="189"/>
      <c r="L998" s="187"/>
      <c r="M998" s="187"/>
      <c r="N998" s="190"/>
      <c r="O998" s="196"/>
      <c r="P998" s="192"/>
    </row>
    <row r="999" ht="15.75" customHeight="1">
      <c r="A999" s="186"/>
      <c r="B999" s="197"/>
      <c r="C999" s="198"/>
      <c r="D999" s="199"/>
      <c r="E999" s="200"/>
      <c r="F999" s="201"/>
      <c r="G999" s="201"/>
      <c r="H999" s="199"/>
      <c r="I999" s="200"/>
      <c r="J999" s="187"/>
      <c r="K999" s="189"/>
      <c r="L999" s="187"/>
      <c r="M999" s="187"/>
      <c r="N999" s="190"/>
      <c r="O999" s="196"/>
      <c r="P999" s="192"/>
    </row>
    <row r="1000" ht="15.75" customHeight="1">
      <c r="A1000" s="186"/>
      <c r="B1000" s="197"/>
      <c r="C1000" s="198"/>
      <c r="D1000" s="199"/>
      <c r="E1000" s="200"/>
      <c r="F1000" s="201"/>
      <c r="G1000" s="201"/>
      <c r="H1000" s="199"/>
      <c r="I1000" s="200"/>
      <c r="J1000" s="187"/>
      <c r="K1000" s="189"/>
      <c r="L1000" s="187"/>
      <c r="M1000" s="187"/>
      <c r="N1000" s="190"/>
      <c r="O1000" s="196"/>
      <c r="P1000" s="192"/>
    </row>
    <row r="1001" ht="15.75" customHeight="1">
      <c r="A1001" s="186"/>
      <c r="B1001" s="197"/>
      <c r="C1001" s="198"/>
      <c r="D1001" s="199"/>
      <c r="E1001" s="200"/>
      <c r="F1001" s="201"/>
      <c r="G1001" s="201"/>
      <c r="H1001" s="199"/>
      <c r="I1001" s="200"/>
      <c r="J1001" s="187"/>
      <c r="K1001" s="189"/>
      <c r="L1001" s="187"/>
      <c r="M1001" s="187"/>
      <c r="N1001" s="190"/>
      <c r="O1001" s="196"/>
      <c r="P1001" s="192"/>
    </row>
    <row r="1002" ht="15.75" customHeight="1">
      <c r="A1002" s="186"/>
      <c r="B1002" s="197"/>
      <c r="C1002" s="198"/>
      <c r="D1002" s="199"/>
      <c r="E1002" s="200"/>
      <c r="F1002" s="201"/>
      <c r="G1002" s="201"/>
      <c r="H1002" s="199"/>
      <c r="I1002" s="200"/>
      <c r="J1002" s="187"/>
      <c r="K1002" s="189"/>
      <c r="L1002" s="187"/>
      <c r="M1002" s="187"/>
      <c r="N1002" s="190"/>
      <c r="O1002" s="196"/>
      <c r="P1002" s="192"/>
    </row>
    <row r="1003" ht="15.75" customHeight="1">
      <c r="A1003" s="186"/>
      <c r="B1003" s="197"/>
      <c r="C1003" s="198"/>
      <c r="D1003" s="199"/>
      <c r="E1003" s="200"/>
      <c r="F1003" s="201"/>
      <c r="G1003" s="201"/>
      <c r="H1003" s="199"/>
      <c r="I1003" s="200"/>
      <c r="J1003" s="187"/>
      <c r="K1003" s="189"/>
      <c r="L1003" s="187"/>
      <c r="M1003" s="187"/>
      <c r="N1003" s="190"/>
      <c r="O1003" s="196"/>
      <c r="P1003" s="192"/>
    </row>
    <row r="1004" ht="15.75" customHeight="1">
      <c r="A1004" s="186"/>
      <c r="B1004" s="197"/>
      <c r="C1004" s="198"/>
      <c r="D1004" s="199"/>
      <c r="E1004" s="200"/>
      <c r="F1004" s="201"/>
      <c r="G1004" s="201"/>
      <c r="H1004" s="199"/>
      <c r="I1004" s="200"/>
      <c r="J1004" s="187"/>
      <c r="K1004" s="189"/>
      <c r="L1004" s="187"/>
      <c r="M1004" s="187"/>
      <c r="N1004" s="190"/>
      <c r="O1004" s="196"/>
      <c r="P1004" s="192"/>
    </row>
    <row r="1005" ht="15.75" customHeight="1">
      <c r="A1005" s="186"/>
      <c r="B1005" s="197"/>
      <c r="C1005" s="198"/>
      <c r="D1005" s="199"/>
      <c r="E1005" s="200"/>
      <c r="F1005" s="201"/>
      <c r="G1005" s="201"/>
      <c r="H1005" s="199"/>
      <c r="I1005" s="200"/>
      <c r="J1005" s="187"/>
      <c r="K1005" s="189"/>
      <c r="L1005" s="187"/>
      <c r="M1005" s="187"/>
      <c r="N1005" s="190"/>
      <c r="O1005" s="196"/>
      <c r="P1005" s="192"/>
    </row>
  </sheetData>
  <autoFilter ref="$A$1:$O$69"/>
  <mergeCells count="4">
    <mergeCell ref="O71:O72"/>
    <mergeCell ref="O73:O74"/>
    <mergeCell ref="O100:O116"/>
    <mergeCell ref="O117:O12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33"/>
    <col customWidth="1" min="2" max="3" width="8.44"/>
    <col customWidth="1" min="4" max="4" width="10.11"/>
    <col customWidth="1" min="5" max="5" width="9.33"/>
    <col customWidth="1" min="6" max="6" width="10.89"/>
    <col customWidth="1" min="7" max="8" width="8.78"/>
    <col customWidth="1" min="9" max="9" width="9.0"/>
    <col customWidth="1" min="10" max="11" width="8.78"/>
    <col customWidth="1" min="12" max="12" width="9.44"/>
    <col customWidth="1" min="14" max="14" width="9.0"/>
    <col customWidth="1" min="15" max="15" width="7.22"/>
    <col customWidth="1" min="16" max="16" width="27.67"/>
    <col customWidth="1" min="17" max="17" width="23.22"/>
    <col customWidth="1" min="18" max="28" width="10.44"/>
  </cols>
  <sheetData>
    <row r="1">
      <c r="A1" s="202" t="s">
        <v>0</v>
      </c>
      <c r="B1" s="203" t="s">
        <v>267</v>
      </c>
      <c r="C1" s="204" t="s">
        <v>268</v>
      </c>
      <c r="D1" s="205" t="s">
        <v>2</v>
      </c>
      <c r="E1" s="204" t="s">
        <v>269</v>
      </c>
      <c r="F1" s="206" t="s">
        <v>270</v>
      </c>
      <c r="G1" s="207" t="s">
        <v>271</v>
      </c>
      <c r="H1" s="208" t="s">
        <v>272</v>
      </c>
      <c r="I1" s="207" t="s">
        <v>273</v>
      </c>
      <c r="J1" s="207" t="s">
        <v>274</v>
      </c>
      <c r="K1" s="207" t="s">
        <v>275</v>
      </c>
      <c r="L1" s="5" t="s">
        <v>276</v>
      </c>
      <c r="M1" s="5" t="s">
        <v>8</v>
      </c>
      <c r="N1" s="207" t="s">
        <v>277</v>
      </c>
      <c r="O1" s="209" t="s">
        <v>7</v>
      </c>
      <c r="P1" s="210" t="s">
        <v>278</v>
      </c>
      <c r="Q1" s="211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</row>
    <row r="2" ht="15.75" customHeight="1">
      <c r="A2" s="213" t="s">
        <v>79</v>
      </c>
      <c r="B2" s="214" t="s">
        <v>74</v>
      </c>
      <c r="C2" s="214" t="s">
        <v>74</v>
      </c>
      <c r="D2" s="215" t="s">
        <v>74</v>
      </c>
      <c r="E2" s="8">
        <v>45461.0</v>
      </c>
      <c r="F2" s="9">
        <v>0.9583333333333334</v>
      </c>
      <c r="G2" s="216">
        <v>103.6</v>
      </c>
      <c r="H2" s="217">
        <v>1.0</v>
      </c>
      <c r="I2" s="216">
        <v>127.5</v>
      </c>
      <c r="J2" s="216">
        <v>127.3</v>
      </c>
      <c r="K2" s="216" t="s">
        <v>74</v>
      </c>
      <c r="L2" s="11" t="s">
        <v>279</v>
      </c>
      <c r="M2" s="11" t="s">
        <v>13</v>
      </c>
      <c r="N2" s="218">
        <f t="shared" ref="N2:N56" si="1">(J2-G2)/H2</f>
        <v>23.7</v>
      </c>
      <c r="O2" s="219" t="s">
        <v>280</v>
      </c>
      <c r="P2" s="219"/>
      <c r="Q2" s="12"/>
      <c r="R2" s="220"/>
      <c r="S2" s="221"/>
      <c r="T2" s="222"/>
      <c r="U2" s="222"/>
      <c r="V2" s="37"/>
      <c r="W2" s="37"/>
      <c r="X2" s="37"/>
      <c r="Y2" s="37"/>
      <c r="Z2" s="37"/>
      <c r="AA2" s="37"/>
      <c r="AB2" s="37"/>
    </row>
    <row r="3" ht="15.75" customHeight="1">
      <c r="A3" s="223" t="s">
        <v>281</v>
      </c>
      <c r="B3" s="216">
        <v>100.1</v>
      </c>
      <c r="C3" s="224" t="s">
        <v>74</v>
      </c>
      <c r="D3" s="215" t="s">
        <v>74</v>
      </c>
      <c r="E3" s="8">
        <v>45461.0</v>
      </c>
      <c r="F3" s="9">
        <v>0.9458333333333333</v>
      </c>
      <c r="G3" s="216">
        <v>104.1</v>
      </c>
      <c r="H3" s="217">
        <v>1.0</v>
      </c>
      <c r="I3" s="216">
        <v>200.9</v>
      </c>
      <c r="J3" s="216">
        <v>200.9</v>
      </c>
      <c r="K3" s="216" t="s">
        <v>74</v>
      </c>
      <c r="L3" s="11" t="s">
        <v>282</v>
      </c>
      <c r="M3" s="11" t="s">
        <v>13</v>
      </c>
      <c r="N3" s="218">
        <f t="shared" si="1"/>
        <v>96.8</v>
      </c>
      <c r="O3" s="219" t="s">
        <v>12</v>
      </c>
      <c r="P3" s="225"/>
      <c r="Q3" s="12"/>
      <c r="R3" s="220">
        <f>B3-N3</f>
        <v>3.3</v>
      </c>
      <c r="S3" s="221"/>
      <c r="T3" s="226"/>
      <c r="U3" s="37"/>
      <c r="V3" s="37"/>
      <c r="W3" s="37"/>
      <c r="X3" s="37"/>
      <c r="Y3" s="37"/>
      <c r="Z3" s="37"/>
      <c r="AA3" s="37"/>
      <c r="AB3" s="37"/>
    </row>
    <row r="4">
      <c r="A4" s="227" t="s">
        <v>283</v>
      </c>
      <c r="B4" s="214" t="s">
        <v>74</v>
      </c>
      <c r="C4" s="8">
        <v>45461.0</v>
      </c>
      <c r="D4" s="9">
        <v>0.3229166666666667</v>
      </c>
      <c r="E4" s="8">
        <v>45461.0</v>
      </c>
      <c r="F4" s="9">
        <v>0.5868055555555556</v>
      </c>
      <c r="G4" s="216">
        <v>103.9</v>
      </c>
      <c r="H4" s="217">
        <v>1.0</v>
      </c>
      <c r="I4" s="216">
        <v>116.6</v>
      </c>
      <c r="J4" s="216">
        <v>116.2</v>
      </c>
      <c r="K4" s="216" t="s">
        <v>74</v>
      </c>
      <c r="L4" s="11" t="s">
        <v>284</v>
      </c>
      <c r="M4" s="11" t="s">
        <v>13</v>
      </c>
      <c r="N4" s="218">
        <f t="shared" si="1"/>
        <v>12.3</v>
      </c>
      <c r="O4" s="219" t="s">
        <v>12</v>
      </c>
      <c r="P4" s="225"/>
      <c r="Q4" s="228"/>
      <c r="R4" s="220"/>
      <c r="S4" s="37"/>
      <c r="T4" s="222"/>
      <c r="U4" s="37"/>
      <c r="V4" s="37"/>
      <c r="W4" s="37"/>
      <c r="X4" s="37"/>
      <c r="Y4" s="37"/>
      <c r="Z4" s="37"/>
      <c r="AA4" s="37"/>
      <c r="AB4" s="37"/>
    </row>
    <row r="5">
      <c r="A5" s="227" t="s">
        <v>285</v>
      </c>
      <c r="B5" s="214" t="s">
        <v>74</v>
      </c>
      <c r="C5" s="8">
        <v>45461.0</v>
      </c>
      <c r="D5" s="9">
        <v>0.3402777777777778</v>
      </c>
      <c r="E5" s="8">
        <v>45461.0</v>
      </c>
      <c r="F5" s="9">
        <v>0.5902777777777778</v>
      </c>
      <c r="G5" s="216">
        <v>104.2</v>
      </c>
      <c r="H5" s="217">
        <v>1.0</v>
      </c>
      <c r="I5" s="216">
        <v>111.0</v>
      </c>
      <c r="J5" s="216">
        <v>111.0</v>
      </c>
      <c r="K5" s="216" t="s">
        <v>74</v>
      </c>
      <c r="L5" s="11" t="s">
        <v>286</v>
      </c>
      <c r="M5" s="11" t="s">
        <v>13</v>
      </c>
      <c r="N5" s="218">
        <f t="shared" si="1"/>
        <v>6.8</v>
      </c>
      <c r="O5" s="219" t="s">
        <v>12</v>
      </c>
      <c r="P5" s="225"/>
      <c r="Q5" s="228"/>
      <c r="R5" s="220"/>
      <c r="S5" s="229"/>
      <c r="T5" s="229"/>
      <c r="U5" s="229"/>
      <c r="V5" s="229"/>
      <c r="W5" s="229"/>
      <c r="X5" s="229"/>
      <c r="Y5" s="229"/>
      <c r="Z5" s="229"/>
      <c r="AA5" s="229"/>
      <c r="AB5" s="229"/>
    </row>
    <row r="6" ht="15.75" customHeight="1">
      <c r="A6" s="227" t="s">
        <v>287</v>
      </c>
      <c r="B6" s="214" t="s">
        <v>74</v>
      </c>
      <c r="C6" s="8">
        <v>45461.0</v>
      </c>
      <c r="D6" s="9">
        <v>0.3680555555555556</v>
      </c>
      <c r="E6" s="8">
        <v>45461.0</v>
      </c>
      <c r="F6" s="9">
        <v>0.59375</v>
      </c>
      <c r="G6" s="216">
        <v>104.3</v>
      </c>
      <c r="H6" s="217">
        <v>1.0</v>
      </c>
      <c r="I6" s="216">
        <v>113.0</v>
      </c>
      <c r="J6" s="216">
        <v>112.7</v>
      </c>
      <c r="K6" s="216" t="s">
        <v>74</v>
      </c>
      <c r="L6" s="11" t="s">
        <v>288</v>
      </c>
      <c r="M6" s="11" t="s">
        <v>13</v>
      </c>
      <c r="N6" s="218">
        <f t="shared" si="1"/>
        <v>8.4</v>
      </c>
      <c r="O6" s="219" t="s">
        <v>12</v>
      </c>
      <c r="P6" s="225"/>
      <c r="Q6" s="228"/>
      <c r="R6" s="220"/>
      <c r="S6" s="229"/>
      <c r="T6" s="229"/>
      <c r="U6" s="229"/>
      <c r="V6" s="229"/>
      <c r="W6" s="229"/>
      <c r="X6" s="229"/>
      <c r="Y6" s="229"/>
      <c r="Z6" s="229"/>
      <c r="AA6" s="229"/>
      <c r="AB6" s="229"/>
    </row>
    <row r="7" ht="15.75" customHeight="1">
      <c r="A7" s="227" t="s">
        <v>289</v>
      </c>
      <c r="B7" s="214" t="s">
        <v>74</v>
      </c>
      <c r="C7" s="8">
        <v>45461.0</v>
      </c>
      <c r="D7" s="9">
        <v>0.40902777777777777</v>
      </c>
      <c r="E7" s="8">
        <v>45461.0</v>
      </c>
      <c r="F7" s="9">
        <v>0.5965277777777778</v>
      </c>
      <c r="G7" s="216">
        <v>104.6</v>
      </c>
      <c r="H7" s="217">
        <v>1.0</v>
      </c>
      <c r="I7" s="216">
        <v>111.0</v>
      </c>
      <c r="J7" s="216">
        <v>110.6</v>
      </c>
      <c r="K7" s="216" t="s">
        <v>74</v>
      </c>
      <c r="L7" s="11" t="s">
        <v>290</v>
      </c>
      <c r="M7" s="11" t="s">
        <v>13</v>
      </c>
      <c r="N7" s="218">
        <f t="shared" si="1"/>
        <v>6</v>
      </c>
      <c r="O7" s="219" t="s">
        <v>12</v>
      </c>
      <c r="P7" s="225"/>
      <c r="Q7" s="228"/>
      <c r="R7" s="220"/>
      <c r="S7" s="229"/>
      <c r="T7" s="229"/>
      <c r="U7" s="229"/>
      <c r="V7" s="229"/>
      <c r="W7" s="229"/>
      <c r="X7" s="229"/>
      <c r="Y7" s="229"/>
      <c r="Z7" s="229"/>
      <c r="AA7" s="229"/>
      <c r="AB7" s="229"/>
    </row>
    <row r="8" ht="15.75" customHeight="1">
      <c r="A8" s="227" t="s">
        <v>291</v>
      </c>
      <c r="B8" s="214" t="s">
        <v>74</v>
      </c>
      <c r="C8" s="8">
        <v>45461.0</v>
      </c>
      <c r="D8" s="9">
        <v>0.4270833333333333</v>
      </c>
      <c r="E8" s="8">
        <v>45461.0</v>
      </c>
      <c r="F8" s="9">
        <v>0.5986111111111111</v>
      </c>
      <c r="G8" s="216">
        <v>104.6</v>
      </c>
      <c r="H8" s="217">
        <v>1.0</v>
      </c>
      <c r="I8" s="216">
        <v>109.1</v>
      </c>
      <c r="J8" s="216">
        <v>108.6</v>
      </c>
      <c r="K8" s="216" t="s">
        <v>74</v>
      </c>
      <c r="L8" s="11" t="s">
        <v>292</v>
      </c>
      <c r="M8" s="11" t="s">
        <v>13</v>
      </c>
      <c r="N8" s="218">
        <f t="shared" si="1"/>
        <v>4</v>
      </c>
      <c r="O8" s="219" t="s">
        <v>12</v>
      </c>
      <c r="P8" s="225"/>
      <c r="Q8" s="228"/>
      <c r="R8" s="220"/>
      <c r="S8" s="229"/>
      <c r="T8" s="229"/>
      <c r="U8" s="229"/>
      <c r="V8" s="229"/>
      <c r="W8" s="229"/>
      <c r="X8" s="229"/>
      <c r="Y8" s="229"/>
      <c r="Z8" s="229"/>
      <c r="AA8" s="229"/>
      <c r="AB8" s="229"/>
    </row>
    <row r="9" ht="15.75" customHeight="1">
      <c r="A9" s="227" t="s">
        <v>293</v>
      </c>
      <c r="B9" s="214" t="s">
        <v>74</v>
      </c>
      <c r="C9" s="8">
        <v>45461.0</v>
      </c>
      <c r="D9" s="9">
        <v>0.44305555555555554</v>
      </c>
      <c r="E9" s="8">
        <v>45461.0</v>
      </c>
      <c r="F9" s="9">
        <v>0.6013888888888889</v>
      </c>
      <c r="G9" s="216">
        <v>104.7</v>
      </c>
      <c r="H9" s="217">
        <v>1.0</v>
      </c>
      <c r="I9" s="216">
        <v>108.8</v>
      </c>
      <c r="J9" s="216">
        <v>108.6</v>
      </c>
      <c r="K9" s="216" t="s">
        <v>74</v>
      </c>
      <c r="L9" s="11" t="s">
        <v>294</v>
      </c>
      <c r="M9" s="11" t="s">
        <v>13</v>
      </c>
      <c r="N9" s="218">
        <f t="shared" si="1"/>
        <v>3.9</v>
      </c>
      <c r="O9" s="219" t="s">
        <v>12</v>
      </c>
      <c r="P9" s="225"/>
      <c r="Q9" s="228"/>
      <c r="R9" s="220"/>
      <c r="S9" s="229"/>
      <c r="T9" s="229"/>
      <c r="U9" s="229"/>
      <c r="V9" s="229"/>
      <c r="W9" s="229"/>
      <c r="X9" s="229"/>
      <c r="Y9" s="229"/>
      <c r="Z9" s="229"/>
      <c r="AA9" s="229"/>
      <c r="AB9" s="229"/>
    </row>
    <row r="10" ht="15.75" customHeight="1">
      <c r="A10" s="227" t="s">
        <v>295</v>
      </c>
      <c r="B10" s="214" t="s">
        <v>74</v>
      </c>
      <c r="C10" s="8">
        <v>45461.0</v>
      </c>
      <c r="D10" s="9">
        <v>0.4722222222222222</v>
      </c>
      <c r="E10" s="8">
        <v>45461.0</v>
      </c>
      <c r="F10" s="9">
        <v>0.6034722222222222</v>
      </c>
      <c r="G10" s="216">
        <v>104.4</v>
      </c>
      <c r="H10" s="217">
        <v>1.0</v>
      </c>
      <c r="I10" s="216">
        <v>108.4</v>
      </c>
      <c r="J10" s="216">
        <v>107.9</v>
      </c>
      <c r="K10" s="216" t="s">
        <v>74</v>
      </c>
      <c r="L10" s="11" t="s">
        <v>296</v>
      </c>
      <c r="M10" s="11" t="s">
        <v>13</v>
      </c>
      <c r="N10" s="218">
        <f t="shared" si="1"/>
        <v>3.5</v>
      </c>
      <c r="O10" s="219" t="s">
        <v>12</v>
      </c>
      <c r="P10" s="225"/>
      <c r="Q10" s="228"/>
      <c r="R10" s="220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</row>
    <row r="11" ht="15.75" customHeight="1">
      <c r="A11" s="227" t="s">
        <v>297</v>
      </c>
      <c r="B11" s="214" t="s">
        <v>74</v>
      </c>
      <c r="C11" s="8">
        <v>45461.0</v>
      </c>
      <c r="D11" s="9">
        <v>0.48819444444444443</v>
      </c>
      <c r="E11" s="8">
        <v>45461.0</v>
      </c>
      <c r="F11" s="9">
        <v>0.6048611111111111</v>
      </c>
      <c r="G11" s="216">
        <v>105.5</v>
      </c>
      <c r="H11" s="217">
        <v>1.0</v>
      </c>
      <c r="I11" s="216">
        <v>109.6</v>
      </c>
      <c r="J11" s="216">
        <v>109.4</v>
      </c>
      <c r="K11" s="216" t="s">
        <v>74</v>
      </c>
      <c r="L11" s="11" t="s">
        <v>298</v>
      </c>
      <c r="M11" s="11" t="s">
        <v>13</v>
      </c>
      <c r="N11" s="218">
        <f t="shared" si="1"/>
        <v>3.9</v>
      </c>
      <c r="O11" s="219" t="s">
        <v>12</v>
      </c>
      <c r="P11" s="225"/>
      <c r="Q11" s="228"/>
      <c r="R11" s="220"/>
      <c r="S11" s="229"/>
      <c r="T11" s="229"/>
      <c r="U11" s="229"/>
      <c r="V11" s="229"/>
      <c r="W11" s="229"/>
      <c r="X11" s="229"/>
      <c r="Y11" s="229"/>
      <c r="Z11" s="229"/>
      <c r="AA11" s="229"/>
      <c r="AB11" s="229"/>
    </row>
    <row r="12" ht="15.75" customHeight="1">
      <c r="A12" s="230" t="s">
        <v>299</v>
      </c>
      <c r="B12" s="214" t="s">
        <v>74</v>
      </c>
      <c r="C12" s="8">
        <v>45464.0</v>
      </c>
      <c r="D12" s="9">
        <v>0.3055555555555556</v>
      </c>
      <c r="E12" s="8">
        <v>45464.0</v>
      </c>
      <c r="F12" s="9">
        <v>0.5236111111111111</v>
      </c>
      <c r="G12" s="216">
        <v>104.6</v>
      </c>
      <c r="H12" s="217">
        <v>1.0</v>
      </c>
      <c r="I12" s="216">
        <v>110.7</v>
      </c>
      <c r="J12" s="216">
        <v>110.0</v>
      </c>
      <c r="K12" s="216">
        <v>110.2</v>
      </c>
      <c r="L12" s="231" t="s">
        <v>300</v>
      </c>
      <c r="M12" s="11" t="s">
        <v>13</v>
      </c>
      <c r="N12" s="218">
        <f t="shared" si="1"/>
        <v>5.4</v>
      </c>
      <c r="O12" s="219" t="s">
        <v>12</v>
      </c>
      <c r="P12" s="225"/>
      <c r="Q12" s="228"/>
      <c r="R12" s="220"/>
      <c r="S12" s="229"/>
      <c r="T12" s="229"/>
      <c r="U12" s="229"/>
      <c r="V12" s="229"/>
      <c r="W12" s="229"/>
      <c r="X12" s="229"/>
      <c r="Y12" s="229"/>
      <c r="Z12" s="229"/>
      <c r="AA12" s="229"/>
      <c r="AB12" s="229"/>
    </row>
    <row r="13" ht="15.75" customHeight="1">
      <c r="A13" s="14" t="s">
        <v>301</v>
      </c>
      <c r="B13" s="214" t="s">
        <v>74</v>
      </c>
      <c r="C13" s="8">
        <v>45464.0</v>
      </c>
      <c r="D13" s="9">
        <v>0.34652777777777777</v>
      </c>
      <c r="E13" s="8">
        <v>45464.0</v>
      </c>
      <c r="F13" s="9">
        <v>0.5256944444444445</v>
      </c>
      <c r="G13" s="216">
        <v>105.0</v>
      </c>
      <c r="H13" s="217">
        <v>1.0</v>
      </c>
      <c r="I13" s="216">
        <v>113.3</v>
      </c>
      <c r="J13" s="216">
        <v>113.0</v>
      </c>
      <c r="K13" s="216" t="s">
        <v>74</v>
      </c>
      <c r="L13" s="231" t="s">
        <v>302</v>
      </c>
      <c r="M13" s="11" t="s">
        <v>13</v>
      </c>
      <c r="N13" s="218">
        <f t="shared" si="1"/>
        <v>8</v>
      </c>
      <c r="O13" s="219" t="s">
        <v>12</v>
      </c>
      <c r="P13" s="225"/>
      <c r="Q13" s="228"/>
      <c r="R13" s="220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</row>
    <row r="14" ht="15.75" customHeight="1">
      <c r="A14" s="213" t="s">
        <v>79</v>
      </c>
      <c r="B14" s="214" t="s">
        <v>74</v>
      </c>
      <c r="C14" s="214" t="s">
        <v>74</v>
      </c>
      <c r="D14" s="215" t="s">
        <v>74</v>
      </c>
      <c r="E14" s="8">
        <v>45464.0</v>
      </c>
      <c r="F14" s="9">
        <v>0.4583333333333333</v>
      </c>
      <c r="G14" s="216">
        <v>105.0</v>
      </c>
      <c r="H14" s="217">
        <v>1.0</v>
      </c>
      <c r="I14" s="216">
        <v>108.8</v>
      </c>
      <c r="J14" s="216">
        <v>106.1</v>
      </c>
      <c r="K14" s="216">
        <v>106.1</v>
      </c>
      <c r="L14" s="11" t="s">
        <v>303</v>
      </c>
      <c r="M14" s="11" t="s">
        <v>13</v>
      </c>
      <c r="N14" s="218">
        <f t="shared" si="1"/>
        <v>1.1</v>
      </c>
      <c r="O14" s="219" t="s">
        <v>12</v>
      </c>
      <c r="P14" s="219"/>
      <c r="Q14" s="12"/>
      <c r="R14" s="220"/>
      <c r="S14" s="232">
        <v>1.1</v>
      </c>
      <c r="T14" s="222"/>
      <c r="U14" s="222"/>
      <c r="V14" s="37"/>
      <c r="W14" s="37"/>
      <c r="X14" s="37"/>
      <c r="Y14" s="37"/>
      <c r="Z14" s="37"/>
      <c r="AA14" s="37"/>
      <c r="AB14" s="37"/>
    </row>
    <row r="15" ht="15.75" customHeight="1">
      <c r="A15" s="223" t="s">
        <v>281</v>
      </c>
      <c r="B15" s="216">
        <v>100.1</v>
      </c>
      <c r="C15" s="224" t="s">
        <v>74</v>
      </c>
      <c r="D15" s="215" t="s">
        <v>74</v>
      </c>
      <c r="E15" s="8">
        <v>45464.0</v>
      </c>
      <c r="F15" s="9">
        <v>0.4597222222222222</v>
      </c>
      <c r="G15" s="216">
        <v>105.2</v>
      </c>
      <c r="H15" s="217">
        <v>1.0</v>
      </c>
      <c r="I15" s="216">
        <v>202.7</v>
      </c>
      <c r="J15" s="216">
        <v>202.6</v>
      </c>
      <c r="K15" s="216">
        <v>221.5</v>
      </c>
      <c r="L15" s="11" t="s">
        <v>304</v>
      </c>
      <c r="M15" s="11" t="s">
        <v>13</v>
      </c>
      <c r="N15" s="218">
        <f t="shared" si="1"/>
        <v>97.4</v>
      </c>
      <c r="O15" s="219" t="s">
        <v>12</v>
      </c>
      <c r="P15" s="225"/>
      <c r="Q15" s="12"/>
      <c r="R15" s="220">
        <f>B15-N15</f>
        <v>2.7</v>
      </c>
      <c r="S15" s="232">
        <v>1.0</v>
      </c>
      <c r="T15" s="226"/>
      <c r="U15" s="37"/>
      <c r="V15" s="37"/>
      <c r="W15" s="37"/>
      <c r="X15" s="37"/>
      <c r="Y15" s="37"/>
      <c r="Z15" s="37"/>
      <c r="AA15" s="37"/>
      <c r="AB15" s="37"/>
    </row>
    <row r="16" ht="15.75" customHeight="1">
      <c r="A16" s="14" t="s">
        <v>305</v>
      </c>
      <c r="B16" s="214" t="s">
        <v>74</v>
      </c>
      <c r="C16" s="8">
        <v>45464.0</v>
      </c>
      <c r="D16" s="9">
        <v>0.3638888888888889</v>
      </c>
      <c r="E16" s="8">
        <v>45464.0</v>
      </c>
      <c r="F16" s="15">
        <v>0.5270833333333333</v>
      </c>
      <c r="G16" s="216">
        <v>104.0</v>
      </c>
      <c r="H16" s="217">
        <v>1.0</v>
      </c>
      <c r="I16" s="216">
        <v>109.0</v>
      </c>
      <c r="J16" s="216">
        <v>108.6</v>
      </c>
      <c r="K16" s="216">
        <v>108.7</v>
      </c>
      <c r="L16" s="231" t="s">
        <v>303</v>
      </c>
      <c r="M16" s="11" t="s">
        <v>13</v>
      </c>
      <c r="N16" s="218">
        <f t="shared" si="1"/>
        <v>4.6</v>
      </c>
      <c r="O16" s="219" t="s">
        <v>12</v>
      </c>
      <c r="P16" s="225"/>
      <c r="Q16" s="228"/>
      <c r="R16" s="220"/>
      <c r="S16" s="233">
        <v>0.0</v>
      </c>
      <c r="T16" s="229"/>
      <c r="U16" s="229"/>
      <c r="V16" s="229"/>
      <c r="W16" s="229"/>
      <c r="X16" s="229"/>
      <c r="Y16" s="229"/>
      <c r="Z16" s="229"/>
      <c r="AA16" s="229"/>
      <c r="AB16" s="229"/>
    </row>
    <row r="17" ht="15.75" customHeight="1">
      <c r="A17" s="14" t="s">
        <v>306</v>
      </c>
      <c r="B17" s="214" t="s">
        <v>74</v>
      </c>
      <c r="C17" s="8">
        <v>45464.0</v>
      </c>
      <c r="D17" s="15">
        <v>0.41944444444444445</v>
      </c>
      <c r="E17" s="8">
        <v>45464.0</v>
      </c>
      <c r="F17" s="9">
        <v>0.5284722222222222</v>
      </c>
      <c r="G17" s="216">
        <v>104.7</v>
      </c>
      <c r="H17" s="217">
        <v>1.0</v>
      </c>
      <c r="I17" s="216">
        <v>109.9</v>
      </c>
      <c r="J17" s="216">
        <v>109.7</v>
      </c>
      <c r="K17" s="216" t="s">
        <v>74</v>
      </c>
      <c r="L17" s="231" t="s">
        <v>307</v>
      </c>
      <c r="M17" s="11" t="s">
        <v>13</v>
      </c>
      <c r="N17" s="218">
        <f t="shared" si="1"/>
        <v>5</v>
      </c>
      <c r="O17" s="219" t="s">
        <v>12</v>
      </c>
      <c r="P17" s="225"/>
      <c r="Q17" s="12"/>
      <c r="R17" s="220"/>
      <c r="S17" s="229">
        <f>averagE(S13:S16)</f>
        <v>0.7</v>
      </c>
      <c r="T17" s="229"/>
      <c r="U17" s="229"/>
      <c r="V17" s="229"/>
      <c r="W17" s="229"/>
      <c r="X17" s="229"/>
      <c r="Y17" s="229"/>
      <c r="Z17" s="229"/>
      <c r="AA17" s="229"/>
      <c r="AB17" s="229"/>
    </row>
    <row r="18" ht="15.75" customHeight="1">
      <c r="A18" s="14" t="s">
        <v>308</v>
      </c>
      <c r="B18" s="214" t="s">
        <v>74</v>
      </c>
      <c r="C18" s="8">
        <v>45464.0</v>
      </c>
      <c r="D18" s="9">
        <v>0.4361111111111111</v>
      </c>
      <c r="E18" s="8">
        <v>45464.0</v>
      </c>
      <c r="F18" s="9">
        <v>0.5298611111111111</v>
      </c>
      <c r="G18" s="216">
        <v>104.6</v>
      </c>
      <c r="H18" s="217">
        <v>1.0</v>
      </c>
      <c r="I18" s="216">
        <v>108.5</v>
      </c>
      <c r="J18" s="216">
        <v>108.4</v>
      </c>
      <c r="K18" s="216" t="s">
        <v>74</v>
      </c>
      <c r="L18" s="231" t="s">
        <v>309</v>
      </c>
      <c r="M18" s="11" t="s">
        <v>13</v>
      </c>
      <c r="N18" s="218">
        <f t="shared" si="1"/>
        <v>3.8</v>
      </c>
      <c r="O18" s="219" t="s">
        <v>12</v>
      </c>
      <c r="P18" s="225"/>
      <c r="Q18" s="228"/>
      <c r="R18" s="220"/>
      <c r="S18" s="212">
        <f>stdev(S14:S16)</f>
        <v>0.608276253</v>
      </c>
      <c r="T18" s="37"/>
      <c r="U18" s="37"/>
      <c r="V18" s="37"/>
      <c r="W18" s="37"/>
      <c r="X18" s="37"/>
      <c r="Y18" s="37"/>
      <c r="Z18" s="37"/>
      <c r="AA18" s="37"/>
      <c r="AB18" s="37"/>
    </row>
    <row r="19" ht="15.75" customHeight="1">
      <c r="A19" s="14" t="s">
        <v>310</v>
      </c>
      <c r="B19" s="214" t="s">
        <v>74</v>
      </c>
      <c r="C19" s="8">
        <v>45468.0</v>
      </c>
      <c r="D19" s="234">
        <v>0.2833333333333333</v>
      </c>
      <c r="E19" s="8">
        <v>45468.0</v>
      </c>
      <c r="F19" s="9">
        <v>0.5791666666666667</v>
      </c>
      <c r="G19" s="216">
        <v>104.9</v>
      </c>
      <c r="H19" s="217">
        <v>1.0</v>
      </c>
      <c r="I19" s="216">
        <v>114.2</v>
      </c>
      <c r="J19" s="216">
        <v>113.7</v>
      </c>
      <c r="K19" s="216">
        <v>113.7</v>
      </c>
      <c r="L19" s="231" t="s">
        <v>311</v>
      </c>
      <c r="M19" s="11" t="s">
        <v>13</v>
      </c>
      <c r="N19" s="218">
        <f t="shared" si="1"/>
        <v>8.8</v>
      </c>
      <c r="O19" s="219" t="s">
        <v>12</v>
      </c>
      <c r="P19" s="225"/>
      <c r="Q19" s="228"/>
      <c r="R19" s="220"/>
      <c r="S19" s="212"/>
      <c r="T19" s="37"/>
      <c r="U19" s="37"/>
      <c r="V19" s="37"/>
      <c r="W19" s="37"/>
      <c r="X19" s="37"/>
      <c r="Y19" s="37"/>
      <c r="Z19" s="37"/>
      <c r="AA19" s="37"/>
      <c r="AB19" s="37"/>
    </row>
    <row r="20" ht="15.75" customHeight="1">
      <c r="A20" s="14" t="s">
        <v>312</v>
      </c>
      <c r="B20" s="214" t="s">
        <v>74</v>
      </c>
      <c r="C20" s="8">
        <v>45468.0</v>
      </c>
      <c r="D20" s="30">
        <v>0.30833333333333335</v>
      </c>
      <c r="E20" s="8">
        <v>45468.0</v>
      </c>
      <c r="F20" s="9">
        <v>0.5819444444444445</v>
      </c>
      <c r="G20" s="216">
        <v>105.2</v>
      </c>
      <c r="H20" s="217">
        <v>1.0</v>
      </c>
      <c r="I20" s="216">
        <v>122.6</v>
      </c>
      <c r="J20" s="216">
        <v>121.6</v>
      </c>
      <c r="K20" s="216">
        <v>121.3</v>
      </c>
      <c r="L20" s="231" t="s">
        <v>313</v>
      </c>
      <c r="M20" s="11" t="s">
        <v>13</v>
      </c>
      <c r="N20" s="218">
        <f t="shared" si="1"/>
        <v>16.4</v>
      </c>
      <c r="O20" s="219" t="s">
        <v>12</v>
      </c>
      <c r="P20" s="225"/>
      <c r="Q20" s="228"/>
      <c r="R20" s="220"/>
      <c r="S20" s="212"/>
      <c r="T20" s="37"/>
      <c r="U20" s="37"/>
      <c r="V20" s="37"/>
      <c r="W20" s="37"/>
      <c r="X20" s="37"/>
      <c r="Y20" s="37"/>
      <c r="Z20" s="37"/>
      <c r="AA20" s="37"/>
      <c r="AB20" s="37"/>
    </row>
    <row r="21" ht="15.75" customHeight="1">
      <c r="A21" s="14" t="s">
        <v>314</v>
      </c>
      <c r="B21" s="214" t="s">
        <v>74</v>
      </c>
      <c r="C21" s="8">
        <v>45468.0</v>
      </c>
      <c r="D21" s="30">
        <v>0.3229166666666667</v>
      </c>
      <c r="E21" s="8">
        <v>45468.0</v>
      </c>
      <c r="F21" s="9" t="s">
        <v>315</v>
      </c>
      <c r="G21" s="216">
        <v>105.0</v>
      </c>
      <c r="H21" s="217">
        <v>1.0</v>
      </c>
      <c r="I21" s="216">
        <v>120.2</v>
      </c>
      <c r="J21" s="216">
        <v>119.2</v>
      </c>
      <c r="K21" s="216">
        <v>119.0</v>
      </c>
      <c r="L21" s="231" t="s">
        <v>316</v>
      </c>
      <c r="M21" s="11" t="s">
        <v>13</v>
      </c>
      <c r="N21" s="218">
        <f t="shared" si="1"/>
        <v>14.2</v>
      </c>
      <c r="O21" s="219" t="s">
        <v>12</v>
      </c>
      <c r="P21" s="225"/>
      <c r="Q21" s="228"/>
      <c r="R21" s="220"/>
      <c r="S21" s="212"/>
      <c r="T21" s="37"/>
      <c r="U21" s="37"/>
      <c r="V21" s="37"/>
      <c r="W21" s="37"/>
      <c r="X21" s="37"/>
      <c r="Y21" s="37"/>
      <c r="Z21" s="37"/>
      <c r="AA21" s="37"/>
      <c r="AB21" s="37"/>
    </row>
    <row r="22" ht="15.75" customHeight="1">
      <c r="A22" s="14" t="s">
        <v>317</v>
      </c>
      <c r="B22" s="214" t="s">
        <v>74</v>
      </c>
      <c r="C22" s="8">
        <v>45468.0</v>
      </c>
      <c r="D22" s="30">
        <v>0.34375</v>
      </c>
      <c r="E22" s="8">
        <v>45468.0</v>
      </c>
      <c r="F22" s="9">
        <v>0.575</v>
      </c>
      <c r="G22" s="216">
        <v>104.4</v>
      </c>
      <c r="H22" s="217">
        <v>1.0</v>
      </c>
      <c r="I22" s="216">
        <v>115.1</v>
      </c>
      <c r="J22" s="216">
        <v>115.1</v>
      </c>
      <c r="K22" s="216" t="s">
        <v>74</v>
      </c>
      <c r="L22" s="231" t="s">
        <v>318</v>
      </c>
      <c r="M22" s="11" t="s">
        <v>13</v>
      </c>
      <c r="N22" s="218">
        <f t="shared" si="1"/>
        <v>10.7</v>
      </c>
      <c r="O22" s="219" t="s">
        <v>12</v>
      </c>
      <c r="P22" s="225"/>
      <c r="Q22" s="228"/>
      <c r="R22" s="220"/>
      <c r="S22" s="212"/>
      <c r="T22" s="37"/>
      <c r="U22" s="37"/>
      <c r="V22" s="37"/>
      <c r="W22" s="37"/>
      <c r="X22" s="37"/>
      <c r="Y22" s="37"/>
      <c r="Z22" s="37"/>
      <c r="AA22" s="37"/>
      <c r="AB22" s="37"/>
    </row>
    <row r="23">
      <c r="A23" s="14" t="s">
        <v>319</v>
      </c>
      <c r="B23" s="214" t="s">
        <v>74</v>
      </c>
      <c r="C23" s="8">
        <v>45468.0</v>
      </c>
      <c r="D23" s="235">
        <v>0.36736111111111114</v>
      </c>
      <c r="E23" s="8">
        <v>45468.0</v>
      </c>
      <c r="F23" s="9">
        <v>0.59375</v>
      </c>
      <c r="G23" s="236">
        <v>104.4</v>
      </c>
      <c r="H23" s="217">
        <v>1.0</v>
      </c>
      <c r="I23" s="236">
        <v>111.4</v>
      </c>
      <c r="J23" s="236">
        <v>110.8</v>
      </c>
      <c r="K23" s="216">
        <v>110.8</v>
      </c>
      <c r="L23" s="231" t="s">
        <v>320</v>
      </c>
      <c r="M23" s="11" t="s">
        <v>13</v>
      </c>
      <c r="N23" s="218">
        <f t="shared" si="1"/>
        <v>6.4</v>
      </c>
      <c r="O23" s="219" t="s">
        <v>12</v>
      </c>
      <c r="Q23" s="237"/>
      <c r="R23" s="220"/>
      <c r="S23" s="238"/>
      <c r="T23" s="238"/>
      <c r="U23" s="238"/>
      <c r="V23" s="238"/>
      <c r="W23" s="238"/>
      <c r="X23" s="238"/>
      <c r="Y23" s="238"/>
      <c r="Z23" s="238"/>
      <c r="AA23" s="238"/>
      <c r="AB23" s="238"/>
    </row>
    <row r="24" ht="15.75" customHeight="1">
      <c r="A24" s="14" t="s">
        <v>321</v>
      </c>
      <c r="B24" s="214" t="s">
        <v>74</v>
      </c>
      <c r="C24" s="8">
        <v>45468.0</v>
      </c>
      <c r="D24" s="235">
        <v>0.3861111111111111</v>
      </c>
      <c r="E24" s="8">
        <v>45468.0</v>
      </c>
      <c r="F24" s="9">
        <v>0.5763888888888888</v>
      </c>
      <c r="G24" s="236">
        <v>105.2</v>
      </c>
      <c r="H24" s="217">
        <v>1.0</v>
      </c>
      <c r="I24" s="236">
        <v>121.8</v>
      </c>
      <c r="J24" s="236">
        <v>120.8</v>
      </c>
      <c r="K24" s="216">
        <v>120.6</v>
      </c>
      <c r="L24" s="231" t="s">
        <v>322</v>
      </c>
      <c r="M24" s="11" t="s">
        <v>13</v>
      </c>
      <c r="N24" s="218">
        <f t="shared" si="1"/>
        <v>15.6</v>
      </c>
      <c r="O24" s="219" t="s">
        <v>12</v>
      </c>
      <c r="P24" s="225"/>
      <c r="Q24" s="237"/>
      <c r="R24" s="220"/>
      <c r="S24" s="238"/>
      <c r="T24" s="238"/>
      <c r="U24" s="238"/>
      <c r="V24" s="238"/>
      <c r="W24" s="238"/>
      <c r="X24" s="238"/>
      <c r="Y24" s="238"/>
      <c r="Z24" s="238"/>
      <c r="AA24" s="238"/>
      <c r="AB24" s="238"/>
    </row>
    <row r="25" ht="15.75" customHeight="1">
      <c r="A25" s="14" t="s">
        <v>323</v>
      </c>
      <c r="B25" s="214" t="s">
        <v>74</v>
      </c>
      <c r="C25" s="8">
        <v>45468.0</v>
      </c>
      <c r="D25" s="235">
        <v>0.4013888888888889</v>
      </c>
      <c r="E25" s="8">
        <v>45468.0</v>
      </c>
      <c r="F25" s="9">
        <v>0.5923611111111111</v>
      </c>
      <c r="G25" s="236">
        <v>106.1</v>
      </c>
      <c r="H25" s="217">
        <v>1.0</v>
      </c>
      <c r="I25" s="236">
        <v>112.3</v>
      </c>
      <c r="J25" s="236">
        <v>111.8</v>
      </c>
      <c r="K25" s="216">
        <v>112.1</v>
      </c>
      <c r="L25" s="231" t="s">
        <v>324</v>
      </c>
      <c r="M25" s="11" t="s">
        <v>13</v>
      </c>
      <c r="N25" s="218">
        <f t="shared" si="1"/>
        <v>5.7</v>
      </c>
      <c r="O25" s="219" t="s">
        <v>12</v>
      </c>
      <c r="P25" s="225"/>
      <c r="Q25" s="237"/>
      <c r="R25" s="220"/>
      <c r="S25" s="238"/>
      <c r="T25" s="238"/>
      <c r="U25" s="238"/>
      <c r="V25" s="238"/>
      <c r="W25" s="238"/>
      <c r="X25" s="238"/>
      <c r="Y25" s="238"/>
      <c r="Z25" s="238"/>
      <c r="AA25" s="238"/>
      <c r="AB25" s="238"/>
    </row>
    <row r="26" ht="15.75" customHeight="1">
      <c r="A26" s="213" t="s">
        <v>79</v>
      </c>
      <c r="B26" s="214" t="s">
        <v>74</v>
      </c>
      <c r="C26" s="215" t="s">
        <v>74</v>
      </c>
      <c r="D26" s="215" t="s">
        <v>74</v>
      </c>
      <c r="E26" s="8">
        <v>45468.0</v>
      </c>
      <c r="F26" s="9">
        <v>0.4638888888888889</v>
      </c>
      <c r="G26" s="236">
        <v>105.4</v>
      </c>
      <c r="H26" s="217">
        <v>1.0</v>
      </c>
      <c r="I26" s="236">
        <v>106.3</v>
      </c>
      <c r="J26" s="216">
        <v>106.4</v>
      </c>
      <c r="K26" s="216" t="s">
        <v>74</v>
      </c>
      <c r="L26" s="231" t="s">
        <v>325</v>
      </c>
      <c r="M26" s="11" t="s">
        <v>13</v>
      </c>
      <c r="N26" s="218">
        <f t="shared" si="1"/>
        <v>1</v>
      </c>
      <c r="O26" s="219" t="s">
        <v>12</v>
      </c>
      <c r="P26" s="225"/>
      <c r="Q26" s="237"/>
      <c r="R26" s="220"/>
      <c r="S26" s="238"/>
      <c r="T26" s="238"/>
      <c r="U26" s="238"/>
      <c r="V26" s="238"/>
      <c r="W26" s="238"/>
      <c r="X26" s="238"/>
      <c r="Y26" s="238"/>
      <c r="Z26" s="238"/>
      <c r="AA26" s="238"/>
      <c r="AB26" s="238"/>
    </row>
    <row r="27">
      <c r="A27" s="223" t="s">
        <v>281</v>
      </c>
      <c r="B27" s="216">
        <v>100.0</v>
      </c>
      <c r="C27" s="215" t="s">
        <v>74</v>
      </c>
      <c r="D27" s="215" t="s">
        <v>74</v>
      </c>
      <c r="E27" s="8">
        <v>45468.0</v>
      </c>
      <c r="F27" s="9">
        <v>0.4652777777777778</v>
      </c>
      <c r="G27" s="239">
        <v>106.0</v>
      </c>
      <c r="H27" s="217">
        <v>1.0</v>
      </c>
      <c r="I27" s="240">
        <v>203.6</v>
      </c>
      <c r="J27" s="240">
        <v>203.0</v>
      </c>
      <c r="K27" s="216">
        <v>202.8</v>
      </c>
      <c r="L27" s="241" t="s">
        <v>326</v>
      </c>
      <c r="M27" s="11" t="s">
        <v>13</v>
      </c>
      <c r="N27" s="218">
        <f t="shared" si="1"/>
        <v>97</v>
      </c>
      <c r="O27" s="219" t="s">
        <v>12</v>
      </c>
      <c r="P27" s="225"/>
      <c r="Q27" s="228"/>
      <c r="R27" s="220">
        <f>B27-N27</f>
        <v>3</v>
      </c>
      <c r="S27" s="242"/>
      <c r="T27" s="242"/>
      <c r="U27" s="242"/>
      <c r="V27" s="242"/>
      <c r="W27" s="242"/>
      <c r="X27" s="242"/>
      <c r="Y27" s="242"/>
      <c r="Z27" s="242"/>
      <c r="AA27" s="242"/>
      <c r="AB27" s="242"/>
    </row>
    <row r="28" ht="15.75" customHeight="1">
      <c r="A28" s="14" t="s">
        <v>327</v>
      </c>
      <c r="B28" s="214" t="s">
        <v>74</v>
      </c>
      <c r="C28" s="8">
        <v>45468.0</v>
      </c>
      <c r="D28" s="30">
        <v>0.4236111111111111</v>
      </c>
      <c r="E28" s="8">
        <v>45468.0</v>
      </c>
      <c r="F28" s="9">
        <v>0.5777777777777777</v>
      </c>
      <c r="G28" s="216">
        <v>105.9</v>
      </c>
      <c r="H28" s="217">
        <v>1.0</v>
      </c>
      <c r="I28" s="216">
        <v>118.4</v>
      </c>
      <c r="J28" s="243">
        <v>118.2</v>
      </c>
      <c r="K28" s="216" t="s">
        <v>74</v>
      </c>
      <c r="L28" s="231" t="s">
        <v>328</v>
      </c>
      <c r="M28" s="11" t="s">
        <v>13</v>
      </c>
      <c r="N28" s="218">
        <f t="shared" si="1"/>
        <v>12.3</v>
      </c>
      <c r="O28" s="219" t="s">
        <v>12</v>
      </c>
      <c r="P28" s="225"/>
      <c r="Q28" s="244"/>
      <c r="R28" s="220"/>
      <c r="S28" s="229"/>
      <c r="T28" s="229"/>
      <c r="U28" s="229"/>
      <c r="V28" s="229"/>
      <c r="W28" s="229"/>
      <c r="X28" s="229"/>
      <c r="Y28" s="229"/>
      <c r="Z28" s="229"/>
      <c r="AA28" s="229"/>
      <c r="AB28" s="229"/>
    </row>
    <row r="29" ht="15.75" customHeight="1">
      <c r="A29" s="227" t="s">
        <v>329</v>
      </c>
      <c r="B29" s="214" t="s">
        <v>74</v>
      </c>
      <c r="C29" s="8">
        <v>45471.0</v>
      </c>
      <c r="D29" s="9">
        <v>0.26805555555555555</v>
      </c>
      <c r="E29" s="8">
        <v>45471.0</v>
      </c>
      <c r="F29" s="9">
        <v>0.5777777777777777</v>
      </c>
      <c r="G29" s="216">
        <v>104.8</v>
      </c>
      <c r="H29" s="217">
        <v>1.0</v>
      </c>
      <c r="I29" s="216">
        <v>118.8</v>
      </c>
      <c r="J29" s="216">
        <v>118.6</v>
      </c>
      <c r="K29" s="216" t="s">
        <v>74</v>
      </c>
      <c r="L29" s="231" t="s">
        <v>330</v>
      </c>
      <c r="M29" s="11" t="s">
        <v>13</v>
      </c>
      <c r="N29" s="218">
        <f t="shared" si="1"/>
        <v>13.8</v>
      </c>
      <c r="O29" s="219" t="s">
        <v>12</v>
      </c>
      <c r="P29" s="225"/>
      <c r="Q29" s="245"/>
      <c r="R29" s="220"/>
      <c r="S29" s="229"/>
      <c r="T29" s="229"/>
      <c r="U29" s="229"/>
      <c r="V29" s="229"/>
      <c r="W29" s="229"/>
      <c r="X29" s="229"/>
      <c r="Y29" s="229"/>
      <c r="Z29" s="229"/>
      <c r="AA29" s="229"/>
      <c r="AB29" s="229"/>
    </row>
    <row r="30" ht="15.75" customHeight="1">
      <c r="A30" s="246" t="s">
        <v>331</v>
      </c>
      <c r="B30" s="214" t="s">
        <v>74</v>
      </c>
      <c r="C30" s="8">
        <v>45471.0</v>
      </c>
      <c r="D30" s="15">
        <v>0.29375</v>
      </c>
      <c r="E30" s="8">
        <v>45471.0</v>
      </c>
      <c r="F30" s="9">
        <v>0.5791666666666667</v>
      </c>
      <c r="G30" s="236">
        <v>105.0</v>
      </c>
      <c r="H30" s="217">
        <v>1.0</v>
      </c>
      <c r="I30" s="241">
        <v>117.7</v>
      </c>
      <c r="J30" s="236">
        <v>117.2</v>
      </c>
      <c r="K30" s="216">
        <v>116.3</v>
      </c>
      <c r="L30" s="231" t="s">
        <v>332</v>
      </c>
      <c r="M30" s="11" t="s">
        <v>13</v>
      </c>
      <c r="N30" s="218">
        <f t="shared" si="1"/>
        <v>12.2</v>
      </c>
      <c r="O30" s="219" t="s">
        <v>12</v>
      </c>
      <c r="P30" s="225"/>
      <c r="Q30" s="247"/>
      <c r="R30" s="220"/>
      <c r="S30" s="248"/>
      <c r="T30" s="248"/>
      <c r="U30" s="248"/>
      <c r="V30" s="248"/>
      <c r="W30" s="248"/>
      <c r="X30" s="248"/>
      <c r="Y30" s="248"/>
      <c r="Z30" s="248"/>
      <c r="AA30" s="248"/>
      <c r="AB30" s="248"/>
    </row>
    <row r="31" ht="15.75" customHeight="1">
      <c r="A31" s="227" t="s">
        <v>333</v>
      </c>
      <c r="B31" s="214" t="s">
        <v>74</v>
      </c>
      <c r="C31" s="8">
        <v>45471.0</v>
      </c>
      <c r="D31" s="9">
        <v>0.3375</v>
      </c>
      <c r="E31" s="8">
        <v>45471.0</v>
      </c>
      <c r="F31" s="9">
        <v>0.58125</v>
      </c>
      <c r="G31" s="239">
        <v>104.8</v>
      </c>
      <c r="H31" s="217">
        <v>1.0</v>
      </c>
      <c r="I31" s="236">
        <v>110.5</v>
      </c>
      <c r="J31" s="240">
        <v>110.4</v>
      </c>
      <c r="K31" s="216" t="s">
        <v>74</v>
      </c>
      <c r="L31" s="231" t="s">
        <v>334</v>
      </c>
      <c r="M31" s="11" t="s">
        <v>13</v>
      </c>
      <c r="N31" s="218">
        <f t="shared" si="1"/>
        <v>5.6</v>
      </c>
      <c r="O31" s="219" t="s">
        <v>12</v>
      </c>
      <c r="P31" s="225"/>
      <c r="Q31" s="247"/>
      <c r="R31" s="220"/>
      <c r="S31" s="248"/>
      <c r="T31" s="248"/>
      <c r="U31" s="248"/>
      <c r="V31" s="248"/>
      <c r="W31" s="248"/>
      <c r="X31" s="248"/>
      <c r="Y31" s="248"/>
      <c r="Z31" s="248"/>
      <c r="AA31" s="248"/>
      <c r="AB31" s="248"/>
    </row>
    <row r="32" ht="15.75" customHeight="1">
      <c r="A32" s="227" t="s">
        <v>335</v>
      </c>
      <c r="B32" s="214" t="s">
        <v>74</v>
      </c>
      <c r="C32" s="8">
        <v>45471.0</v>
      </c>
      <c r="D32" s="16">
        <v>0.36180555555555555</v>
      </c>
      <c r="E32" s="8">
        <v>45471.0</v>
      </c>
      <c r="F32" s="9">
        <v>0.5826388888888889</v>
      </c>
      <c r="G32" s="249">
        <v>104.6</v>
      </c>
      <c r="H32" s="217">
        <v>1.0</v>
      </c>
      <c r="I32" s="250">
        <v>114.1</v>
      </c>
      <c r="J32" s="249">
        <v>113.6</v>
      </c>
      <c r="K32" s="216">
        <v>113.6</v>
      </c>
      <c r="L32" s="251" t="s">
        <v>336</v>
      </c>
      <c r="M32" s="11" t="s">
        <v>13</v>
      </c>
      <c r="N32" s="218">
        <f t="shared" si="1"/>
        <v>9</v>
      </c>
      <c r="O32" s="219" t="s">
        <v>12</v>
      </c>
      <c r="P32" s="225"/>
      <c r="Q32" s="252"/>
      <c r="R32" s="220"/>
      <c r="S32" s="253"/>
      <c r="T32" s="253"/>
      <c r="U32" s="253"/>
      <c r="V32" s="253"/>
      <c r="W32" s="253"/>
      <c r="X32" s="253"/>
      <c r="Y32" s="253"/>
      <c r="Z32" s="253"/>
      <c r="AA32" s="253"/>
      <c r="AB32" s="253"/>
    </row>
    <row r="33" ht="15.75" customHeight="1">
      <c r="A33" s="227" t="s">
        <v>337</v>
      </c>
      <c r="B33" s="214" t="s">
        <v>74</v>
      </c>
      <c r="C33" s="8">
        <v>45471.0</v>
      </c>
      <c r="D33" s="16">
        <v>0.38819444444444445</v>
      </c>
      <c r="E33" s="8">
        <v>45471.0</v>
      </c>
      <c r="F33" s="9">
        <v>0.5854166666666667</v>
      </c>
      <c r="G33" s="240">
        <v>104.8</v>
      </c>
      <c r="H33" s="217">
        <v>1.0</v>
      </c>
      <c r="I33" s="254">
        <v>112.7</v>
      </c>
      <c r="J33" s="240">
        <v>112.4</v>
      </c>
      <c r="K33" s="216" t="s">
        <v>74</v>
      </c>
      <c r="L33" s="231" t="s">
        <v>338</v>
      </c>
      <c r="M33" s="11" t="s">
        <v>13</v>
      </c>
      <c r="N33" s="218">
        <f t="shared" si="1"/>
        <v>7.6</v>
      </c>
      <c r="O33" s="219" t="s">
        <v>12</v>
      </c>
      <c r="P33" s="225"/>
      <c r="Q33" s="244"/>
      <c r="R33" s="220"/>
      <c r="S33" s="229"/>
      <c r="T33" s="229"/>
      <c r="U33" s="229"/>
      <c r="V33" s="229"/>
      <c r="W33" s="229"/>
      <c r="X33" s="229"/>
      <c r="Y33" s="229"/>
      <c r="Z33" s="229"/>
      <c r="AA33" s="229"/>
      <c r="AB33" s="229"/>
    </row>
    <row r="34" ht="15.0" customHeight="1">
      <c r="A34" s="14" t="s">
        <v>339</v>
      </c>
      <c r="B34" s="214" t="s">
        <v>74</v>
      </c>
      <c r="C34" s="19">
        <v>45483.0</v>
      </c>
      <c r="D34" s="20">
        <v>0.3125</v>
      </c>
      <c r="E34" s="19">
        <v>45485.0</v>
      </c>
      <c r="F34" s="9">
        <v>0.4097222222222222</v>
      </c>
      <c r="G34" s="240">
        <v>105.1</v>
      </c>
      <c r="H34" s="217">
        <v>1.0</v>
      </c>
      <c r="I34" s="254">
        <v>111.7</v>
      </c>
      <c r="J34" s="240">
        <v>111.5</v>
      </c>
      <c r="K34" s="216" t="s">
        <v>74</v>
      </c>
      <c r="L34" s="231" t="s">
        <v>340</v>
      </c>
      <c r="M34" s="11" t="s">
        <v>13</v>
      </c>
      <c r="N34" s="218">
        <f t="shared" si="1"/>
        <v>6.4</v>
      </c>
      <c r="O34" s="219" t="s">
        <v>12</v>
      </c>
      <c r="P34" s="255" t="s">
        <v>341</v>
      </c>
      <c r="Q34" s="247"/>
      <c r="R34" s="220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</row>
    <row r="35" ht="15.75" customHeight="1">
      <c r="A35" s="14" t="s">
        <v>342</v>
      </c>
      <c r="B35" s="214" t="s">
        <v>74</v>
      </c>
      <c r="C35" s="19">
        <v>45483.0</v>
      </c>
      <c r="D35" s="20">
        <v>0.35138888888888886</v>
      </c>
      <c r="E35" s="19">
        <v>45485.0</v>
      </c>
      <c r="F35" s="9">
        <v>0.41041666666666665</v>
      </c>
      <c r="G35" s="240">
        <v>104.3</v>
      </c>
      <c r="H35" s="217">
        <v>1.0</v>
      </c>
      <c r="I35" s="254">
        <v>111.4</v>
      </c>
      <c r="J35" s="240">
        <v>111.2</v>
      </c>
      <c r="K35" s="216" t="s">
        <v>74</v>
      </c>
      <c r="L35" s="231" t="s">
        <v>343</v>
      </c>
      <c r="M35" s="11" t="s">
        <v>13</v>
      </c>
      <c r="N35" s="218">
        <f t="shared" si="1"/>
        <v>6.9</v>
      </c>
      <c r="O35" s="219" t="s">
        <v>12</v>
      </c>
      <c r="P35" s="256" t="s">
        <v>344</v>
      </c>
      <c r="Q35" s="247"/>
      <c r="R35" s="220"/>
      <c r="S35" s="248"/>
      <c r="T35" s="248"/>
      <c r="U35" s="248"/>
      <c r="V35" s="248"/>
      <c r="W35" s="248"/>
      <c r="X35" s="248"/>
      <c r="Y35" s="248"/>
      <c r="Z35" s="248"/>
      <c r="AA35" s="248"/>
      <c r="AB35" s="248"/>
    </row>
    <row r="36" ht="15.75" customHeight="1">
      <c r="A36" s="14" t="s">
        <v>345</v>
      </c>
      <c r="B36" s="214" t="s">
        <v>74</v>
      </c>
      <c r="C36" s="19">
        <v>45483.0</v>
      </c>
      <c r="D36" s="20">
        <v>0.47847222222222224</v>
      </c>
      <c r="E36" s="19">
        <v>45485.0</v>
      </c>
      <c r="F36" s="16">
        <v>0.41388888888888886</v>
      </c>
      <c r="G36" s="240">
        <v>103.7</v>
      </c>
      <c r="H36" s="217">
        <v>1.0</v>
      </c>
      <c r="I36" s="254">
        <v>125.6</v>
      </c>
      <c r="J36" s="240">
        <v>125.0</v>
      </c>
      <c r="K36" s="216">
        <v>124.8</v>
      </c>
      <c r="L36" s="231" t="s">
        <v>346</v>
      </c>
      <c r="M36" s="11" t="s">
        <v>13</v>
      </c>
      <c r="N36" s="218">
        <f t="shared" si="1"/>
        <v>21.3</v>
      </c>
      <c r="O36" s="219" t="s">
        <v>12</v>
      </c>
      <c r="P36" s="225"/>
      <c r="Q36" s="247"/>
      <c r="R36" s="220"/>
      <c r="S36" s="248"/>
      <c r="T36" s="248"/>
      <c r="U36" s="248"/>
      <c r="V36" s="248"/>
      <c r="W36" s="248"/>
      <c r="X36" s="248"/>
      <c r="Y36" s="248"/>
      <c r="Z36" s="248"/>
      <c r="AA36" s="248"/>
      <c r="AB36" s="248"/>
    </row>
    <row r="37" ht="15.75" customHeight="1">
      <c r="A37" s="14" t="s">
        <v>347</v>
      </c>
      <c r="B37" s="214" t="s">
        <v>74</v>
      </c>
      <c r="C37" s="19">
        <v>45483.0</v>
      </c>
      <c r="D37" s="20">
        <v>0.5708333333333333</v>
      </c>
      <c r="E37" s="19">
        <v>45485.0</v>
      </c>
      <c r="F37" s="16">
        <v>0.41388888888888886</v>
      </c>
      <c r="G37" s="240">
        <v>104.1</v>
      </c>
      <c r="H37" s="217">
        <v>1.0</v>
      </c>
      <c r="I37" s="254">
        <v>114.4</v>
      </c>
      <c r="J37" s="240">
        <v>114.0</v>
      </c>
      <c r="K37" s="216" t="s">
        <v>74</v>
      </c>
      <c r="L37" s="231" t="s">
        <v>348</v>
      </c>
      <c r="M37" s="11" t="s">
        <v>13</v>
      </c>
      <c r="N37" s="218">
        <f t="shared" si="1"/>
        <v>9.9</v>
      </c>
      <c r="O37" s="219" t="s">
        <v>12</v>
      </c>
      <c r="P37" s="225"/>
      <c r="Q37" s="247"/>
      <c r="R37" s="220"/>
      <c r="S37" s="248"/>
      <c r="T37" s="248"/>
      <c r="U37" s="248"/>
      <c r="V37" s="248"/>
      <c r="W37" s="248"/>
      <c r="X37" s="248"/>
      <c r="Y37" s="248"/>
      <c r="Z37" s="248"/>
      <c r="AA37" s="248"/>
      <c r="AB37" s="248"/>
    </row>
    <row r="38" ht="15.75" customHeight="1">
      <c r="A38" s="14" t="s">
        <v>349</v>
      </c>
      <c r="B38" s="214" t="s">
        <v>74</v>
      </c>
      <c r="C38" s="19">
        <v>45484.0</v>
      </c>
      <c r="D38" s="9">
        <v>0.2951388888888889</v>
      </c>
      <c r="E38" s="19">
        <v>45485.0</v>
      </c>
      <c r="F38" s="16">
        <v>0.4173611111111111</v>
      </c>
      <c r="G38" s="240">
        <v>106.3</v>
      </c>
      <c r="H38" s="217">
        <v>1.0</v>
      </c>
      <c r="I38" s="254">
        <v>113.8</v>
      </c>
      <c r="J38" s="240">
        <v>113.5</v>
      </c>
      <c r="K38" s="216" t="s">
        <v>74</v>
      </c>
      <c r="L38" s="231" t="s">
        <v>350</v>
      </c>
      <c r="M38" s="11" t="s">
        <v>13</v>
      </c>
      <c r="N38" s="218">
        <f t="shared" si="1"/>
        <v>7.2</v>
      </c>
      <c r="O38" s="219" t="s">
        <v>12</v>
      </c>
      <c r="P38" s="225"/>
      <c r="Q38" s="247"/>
      <c r="R38" s="220"/>
      <c r="S38" s="248"/>
      <c r="T38" s="248"/>
      <c r="U38" s="248"/>
      <c r="V38" s="248"/>
      <c r="W38" s="248"/>
      <c r="X38" s="248"/>
      <c r="Y38" s="248"/>
      <c r="Z38" s="248"/>
      <c r="AA38" s="248"/>
      <c r="AB38" s="248"/>
    </row>
    <row r="39" ht="15.75" customHeight="1">
      <c r="A39" s="14" t="s">
        <v>351</v>
      </c>
      <c r="B39" s="214" t="s">
        <v>74</v>
      </c>
      <c r="C39" s="19">
        <v>45484.0</v>
      </c>
      <c r="D39" s="9">
        <v>0.32708333333333334</v>
      </c>
      <c r="E39" s="19">
        <v>45485.0</v>
      </c>
      <c r="F39" s="16">
        <v>0.4173611111111111</v>
      </c>
      <c r="G39" s="240">
        <v>104.5</v>
      </c>
      <c r="H39" s="217">
        <v>1.0</v>
      </c>
      <c r="I39" s="254">
        <v>111.1</v>
      </c>
      <c r="J39" s="240">
        <v>111.0</v>
      </c>
      <c r="K39" s="216" t="s">
        <v>74</v>
      </c>
      <c r="L39" s="231" t="s">
        <v>352</v>
      </c>
      <c r="M39" s="11" t="s">
        <v>13</v>
      </c>
      <c r="N39" s="218">
        <f t="shared" si="1"/>
        <v>6.5</v>
      </c>
      <c r="O39" s="219" t="s">
        <v>12</v>
      </c>
      <c r="P39" s="225"/>
      <c r="Q39" s="247"/>
      <c r="R39" s="220"/>
      <c r="S39" s="248"/>
      <c r="T39" s="248"/>
      <c r="U39" s="248"/>
      <c r="V39" s="248"/>
      <c r="W39" s="248"/>
      <c r="X39" s="248"/>
      <c r="Y39" s="248"/>
      <c r="Z39" s="248"/>
      <c r="AA39" s="248"/>
      <c r="AB39" s="248"/>
    </row>
    <row r="40" ht="15.75" customHeight="1">
      <c r="A40" s="14" t="s">
        <v>353</v>
      </c>
      <c r="B40" s="214" t="s">
        <v>74</v>
      </c>
      <c r="C40" s="19">
        <v>45484.0</v>
      </c>
      <c r="D40" s="9">
        <v>0.34791666666666665</v>
      </c>
      <c r="E40" s="19">
        <v>45485.0</v>
      </c>
      <c r="F40" s="9">
        <v>0.4222222222222222</v>
      </c>
      <c r="G40" s="216">
        <v>105.9</v>
      </c>
      <c r="H40" s="217">
        <v>1.0</v>
      </c>
      <c r="I40" s="216">
        <v>128.0</v>
      </c>
      <c r="J40" s="216">
        <v>127.8</v>
      </c>
      <c r="K40" s="216" t="s">
        <v>74</v>
      </c>
      <c r="L40" s="231" t="s">
        <v>354</v>
      </c>
      <c r="M40" s="11" t="s">
        <v>13</v>
      </c>
      <c r="N40" s="218">
        <f t="shared" si="1"/>
        <v>21.9</v>
      </c>
      <c r="O40" s="219" t="s">
        <v>12</v>
      </c>
      <c r="P40" s="225"/>
      <c r="Q40" s="247"/>
      <c r="R40" s="220"/>
      <c r="S40" s="229"/>
      <c r="T40" s="229"/>
      <c r="U40" s="229"/>
      <c r="V40" s="229"/>
      <c r="W40" s="229"/>
      <c r="X40" s="229"/>
      <c r="Y40" s="229"/>
      <c r="Z40" s="229"/>
      <c r="AA40" s="229"/>
      <c r="AB40" s="229"/>
    </row>
    <row r="41" ht="15.75" customHeight="1">
      <c r="A41" s="14" t="s">
        <v>355</v>
      </c>
      <c r="B41" s="214" t="s">
        <v>74</v>
      </c>
      <c r="C41" s="19">
        <v>45484.0</v>
      </c>
      <c r="D41" s="9">
        <v>0.3923611111111111</v>
      </c>
      <c r="E41" s="19">
        <v>45485.0</v>
      </c>
      <c r="F41" s="28">
        <v>0.42430555555555555</v>
      </c>
      <c r="G41" s="257">
        <v>104.7</v>
      </c>
      <c r="H41" s="217">
        <v>1.0</v>
      </c>
      <c r="I41" s="257">
        <v>113.5</v>
      </c>
      <c r="J41" s="257">
        <v>113.2</v>
      </c>
      <c r="K41" s="216" t="s">
        <v>74</v>
      </c>
      <c r="L41" s="231" t="s">
        <v>356</v>
      </c>
      <c r="M41" s="11" t="s">
        <v>13</v>
      </c>
      <c r="N41" s="218">
        <f t="shared" si="1"/>
        <v>8.5</v>
      </c>
      <c r="O41" s="219" t="s">
        <v>12</v>
      </c>
      <c r="P41" s="225"/>
      <c r="Q41" s="247"/>
      <c r="R41" s="220"/>
      <c r="S41" s="229"/>
      <c r="T41" s="229"/>
      <c r="U41" s="229"/>
      <c r="V41" s="229"/>
      <c r="W41" s="229"/>
      <c r="X41" s="229"/>
      <c r="Y41" s="229"/>
      <c r="Z41" s="229"/>
      <c r="AA41" s="229"/>
      <c r="AB41" s="229"/>
    </row>
    <row r="42" ht="15.75" customHeight="1">
      <c r="A42" s="14" t="s">
        <v>357</v>
      </c>
      <c r="B42" s="214" t="s">
        <v>74</v>
      </c>
      <c r="C42" s="19">
        <v>45484.0</v>
      </c>
      <c r="D42" s="9">
        <v>0.41388888888888886</v>
      </c>
      <c r="E42" s="19">
        <v>45485.0</v>
      </c>
      <c r="F42" s="16">
        <v>0.4263888888888889</v>
      </c>
      <c r="G42" s="240">
        <v>104.4</v>
      </c>
      <c r="H42" s="217">
        <v>1.0</v>
      </c>
      <c r="I42" s="254">
        <v>110.2</v>
      </c>
      <c r="J42" s="240">
        <v>109.9</v>
      </c>
      <c r="K42" s="216" t="s">
        <v>74</v>
      </c>
      <c r="L42" s="231" t="s">
        <v>358</v>
      </c>
      <c r="M42" s="11" t="s">
        <v>13</v>
      </c>
      <c r="N42" s="218">
        <f t="shared" si="1"/>
        <v>5.5</v>
      </c>
      <c r="O42" s="219" t="s">
        <v>12</v>
      </c>
      <c r="P42" s="225"/>
      <c r="Q42" s="247"/>
      <c r="R42" s="220"/>
      <c r="S42" s="248"/>
      <c r="T42" s="248"/>
      <c r="U42" s="248"/>
      <c r="V42" s="248"/>
      <c r="W42" s="248"/>
      <c r="X42" s="248"/>
      <c r="Y42" s="248"/>
      <c r="Z42" s="248"/>
      <c r="AA42" s="248"/>
      <c r="AB42" s="248"/>
    </row>
    <row r="43" ht="15.75" customHeight="1">
      <c r="A43" s="14" t="s">
        <v>359</v>
      </c>
      <c r="B43" s="214" t="s">
        <v>74</v>
      </c>
      <c r="C43" s="19">
        <v>45484.0</v>
      </c>
      <c r="D43" s="9">
        <v>0.44930555555555557</v>
      </c>
      <c r="E43" s="19">
        <v>45485.0</v>
      </c>
      <c r="F43" s="258">
        <v>0.4263888888888889</v>
      </c>
      <c r="G43" s="259">
        <v>105.4</v>
      </c>
      <c r="H43" s="217">
        <v>1.0</v>
      </c>
      <c r="I43" s="236">
        <v>112.5</v>
      </c>
      <c r="J43" s="236">
        <v>112.2</v>
      </c>
      <c r="K43" s="216" t="s">
        <v>74</v>
      </c>
      <c r="L43" s="231" t="s">
        <v>360</v>
      </c>
      <c r="M43" s="11" t="s">
        <v>13</v>
      </c>
      <c r="N43" s="218">
        <f t="shared" si="1"/>
        <v>6.8</v>
      </c>
      <c r="O43" s="219" t="s">
        <v>12</v>
      </c>
      <c r="P43" s="225"/>
      <c r="Q43" s="247"/>
      <c r="R43" s="220"/>
      <c r="S43" s="248"/>
      <c r="T43" s="248"/>
      <c r="U43" s="248"/>
      <c r="V43" s="248"/>
      <c r="W43" s="248"/>
      <c r="X43" s="248"/>
      <c r="Y43" s="248"/>
      <c r="Z43" s="248"/>
      <c r="AA43" s="248"/>
      <c r="AB43" s="248"/>
    </row>
    <row r="44" ht="15.75" customHeight="1">
      <c r="A44" s="14" t="s">
        <v>361</v>
      </c>
      <c r="B44" s="214" t="s">
        <v>74</v>
      </c>
      <c r="C44" s="8">
        <v>45489.0</v>
      </c>
      <c r="D44" s="9">
        <v>0.3402777777777778</v>
      </c>
      <c r="E44" s="8">
        <v>45489.0</v>
      </c>
      <c r="F44" s="260">
        <v>0.6173611111111111</v>
      </c>
      <c r="G44" s="236">
        <v>104.9</v>
      </c>
      <c r="H44" s="217">
        <v>1.0</v>
      </c>
      <c r="I44" s="236">
        <v>111.1</v>
      </c>
      <c r="J44" s="236">
        <v>111.3</v>
      </c>
      <c r="K44" s="216" t="s">
        <v>74</v>
      </c>
      <c r="L44" s="231" t="s">
        <v>362</v>
      </c>
      <c r="M44" s="11" t="s">
        <v>13</v>
      </c>
      <c r="N44" s="218">
        <f t="shared" si="1"/>
        <v>6.4</v>
      </c>
      <c r="O44" s="219" t="s">
        <v>12</v>
      </c>
      <c r="P44" s="225"/>
      <c r="Q44" s="247"/>
      <c r="R44" s="220"/>
      <c r="S44" s="248"/>
      <c r="T44" s="248"/>
      <c r="U44" s="248"/>
      <c r="V44" s="248"/>
      <c r="W44" s="248"/>
      <c r="X44" s="248"/>
      <c r="Y44" s="248"/>
      <c r="Z44" s="248"/>
      <c r="AA44" s="248"/>
      <c r="AB44" s="248"/>
    </row>
    <row r="45" ht="15.75" customHeight="1">
      <c r="A45" s="14" t="s">
        <v>363</v>
      </c>
      <c r="B45" s="214" t="s">
        <v>74</v>
      </c>
      <c r="C45" s="8">
        <v>45489.0</v>
      </c>
      <c r="D45" s="9">
        <v>0.3770833333333333</v>
      </c>
      <c r="E45" s="8">
        <v>45489.0</v>
      </c>
      <c r="F45" s="9">
        <v>0.6201388888888889</v>
      </c>
      <c r="G45" s="236">
        <v>104.7</v>
      </c>
      <c r="H45" s="217">
        <v>1.0</v>
      </c>
      <c r="I45" s="236">
        <v>112.9</v>
      </c>
      <c r="J45" s="236">
        <v>112.8</v>
      </c>
      <c r="K45" s="216" t="s">
        <v>74</v>
      </c>
      <c r="L45" s="261" t="s">
        <v>364</v>
      </c>
      <c r="M45" s="11" t="s">
        <v>13</v>
      </c>
      <c r="N45" s="218">
        <f t="shared" si="1"/>
        <v>8.1</v>
      </c>
      <c r="O45" s="219" t="s">
        <v>12</v>
      </c>
      <c r="P45" s="225"/>
      <c r="Q45" s="247"/>
      <c r="R45" s="220"/>
      <c r="S45" s="248"/>
      <c r="T45" s="248"/>
      <c r="U45" s="248"/>
      <c r="V45" s="248"/>
      <c r="W45" s="248"/>
      <c r="X45" s="248"/>
      <c r="Y45" s="248"/>
      <c r="Z45" s="248"/>
      <c r="AA45" s="248"/>
      <c r="AB45" s="248"/>
    </row>
    <row r="46" ht="15.75" customHeight="1">
      <c r="A46" s="14" t="s">
        <v>365</v>
      </c>
      <c r="B46" s="214" t="s">
        <v>74</v>
      </c>
      <c r="C46" s="8">
        <v>45489.0</v>
      </c>
      <c r="D46" s="9">
        <v>0.41597222222222224</v>
      </c>
      <c r="E46" s="8">
        <v>45489.0</v>
      </c>
      <c r="F46" s="9">
        <v>0.7479166666666667</v>
      </c>
      <c r="G46" s="216">
        <v>106.3</v>
      </c>
      <c r="H46" s="217">
        <v>1.0</v>
      </c>
      <c r="I46" s="216">
        <v>113.1</v>
      </c>
      <c r="J46" s="216">
        <v>113.0</v>
      </c>
      <c r="K46" s="216" t="s">
        <v>74</v>
      </c>
      <c r="L46" s="261" t="s">
        <v>366</v>
      </c>
      <c r="M46" s="11" t="s">
        <v>13</v>
      </c>
      <c r="N46" s="218">
        <f t="shared" si="1"/>
        <v>6.7</v>
      </c>
      <c r="O46" s="219" t="s">
        <v>12</v>
      </c>
      <c r="P46" s="225"/>
      <c r="Q46" s="247"/>
      <c r="R46" s="220"/>
      <c r="S46" s="229"/>
      <c r="T46" s="229"/>
      <c r="U46" s="229"/>
      <c r="V46" s="229"/>
      <c r="W46" s="229"/>
      <c r="X46" s="229"/>
      <c r="Y46" s="229"/>
      <c r="Z46" s="229"/>
      <c r="AA46" s="229"/>
      <c r="AB46" s="229"/>
    </row>
    <row r="47" ht="15.75" customHeight="1">
      <c r="A47" s="14" t="s">
        <v>367</v>
      </c>
      <c r="B47" s="214" t="s">
        <v>74</v>
      </c>
      <c r="C47" s="8">
        <v>45489.0</v>
      </c>
      <c r="D47" s="9">
        <v>0.4395833333333333</v>
      </c>
      <c r="E47" s="8">
        <v>45489.0</v>
      </c>
      <c r="F47" s="9">
        <v>0.625</v>
      </c>
      <c r="G47" s="216">
        <v>105.1</v>
      </c>
      <c r="H47" s="217">
        <v>1.0</v>
      </c>
      <c r="I47" s="216">
        <v>121.6</v>
      </c>
      <c r="J47" s="216">
        <v>121.3</v>
      </c>
      <c r="K47" s="216" t="s">
        <v>74</v>
      </c>
      <c r="L47" s="261" t="s">
        <v>368</v>
      </c>
      <c r="M47" s="11" t="s">
        <v>13</v>
      </c>
      <c r="N47" s="218">
        <f t="shared" si="1"/>
        <v>16.2</v>
      </c>
      <c r="O47" s="219" t="s">
        <v>12</v>
      </c>
      <c r="P47" s="225"/>
      <c r="Q47" s="247"/>
      <c r="R47" s="220"/>
      <c r="S47" s="229"/>
      <c r="T47" s="229"/>
      <c r="U47" s="229"/>
      <c r="V47" s="229"/>
      <c r="W47" s="229"/>
      <c r="X47" s="229"/>
      <c r="Y47" s="229"/>
      <c r="Z47" s="229"/>
      <c r="AA47" s="229"/>
      <c r="AB47" s="229"/>
    </row>
    <row r="48" ht="15.75" customHeight="1">
      <c r="A48" s="262" t="s">
        <v>79</v>
      </c>
      <c r="B48" s="214" t="s">
        <v>74</v>
      </c>
      <c r="C48" s="214" t="s">
        <v>74</v>
      </c>
      <c r="D48" s="214" t="s">
        <v>74</v>
      </c>
      <c r="E48" s="8">
        <v>45489.0</v>
      </c>
      <c r="F48" s="263">
        <v>0.9465277777777777</v>
      </c>
      <c r="G48" s="216">
        <v>106.0</v>
      </c>
      <c r="H48" s="217">
        <v>1.0</v>
      </c>
      <c r="I48" s="216">
        <v>106.0</v>
      </c>
      <c r="J48" s="216">
        <v>106.0</v>
      </c>
      <c r="K48" s="216" t="s">
        <v>74</v>
      </c>
      <c r="L48" s="231" t="s">
        <v>369</v>
      </c>
      <c r="M48" s="11" t="s">
        <v>13</v>
      </c>
      <c r="N48" s="264">
        <f t="shared" si="1"/>
        <v>0</v>
      </c>
      <c r="O48" s="219" t="s">
        <v>12</v>
      </c>
      <c r="P48" s="225"/>
      <c r="Q48" s="237"/>
      <c r="R48" s="220"/>
      <c r="S48" s="238"/>
      <c r="T48" s="238"/>
      <c r="U48" s="238"/>
      <c r="V48" s="238"/>
      <c r="W48" s="238"/>
      <c r="X48" s="238"/>
      <c r="Y48" s="238"/>
      <c r="Z48" s="238"/>
      <c r="AA48" s="238"/>
      <c r="AB48" s="238"/>
    </row>
    <row r="49">
      <c r="A49" s="262" t="s">
        <v>281</v>
      </c>
      <c r="B49" s="216">
        <v>100.3</v>
      </c>
      <c r="C49" s="214" t="s">
        <v>74</v>
      </c>
      <c r="D49" s="214" t="s">
        <v>74</v>
      </c>
      <c r="E49" s="8">
        <v>45489.0</v>
      </c>
      <c r="F49" s="263">
        <v>0.9618055555555556</v>
      </c>
      <c r="G49" s="239">
        <v>105.5</v>
      </c>
      <c r="H49" s="217">
        <v>1.0</v>
      </c>
      <c r="I49" s="216">
        <v>202.0</v>
      </c>
      <c r="J49" s="216">
        <v>201.9</v>
      </c>
      <c r="K49" s="216" t="s">
        <v>74</v>
      </c>
      <c r="L49" s="254" t="s">
        <v>370</v>
      </c>
      <c r="M49" s="11" t="s">
        <v>13</v>
      </c>
      <c r="N49" s="264">
        <f t="shared" si="1"/>
        <v>96.4</v>
      </c>
      <c r="O49" s="219" t="s">
        <v>12</v>
      </c>
      <c r="P49" s="225"/>
      <c r="Q49" s="228"/>
      <c r="R49" s="220">
        <f>B49-N49</f>
        <v>3.9</v>
      </c>
      <c r="S49" s="242"/>
      <c r="T49" s="242"/>
      <c r="U49" s="242"/>
      <c r="V49" s="242"/>
      <c r="W49" s="242"/>
      <c r="X49" s="242"/>
      <c r="Y49" s="242"/>
      <c r="Z49" s="242"/>
      <c r="AA49" s="242"/>
      <c r="AB49" s="242"/>
    </row>
    <row r="50" ht="15.75" customHeight="1">
      <c r="A50" s="14" t="s">
        <v>371</v>
      </c>
      <c r="B50" s="214" t="s">
        <v>74</v>
      </c>
      <c r="C50" s="8">
        <v>45489.0</v>
      </c>
      <c r="D50" s="28">
        <v>0.4708333333333333</v>
      </c>
      <c r="E50" s="8">
        <v>45489.0</v>
      </c>
      <c r="F50" s="9">
        <v>0.6277777777777778</v>
      </c>
      <c r="G50" s="216">
        <v>103.7</v>
      </c>
      <c r="H50" s="217">
        <v>1.0</v>
      </c>
      <c r="I50" s="236">
        <v>113.6</v>
      </c>
      <c r="J50" s="236">
        <v>113.4</v>
      </c>
      <c r="K50" s="216" t="s">
        <v>74</v>
      </c>
      <c r="L50" s="265" t="s">
        <v>372</v>
      </c>
      <c r="M50" s="11" t="s">
        <v>13</v>
      </c>
      <c r="N50" s="218">
        <f t="shared" si="1"/>
        <v>9.7</v>
      </c>
      <c r="O50" s="219" t="s">
        <v>12</v>
      </c>
      <c r="P50" s="225"/>
      <c r="Q50" s="247"/>
      <c r="R50" s="220"/>
      <c r="S50" s="229"/>
      <c r="T50" s="229"/>
      <c r="U50" s="229"/>
      <c r="V50" s="229"/>
      <c r="W50" s="229"/>
      <c r="X50" s="229"/>
      <c r="Y50" s="229"/>
      <c r="Z50" s="229"/>
      <c r="AA50" s="229"/>
      <c r="AB50" s="229"/>
    </row>
    <row r="51" ht="15.75" customHeight="1">
      <c r="A51" s="14" t="s">
        <v>373</v>
      </c>
      <c r="B51" s="214" t="s">
        <v>74</v>
      </c>
      <c r="C51" s="8">
        <v>45489.0</v>
      </c>
      <c r="D51" s="9">
        <v>0.4847222222222222</v>
      </c>
      <c r="E51" s="8">
        <v>45489.0</v>
      </c>
      <c r="F51" s="9">
        <v>0.6333333333333333</v>
      </c>
      <c r="G51" s="216">
        <v>106.3</v>
      </c>
      <c r="H51" s="217">
        <v>1.0</v>
      </c>
      <c r="I51" s="216">
        <v>122.2</v>
      </c>
      <c r="J51" s="216">
        <v>121.7</v>
      </c>
      <c r="K51" s="216" t="s">
        <v>74</v>
      </c>
      <c r="L51" s="265" t="s">
        <v>374</v>
      </c>
      <c r="M51" s="11" t="s">
        <v>13</v>
      </c>
      <c r="N51" s="218">
        <f t="shared" si="1"/>
        <v>15.4</v>
      </c>
      <c r="O51" s="219" t="s">
        <v>12</v>
      </c>
      <c r="P51" s="225"/>
      <c r="Q51" s="237"/>
      <c r="R51" s="220"/>
      <c r="S51" s="229"/>
      <c r="T51" s="229"/>
      <c r="U51" s="229"/>
      <c r="V51" s="229"/>
      <c r="W51" s="229"/>
      <c r="X51" s="229"/>
      <c r="Y51" s="229"/>
      <c r="Z51" s="229"/>
      <c r="AA51" s="229"/>
      <c r="AB51" s="229"/>
    </row>
    <row r="52" ht="15.75" customHeight="1">
      <c r="A52" s="14" t="s">
        <v>375</v>
      </c>
      <c r="B52" s="214" t="s">
        <v>74</v>
      </c>
      <c r="C52" s="8">
        <v>45489.0</v>
      </c>
      <c r="D52" s="9">
        <v>0.5</v>
      </c>
      <c r="E52" s="8">
        <v>45489.0</v>
      </c>
      <c r="F52" s="9">
        <v>0.6361111111111111</v>
      </c>
      <c r="G52" s="257">
        <v>104.5</v>
      </c>
      <c r="H52" s="217">
        <v>1.0</v>
      </c>
      <c r="I52" s="240">
        <v>114.9</v>
      </c>
      <c r="J52" s="240">
        <v>114.9</v>
      </c>
      <c r="K52" s="216" t="s">
        <v>74</v>
      </c>
      <c r="L52" s="265" t="s">
        <v>376</v>
      </c>
      <c r="M52" s="11" t="s">
        <v>13</v>
      </c>
      <c r="N52" s="218">
        <f t="shared" si="1"/>
        <v>10.4</v>
      </c>
      <c r="O52" s="219" t="s">
        <v>12</v>
      </c>
      <c r="P52" s="225"/>
      <c r="Q52" s="237"/>
      <c r="R52" s="220"/>
      <c r="S52" s="229"/>
      <c r="T52" s="229"/>
      <c r="U52" s="229"/>
      <c r="V52" s="229"/>
      <c r="W52" s="229"/>
      <c r="X52" s="229"/>
      <c r="Y52" s="229"/>
      <c r="Z52" s="229"/>
      <c r="AA52" s="229"/>
      <c r="AB52" s="229"/>
    </row>
    <row r="53" ht="15.75" customHeight="1">
      <c r="A53" s="14" t="s">
        <v>377</v>
      </c>
      <c r="B53" s="214" t="s">
        <v>74</v>
      </c>
      <c r="C53" s="29">
        <v>45491.0</v>
      </c>
      <c r="D53" s="9">
        <v>0.3277777777777778</v>
      </c>
      <c r="E53" s="29">
        <v>45491.0</v>
      </c>
      <c r="F53" s="16">
        <v>0.6041666666666666</v>
      </c>
      <c r="G53" s="240">
        <v>104.0</v>
      </c>
      <c r="H53" s="217">
        <v>1.0</v>
      </c>
      <c r="I53" s="257">
        <v>112.8</v>
      </c>
      <c r="J53" s="257">
        <v>112.5</v>
      </c>
      <c r="K53" s="216" t="s">
        <v>74</v>
      </c>
      <c r="L53" s="265" t="s">
        <v>378</v>
      </c>
      <c r="M53" s="11" t="s">
        <v>13</v>
      </c>
      <c r="N53" s="218">
        <f t="shared" si="1"/>
        <v>8.5</v>
      </c>
      <c r="O53" s="219" t="s">
        <v>12</v>
      </c>
      <c r="P53" s="225"/>
      <c r="Q53" s="237"/>
      <c r="R53" s="220"/>
      <c r="S53" s="229"/>
      <c r="T53" s="229"/>
      <c r="U53" s="229"/>
      <c r="V53" s="229"/>
      <c r="W53" s="229"/>
      <c r="X53" s="229"/>
      <c r="Y53" s="229"/>
      <c r="Z53" s="229"/>
      <c r="AA53" s="229"/>
      <c r="AB53" s="229"/>
    </row>
    <row r="54" ht="15.75" customHeight="1">
      <c r="A54" s="14" t="s">
        <v>379</v>
      </c>
      <c r="B54" s="214" t="s">
        <v>74</v>
      </c>
      <c r="C54" s="29">
        <v>45491.0</v>
      </c>
      <c r="D54" s="9">
        <v>0.3277777777777778</v>
      </c>
      <c r="E54" s="29">
        <v>45491.0</v>
      </c>
      <c r="F54" s="28">
        <v>0.6069444444444444</v>
      </c>
      <c r="G54" s="257">
        <v>105.6</v>
      </c>
      <c r="H54" s="217">
        <v>1.0</v>
      </c>
      <c r="I54" s="257">
        <v>114.4</v>
      </c>
      <c r="J54" s="257">
        <v>114.3</v>
      </c>
      <c r="K54" s="216" t="s">
        <v>74</v>
      </c>
      <c r="L54" s="265" t="s">
        <v>380</v>
      </c>
      <c r="M54" s="11" t="s">
        <v>13</v>
      </c>
      <c r="N54" s="218">
        <f t="shared" si="1"/>
        <v>8.7</v>
      </c>
      <c r="O54" s="219" t="s">
        <v>12</v>
      </c>
      <c r="P54" s="225"/>
      <c r="Q54" s="237"/>
      <c r="R54" s="220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</row>
    <row r="55" ht="15.75" customHeight="1">
      <c r="A55" s="14" t="s">
        <v>381</v>
      </c>
      <c r="B55" s="214" t="s">
        <v>74</v>
      </c>
      <c r="C55" s="8">
        <v>45504.0</v>
      </c>
      <c r="D55" s="30">
        <v>0.2673611111111111</v>
      </c>
      <c r="E55" s="8">
        <v>45504.0</v>
      </c>
      <c r="F55" s="263">
        <v>0.5652777777777778</v>
      </c>
      <c r="G55" s="216">
        <v>105.5</v>
      </c>
      <c r="H55" s="217">
        <v>1.0</v>
      </c>
      <c r="I55" s="216">
        <v>110.7</v>
      </c>
      <c r="J55" s="216">
        <v>110.4</v>
      </c>
      <c r="K55" s="216" t="s">
        <v>74</v>
      </c>
      <c r="L55" s="231" t="s">
        <v>382</v>
      </c>
      <c r="M55" s="11" t="s">
        <v>235</v>
      </c>
      <c r="N55" s="218">
        <f t="shared" si="1"/>
        <v>4.9</v>
      </c>
      <c r="O55" s="219" t="s">
        <v>12</v>
      </c>
      <c r="P55" s="225"/>
      <c r="Q55" s="237"/>
      <c r="R55" s="220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</row>
    <row r="56" ht="15.75" customHeight="1">
      <c r="A56" s="14" t="s">
        <v>383</v>
      </c>
      <c r="B56" s="214" t="s">
        <v>74</v>
      </c>
      <c r="C56" s="8">
        <v>45504.0</v>
      </c>
      <c r="D56" s="30">
        <v>0.28680555555555554</v>
      </c>
      <c r="E56" s="8">
        <v>45504.0</v>
      </c>
      <c r="F56" s="9">
        <v>0.5666666666666667</v>
      </c>
      <c r="G56" s="216">
        <v>105.2</v>
      </c>
      <c r="H56" s="217">
        <v>1.0</v>
      </c>
      <c r="I56" s="241">
        <v>112.6</v>
      </c>
      <c r="J56" s="216">
        <v>112.2</v>
      </c>
      <c r="K56" s="216" t="s">
        <v>74</v>
      </c>
      <c r="L56" s="231" t="s">
        <v>384</v>
      </c>
      <c r="M56" s="11" t="s">
        <v>235</v>
      </c>
      <c r="N56" s="218">
        <f t="shared" si="1"/>
        <v>7</v>
      </c>
      <c r="O56" s="219" t="s">
        <v>12</v>
      </c>
      <c r="P56" s="225"/>
      <c r="Q56" s="237"/>
      <c r="R56" s="220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</row>
    <row r="57" ht="15.75" customHeight="1">
      <c r="A57" s="14"/>
      <c r="B57" s="214"/>
      <c r="C57" s="266"/>
      <c r="D57" s="215"/>
      <c r="E57" s="224"/>
      <c r="F57" s="267"/>
      <c r="G57" s="214"/>
      <c r="H57" s="268"/>
      <c r="I57" s="214"/>
      <c r="J57" s="214"/>
      <c r="K57" s="269"/>
      <c r="L57" s="270"/>
      <c r="M57" s="271"/>
      <c r="N57" s="214"/>
      <c r="O57" s="225"/>
      <c r="P57" s="225"/>
      <c r="Q57" s="237"/>
      <c r="R57" s="220">
        <f>average(R2:R56)</f>
        <v>3.225</v>
      </c>
      <c r="S57" s="229"/>
      <c r="T57" s="229"/>
      <c r="U57" s="229"/>
      <c r="V57" s="229"/>
      <c r="W57" s="229"/>
      <c r="X57" s="229"/>
      <c r="Y57" s="229"/>
      <c r="Z57" s="229"/>
      <c r="AA57" s="229"/>
      <c r="AB57" s="229"/>
    </row>
    <row r="58" ht="15.75" customHeight="1">
      <c r="A58" s="14"/>
      <c r="B58" s="214"/>
      <c r="C58" s="266"/>
      <c r="D58" s="215"/>
      <c r="E58" s="224"/>
      <c r="F58" s="267"/>
      <c r="G58" s="214"/>
      <c r="H58" s="268"/>
      <c r="I58" s="214"/>
      <c r="J58" s="214"/>
      <c r="K58" s="269"/>
      <c r="L58" s="270"/>
      <c r="M58" s="271"/>
      <c r="N58" s="214"/>
      <c r="O58" s="225"/>
      <c r="P58" s="225"/>
      <c r="Q58" s="237"/>
      <c r="R58" s="220">
        <f>stdev(R2:R57)</f>
        <v>0.4437059837</v>
      </c>
      <c r="S58" s="229"/>
      <c r="T58" s="229"/>
      <c r="U58" s="229"/>
      <c r="V58" s="229"/>
      <c r="W58" s="229"/>
      <c r="X58" s="229"/>
      <c r="Y58" s="229"/>
      <c r="Z58" s="229"/>
      <c r="AA58" s="229"/>
      <c r="AB58" s="229"/>
    </row>
    <row r="59" ht="15.75" customHeight="1">
      <c r="A59" s="272"/>
      <c r="B59" s="214"/>
      <c r="C59" s="266"/>
      <c r="D59" s="273"/>
      <c r="E59" s="224"/>
      <c r="F59" s="267"/>
      <c r="G59" s="214"/>
      <c r="H59" s="268"/>
      <c r="I59" s="214"/>
      <c r="J59" s="214"/>
      <c r="K59" s="214"/>
      <c r="L59" s="270"/>
      <c r="M59" s="271"/>
      <c r="N59" s="214"/>
      <c r="O59" s="225"/>
      <c r="P59" s="225"/>
      <c r="Q59" s="237"/>
      <c r="R59" s="220"/>
      <c r="S59" s="229"/>
      <c r="T59" s="229"/>
      <c r="U59" s="229"/>
      <c r="V59" s="229"/>
      <c r="W59" s="229"/>
      <c r="X59" s="229"/>
      <c r="Y59" s="229"/>
      <c r="Z59" s="229"/>
      <c r="AA59" s="229"/>
      <c r="AB59" s="229"/>
    </row>
    <row r="60" ht="15.75" customHeight="1">
      <c r="A60" s="272"/>
      <c r="B60" s="214"/>
      <c r="C60" s="266"/>
      <c r="D60" s="274"/>
      <c r="E60" s="224"/>
      <c r="F60" s="267"/>
      <c r="G60" s="214"/>
      <c r="H60" s="268"/>
      <c r="I60" s="275"/>
      <c r="J60" s="275"/>
      <c r="K60" s="214"/>
      <c r="L60" s="270"/>
      <c r="M60" s="271"/>
      <c r="N60" s="214"/>
      <c r="O60" s="225"/>
      <c r="P60" s="225"/>
      <c r="Q60" s="237"/>
      <c r="R60" s="220"/>
      <c r="S60" s="229"/>
      <c r="T60" s="229"/>
      <c r="U60" s="229"/>
      <c r="V60" s="229"/>
      <c r="W60" s="229"/>
      <c r="X60" s="229"/>
      <c r="Y60" s="229"/>
      <c r="Z60" s="229"/>
      <c r="AA60" s="229"/>
      <c r="AB60" s="229"/>
    </row>
    <row r="61" ht="15.75" customHeight="1">
      <c r="A61" s="276"/>
      <c r="B61" s="101"/>
      <c r="C61" s="277"/>
      <c r="D61" s="100"/>
      <c r="E61" s="98"/>
      <c r="F61" s="99"/>
      <c r="G61" s="101"/>
      <c r="H61" s="278"/>
      <c r="I61" s="101"/>
      <c r="J61" s="101"/>
      <c r="K61" s="101"/>
      <c r="L61" s="102"/>
      <c r="M61" s="102"/>
      <c r="N61" s="101"/>
      <c r="O61" s="279"/>
      <c r="P61" s="279"/>
      <c r="Q61" s="229"/>
      <c r="R61" s="229"/>
      <c r="S61" s="229"/>
      <c r="T61" s="229"/>
      <c r="U61" s="229"/>
      <c r="V61" s="229"/>
      <c r="W61" s="229"/>
      <c r="X61" s="229"/>
      <c r="Y61" s="229"/>
      <c r="Z61" s="229"/>
      <c r="AA61" s="229"/>
      <c r="AB61" s="229"/>
    </row>
    <row r="62" ht="15.75" customHeight="1">
      <c r="A62" s="276"/>
      <c r="B62" s="280"/>
      <c r="C62" s="281"/>
      <c r="D62" s="100"/>
      <c r="E62" s="98"/>
      <c r="F62" s="99"/>
      <c r="G62" s="101"/>
      <c r="H62" s="278"/>
      <c r="I62" s="101"/>
      <c r="J62" s="101"/>
      <c r="K62" s="101"/>
      <c r="L62" s="102"/>
      <c r="M62" s="102"/>
      <c r="N62" s="101"/>
      <c r="O62" s="279"/>
      <c r="P62" s="279"/>
      <c r="Q62" s="229"/>
      <c r="R62" s="229"/>
      <c r="S62" s="229"/>
      <c r="T62" s="229"/>
      <c r="U62" s="229"/>
      <c r="V62" s="229"/>
      <c r="W62" s="229"/>
      <c r="X62" s="229"/>
      <c r="Y62" s="229"/>
      <c r="Z62" s="229"/>
      <c r="AA62" s="229"/>
      <c r="AB62" s="229"/>
    </row>
    <row r="63" ht="15.75" customHeight="1">
      <c r="A63" s="276"/>
      <c r="B63" s="280"/>
      <c r="C63" s="281"/>
      <c r="D63" s="100"/>
      <c r="E63" s="98"/>
      <c r="F63" s="99"/>
      <c r="G63" s="101"/>
      <c r="H63" s="278"/>
      <c r="I63" s="101"/>
      <c r="J63" s="101"/>
      <c r="K63" s="101"/>
      <c r="L63" s="102"/>
      <c r="M63" s="102"/>
      <c r="N63" s="101"/>
      <c r="O63" s="279"/>
      <c r="P63" s="279"/>
      <c r="Q63" s="229"/>
      <c r="R63" s="229"/>
      <c r="S63" s="229"/>
      <c r="T63" s="229"/>
      <c r="U63" s="229"/>
      <c r="V63" s="229"/>
      <c r="W63" s="229"/>
      <c r="X63" s="229"/>
      <c r="Y63" s="229"/>
      <c r="Z63" s="229"/>
      <c r="AA63" s="229"/>
      <c r="AB63" s="229"/>
    </row>
    <row r="64" ht="15.75" customHeight="1">
      <c r="A64" s="276"/>
      <c r="B64" s="280"/>
      <c r="C64" s="281"/>
      <c r="D64" s="100"/>
      <c r="E64" s="98"/>
      <c r="F64" s="99"/>
      <c r="G64" s="101"/>
      <c r="H64" s="278"/>
      <c r="I64" s="101"/>
      <c r="J64" s="101"/>
      <c r="K64" s="101"/>
      <c r="L64" s="102"/>
      <c r="M64" s="102"/>
      <c r="N64" s="101"/>
      <c r="O64" s="279"/>
      <c r="P64" s="279"/>
      <c r="Q64" s="229"/>
      <c r="R64" s="229"/>
      <c r="S64" s="229"/>
      <c r="T64" s="229"/>
      <c r="U64" s="229"/>
      <c r="V64" s="229"/>
      <c r="W64" s="229"/>
      <c r="X64" s="229"/>
      <c r="Y64" s="229"/>
      <c r="Z64" s="229"/>
      <c r="AA64" s="229"/>
      <c r="AB64" s="229"/>
    </row>
    <row r="65" ht="15.75" customHeight="1">
      <c r="A65" s="276"/>
      <c r="B65" s="280"/>
      <c r="C65" s="281"/>
      <c r="D65" s="100"/>
      <c r="E65" s="98"/>
      <c r="F65" s="99"/>
      <c r="G65" s="101"/>
      <c r="H65" s="278"/>
      <c r="I65" s="101"/>
      <c r="J65" s="101"/>
      <c r="K65" s="101"/>
      <c r="L65" s="102"/>
      <c r="M65" s="102"/>
      <c r="N65" s="101"/>
      <c r="O65" s="279"/>
      <c r="P65" s="279"/>
      <c r="Q65" s="229"/>
      <c r="R65" s="229"/>
      <c r="S65" s="229"/>
      <c r="T65" s="229"/>
      <c r="U65" s="229"/>
      <c r="V65" s="229"/>
      <c r="W65" s="229"/>
      <c r="X65" s="229"/>
      <c r="Y65" s="229"/>
      <c r="Z65" s="229"/>
      <c r="AA65" s="229"/>
      <c r="AB65" s="229"/>
    </row>
    <row r="66" ht="15.75" customHeight="1">
      <c r="A66" s="276"/>
      <c r="B66" s="280"/>
      <c r="C66" s="282"/>
      <c r="D66" s="100"/>
      <c r="E66" s="98"/>
      <c r="F66" s="99"/>
      <c r="G66" s="101"/>
      <c r="H66" s="278"/>
      <c r="I66" s="101"/>
      <c r="J66" s="101"/>
      <c r="K66" s="101"/>
      <c r="L66" s="102"/>
      <c r="M66" s="102"/>
      <c r="N66" s="101"/>
      <c r="O66" s="279"/>
      <c r="P66" s="279"/>
      <c r="Q66" s="229"/>
      <c r="R66" s="229"/>
      <c r="S66" s="229"/>
      <c r="T66" s="229"/>
      <c r="U66" s="229"/>
      <c r="V66" s="229"/>
      <c r="W66" s="229"/>
      <c r="X66" s="229"/>
      <c r="Y66" s="229"/>
      <c r="Z66" s="229"/>
      <c r="AA66" s="229"/>
      <c r="AB66" s="229"/>
    </row>
    <row r="67" ht="15.75" customHeight="1">
      <c r="A67" s="276"/>
      <c r="B67" s="280"/>
      <c r="C67" s="282"/>
      <c r="D67" s="100"/>
      <c r="E67" s="98"/>
      <c r="F67" s="99"/>
      <c r="G67" s="101"/>
      <c r="H67" s="278"/>
      <c r="I67" s="101"/>
      <c r="J67" s="101"/>
      <c r="K67" s="101"/>
      <c r="L67" s="102"/>
      <c r="M67" s="102"/>
      <c r="N67" s="101"/>
      <c r="O67" s="279"/>
      <c r="P67" s="279"/>
      <c r="Q67" s="229"/>
      <c r="R67" s="229"/>
      <c r="S67" s="229"/>
      <c r="T67" s="229"/>
      <c r="U67" s="229"/>
      <c r="V67" s="229"/>
      <c r="W67" s="229"/>
      <c r="X67" s="229"/>
      <c r="Y67" s="229"/>
      <c r="Z67" s="229"/>
      <c r="AA67" s="229"/>
      <c r="AB67" s="229"/>
    </row>
    <row r="68" ht="15.75" customHeight="1">
      <c r="A68" s="276"/>
      <c r="B68" s="280"/>
      <c r="C68" s="282"/>
      <c r="D68" s="100"/>
      <c r="E68" s="98"/>
      <c r="F68" s="99"/>
      <c r="G68" s="101"/>
      <c r="H68" s="278"/>
      <c r="I68" s="101"/>
      <c r="J68" s="101"/>
      <c r="K68" s="101"/>
      <c r="L68" s="102"/>
      <c r="M68" s="102"/>
      <c r="N68" s="101"/>
      <c r="O68" s="279"/>
      <c r="P68" s="279"/>
      <c r="Q68" s="229"/>
      <c r="R68" s="229"/>
      <c r="S68" s="229"/>
      <c r="T68" s="229"/>
      <c r="U68" s="229"/>
      <c r="V68" s="229"/>
      <c r="W68" s="229"/>
      <c r="X68" s="229"/>
      <c r="Y68" s="229"/>
      <c r="Z68" s="229"/>
      <c r="AA68" s="229"/>
      <c r="AB68" s="229"/>
    </row>
    <row r="69" ht="15.75" customHeight="1">
      <c r="A69" s="276"/>
      <c r="B69" s="280"/>
      <c r="C69" s="282"/>
      <c r="D69" s="100"/>
      <c r="E69" s="98"/>
      <c r="F69" s="99"/>
      <c r="G69" s="101"/>
      <c r="H69" s="278"/>
      <c r="I69" s="101"/>
      <c r="J69" s="101"/>
      <c r="K69" s="101"/>
      <c r="L69" s="102"/>
      <c r="M69" s="102"/>
      <c r="N69" s="101"/>
      <c r="O69" s="279"/>
      <c r="P69" s="279"/>
      <c r="Q69" s="229"/>
      <c r="R69" s="229"/>
      <c r="S69" s="229"/>
      <c r="T69" s="229"/>
      <c r="U69" s="229"/>
      <c r="V69" s="229"/>
      <c r="W69" s="229"/>
      <c r="X69" s="229"/>
      <c r="Y69" s="229"/>
      <c r="Z69" s="229"/>
      <c r="AA69" s="229"/>
      <c r="AB69" s="229"/>
    </row>
    <row r="70" ht="15.75" customHeight="1">
      <c r="A70" s="276"/>
      <c r="B70" s="280"/>
      <c r="C70" s="282"/>
      <c r="D70" s="100"/>
      <c r="E70" s="98"/>
      <c r="F70" s="99"/>
      <c r="G70" s="101"/>
      <c r="H70" s="278"/>
      <c r="I70" s="101"/>
      <c r="J70" s="101"/>
      <c r="K70" s="101"/>
      <c r="L70" s="102"/>
      <c r="M70" s="102"/>
      <c r="N70" s="101"/>
      <c r="O70" s="279"/>
      <c r="P70" s="279"/>
      <c r="Q70" s="229"/>
      <c r="R70" s="229"/>
      <c r="S70" s="229"/>
      <c r="T70" s="229"/>
      <c r="U70" s="229"/>
      <c r="V70" s="229"/>
      <c r="W70" s="229"/>
      <c r="X70" s="229"/>
      <c r="Y70" s="229"/>
      <c r="Z70" s="229"/>
      <c r="AA70" s="229"/>
      <c r="AB70" s="229"/>
    </row>
    <row r="71" ht="15.75" customHeight="1">
      <c r="A71" s="276"/>
      <c r="B71" s="280"/>
      <c r="C71" s="282"/>
      <c r="D71" s="100"/>
      <c r="E71" s="98"/>
      <c r="F71" s="99"/>
      <c r="G71" s="101"/>
      <c r="H71" s="278"/>
      <c r="I71" s="101"/>
      <c r="J71" s="101"/>
      <c r="K71" s="101"/>
      <c r="L71" s="102"/>
      <c r="M71" s="102"/>
      <c r="N71" s="101"/>
      <c r="O71" s="279"/>
      <c r="P71" s="279"/>
      <c r="Q71" s="229"/>
      <c r="R71" s="229"/>
      <c r="S71" s="229"/>
      <c r="T71" s="229"/>
      <c r="U71" s="229"/>
      <c r="V71" s="229"/>
      <c r="W71" s="229"/>
      <c r="X71" s="229"/>
      <c r="Y71" s="229"/>
      <c r="Z71" s="229"/>
      <c r="AA71" s="229"/>
      <c r="AB71" s="229"/>
    </row>
    <row r="72" ht="15.75" customHeight="1">
      <c r="A72" s="276"/>
      <c r="B72" s="283"/>
      <c r="C72" s="282"/>
      <c r="D72" s="100"/>
      <c r="E72" s="98"/>
      <c r="F72" s="99"/>
      <c r="G72" s="101"/>
      <c r="H72" s="278"/>
      <c r="I72" s="101"/>
      <c r="J72" s="101"/>
      <c r="K72" s="101"/>
      <c r="L72" s="102"/>
      <c r="M72" s="102"/>
      <c r="N72" s="101"/>
      <c r="O72" s="279"/>
      <c r="P72" s="279"/>
      <c r="Q72" s="229"/>
      <c r="R72" s="229"/>
      <c r="S72" s="229"/>
      <c r="T72" s="229"/>
      <c r="U72" s="229"/>
      <c r="V72" s="229"/>
      <c r="W72" s="229"/>
      <c r="X72" s="229"/>
      <c r="Y72" s="229"/>
      <c r="Z72" s="229"/>
      <c r="AA72" s="229"/>
      <c r="AB72" s="229"/>
    </row>
    <row r="73" ht="15.75" customHeight="1">
      <c r="A73" s="276"/>
      <c r="B73" s="283"/>
      <c r="C73" s="282"/>
      <c r="D73" s="100"/>
      <c r="E73" s="98"/>
      <c r="F73" s="99"/>
      <c r="G73" s="101"/>
      <c r="H73" s="278"/>
      <c r="I73" s="101"/>
      <c r="J73" s="101"/>
      <c r="K73" s="101"/>
      <c r="L73" s="102"/>
      <c r="M73" s="102"/>
      <c r="N73" s="101"/>
      <c r="O73" s="279"/>
      <c r="P73" s="279"/>
      <c r="Q73" s="229"/>
      <c r="R73" s="229"/>
      <c r="S73" s="229"/>
      <c r="T73" s="229"/>
      <c r="U73" s="229"/>
      <c r="V73" s="229"/>
      <c r="W73" s="229"/>
      <c r="X73" s="229"/>
      <c r="Y73" s="229"/>
      <c r="Z73" s="229"/>
      <c r="AA73" s="229"/>
      <c r="AB73" s="229"/>
    </row>
    <row r="74" ht="15.75" customHeight="1">
      <c r="A74" s="276"/>
      <c r="B74" s="283"/>
      <c r="C74" s="282"/>
      <c r="D74" s="100"/>
      <c r="E74" s="98"/>
      <c r="F74" s="99"/>
      <c r="G74" s="101"/>
      <c r="H74" s="278"/>
      <c r="I74" s="101"/>
      <c r="J74" s="101"/>
      <c r="K74" s="101"/>
      <c r="L74" s="102"/>
      <c r="M74" s="102"/>
      <c r="N74" s="101"/>
      <c r="O74" s="279"/>
      <c r="P74" s="279"/>
      <c r="Q74" s="229"/>
      <c r="R74" s="229"/>
      <c r="S74" s="229"/>
      <c r="T74" s="229"/>
      <c r="U74" s="229"/>
      <c r="V74" s="229"/>
      <c r="W74" s="229"/>
      <c r="X74" s="229"/>
      <c r="Y74" s="229"/>
      <c r="Z74" s="229"/>
      <c r="AA74" s="229"/>
      <c r="AB74" s="229"/>
    </row>
    <row r="75" ht="15.75" customHeight="1">
      <c r="A75" s="276"/>
      <c r="B75" s="283"/>
      <c r="C75" s="282"/>
      <c r="D75" s="100"/>
      <c r="E75" s="98"/>
      <c r="F75" s="99"/>
      <c r="G75" s="101"/>
      <c r="H75" s="278"/>
      <c r="I75" s="101"/>
      <c r="J75" s="101"/>
      <c r="K75" s="101"/>
      <c r="L75" s="102"/>
      <c r="M75" s="102"/>
      <c r="N75" s="101"/>
      <c r="O75" s="279"/>
      <c r="P75" s="279"/>
      <c r="Q75" s="229"/>
      <c r="R75" s="229"/>
      <c r="S75" s="229"/>
      <c r="T75" s="229"/>
      <c r="U75" s="229"/>
      <c r="V75" s="229"/>
      <c r="W75" s="229"/>
      <c r="X75" s="229"/>
      <c r="Y75" s="229"/>
      <c r="Z75" s="229"/>
      <c r="AA75" s="229"/>
      <c r="AB75" s="229"/>
    </row>
    <row r="76" ht="15.75" customHeight="1">
      <c r="A76" s="276"/>
      <c r="B76" s="101"/>
      <c r="C76" s="98"/>
      <c r="D76" s="100"/>
      <c r="E76" s="98"/>
      <c r="F76" s="99"/>
      <c r="G76" s="101"/>
      <c r="H76" s="278"/>
      <c r="I76" s="101"/>
      <c r="J76" s="101"/>
      <c r="K76" s="101"/>
      <c r="L76" s="102"/>
      <c r="M76" s="102"/>
      <c r="N76" s="101"/>
      <c r="O76" s="279"/>
      <c r="P76" s="279"/>
      <c r="Q76" s="229"/>
      <c r="R76" s="229"/>
      <c r="S76" s="229"/>
      <c r="T76" s="229"/>
      <c r="U76" s="229"/>
      <c r="V76" s="229"/>
      <c r="W76" s="229"/>
      <c r="X76" s="229"/>
      <c r="Y76" s="229"/>
      <c r="Z76" s="229"/>
      <c r="AA76" s="229"/>
      <c r="AB76" s="229"/>
    </row>
    <row r="77" ht="15.75" customHeight="1">
      <c r="A77" s="276"/>
      <c r="B77" s="101"/>
      <c r="C77" s="98"/>
      <c r="D77" s="100"/>
      <c r="E77" s="98"/>
      <c r="F77" s="99"/>
      <c r="G77" s="101"/>
      <c r="H77" s="278"/>
      <c r="I77" s="101"/>
      <c r="J77" s="101"/>
      <c r="K77" s="101"/>
      <c r="L77" s="102"/>
      <c r="M77" s="102"/>
      <c r="N77" s="101"/>
      <c r="O77" s="279"/>
      <c r="P77" s="279"/>
      <c r="Q77" s="229"/>
      <c r="R77" s="229"/>
      <c r="S77" s="229"/>
      <c r="T77" s="229"/>
      <c r="U77" s="229"/>
      <c r="V77" s="229"/>
      <c r="W77" s="229"/>
      <c r="X77" s="229"/>
      <c r="Y77" s="229"/>
      <c r="Z77" s="229"/>
      <c r="AA77" s="229"/>
      <c r="AB77" s="229"/>
    </row>
    <row r="78" ht="15.75" customHeight="1">
      <c r="A78" s="276"/>
      <c r="B78" s="101"/>
      <c r="C78" s="98"/>
      <c r="D78" s="100"/>
      <c r="E78" s="98"/>
      <c r="F78" s="99"/>
      <c r="G78" s="101"/>
      <c r="H78" s="278"/>
      <c r="I78" s="101"/>
      <c r="J78" s="101"/>
      <c r="K78" s="101"/>
      <c r="L78" s="102"/>
      <c r="M78" s="102"/>
      <c r="N78" s="101"/>
      <c r="O78" s="279"/>
      <c r="P78" s="279"/>
      <c r="Q78" s="229"/>
      <c r="R78" s="229"/>
      <c r="S78" s="229"/>
      <c r="T78" s="229"/>
      <c r="U78" s="229"/>
      <c r="V78" s="229"/>
      <c r="W78" s="229"/>
      <c r="X78" s="229"/>
      <c r="Y78" s="229"/>
      <c r="Z78" s="229"/>
      <c r="AA78" s="229"/>
      <c r="AB78" s="229"/>
    </row>
    <row r="79" ht="15.75" customHeight="1">
      <c r="A79" s="276"/>
      <c r="B79" s="101"/>
      <c r="C79" s="98"/>
      <c r="D79" s="100"/>
      <c r="E79" s="98"/>
      <c r="F79" s="99"/>
      <c r="G79" s="101"/>
      <c r="H79" s="278"/>
      <c r="I79" s="101"/>
      <c r="J79" s="101"/>
      <c r="K79" s="101"/>
      <c r="L79" s="102"/>
      <c r="M79" s="102"/>
      <c r="N79" s="101"/>
      <c r="O79" s="279"/>
      <c r="P79" s="279"/>
      <c r="Q79" s="229"/>
      <c r="R79" s="229"/>
      <c r="S79" s="229"/>
      <c r="T79" s="229"/>
      <c r="U79" s="229"/>
      <c r="V79" s="229"/>
      <c r="W79" s="229"/>
      <c r="X79" s="229"/>
      <c r="Y79" s="229"/>
      <c r="Z79" s="229"/>
      <c r="AA79" s="229"/>
      <c r="AB79" s="229"/>
    </row>
    <row r="80" ht="15.75" customHeight="1">
      <c r="A80" s="276"/>
      <c r="B80" s="101"/>
      <c r="C80" s="98"/>
      <c r="D80" s="100"/>
      <c r="E80" s="98"/>
      <c r="F80" s="99"/>
      <c r="G80" s="101"/>
      <c r="H80" s="278"/>
      <c r="I80" s="101"/>
      <c r="J80" s="101"/>
      <c r="K80" s="101"/>
      <c r="L80" s="102"/>
      <c r="M80" s="102"/>
      <c r="N80" s="101"/>
      <c r="O80" s="279"/>
      <c r="P80" s="279"/>
      <c r="Q80" s="229"/>
      <c r="R80" s="229"/>
      <c r="S80" s="229"/>
      <c r="T80" s="229"/>
      <c r="U80" s="229"/>
      <c r="V80" s="229"/>
      <c r="W80" s="229"/>
      <c r="X80" s="229"/>
      <c r="Y80" s="229"/>
      <c r="Z80" s="229"/>
      <c r="AA80" s="229"/>
      <c r="AB80" s="229"/>
    </row>
    <row r="81" ht="15.75" customHeight="1">
      <c r="A81" s="276"/>
      <c r="B81" s="101"/>
      <c r="C81" s="98"/>
      <c r="D81" s="100"/>
      <c r="E81" s="98"/>
      <c r="F81" s="99"/>
      <c r="G81" s="101"/>
      <c r="H81" s="278"/>
      <c r="I81" s="101"/>
      <c r="J81" s="101"/>
      <c r="K81" s="101"/>
      <c r="L81" s="102"/>
      <c r="M81" s="102"/>
      <c r="N81" s="101"/>
      <c r="O81" s="279"/>
      <c r="P81" s="279"/>
      <c r="Q81" s="229"/>
      <c r="R81" s="229"/>
      <c r="S81" s="229"/>
      <c r="T81" s="229"/>
      <c r="U81" s="229"/>
      <c r="V81" s="229"/>
      <c r="W81" s="229"/>
      <c r="X81" s="229"/>
      <c r="Y81" s="229"/>
      <c r="Z81" s="229"/>
      <c r="AA81" s="229"/>
      <c r="AB81" s="229"/>
    </row>
    <row r="82" ht="15.75" customHeight="1">
      <c r="A82" s="276"/>
      <c r="B82" s="101"/>
      <c r="C82" s="98"/>
      <c r="D82" s="100"/>
      <c r="E82" s="98"/>
      <c r="F82" s="99"/>
      <c r="G82" s="101"/>
      <c r="H82" s="278"/>
      <c r="I82" s="101"/>
      <c r="J82" s="101"/>
      <c r="K82" s="101"/>
      <c r="L82" s="102"/>
      <c r="M82" s="102"/>
      <c r="N82" s="101"/>
      <c r="O82" s="279"/>
      <c r="P82" s="279"/>
      <c r="Q82" s="229"/>
      <c r="R82" s="229"/>
      <c r="S82" s="229"/>
      <c r="T82" s="229"/>
      <c r="U82" s="229"/>
      <c r="V82" s="229"/>
      <c r="W82" s="229"/>
      <c r="X82" s="229"/>
      <c r="Y82" s="229"/>
      <c r="Z82" s="229"/>
      <c r="AA82" s="229"/>
      <c r="AB82" s="229"/>
    </row>
    <row r="83" ht="15.75" customHeight="1">
      <c r="A83" s="276"/>
      <c r="B83" s="101"/>
      <c r="C83" s="98"/>
      <c r="D83" s="100"/>
      <c r="E83" s="98"/>
      <c r="F83" s="99"/>
      <c r="G83" s="101"/>
      <c r="H83" s="278"/>
      <c r="I83" s="101"/>
      <c r="J83" s="101"/>
      <c r="K83" s="101"/>
      <c r="L83" s="102"/>
      <c r="M83" s="102"/>
      <c r="N83" s="101"/>
      <c r="O83" s="279"/>
      <c r="P83" s="279"/>
      <c r="Q83" s="229"/>
      <c r="R83" s="229"/>
      <c r="S83" s="229"/>
      <c r="T83" s="229"/>
      <c r="U83" s="229"/>
      <c r="V83" s="229"/>
      <c r="W83" s="229"/>
      <c r="X83" s="229"/>
      <c r="Y83" s="229"/>
      <c r="Z83" s="229"/>
      <c r="AA83" s="229"/>
      <c r="AB83" s="229"/>
    </row>
    <row r="84" ht="15.75" customHeight="1">
      <c r="A84" s="276"/>
      <c r="B84" s="101"/>
      <c r="C84" s="98"/>
      <c r="D84" s="100"/>
      <c r="E84" s="98"/>
      <c r="F84" s="99"/>
      <c r="G84" s="101"/>
      <c r="H84" s="278"/>
      <c r="I84" s="101"/>
      <c r="J84" s="101"/>
      <c r="K84" s="101"/>
      <c r="L84" s="102"/>
      <c r="M84" s="102"/>
      <c r="N84" s="101"/>
      <c r="O84" s="279"/>
      <c r="P84" s="279"/>
      <c r="Q84" s="229"/>
      <c r="R84" s="229"/>
      <c r="S84" s="229"/>
      <c r="T84" s="229"/>
      <c r="U84" s="229"/>
      <c r="V84" s="229"/>
      <c r="W84" s="229"/>
      <c r="X84" s="229"/>
      <c r="Y84" s="229"/>
      <c r="Z84" s="229"/>
      <c r="AA84" s="229"/>
      <c r="AB84" s="229"/>
    </row>
    <row r="85" ht="15.75" customHeight="1">
      <c r="A85" s="276"/>
      <c r="B85" s="101"/>
      <c r="C85" s="98"/>
      <c r="D85" s="100"/>
      <c r="E85" s="98"/>
      <c r="F85" s="99"/>
      <c r="G85" s="101"/>
      <c r="H85" s="278"/>
      <c r="I85" s="101"/>
      <c r="J85" s="101"/>
      <c r="K85" s="101"/>
      <c r="L85" s="102"/>
      <c r="M85" s="102"/>
      <c r="N85" s="101"/>
      <c r="O85" s="279"/>
      <c r="P85" s="279"/>
      <c r="Q85" s="229"/>
      <c r="R85" s="229"/>
      <c r="S85" s="229"/>
      <c r="T85" s="229"/>
      <c r="U85" s="229"/>
      <c r="V85" s="229"/>
      <c r="W85" s="229"/>
      <c r="X85" s="229"/>
      <c r="Y85" s="229"/>
      <c r="Z85" s="229"/>
      <c r="AA85" s="229"/>
      <c r="AB85" s="229"/>
    </row>
    <row r="86" ht="15.75" customHeight="1">
      <c r="A86" s="276"/>
      <c r="B86" s="101"/>
      <c r="C86" s="98"/>
      <c r="D86" s="100"/>
      <c r="E86" s="98"/>
      <c r="F86" s="99"/>
      <c r="G86" s="101"/>
      <c r="H86" s="278"/>
      <c r="I86" s="101"/>
      <c r="J86" s="101"/>
      <c r="K86" s="101"/>
      <c r="L86" s="102"/>
      <c r="M86" s="102"/>
      <c r="N86" s="101"/>
      <c r="O86" s="279"/>
      <c r="P86" s="279"/>
      <c r="Q86" s="229"/>
      <c r="R86" s="229"/>
      <c r="S86" s="229"/>
      <c r="T86" s="229"/>
      <c r="U86" s="229"/>
      <c r="V86" s="229"/>
      <c r="W86" s="229"/>
      <c r="X86" s="229"/>
      <c r="Y86" s="229"/>
      <c r="Z86" s="229"/>
      <c r="AA86" s="229"/>
      <c r="AB86" s="229"/>
    </row>
    <row r="87" ht="15.75" customHeight="1">
      <c r="A87" s="276"/>
      <c r="B87" s="101"/>
      <c r="C87" s="98"/>
      <c r="D87" s="100"/>
      <c r="E87" s="98"/>
      <c r="F87" s="99"/>
      <c r="G87" s="101"/>
      <c r="H87" s="278"/>
      <c r="I87" s="101"/>
      <c r="J87" s="101"/>
      <c r="K87" s="101"/>
      <c r="L87" s="102"/>
      <c r="M87" s="102"/>
      <c r="N87" s="101"/>
      <c r="O87" s="279"/>
      <c r="P87" s="279"/>
      <c r="Q87" s="229"/>
      <c r="R87" s="229"/>
      <c r="S87" s="229"/>
      <c r="T87" s="229"/>
      <c r="U87" s="229"/>
      <c r="V87" s="229"/>
      <c r="W87" s="229"/>
      <c r="X87" s="229"/>
      <c r="Y87" s="229"/>
      <c r="Z87" s="229"/>
      <c r="AA87" s="229"/>
      <c r="AB87" s="229"/>
    </row>
    <row r="88" ht="15.75" customHeight="1">
      <c r="A88" s="276"/>
      <c r="B88" s="101"/>
      <c r="C88" s="98"/>
      <c r="D88" s="100"/>
      <c r="E88" s="98"/>
      <c r="F88" s="99"/>
      <c r="G88" s="101"/>
      <c r="H88" s="278"/>
      <c r="I88" s="101"/>
      <c r="J88" s="101"/>
      <c r="K88" s="101"/>
      <c r="L88" s="102"/>
      <c r="M88" s="102"/>
      <c r="N88" s="101"/>
      <c r="O88" s="279"/>
      <c r="P88" s="279"/>
      <c r="Q88" s="229"/>
      <c r="R88" s="229"/>
      <c r="S88" s="229"/>
      <c r="T88" s="229"/>
      <c r="U88" s="229"/>
      <c r="V88" s="229"/>
      <c r="W88" s="229"/>
      <c r="X88" s="229"/>
      <c r="Y88" s="229"/>
      <c r="Z88" s="229"/>
      <c r="AA88" s="229"/>
      <c r="AB88" s="229"/>
    </row>
    <row r="89" ht="15.75" customHeight="1">
      <c r="A89" s="276"/>
      <c r="B89" s="101"/>
      <c r="C89" s="98"/>
      <c r="D89" s="100"/>
      <c r="E89" s="98"/>
      <c r="F89" s="99"/>
      <c r="G89" s="101"/>
      <c r="H89" s="278"/>
      <c r="I89" s="101"/>
      <c r="J89" s="101"/>
      <c r="K89" s="101"/>
      <c r="L89" s="102"/>
      <c r="M89" s="102"/>
      <c r="N89" s="101"/>
      <c r="O89" s="279"/>
      <c r="P89" s="279"/>
      <c r="Q89" s="229"/>
      <c r="R89" s="229"/>
      <c r="S89" s="229"/>
      <c r="T89" s="229"/>
      <c r="U89" s="229"/>
      <c r="V89" s="229"/>
      <c r="W89" s="229"/>
      <c r="X89" s="229"/>
      <c r="Y89" s="229"/>
      <c r="Z89" s="229"/>
      <c r="AA89" s="229"/>
      <c r="AB89" s="229"/>
    </row>
    <row r="90" ht="15.75" customHeight="1">
      <c r="A90" s="276"/>
      <c r="B90" s="101"/>
      <c r="C90" s="98"/>
      <c r="D90" s="100"/>
      <c r="E90" s="98"/>
      <c r="F90" s="99"/>
      <c r="G90" s="101"/>
      <c r="H90" s="278"/>
      <c r="I90" s="101"/>
      <c r="J90" s="101"/>
      <c r="K90" s="101"/>
      <c r="L90" s="102"/>
      <c r="M90" s="102"/>
      <c r="N90" s="101"/>
      <c r="O90" s="279"/>
      <c r="P90" s="279"/>
      <c r="Q90" s="229"/>
      <c r="R90" s="229"/>
      <c r="S90" s="229"/>
      <c r="T90" s="229"/>
      <c r="U90" s="229"/>
      <c r="V90" s="229"/>
      <c r="W90" s="229"/>
      <c r="X90" s="229"/>
      <c r="Y90" s="229"/>
      <c r="Z90" s="229"/>
      <c r="AA90" s="229"/>
      <c r="AB90" s="229"/>
    </row>
    <row r="91" ht="15.75" customHeight="1">
      <c r="A91" s="276"/>
      <c r="B91" s="101"/>
      <c r="C91" s="98"/>
      <c r="D91" s="100"/>
      <c r="E91" s="98"/>
      <c r="F91" s="99"/>
      <c r="G91" s="101"/>
      <c r="H91" s="278"/>
      <c r="I91" s="101"/>
      <c r="J91" s="101"/>
      <c r="K91" s="101"/>
      <c r="L91" s="102"/>
      <c r="M91" s="102"/>
      <c r="N91" s="101"/>
      <c r="O91" s="279"/>
      <c r="P91" s="279"/>
      <c r="Q91" s="229"/>
      <c r="R91" s="229"/>
      <c r="S91" s="229"/>
      <c r="T91" s="229"/>
      <c r="U91" s="229"/>
      <c r="V91" s="229"/>
      <c r="W91" s="229"/>
      <c r="X91" s="229"/>
      <c r="Y91" s="229"/>
      <c r="Z91" s="229"/>
      <c r="AA91" s="229"/>
      <c r="AB91" s="229"/>
    </row>
    <row r="92" ht="15.75" customHeight="1">
      <c r="A92" s="276"/>
      <c r="B92" s="101"/>
      <c r="C92" s="98"/>
      <c r="D92" s="100"/>
      <c r="E92" s="98"/>
      <c r="F92" s="99"/>
      <c r="G92" s="101"/>
      <c r="H92" s="278"/>
      <c r="I92" s="101"/>
      <c r="J92" s="101"/>
      <c r="K92" s="101"/>
      <c r="L92" s="102"/>
      <c r="M92" s="102"/>
      <c r="N92" s="101"/>
      <c r="O92" s="279"/>
      <c r="P92" s="279"/>
      <c r="Q92" s="229"/>
      <c r="R92" s="229"/>
      <c r="S92" s="229"/>
      <c r="T92" s="229"/>
      <c r="U92" s="229"/>
      <c r="V92" s="229"/>
      <c r="W92" s="229"/>
      <c r="X92" s="229"/>
      <c r="Y92" s="229"/>
      <c r="Z92" s="229"/>
      <c r="AA92" s="229"/>
      <c r="AB92" s="229"/>
    </row>
    <row r="93" ht="15.75" customHeight="1">
      <c r="A93" s="276"/>
      <c r="B93" s="101"/>
      <c r="C93" s="98"/>
      <c r="D93" s="100"/>
      <c r="E93" s="98"/>
      <c r="F93" s="99"/>
      <c r="G93" s="101"/>
      <c r="H93" s="278"/>
      <c r="I93" s="101"/>
      <c r="J93" s="101"/>
      <c r="K93" s="101"/>
      <c r="L93" s="102"/>
      <c r="M93" s="102"/>
      <c r="N93" s="101"/>
      <c r="O93" s="279"/>
      <c r="P93" s="279"/>
      <c r="Q93" s="229"/>
      <c r="R93" s="229"/>
      <c r="S93" s="229"/>
      <c r="T93" s="229"/>
      <c r="U93" s="229"/>
      <c r="V93" s="229"/>
      <c r="W93" s="229"/>
      <c r="X93" s="229"/>
      <c r="Y93" s="229"/>
      <c r="Z93" s="229"/>
      <c r="AA93" s="229"/>
      <c r="AB93" s="229"/>
    </row>
    <row r="94" ht="15.75" customHeight="1">
      <c r="A94" s="276"/>
      <c r="B94" s="101"/>
      <c r="C94" s="98"/>
      <c r="D94" s="100"/>
      <c r="E94" s="98"/>
      <c r="F94" s="99"/>
      <c r="G94" s="101"/>
      <c r="H94" s="278"/>
      <c r="I94" s="101"/>
      <c r="J94" s="101"/>
      <c r="K94" s="101"/>
      <c r="L94" s="102"/>
      <c r="M94" s="102"/>
      <c r="N94" s="101"/>
      <c r="O94" s="279"/>
      <c r="P94" s="279"/>
      <c r="Q94" s="229"/>
      <c r="R94" s="229"/>
      <c r="S94" s="229"/>
      <c r="T94" s="229"/>
      <c r="U94" s="229"/>
      <c r="V94" s="229"/>
      <c r="W94" s="229"/>
      <c r="X94" s="229"/>
      <c r="Y94" s="229"/>
      <c r="Z94" s="229"/>
      <c r="AA94" s="229"/>
      <c r="AB94" s="229"/>
    </row>
    <row r="95" ht="15.75" customHeight="1">
      <c r="A95" s="276"/>
      <c r="B95" s="101"/>
      <c r="C95" s="98"/>
      <c r="D95" s="100"/>
      <c r="E95" s="98"/>
      <c r="F95" s="99"/>
      <c r="G95" s="101"/>
      <c r="H95" s="278"/>
      <c r="I95" s="101"/>
      <c r="J95" s="101"/>
      <c r="K95" s="101"/>
      <c r="L95" s="102"/>
      <c r="M95" s="102"/>
      <c r="N95" s="101"/>
      <c r="O95" s="279"/>
      <c r="P95" s="279"/>
      <c r="Q95" s="229"/>
      <c r="R95" s="229"/>
      <c r="S95" s="229"/>
      <c r="T95" s="229"/>
      <c r="U95" s="229"/>
      <c r="V95" s="229"/>
      <c r="W95" s="229"/>
      <c r="X95" s="229"/>
      <c r="Y95" s="229"/>
      <c r="Z95" s="229"/>
      <c r="AA95" s="229"/>
      <c r="AB95" s="229"/>
    </row>
    <row r="96" ht="15.75" customHeight="1">
      <c r="A96" s="276"/>
      <c r="B96" s="101"/>
      <c r="C96" s="98"/>
      <c r="D96" s="100"/>
      <c r="E96" s="98"/>
      <c r="F96" s="99"/>
      <c r="G96" s="101"/>
      <c r="H96" s="278"/>
      <c r="I96" s="101"/>
      <c r="J96" s="101"/>
      <c r="K96" s="101"/>
      <c r="L96" s="102"/>
      <c r="M96" s="102"/>
      <c r="N96" s="101"/>
      <c r="O96" s="279"/>
      <c r="P96" s="279"/>
      <c r="Q96" s="229"/>
      <c r="R96" s="229"/>
      <c r="S96" s="229"/>
      <c r="T96" s="229"/>
      <c r="U96" s="229"/>
      <c r="V96" s="229"/>
      <c r="W96" s="229"/>
      <c r="X96" s="229"/>
      <c r="Y96" s="229"/>
      <c r="Z96" s="229"/>
      <c r="AA96" s="229"/>
      <c r="AB96" s="229"/>
    </row>
    <row r="97" ht="15.75" customHeight="1">
      <c r="A97" s="276"/>
      <c r="B97" s="101"/>
      <c r="C97" s="98"/>
      <c r="D97" s="100"/>
      <c r="E97" s="98"/>
      <c r="F97" s="99"/>
      <c r="G97" s="101"/>
      <c r="H97" s="278"/>
      <c r="I97" s="101"/>
      <c r="J97" s="101"/>
      <c r="K97" s="101"/>
      <c r="L97" s="102"/>
      <c r="M97" s="102"/>
      <c r="N97" s="101"/>
      <c r="O97" s="279"/>
      <c r="P97" s="279"/>
      <c r="Q97" s="229"/>
      <c r="R97" s="229"/>
      <c r="S97" s="229"/>
      <c r="T97" s="229"/>
      <c r="U97" s="229"/>
      <c r="V97" s="229"/>
      <c r="W97" s="229"/>
      <c r="X97" s="229"/>
      <c r="Y97" s="229"/>
      <c r="Z97" s="229"/>
      <c r="AA97" s="229"/>
      <c r="AB97" s="229"/>
    </row>
    <row r="98" ht="15.75" customHeight="1">
      <c r="A98" s="276"/>
      <c r="B98" s="101"/>
      <c r="C98" s="98"/>
      <c r="D98" s="100"/>
      <c r="E98" s="98"/>
      <c r="F98" s="99"/>
      <c r="G98" s="101"/>
      <c r="H98" s="278"/>
      <c r="I98" s="101"/>
      <c r="J98" s="101"/>
      <c r="K98" s="101"/>
      <c r="L98" s="102"/>
      <c r="M98" s="102"/>
      <c r="N98" s="101"/>
      <c r="O98" s="279"/>
      <c r="P98" s="279"/>
      <c r="Q98" s="229"/>
      <c r="R98" s="229"/>
      <c r="S98" s="229"/>
      <c r="T98" s="229"/>
      <c r="U98" s="229"/>
      <c r="V98" s="229"/>
      <c r="W98" s="229"/>
      <c r="X98" s="229"/>
      <c r="Y98" s="229"/>
      <c r="Z98" s="229"/>
      <c r="AA98" s="229"/>
      <c r="AB98" s="229"/>
    </row>
    <row r="99" ht="15.75" customHeight="1">
      <c r="A99" s="276"/>
      <c r="B99" s="101"/>
      <c r="C99" s="98"/>
      <c r="D99" s="100"/>
      <c r="E99" s="98"/>
      <c r="F99" s="99"/>
      <c r="G99" s="101"/>
      <c r="H99" s="278"/>
      <c r="I99" s="101"/>
      <c r="J99" s="101"/>
      <c r="K99" s="101"/>
      <c r="L99" s="102"/>
      <c r="M99" s="102"/>
      <c r="N99" s="101"/>
      <c r="O99" s="279"/>
      <c r="P99" s="279"/>
      <c r="Q99" s="229"/>
      <c r="R99" s="229"/>
      <c r="S99" s="229"/>
      <c r="T99" s="229"/>
      <c r="U99" s="229"/>
      <c r="V99" s="229"/>
      <c r="W99" s="229"/>
      <c r="X99" s="229"/>
      <c r="Y99" s="229"/>
      <c r="Z99" s="229"/>
      <c r="AA99" s="229"/>
      <c r="AB99" s="229"/>
    </row>
    <row r="100" ht="15.75" customHeight="1">
      <c r="A100" s="276"/>
      <c r="B100" s="101"/>
      <c r="C100" s="98"/>
      <c r="D100" s="100"/>
      <c r="E100" s="98"/>
      <c r="F100" s="99"/>
      <c r="G100" s="101"/>
      <c r="H100" s="278"/>
      <c r="I100" s="101"/>
      <c r="J100" s="101"/>
      <c r="K100" s="101"/>
      <c r="L100" s="102"/>
      <c r="M100" s="102"/>
      <c r="N100" s="101"/>
      <c r="O100" s="279"/>
      <c r="P100" s="27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  <c r="AA100" s="229"/>
      <c r="AB100" s="229"/>
    </row>
    <row r="101" ht="15.75" customHeight="1">
      <c r="A101" s="276"/>
      <c r="B101" s="101"/>
      <c r="C101" s="98"/>
      <c r="D101" s="100"/>
      <c r="E101" s="98"/>
      <c r="F101" s="99"/>
      <c r="G101" s="101"/>
      <c r="H101" s="278"/>
      <c r="I101" s="101"/>
      <c r="J101" s="101"/>
      <c r="K101" s="101"/>
      <c r="L101" s="102"/>
      <c r="M101" s="102"/>
      <c r="N101" s="101"/>
      <c r="O101" s="279"/>
      <c r="P101" s="279"/>
      <c r="Q101" s="229"/>
      <c r="R101" s="229"/>
      <c r="S101" s="229"/>
      <c r="T101" s="229"/>
      <c r="U101" s="229"/>
      <c r="V101" s="229"/>
      <c r="W101" s="229"/>
      <c r="X101" s="229"/>
      <c r="Y101" s="229"/>
      <c r="Z101" s="229"/>
      <c r="AA101" s="229"/>
      <c r="AB101" s="229"/>
    </row>
    <row r="102" ht="15.75" customHeight="1">
      <c r="A102" s="276"/>
      <c r="B102" s="101"/>
      <c r="C102" s="98"/>
      <c r="D102" s="100"/>
      <c r="E102" s="98"/>
      <c r="F102" s="99"/>
      <c r="G102" s="101"/>
      <c r="H102" s="278"/>
      <c r="I102" s="101"/>
      <c r="J102" s="101"/>
      <c r="K102" s="101"/>
      <c r="L102" s="102"/>
      <c r="M102" s="102"/>
      <c r="N102" s="101"/>
      <c r="O102" s="279"/>
      <c r="P102" s="279"/>
      <c r="Q102" s="229"/>
      <c r="R102" s="229"/>
      <c r="S102" s="229"/>
      <c r="T102" s="229"/>
      <c r="U102" s="229"/>
      <c r="V102" s="229"/>
      <c r="W102" s="229"/>
      <c r="X102" s="229"/>
      <c r="Y102" s="229"/>
      <c r="Z102" s="229"/>
      <c r="AA102" s="229"/>
      <c r="AB102" s="229"/>
    </row>
    <row r="103" ht="15.75" customHeight="1">
      <c r="A103" s="276"/>
      <c r="B103" s="101"/>
      <c r="C103" s="98"/>
      <c r="D103" s="100"/>
      <c r="E103" s="98"/>
      <c r="F103" s="99"/>
      <c r="G103" s="101"/>
      <c r="H103" s="278"/>
      <c r="I103" s="101"/>
      <c r="J103" s="101"/>
      <c r="K103" s="101"/>
      <c r="L103" s="102"/>
      <c r="M103" s="102"/>
      <c r="N103" s="101"/>
      <c r="O103" s="279"/>
      <c r="P103" s="279"/>
      <c r="Q103" s="229"/>
      <c r="R103" s="229"/>
      <c r="S103" s="229"/>
      <c r="T103" s="229"/>
      <c r="U103" s="229"/>
      <c r="V103" s="229"/>
      <c r="W103" s="229"/>
      <c r="X103" s="229"/>
      <c r="Y103" s="229"/>
      <c r="Z103" s="229"/>
      <c r="AA103" s="229"/>
      <c r="AB103" s="229"/>
    </row>
    <row r="104" ht="15.75" customHeight="1">
      <c r="A104" s="276"/>
      <c r="B104" s="101"/>
      <c r="C104" s="98"/>
      <c r="D104" s="100"/>
      <c r="E104" s="98"/>
      <c r="F104" s="99"/>
      <c r="G104" s="101"/>
      <c r="H104" s="278"/>
      <c r="I104" s="101"/>
      <c r="J104" s="101"/>
      <c r="K104" s="101"/>
      <c r="L104" s="102"/>
      <c r="M104" s="102"/>
      <c r="N104" s="101"/>
      <c r="O104" s="279"/>
      <c r="P104" s="279"/>
      <c r="Q104" s="229"/>
      <c r="R104" s="229"/>
      <c r="S104" s="229"/>
      <c r="T104" s="229"/>
      <c r="U104" s="229"/>
      <c r="V104" s="229"/>
      <c r="W104" s="229"/>
      <c r="X104" s="229"/>
      <c r="Y104" s="229"/>
      <c r="Z104" s="229"/>
      <c r="AA104" s="229"/>
      <c r="AB104" s="229"/>
    </row>
    <row r="105" ht="15.75" customHeight="1">
      <c r="A105" s="276"/>
      <c r="B105" s="101"/>
      <c r="C105" s="98"/>
      <c r="D105" s="100"/>
      <c r="E105" s="98"/>
      <c r="F105" s="99"/>
      <c r="G105" s="101"/>
      <c r="H105" s="278"/>
      <c r="I105" s="101"/>
      <c r="J105" s="101"/>
      <c r="K105" s="101"/>
      <c r="L105" s="102"/>
      <c r="M105" s="102"/>
      <c r="N105" s="101"/>
      <c r="O105" s="279"/>
      <c r="P105" s="279"/>
      <c r="Q105" s="229"/>
      <c r="R105" s="229"/>
      <c r="S105" s="229"/>
      <c r="T105" s="229"/>
      <c r="U105" s="229"/>
      <c r="V105" s="229"/>
      <c r="W105" s="229"/>
      <c r="X105" s="229"/>
      <c r="Y105" s="229"/>
      <c r="Z105" s="229"/>
      <c r="AA105" s="229"/>
      <c r="AB105" s="229"/>
    </row>
    <row r="106" ht="15.75" customHeight="1">
      <c r="A106" s="276"/>
      <c r="B106" s="101"/>
      <c r="C106" s="98"/>
      <c r="D106" s="100"/>
      <c r="E106" s="98"/>
      <c r="F106" s="99"/>
      <c r="G106" s="101"/>
      <c r="H106" s="278"/>
      <c r="I106" s="101"/>
      <c r="J106" s="101"/>
      <c r="K106" s="101"/>
      <c r="L106" s="102"/>
      <c r="M106" s="102"/>
      <c r="N106" s="101"/>
      <c r="O106" s="279"/>
      <c r="P106" s="27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  <c r="AA106" s="229"/>
      <c r="AB106" s="229"/>
    </row>
    <row r="107" ht="15.75" customHeight="1">
      <c r="A107" s="276"/>
      <c r="B107" s="101"/>
      <c r="C107" s="98"/>
      <c r="D107" s="100"/>
      <c r="E107" s="98"/>
      <c r="F107" s="99"/>
      <c r="G107" s="101"/>
      <c r="H107" s="278"/>
      <c r="I107" s="101"/>
      <c r="J107" s="101"/>
      <c r="K107" s="101"/>
      <c r="L107" s="102"/>
      <c r="M107" s="102"/>
      <c r="N107" s="101"/>
      <c r="O107" s="279"/>
      <c r="P107" s="279"/>
      <c r="Q107" s="229"/>
      <c r="R107" s="229"/>
      <c r="S107" s="229"/>
      <c r="T107" s="229"/>
      <c r="U107" s="229"/>
      <c r="V107" s="229"/>
      <c r="W107" s="229"/>
      <c r="X107" s="229"/>
      <c r="Y107" s="229"/>
      <c r="Z107" s="229"/>
      <c r="AA107" s="229"/>
      <c r="AB107" s="229"/>
    </row>
    <row r="108" ht="15.75" customHeight="1">
      <c r="A108" s="276"/>
      <c r="B108" s="101"/>
      <c r="C108" s="98"/>
      <c r="D108" s="100"/>
      <c r="E108" s="98"/>
      <c r="F108" s="99"/>
      <c r="G108" s="101"/>
      <c r="H108" s="278"/>
      <c r="I108" s="101"/>
      <c r="J108" s="101"/>
      <c r="K108" s="101"/>
      <c r="L108" s="102"/>
      <c r="M108" s="102"/>
      <c r="N108" s="101"/>
      <c r="O108" s="279"/>
      <c r="P108" s="279"/>
      <c r="Q108" s="229"/>
      <c r="R108" s="229"/>
      <c r="S108" s="229"/>
      <c r="T108" s="229"/>
      <c r="U108" s="229"/>
      <c r="V108" s="229"/>
      <c r="W108" s="229"/>
      <c r="X108" s="229"/>
      <c r="Y108" s="229"/>
      <c r="Z108" s="229"/>
      <c r="AA108" s="229"/>
      <c r="AB108" s="229"/>
    </row>
    <row r="109" ht="15.75" customHeight="1">
      <c r="A109" s="276"/>
      <c r="B109" s="101"/>
      <c r="C109" s="98"/>
      <c r="D109" s="100"/>
      <c r="E109" s="98"/>
      <c r="F109" s="99"/>
      <c r="G109" s="101"/>
      <c r="H109" s="278"/>
      <c r="I109" s="101"/>
      <c r="J109" s="101"/>
      <c r="K109" s="101"/>
      <c r="L109" s="102"/>
      <c r="M109" s="102"/>
      <c r="N109" s="101"/>
      <c r="O109" s="279"/>
      <c r="P109" s="279"/>
      <c r="Q109" s="229"/>
      <c r="R109" s="229"/>
      <c r="S109" s="229"/>
      <c r="T109" s="229"/>
      <c r="U109" s="229"/>
      <c r="V109" s="229"/>
      <c r="W109" s="229"/>
      <c r="X109" s="229"/>
      <c r="Y109" s="229"/>
      <c r="Z109" s="229"/>
      <c r="AA109" s="229"/>
      <c r="AB109" s="229"/>
    </row>
    <row r="110" ht="15.75" customHeight="1">
      <c r="A110" s="276"/>
      <c r="B110" s="101"/>
      <c r="C110" s="98"/>
      <c r="D110" s="100"/>
      <c r="E110" s="98"/>
      <c r="F110" s="99"/>
      <c r="G110" s="101"/>
      <c r="H110" s="278"/>
      <c r="I110" s="101"/>
      <c r="J110" s="101"/>
      <c r="K110" s="101"/>
      <c r="L110" s="102"/>
      <c r="M110" s="102"/>
      <c r="N110" s="101"/>
      <c r="O110" s="279"/>
      <c r="P110" s="279"/>
      <c r="Q110" s="229"/>
      <c r="R110" s="229"/>
      <c r="S110" s="229"/>
      <c r="T110" s="229"/>
      <c r="U110" s="229"/>
      <c r="V110" s="229"/>
      <c r="W110" s="229"/>
      <c r="X110" s="229"/>
      <c r="Y110" s="229"/>
      <c r="Z110" s="229"/>
      <c r="AA110" s="229"/>
      <c r="AB110" s="229"/>
    </row>
    <row r="111" ht="15.75" customHeight="1">
      <c r="A111" s="276"/>
      <c r="B111" s="101"/>
      <c r="C111" s="98"/>
      <c r="D111" s="100"/>
      <c r="E111" s="98"/>
      <c r="F111" s="99"/>
      <c r="G111" s="101"/>
      <c r="H111" s="278"/>
      <c r="I111" s="101"/>
      <c r="J111" s="101"/>
      <c r="K111" s="101"/>
      <c r="L111" s="102"/>
      <c r="M111" s="102"/>
      <c r="N111" s="101"/>
      <c r="O111" s="279"/>
      <c r="P111" s="279"/>
      <c r="Q111" s="229"/>
      <c r="R111" s="229"/>
      <c r="S111" s="229"/>
      <c r="T111" s="229"/>
      <c r="U111" s="229"/>
      <c r="V111" s="229"/>
      <c r="W111" s="229"/>
      <c r="X111" s="229"/>
      <c r="Y111" s="229"/>
      <c r="Z111" s="229"/>
      <c r="AA111" s="229"/>
      <c r="AB111" s="229"/>
    </row>
    <row r="112" ht="15.75" customHeight="1">
      <c r="A112" s="276"/>
      <c r="B112" s="101"/>
      <c r="C112" s="98"/>
      <c r="D112" s="100"/>
      <c r="E112" s="98"/>
      <c r="F112" s="99"/>
      <c r="G112" s="101"/>
      <c r="H112" s="278"/>
      <c r="I112" s="101"/>
      <c r="J112" s="101"/>
      <c r="K112" s="101"/>
      <c r="L112" s="102"/>
      <c r="M112" s="102"/>
      <c r="N112" s="101"/>
      <c r="O112" s="279"/>
      <c r="P112" s="279"/>
      <c r="Q112" s="229"/>
      <c r="R112" s="229"/>
      <c r="S112" s="229"/>
      <c r="T112" s="229"/>
      <c r="U112" s="229"/>
      <c r="V112" s="229"/>
      <c r="W112" s="229"/>
      <c r="X112" s="229"/>
      <c r="Y112" s="229"/>
      <c r="Z112" s="229"/>
      <c r="AA112" s="229"/>
      <c r="AB112" s="229"/>
    </row>
    <row r="113" ht="15.75" customHeight="1">
      <c r="A113" s="276"/>
      <c r="B113" s="101"/>
      <c r="C113" s="98"/>
      <c r="D113" s="100"/>
      <c r="E113" s="98"/>
      <c r="F113" s="99"/>
      <c r="G113" s="101"/>
      <c r="H113" s="278"/>
      <c r="I113" s="101"/>
      <c r="J113" s="101"/>
      <c r="K113" s="101"/>
      <c r="L113" s="102"/>
      <c r="M113" s="102"/>
      <c r="N113" s="101"/>
      <c r="O113" s="279"/>
      <c r="P113" s="279"/>
      <c r="Q113" s="229"/>
      <c r="R113" s="229"/>
      <c r="S113" s="229"/>
      <c r="T113" s="229"/>
      <c r="U113" s="229"/>
      <c r="V113" s="229"/>
      <c r="W113" s="229"/>
      <c r="X113" s="229"/>
      <c r="Y113" s="229"/>
      <c r="Z113" s="229"/>
      <c r="AA113" s="229"/>
      <c r="AB113" s="229"/>
    </row>
    <row r="114" ht="15.75" customHeight="1">
      <c r="A114" s="276"/>
      <c r="B114" s="101"/>
      <c r="C114" s="98"/>
      <c r="D114" s="100"/>
      <c r="E114" s="98"/>
      <c r="F114" s="99"/>
      <c r="G114" s="101"/>
      <c r="H114" s="278"/>
      <c r="I114" s="101"/>
      <c r="J114" s="101"/>
      <c r="K114" s="101"/>
      <c r="L114" s="102"/>
      <c r="M114" s="102"/>
      <c r="N114" s="101"/>
      <c r="O114" s="279"/>
      <c r="P114" s="279"/>
      <c r="Q114" s="229"/>
      <c r="R114" s="229"/>
      <c r="S114" s="229"/>
      <c r="T114" s="229"/>
      <c r="U114" s="229"/>
      <c r="V114" s="229"/>
      <c r="W114" s="229"/>
      <c r="X114" s="229"/>
      <c r="Y114" s="229"/>
      <c r="Z114" s="229"/>
      <c r="AA114" s="229"/>
      <c r="AB114" s="229"/>
    </row>
    <row r="115" ht="15.75" customHeight="1">
      <c r="A115" s="276"/>
      <c r="B115" s="101"/>
      <c r="C115" s="98"/>
      <c r="D115" s="100"/>
      <c r="E115" s="98"/>
      <c r="F115" s="99"/>
      <c r="G115" s="101"/>
      <c r="H115" s="278"/>
      <c r="I115" s="101"/>
      <c r="J115" s="101"/>
      <c r="K115" s="101"/>
      <c r="L115" s="102"/>
      <c r="M115" s="102"/>
      <c r="N115" s="101"/>
      <c r="O115" s="279"/>
      <c r="P115" s="27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  <c r="AA115" s="229"/>
      <c r="AB115" s="229"/>
    </row>
    <row r="116" ht="15.75" customHeight="1">
      <c r="A116" s="276"/>
      <c r="B116" s="101"/>
      <c r="C116" s="98"/>
      <c r="D116" s="100"/>
      <c r="E116" s="98"/>
      <c r="F116" s="99"/>
      <c r="G116" s="101"/>
      <c r="H116" s="278"/>
      <c r="I116" s="101"/>
      <c r="J116" s="101"/>
      <c r="K116" s="101"/>
      <c r="L116" s="102"/>
      <c r="M116" s="102"/>
      <c r="N116" s="101"/>
      <c r="O116" s="279"/>
      <c r="P116" s="279"/>
      <c r="Q116" s="229"/>
      <c r="R116" s="229"/>
      <c r="S116" s="229"/>
      <c r="T116" s="229"/>
      <c r="U116" s="229"/>
      <c r="V116" s="229"/>
      <c r="W116" s="229"/>
      <c r="X116" s="229"/>
      <c r="Y116" s="229"/>
      <c r="Z116" s="229"/>
      <c r="AA116" s="229"/>
      <c r="AB116" s="229"/>
    </row>
    <row r="117" ht="15.75" customHeight="1">
      <c r="A117" s="276"/>
      <c r="B117" s="101"/>
      <c r="C117" s="98"/>
      <c r="D117" s="100"/>
      <c r="E117" s="98"/>
      <c r="F117" s="99"/>
      <c r="G117" s="101"/>
      <c r="H117" s="278"/>
      <c r="I117" s="101"/>
      <c r="J117" s="101"/>
      <c r="K117" s="101"/>
      <c r="L117" s="102"/>
      <c r="M117" s="102"/>
      <c r="N117" s="101"/>
      <c r="O117" s="279"/>
      <c r="P117" s="279"/>
      <c r="Q117" s="229"/>
      <c r="R117" s="229"/>
      <c r="S117" s="229"/>
      <c r="T117" s="229"/>
      <c r="U117" s="229"/>
      <c r="V117" s="229"/>
      <c r="W117" s="229"/>
      <c r="X117" s="229"/>
      <c r="Y117" s="229"/>
      <c r="Z117" s="229"/>
      <c r="AA117" s="229"/>
      <c r="AB117" s="229"/>
    </row>
    <row r="118" ht="15.75" customHeight="1">
      <c r="A118" s="276"/>
      <c r="B118" s="101"/>
      <c r="C118" s="98"/>
      <c r="D118" s="100"/>
      <c r="E118" s="98"/>
      <c r="F118" s="99"/>
      <c r="G118" s="101"/>
      <c r="H118" s="278"/>
      <c r="I118" s="101"/>
      <c r="J118" s="101"/>
      <c r="K118" s="101"/>
      <c r="L118" s="102"/>
      <c r="M118" s="102"/>
      <c r="N118" s="101"/>
      <c r="O118" s="279"/>
      <c r="P118" s="279"/>
      <c r="Q118" s="229"/>
      <c r="R118" s="229"/>
      <c r="S118" s="229"/>
      <c r="T118" s="229"/>
      <c r="U118" s="229"/>
      <c r="V118" s="229"/>
      <c r="W118" s="229"/>
      <c r="X118" s="229"/>
      <c r="Y118" s="229"/>
      <c r="Z118" s="229"/>
      <c r="AA118" s="229"/>
      <c r="AB118" s="229"/>
    </row>
    <row r="119" ht="15.75" customHeight="1">
      <c r="A119" s="276"/>
      <c r="B119" s="101"/>
      <c r="C119" s="98"/>
      <c r="D119" s="100"/>
      <c r="E119" s="98"/>
      <c r="F119" s="99"/>
      <c r="G119" s="101"/>
      <c r="H119" s="278"/>
      <c r="I119" s="101"/>
      <c r="J119" s="101"/>
      <c r="K119" s="101"/>
      <c r="L119" s="102"/>
      <c r="M119" s="102"/>
      <c r="N119" s="101"/>
      <c r="O119" s="279"/>
      <c r="P119" s="279"/>
      <c r="Q119" s="229"/>
      <c r="R119" s="229"/>
      <c r="S119" s="229"/>
      <c r="T119" s="229"/>
      <c r="U119" s="229"/>
      <c r="V119" s="229"/>
      <c r="W119" s="229"/>
      <c r="X119" s="229"/>
      <c r="Y119" s="229"/>
      <c r="Z119" s="229"/>
      <c r="AA119" s="229"/>
      <c r="AB119" s="229"/>
    </row>
    <row r="120" ht="15.75" customHeight="1">
      <c r="A120" s="276"/>
      <c r="B120" s="101"/>
      <c r="C120" s="98"/>
      <c r="D120" s="100"/>
      <c r="E120" s="98"/>
      <c r="F120" s="99"/>
      <c r="G120" s="101"/>
      <c r="H120" s="278"/>
      <c r="I120" s="101"/>
      <c r="J120" s="101"/>
      <c r="K120" s="101"/>
      <c r="L120" s="102"/>
      <c r="M120" s="102"/>
      <c r="N120" s="101"/>
      <c r="O120" s="279"/>
      <c r="P120" s="279"/>
      <c r="Q120" s="229"/>
      <c r="R120" s="229"/>
      <c r="S120" s="229"/>
      <c r="T120" s="229"/>
      <c r="U120" s="229"/>
      <c r="V120" s="229"/>
      <c r="W120" s="229"/>
      <c r="X120" s="229"/>
      <c r="Y120" s="229"/>
      <c r="Z120" s="229"/>
      <c r="AA120" s="229"/>
      <c r="AB120" s="229"/>
    </row>
    <row r="121" ht="15.75" customHeight="1">
      <c r="A121" s="276"/>
      <c r="B121" s="101"/>
      <c r="C121" s="98"/>
      <c r="D121" s="100"/>
      <c r="E121" s="98"/>
      <c r="F121" s="99"/>
      <c r="G121" s="101"/>
      <c r="H121" s="278"/>
      <c r="I121" s="101"/>
      <c r="J121" s="101"/>
      <c r="K121" s="101"/>
      <c r="L121" s="102"/>
      <c r="M121" s="102"/>
      <c r="N121" s="101"/>
      <c r="O121" s="279"/>
      <c r="P121" s="279"/>
      <c r="Q121" s="229"/>
      <c r="R121" s="229"/>
      <c r="S121" s="229"/>
      <c r="T121" s="229"/>
      <c r="U121" s="229"/>
      <c r="V121" s="229"/>
      <c r="W121" s="229"/>
      <c r="X121" s="229"/>
      <c r="Y121" s="229"/>
      <c r="Z121" s="229"/>
      <c r="AA121" s="229"/>
      <c r="AB121" s="229"/>
    </row>
    <row r="122" ht="15.75" customHeight="1">
      <c r="A122" s="276"/>
      <c r="B122" s="101"/>
      <c r="C122" s="98"/>
      <c r="D122" s="100"/>
      <c r="E122" s="98"/>
      <c r="F122" s="99"/>
      <c r="G122" s="101"/>
      <c r="H122" s="278"/>
      <c r="I122" s="101"/>
      <c r="J122" s="101"/>
      <c r="K122" s="101"/>
      <c r="L122" s="102"/>
      <c r="M122" s="102"/>
      <c r="N122" s="101"/>
      <c r="O122" s="279"/>
      <c r="P122" s="279"/>
      <c r="Q122" s="229"/>
      <c r="R122" s="229"/>
      <c r="S122" s="229"/>
      <c r="T122" s="229"/>
      <c r="U122" s="229"/>
      <c r="V122" s="229"/>
      <c r="W122" s="229"/>
      <c r="X122" s="229"/>
      <c r="Y122" s="229"/>
      <c r="Z122" s="229"/>
      <c r="AA122" s="229"/>
      <c r="AB122" s="229"/>
    </row>
    <row r="123" ht="15.75" customHeight="1">
      <c r="A123" s="276"/>
      <c r="B123" s="101"/>
      <c r="C123" s="98"/>
      <c r="D123" s="100"/>
      <c r="E123" s="98"/>
      <c r="F123" s="99"/>
      <c r="G123" s="101"/>
      <c r="H123" s="278"/>
      <c r="I123" s="101"/>
      <c r="J123" s="101"/>
      <c r="K123" s="101"/>
      <c r="L123" s="102"/>
      <c r="M123" s="102"/>
      <c r="N123" s="101"/>
      <c r="O123" s="279"/>
      <c r="P123" s="279"/>
      <c r="Q123" s="229"/>
      <c r="R123" s="229"/>
      <c r="S123" s="229"/>
      <c r="T123" s="229"/>
      <c r="U123" s="229"/>
      <c r="V123" s="229"/>
      <c r="W123" s="229"/>
      <c r="X123" s="229"/>
      <c r="Y123" s="229"/>
      <c r="Z123" s="229"/>
      <c r="AA123" s="229"/>
      <c r="AB123" s="229"/>
    </row>
    <row r="124" ht="15.75" customHeight="1">
      <c r="A124" s="276"/>
      <c r="B124" s="101"/>
      <c r="C124" s="98"/>
      <c r="D124" s="100"/>
      <c r="E124" s="98"/>
      <c r="F124" s="99"/>
      <c r="G124" s="101"/>
      <c r="H124" s="278"/>
      <c r="I124" s="101"/>
      <c r="J124" s="101"/>
      <c r="K124" s="101"/>
      <c r="L124" s="102"/>
      <c r="M124" s="102"/>
      <c r="N124" s="101"/>
      <c r="O124" s="279"/>
      <c r="P124" s="279"/>
      <c r="Q124" s="229"/>
      <c r="R124" s="229"/>
      <c r="S124" s="229"/>
      <c r="T124" s="229"/>
      <c r="U124" s="229"/>
      <c r="V124" s="229"/>
      <c r="W124" s="229"/>
      <c r="X124" s="229"/>
      <c r="Y124" s="229"/>
      <c r="Z124" s="229"/>
      <c r="AA124" s="229"/>
      <c r="AB124" s="229"/>
    </row>
    <row r="125" ht="15.75" customHeight="1">
      <c r="A125" s="276"/>
      <c r="B125" s="101"/>
      <c r="C125" s="98"/>
      <c r="D125" s="100"/>
      <c r="E125" s="98"/>
      <c r="F125" s="99"/>
      <c r="G125" s="101"/>
      <c r="H125" s="278"/>
      <c r="I125" s="101"/>
      <c r="J125" s="101"/>
      <c r="K125" s="101"/>
      <c r="L125" s="102"/>
      <c r="M125" s="102"/>
      <c r="N125" s="101"/>
      <c r="O125" s="279"/>
      <c r="P125" s="279"/>
      <c r="Q125" s="229"/>
      <c r="R125" s="229"/>
      <c r="S125" s="229"/>
      <c r="T125" s="229"/>
      <c r="U125" s="229"/>
      <c r="V125" s="229"/>
      <c r="W125" s="229"/>
      <c r="X125" s="229"/>
      <c r="Y125" s="229"/>
      <c r="Z125" s="229"/>
      <c r="AA125" s="229"/>
      <c r="AB125" s="229"/>
    </row>
    <row r="126" ht="15.75" customHeight="1">
      <c r="A126" s="276"/>
      <c r="B126" s="101"/>
      <c r="C126" s="98"/>
      <c r="D126" s="100"/>
      <c r="E126" s="98"/>
      <c r="F126" s="99"/>
      <c r="G126" s="101"/>
      <c r="H126" s="278"/>
      <c r="I126" s="101"/>
      <c r="J126" s="101"/>
      <c r="K126" s="101"/>
      <c r="L126" s="102"/>
      <c r="M126" s="102"/>
      <c r="N126" s="101"/>
      <c r="O126" s="279"/>
      <c r="P126" s="279"/>
      <c r="Q126" s="229"/>
      <c r="R126" s="229"/>
      <c r="S126" s="229"/>
      <c r="T126" s="229"/>
      <c r="U126" s="229"/>
      <c r="V126" s="229"/>
      <c r="W126" s="229"/>
      <c r="X126" s="229"/>
      <c r="Y126" s="229"/>
      <c r="Z126" s="229"/>
      <c r="AA126" s="229"/>
      <c r="AB126" s="229"/>
    </row>
    <row r="127" ht="15.75" customHeight="1">
      <c r="A127" s="276"/>
      <c r="B127" s="101"/>
      <c r="C127" s="98"/>
      <c r="D127" s="100"/>
      <c r="E127" s="98"/>
      <c r="F127" s="99"/>
      <c r="G127" s="101"/>
      <c r="H127" s="278"/>
      <c r="I127" s="101"/>
      <c r="J127" s="101"/>
      <c r="K127" s="101"/>
      <c r="L127" s="102"/>
      <c r="M127" s="102"/>
      <c r="N127" s="101"/>
      <c r="O127" s="279"/>
      <c r="P127" s="279"/>
      <c r="Q127" s="229"/>
      <c r="R127" s="229"/>
      <c r="S127" s="229"/>
      <c r="T127" s="229"/>
      <c r="U127" s="229"/>
      <c r="V127" s="229"/>
      <c r="W127" s="229"/>
      <c r="X127" s="229"/>
      <c r="Y127" s="229"/>
      <c r="Z127" s="229"/>
      <c r="AA127" s="229"/>
      <c r="AB127" s="229"/>
    </row>
    <row r="128" ht="15.75" customHeight="1">
      <c r="A128" s="276"/>
      <c r="B128" s="101"/>
      <c r="C128" s="98"/>
      <c r="D128" s="100"/>
      <c r="E128" s="98"/>
      <c r="F128" s="99"/>
      <c r="G128" s="101"/>
      <c r="H128" s="278"/>
      <c r="I128" s="101"/>
      <c r="J128" s="101"/>
      <c r="K128" s="101"/>
      <c r="L128" s="102"/>
      <c r="M128" s="102"/>
      <c r="N128" s="101"/>
      <c r="O128" s="279"/>
      <c r="P128" s="279"/>
      <c r="Q128" s="229"/>
      <c r="R128" s="229"/>
      <c r="S128" s="229"/>
      <c r="T128" s="229"/>
      <c r="U128" s="229"/>
      <c r="V128" s="229"/>
      <c r="W128" s="229"/>
      <c r="X128" s="229"/>
      <c r="Y128" s="229"/>
      <c r="Z128" s="229"/>
      <c r="AA128" s="229"/>
      <c r="AB128" s="229"/>
    </row>
    <row r="129" ht="15.75" customHeight="1">
      <c r="A129" s="276"/>
      <c r="B129" s="101"/>
      <c r="C129" s="98"/>
      <c r="D129" s="100"/>
      <c r="E129" s="98"/>
      <c r="F129" s="99"/>
      <c r="G129" s="101"/>
      <c r="H129" s="278"/>
      <c r="I129" s="101"/>
      <c r="J129" s="101"/>
      <c r="K129" s="101"/>
      <c r="L129" s="102"/>
      <c r="M129" s="102"/>
      <c r="N129" s="101"/>
      <c r="O129" s="279"/>
      <c r="P129" s="279"/>
      <c r="Q129" s="229"/>
      <c r="R129" s="229"/>
      <c r="S129" s="229"/>
      <c r="T129" s="229"/>
      <c r="U129" s="229"/>
      <c r="V129" s="229"/>
      <c r="W129" s="229"/>
      <c r="X129" s="229"/>
      <c r="Y129" s="229"/>
      <c r="Z129" s="229"/>
      <c r="AA129" s="229"/>
      <c r="AB129" s="229"/>
    </row>
    <row r="130" ht="15.75" customHeight="1">
      <c r="A130" s="276"/>
      <c r="B130" s="101"/>
      <c r="C130" s="98"/>
      <c r="D130" s="100"/>
      <c r="E130" s="98"/>
      <c r="F130" s="99"/>
      <c r="G130" s="101"/>
      <c r="H130" s="278"/>
      <c r="I130" s="101"/>
      <c r="J130" s="101"/>
      <c r="K130" s="101"/>
      <c r="L130" s="102"/>
      <c r="M130" s="102"/>
      <c r="N130" s="101"/>
      <c r="O130" s="279"/>
      <c r="P130" s="279"/>
      <c r="Q130" s="229"/>
      <c r="R130" s="229"/>
      <c r="S130" s="229"/>
      <c r="T130" s="229"/>
      <c r="U130" s="229"/>
      <c r="V130" s="229"/>
      <c r="W130" s="229"/>
      <c r="X130" s="229"/>
      <c r="Y130" s="229"/>
      <c r="Z130" s="229"/>
      <c r="AA130" s="229"/>
      <c r="AB130" s="229"/>
    </row>
    <row r="131" ht="15.75" customHeight="1">
      <c r="A131" s="276"/>
      <c r="B131" s="101"/>
      <c r="C131" s="98"/>
      <c r="D131" s="100"/>
      <c r="E131" s="98"/>
      <c r="F131" s="99"/>
      <c r="G131" s="101"/>
      <c r="H131" s="278"/>
      <c r="I131" s="101"/>
      <c r="J131" s="101"/>
      <c r="K131" s="101"/>
      <c r="L131" s="102"/>
      <c r="M131" s="102"/>
      <c r="N131" s="101"/>
      <c r="O131" s="279"/>
      <c r="P131" s="279"/>
      <c r="Q131" s="229"/>
      <c r="R131" s="229"/>
      <c r="S131" s="229"/>
      <c r="T131" s="229"/>
      <c r="U131" s="229"/>
      <c r="V131" s="229"/>
      <c r="W131" s="229"/>
      <c r="X131" s="229"/>
      <c r="Y131" s="229"/>
      <c r="Z131" s="229"/>
      <c r="AA131" s="229"/>
      <c r="AB131" s="229"/>
    </row>
    <row r="132" ht="15.75" customHeight="1">
      <c r="A132" s="276"/>
      <c r="B132" s="101"/>
      <c r="C132" s="98"/>
      <c r="D132" s="100"/>
      <c r="E132" s="98"/>
      <c r="F132" s="99"/>
      <c r="G132" s="101"/>
      <c r="H132" s="278"/>
      <c r="I132" s="101"/>
      <c r="J132" s="101"/>
      <c r="K132" s="101"/>
      <c r="L132" s="102"/>
      <c r="M132" s="102"/>
      <c r="N132" s="101"/>
      <c r="O132" s="279"/>
      <c r="P132" s="279"/>
      <c r="Q132" s="229"/>
      <c r="R132" s="229"/>
      <c r="S132" s="229"/>
      <c r="T132" s="229"/>
      <c r="U132" s="229"/>
      <c r="V132" s="229"/>
      <c r="W132" s="229"/>
      <c r="X132" s="229"/>
      <c r="Y132" s="229"/>
      <c r="Z132" s="229"/>
      <c r="AA132" s="229"/>
      <c r="AB132" s="229"/>
    </row>
    <row r="133" ht="15.75" customHeight="1">
      <c r="A133" s="276"/>
      <c r="B133" s="101"/>
      <c r="C133" s="98"/>
      <c r="D133" s="100"/>
      <c r="E133" s="98"/>
      <c r="F133" s="99"/>
      <c r="G133" s="101"/>
      <c r="H133" s="278"/>
      <c r="I133" s="101"/>
      <c r="J133" s="101"/>
      <c r="K133" s="101"/>
      <c r="L133" s="102"/>
      <c r="M133" s="102"/>
      <c r="N133" s="101"/>
      <c r="O133" s="279"/>
      <c r="P133" s="279"/>
      <c r="Q133" s="229"/>
      <c r="R133" s="229"/>
      <c r="S133" s="229"/>
      <c r="T133" s="229"/>
      <c r="U133" s="229"/>
      <c r="V133" s="229"/>
      <c r="W133" s="229"/>
      <c r="X133" s="229"/>
      <c r="Y133" s="229"/>
      <c r="Z133" s="229"/>
      <c r="AA133" s="229"/>
      <c r="AB133" s="229"/>
    </row>
    <row r="134" ht="15.75" customHeight="1">
      <c r="A134" s="276"/>
      <c r="B134" s="101"/>
      <c r="C134" s="98"/>
      <c r="D134" s="100"/>
      <c r="E134" s="98"/>
      <c r="F134" s="99"/>
      <c r="G134" s="101"/>
      <c r="H134" s="278"/>
      <c r="I134" s="101"/>
      <c r="J134" s="101"/>
      <c r="K134" s="101"/>
      <c r="L134" s="102"/>
      <c r="M134" s="102"/>
      <c r="N134" s="101"/>
      <c r="O134" s="279"/>
      <c r="P134" s="279"/>
      <c r="Q134" s="229"/>
      <c r="R134" s="229"/>
      <c r="S134" s="229"/>
      <c r="T134" s="229"/>
      <c r="U134" s="229"/>
      <c r="V134" s="229"/>
      <c r="W134" s="229"/>
      <c r="X134" s="229"/>
      <c r="Y134" s="229"/>
      <c r="Z134" s="229"/>
      <c r="AA134" s="229"/>
      <c r="AB134" s="229"/>
    </row>
    <row r="135" ht="15.75" customHeight="1">
      <c r="A135" s="276"/>
      <c r="B135" s="101"/>
      <c r="C135" s="98"/>
      <c r="D135" s="100"/>
      <c r="E135" s="98"/>
      <c r="F135" s="99"/>
      <c r="G135" s="101"/>
      <c r="H135" s="278"/>
      <c r="I135" s="101"/>
      <c r="J135" s="101"/>
      <c r="K135" s="101"/>
      <c r="L135" s="102"/>
      <c r="M135" s="102"/>
      <c r="N135" s="101"/>
      <c r="O135" s="279"/>
      <c r="P135" s="279"/>
      <c r="Q135" s="229"/>
      <c r="R135" s="229"/>
      <c r="S135" s="229"/>
      <c r="T135" s="229"/>
      <c r="U135" s="229"/>
      <c r="V135" s="229"/>
      <c r="W135" s="229"/>
      <c r="X135" s="229"/>
      <c r="Y135" s="229"/>
      <c r="Z135" s="229"/>
      <c r="AA135" s="229"/>
      <c r="AB135" s="229"/>
    </row>
    <row r="136" ht="15.75" customHeight="1">
      <c r="A136" s="276"/>
      <c r="B136" s="101"/>
      <c r="C136" s="98"/>
      <c r="D136" s="100"/>
      <c r="E136" s="98"/>
      <c r="F136" s="99"/>
      <c r="G136" s="101"/>
      <c r="H136" s="278"/>
      <c r="I136" s="101"/>
      <c r="J136" s="101"/>
      <c r="K136" s="101"/>
      <c r="L136" s="102"/>
      <c r="M136" s="102"/>
      <c r="N136" s="101"/>
      <c r="O136" s="279"/>
      <c r="P136" s="279"/>
      <c r="Q136" s="229"/>
      <c r="R136" s="229"/>
      <c r="S136" s="229"/>
      <c r="T136" s="229"/>
      <c r="U136" s="229"/>
      <c r="V136" s="229"/>
      <c r="W136" s="229"/>
      <c r="X136" s="229"/>
      <c r="Y136" s="229"/>
      <c r="Z136" s="229"/>
      <c r="AA136" s="229"/>
      <c r="AB136" s="229"/>
    </row>
    <row r="137" ht="15.75" customHeight="1">
      <c r="A137" s="276"/>
      <c r="B137" s="101"/>
      <c r="C137" s="98"/>
      <c r="D137" s="100"/>
      <c r="E137" s="98"/>
      <c r="F137" s="99"/>
      <c r="G137" s="101"/>
      <c r="H137" s="278"/>
      <c r="I137" s="101"/>
      <c r="J137" s="101"/>
      <c r="K137" s="101"/>
      <c r="L137" s="102"/>
      <c r="M137" s="102"/>
      <c r="N137" s="101"/>
      <c r="O137" s="279"/>
      <c r="P137" s="279"/>
      <c r="Q137" s="229"/>
      <c r="R137" s="229"/>
      <c r="S137" s="229"/>
      <c r="T137" s="229"/>
      <c r="U137" s="229"/>
      <c r="V137" s="229"/>
      <c r="W137" s="229"/>
      <c r="X137" s="229"/>
      <c r="Y137" s="229"/>
      <c r="Z137" s="229"/>
      <c r="AA137" s="229"/>
      <c r="AB137" s="229"/>
    </row>
    <row r="138" ht="15.75" customHeight="1">
      <c r="A138" s="276"/>
      <c r="B138" s="101"/>
      <c r="C138" s="98"/>
      <c r="D138" s="100"/>
      <c r="E138" s="98"/>
      <c r="F138" s="99"/>
      <c r="G138" s="101"/>
      <c r="H138" s="278"/>
      <c r="I138" s="101"/>
      <c r="J138" s="101"/>
      <c r="K138" s="101"/>
      <c r="L138" s="102"/>
      <c r="M138" s="102"/>
      <c r="N138" s="101"/>
      <c r="O138" s="279"/>
      <c r="P138" s="279"/>
      <c r="Q138" s="229"/>
      <c r="R138" s="229"/>
      <c r="S138" s="229"/>
      <c r="T138" s="229"/>
      <c r="U138" s="229"/>
      <c r="V138" s="229"/>
      <c r="W138" s="229"/>
      <c r="X138" s="229"/>
      <c r="Y138" s="229"/>
      <c r="Z138" s="229"/>
      <c r="AA138" s="229"/>
      <c r="AB138" s="229"/>
    </row>
    <row r="139" ht="15.75" customHeight="1">
      <c r="A139" s="276"/>
      <c r="B139" s="101"/>
      <c r="C139" s="98"/>
      <c r="D139" s="100"/>
      <c r="E139" s="98"/>
      <c r="F139" s="99"/>
      <c r="G139" s="101"/>
      <c r="H139" s="278"/>
      <c r="I139" s="101"/>
      <c r="J139" s="101"/>
      <c r="K139" s="101"/>
      <c r="L139" s="102"/>
      <c r="M139" s="102"/>
      <c r="N139" s="101"/>
      <c r="O139" s="279"/>
      <c r="P139" s="279"/>
      <c r="Q139" s="229"/>
      <c r="R139" s="229"/>
      <c r="S139" s="229"/>
      <c r="T139" s="229"/>
      <c r="U139" s="229"/>
      <c r="V139" s="229"/>
      <c r="W139" s="229"/>
      <c r="X139" s="229"/>
      <c r="Y139" s="229"/>
      <c r="Z139" s="229"/>
      <c r="AA139" s="229"/>
      <c r="AB139" s="229"/>
    </row>
    <row r="140" ht="15.75" customHeight="1">
      <c r="A140" s="276"/>
      <c r="B140" s="101"/>
      <c r="C140" s="98"/>
      <c r="D140" s="100"/>
      <c r="E140" s="98"/>
      <c r="F140" s="99"/>
      <c r="G140" s="101"/>
      <c r="H140" s="278"/>
      <c r="I140" s="101"/>
      <c r="J140" s="101"/>
      <c r="K140" s="101"/>
      <c r="L140" s="102"/>
      <c r="M140" s="102"/>
      <c r="N140" s="101"/>
      <c r="O140" s="279"/>
      <c r="P140" s="279"/>
      <c r="Q140" s="229"/>
      <c r="R140" s="229"/>
      <c r="S140" s="229"/>
      <c r="T140" s="229"/>
      <c r="U140" s="229"/>
      <c r="V140" s="229"/>
      <c r="W140" s="229"/>
      <c r="X140" s="229"/>
      <c r="Y140" s="229"/>
      <c r="Z140" s="229"/>
      <c r="AA140" s="229"/>
      <c r="AB140" s="229"/>
    </row>
    <row r="141" ht="15.75" customHeight="1">
      <c r="A141" s="276"/>
      <c r="B141" s="101"/>
      <c r="C141" s="98"/>
      <c r="D141" s="100"/>
      <c r="E141" s="98"/>
      <c r="F141" s="99"/>
      <c r="G141" s="101"/>
      <c r="H141" s="278"/>
      <c r="I141" s="101"/>
      <c r="J141" s="101"/>
      <c r="K141" s="101"/>
      <c r="L141" s="102"/>
      <c r="M141" s="102"/>
      <c r="N141" s="101"/>
      <c r="O141" s="279"/>
      <c r="P141" s="279"/>
      <c r="Q141" s="229"/>
      <c r="R141" s="229"/>
      <c r="S141" s="229"/>
      <c r="T141" s="229"/>
      <c r="U141" s="229"/>
      <c r="V141" s="229"/>
      <c r="W141" s="229"/>
      <c r="X141" s="229"/>
      <c r="Y141" s="229"/>
      <c r="Z141" s="229"/>
      <c r="AA141" s="229"/>
      <c r="AB141" s="229"/>
    </row>
    <row r="142" ht="15.75" customHeight="1">
      <c r="A142" s="276"/>
      <c r="B142" s="101"/>
      <c r="C142" s="98"/>
      <c r="D142" s="100"/>
      <c r="E142" s="98"/>
      <c r="F142" s="99"/>
      <c r="G142" s="101"/>
      <c r="H142" s="278"/>
      <c r="I142" s="101"/>
      <c r="J142" s="101"/>
      <c r="K142" s="101"/>
      <c r="L142" s="102"/>
      <c r="M142" s="102"/>
      <c r="N142" s="101"/>
      <c r="O142" s="279"/>
      <c r="P142" s="279"/>
      <c r="Q142" s="229"/>
      <c r="R142" s="229"/>
      <c r="S142" s="229"/>
      <c r="T142" s="229"/>
      <c r="U142" s="229"/>
      <c r="V142" s="229"/>
      <c r="W142" s="229"/>
      <c r="X142" s="229"/>
      <c r="Y142" s="229"/>
      <c r="Z142" s="229"/>
      <c r="AA142" s="229"/>
      <c r="AB142" s="229"/>
    </row>
    <row r="143" ht="15.75" customHeight="1">
      <c r="A143" s="276"/>
      <c r="B143" s="101"/>
      <c r="C143" s="98"/>
      <c r="D143" s="100"/>
      <c r="E143" s="98"/>
      <c r="F143" s="99"/>
      <c r="G143" s="101"/>
      <c r="H143" s="278"/>
      <c r="I143" s="101"/>
      <c r="J143" s="101"/>
      <c r="K143" s="101"/>
      <c r="L143" s="102"/>
      <c r="M143" s="102"/>
      <c r="N143" s="101"/>
      <c r="O143" s="279"/>
      <c r="P143" s="279"/>
      <c r="Q143" s="229"/>
      <c r="R143" s="229"/>
      <c r="S143" s="229"/>
      <c r="T143" s="229"/>
      <c r="U143" s="229"/>
      <c r="V143" s="229"/>
      <c r="W143" s="229"/>
      <c r="X143" s="229"/>
      <c r="Y143" s="229"/>
      <c r="Z143" s="229"/>
      <c r="AA143" s="229"/>
      <c r="AB143" s="229"/>
    </row>
    <row r="144" ht="15.75" customHeight="1">
      <c r="A144" s="276"/>
      <c r="B144" s="101"/>
      <c r="C144" s="98"/>
      <c r="D144" s="100"/>
      <c r="E144" s="98"/>
      <c r="F144" s="99"/>
      <c r="G144" s="101"/>
      <c r="H144" s="278"/>
      <c r="I144" s="101"/>
      <c r="J144" s="101"/>
      <c r="K144" s="101"/>
      <c r="L144" s="102"/>
      <c r="M144" s="102"/>
      <c r="N144" s="101"/>
      <c r="O144" s="279"/>
      <c r="P144" s="279"/>
      <c r="Q144" s="229"/>
      <c r="R144" s="229"/>
      <c r="S144" s="229"/>
      <c r="T144" s="229"/>
      <c r="U144" s="229"/>
      <c r="V144" s="229"/>
      <c r="W144" s="229"/>
      <c r="X144" s="229"/>
      <c r="Y144" s="229"/>
      <c r="Z144" s="229"/>
      <c r="AA144" s="229"/>
      <c r="AB144" s="229"/>
    </row>
    <row r="145" ht="15.75" customHeight="1">
      <c r="A145" s="276"/>
      <c r="B145" s="101"/>
      <c r="C145" s="98"/>
      <c r="D145" s="100"/>
      <c r="E145" s="98"/>
      <c r="F145" s="99"/>
      <c r="G145" s="101"/>
      <c r="H145" s="278"/>
      <c r="I145" s="101"/>
      <c r="J145" s="101"/>
      <c r="K145" s="101"/>
      <c r="L145" s="102"/>
      <c r="M145" s="102"/>
      <c r="N145" s="101"/>
      <c r="O145" s="279"/>
      <c r="P145" s="279"/>
      <c r="Q145" s="229"/>
      <c r="R145" s="229"/>
      <c r="S145" s="229"/>
      <c r="T145" s="229"/>
      <c r="U145" s="229"/>
      <c r="V145" s="229"/>
      <c r="W145" s="229"/>
      <c r="X145" s="229"/>
      <c r="Y145" s="229"/>
      <c r="Z145" s="229"/>
      <c r="AA145" s="229"/>
      <c r="AB145" s="229"/>
    </row>
    <row r="146" ht="15.75" customHeight="1">
      <c r="A146" s="276"/>
      <c r="B146" s="101"/>
      <c r="C146" s="98"/>
      <c r="D146" s="100"/>
      <c r="E146" s="98"/>
      <c r="F146" s="99"/>
      <c r="G146" s="101"/>
      <c r="H146" s="278"/>
      <c r="I146" s="101"/>
      <c r="J146" s="101"/>
      <c r="K146" s="101"/>
      <c r="L146" s="102"/>
      <c r="M146" s="102"/>
      <c r="N146" s="101"/>
      <c r="O146" s="279"/>
      <c r="P146" s="279"/>
      <c r="Q146" s="229"/>
      <c r="R146" s="229"/>
      <c r="S146" s="229"/>
      <c r="T146" s="229"/>
      <c r="U146" s="229"/>
      <c r="V146" s="229"/>
      <c r="W146" s="229"/>
      <c r="X146" s="229"/>
      <c r="Y146" s="229"/>
      <c r="Z146" s="229"/>
      <c r="AA146" s="229"/>
      <c r="AB146" s="229"/>
    </row>
    <row r="147" ht="15.75" customHeight="1">
      <c r="A147" s="276"/>
      <c r="B147" s="101"/>
      <c r="C147" s="98"/>
      <c r="D147" s="100"/>
      <c r="E147" s="98"/>
      <c r="F147" s="99"/>
      <c r="G147" s="101"/>
      <c r="H147" s="278"/>
      <c r="I147" s="101"/>
      <c r="J147" s="101"/>
      <c r="K147" s="101"/>
      <c r="L147" s="102"/>
      <c r="M147" s="102"/>
      <c r="N147" s="101"/>
      <c r="O147" s="279"/>
      <c r="P147" s="279"/>
      <c r="Q147" s="229"/>
      <c r="R147" s="229"/>
      <c r="S147" s="229"/>
      <c r="T147" s="229"/>
      <c r="U147" s="229"/>
      <c r="V147" s="229"/>
      <c r="W147" s="229"/>
      <c r="X147" s="229"/>
      <c r="Y147" s="229"/>
      <c r="Z147" s="229"/>
      <c r="AA147" s="229"/>
      <c r="AB147" s="229"/>
    </row>
    <row r="148" ht="15.75" customHeight="1">
      <c r="A148" s="276"/>
      <c r="B148" s="101"/>
      <c r="C148" s="98"/>
      <c r="D148" s="100"/>
      <c r="E148" s="98"/>
      <c r="F148" s="99"/>
      <c r="G148" s="101"/>
      <c r="H148" s="278"/>
      <c r="I148" s="101"/>
      <c r="J148" s="101"/>
      <c r="K148" s="101"/>
      <c r="L148" s="102"/>
      <c r="M148" s="102"/>
      <c r="N148" s="101"/>
      <c r="O148" s="279"/>
      <c r="P148" s="279"/>
      <c r="Q148" s="229"/>
      <c r="R148" s="229"/>
      <c r="S148" s="229"/>
      <c r="T148" s="229"/>
      <c r="U148" s="229"/>
      <c r="V148" s="229"/>
      <c r="W148" s="229"/>
      <c r="X148" s="229"/>
      <c r="Y148" s="229"/>
      <c r="Z148" s="229"/>
      <c r="AA148" s="229"/>
      <c r="AB148" s="229"/>
    </row>
    <row r="149" ht="15.75" customHeight="1">
      <c r="A149" s="276"/>
      <c r="B149" s="101"/>
      <c r="C149" s="98"/>
      <c r="D149" s="100"/>
      <c r="E149" s="98"/>
      <c r="F149" s="99"/>
      <c r="G149" s="101"/>
      <c r="H149" s="278"/>
      <c r="I149" s="101"/>
      <c r="J149" s="101"/>
      <c r="K149" s="101"/>
      <c r="L149" s="102"/>
      <c r="M149" s="102"/>
      <c r="N149" s="101"/>
      <c r="O149" s="279"/>
      <c r="P149" s="279"/>
      <c r="Q149" s="229"/>
      <c r="R149" s="229"/>
      <c r="S149" s="229"/>
      <c r="T149" s="229"/>
      <c r="U149" s="229"/>
      <c r="V149" s="229"/>
      <c r="W149" s="229"/>
      <c r="X149" s="229"/>
      <c r="Y149" s="229"/>
      <c r="Z149" s="229"/>
      <c r="AA149" s="229"/>
      <c r="AB149" s="229"/>
    </row>
    <row r="150" ht="15.75" customHeight="1">
      <c r="A150" s="276"/>
      <c r="B150" s="101"/>
      <c r="C150" s="98"/>
      <c r="D150" s="100"/>
      <c r="E150" s="98"/>
      <c r="F150" s="99"/>
      <c r="G150" s="101"/>
      <c r="H150" s="278"/>
      <c r="I150" s="101"/>
      <c r="J150" s="101"/>
      <c r="K150" s="101"/>
      <c r="L150" s="102"/>
      <c r="M150" s="102"/>
      <c r="N150" s="101"/>
      <c r="O150" s="279"/>
      <c r="P150" s="279"/>
      <c r="Q150" s="229"/>
      <c r="R150" s="229"/>
      <c r="S150" s="229"/>
      <c r="T150" s="229"/>
      <c r="U150" s="229"/>
      <c r="V150" s="229"/>
      <c r="W150" s="229"/>
      <c r="X150" s="229"/>
      <c r="Y150" s="229"/>
      <c r="Z150" s="229"/>
      <c r="AA150" s="229"/>
      <c r="AB150" s="229"/>
    </row>
    <row r="151" ht="15.75" customHeight="1">
      <c r="A151" s="276"/>
      <c r="B151" s="101"/>
      <c r="C151" s="98"/>
      <c r="D151" s="100"/>
      <c r="E151" s="98"/>
      <c r="F151" s="99"/>
      <c r="G151" s="101"/>
      <c r="H151" s="278"/>
      <c r="I151" s="101"/>
      <c r="J151" s="101"/>
      <c r="K151" s="101"/>
      <c r="L151" s="102"/>
      <c r="M151" s="102"/>
      <c r="N151" s="101"/>
      <c r="O151" s="279"/>
      <c r="P151" s="279"/>
      <c r="Q151" s="229"/>
      <c r="R151" s="229"/>
      <c r="S151" s="229"/>
      <c r="T151" s="229"/>
      <c r="U151" s="229"/>
      <c r="V151" s="229"/>
      <c r="W151" s="229"/>
      <c r="X151" s="229"/>
      <c r="Y151" s="229"/>
      <c r="Z151" s="229"/>
      <c r="AA151" s="229"/>
      <c r="AB151" s="229"/>
    </row>
    <row r="152" ht="15.75" customHeight="1">
      <c r="A152" s="276"/>
      <c r="B152" s="101"/>
      <c r="C152" s="98"/>
      <c r="D152" s="100"/>
      <c r="E152" s="98"/>
      <c r="F152" s="99"/>
      <c r="G152" s="101"/>
      <c r="H152" s="278"/>
      <c r="I152" s="101"/>
      <c r="J152" s="101"/>
      <c r="K152" s="101"/>
      <c r="L152" s="102"/>
      <c r="M152" s="102"/>
      <c r="N152" s="101"/>
      <c r="O152" s="279"/>
      <c r="P152" s="279"/>
      <c r="Q152" s="229"/>
      <c r="R152" s="229"/>
      <c r="S152" s="229"/>
      <c r="T152" s="229"/>
      <c r="U152" s="229"/>
      <c r="V152" s="229"/>
      <c r="W152" s="229"/>
      <c r="X152" s="229"/>
      <c r="Y152" s="229"/>
      <c r="Z152" s="229"/>
      <c r="AA152" s="229"/>
      <c r="AB152" s="229"/>
    </row>
    <row r="153" ht="15.75" customHeight="1">
      <c r="A153" s="276"/>
      <c r="B153" s="101"/>
      <c r="C153" s="98"/>
      <c r="D153" s="100"/>
      <c r="E153" s="98"/>
      <c r="F153" s="99"/>
      <c r="G153" s="101"/>
      <c r="H153" s="278"/>
      <c r="I153" s="101"/>
      <c r="J153" s="101"/>
      <c r="K153" s="101"/>
      <c r="L153" s="102"/>
      <c r="M153" s="102"/>
      <c r="N153" s="101"/>
      <c r="O153" s="279"/>
      <c r="P153" s="279"/>
      <c r="Q153" s="229"/>
      <c r="R153" s="229"/>
      <c r="S153" s="229"/>
      <c r="T153" s="229"/>
      <c r="U153" s="229"/>
      <c r="V153" s="229"/>
      <c r="W153" s="229"/>
      <c r="X153" s="229"/>
      <c r="Y153" s="229"/>
      <c r="Z153" s="229"/>
      <c r="AA153" s="229"/>
      <c r="AB153" s="229"/>
    </row>
    <row r="154" ht="15.75" customHeight="1">
      <c r="A154" s="276"/>
      <c r="B154" s="101"/>
      <c r="C154" s="98"/>
      <c r="D154" s="100"/>
      <c r="E154" s="98"/>
      <c r="F154" s="99"/>
      <c r="G154" s="101"/>
      <c r="H154" s="278"/>
      <c r="I154" s="101"/>
      <c r="J154" s="101"/>
      <c r="K154" s="101"/>
      <c r="L154" s="102"/>
      <c r="M154" s="102"/>
      <c r="N154" s="101"/>
      <c r="O154" s="279"/>
      <c r="P154" s="279"/>
      <c r="Q154" s="229"/>
      <c r="R154" s="229"/>
      <c r="S154" s="229"/>
      <c r="T154" s="229"/>
      <c r="U154" s="229"/>
      <c r="V154" s="229"/>
      <c r="W154" s="229"/>
      <c r="X154" s="229"/>
      <c r="Y154" s="229"/>
      <c r="Z154" s="229"/>
      <c r="AA154" s="229"/>
      <c r="AB154" s="229"/>
    </row>
    <row r="155" ht="15.75" customHeight="1">
      <c r="A155" s="276"/>
      <c r="B155" s="101"/>
      <c r="C155" s="98"/>
      <c r="D155" s="100"/>
      <c r="E155" s="98"/>
      <c r="F155" s="99"/>
      <c r="G155" s="101"/>
      <c r="H155" s="278"/>
      <c r="I155" s="101"/>
      <c r="J155" s="101"/>
      <c r="K155" s="101"/>
      <c r="L155" s="102"/>
      <c r="M155" s="102"/>
      <c r="N155" s="101"/>
      <c r="O155" s="279"/>
      <c r="P155" s="279"/>
      <c r="Q155" s="229"/>
      <c r="R155" s="229"/>
      <c r="S155" s="229"/>
      <c r="T155" s="229"/>
      <c r="U155" s="229"/>
      <c r="V155" s="229"/>
      <c r="W155" s="229"/>
      <c r="X155" s="229"/>
      <c r="Y155" s="229"/>
      <c r="Z155" s="229"/>
      <c r="AA155" s="229"/>
      <c r="AB155" s="229"/>
    </row>
    <row r="156" ht="15.75" customHeight="1">
      <c r="A156" s="276"/>
      <c r="B156" s="101"/>
      <c r="C156" s="98"/>
      <c r="D156" s="100"/>
      <c r="E156" s="98"/>
      <c r="F156" s="99"/>
      <c r="G156" s="101"/>
      <c r="H156" s="278"/>
      <c r="I156" s="101"/>
      <c r="J156" s="101"/>
      <c r="K156" s="101"/>
      <c r="L156" s="102"/>
      <c r="M156" s="102"/>
      <c r="N156" s="101"/>
      <c r="O156" s="279"/>
      <c r="P156" s="279"/>
      <c r="Q156" s="229"/>
      <c r="R156" s="229"/>
      <c r="S156" s="229"/>
      <c r="T156" s="229"/>
      <c r="U156" s="229"/>
      <c r="V156" s="229"/>
      <c r="W156" s="229"/>
      <c r="X156" s="229"/>
      <c r="Y156" s="229"/>
      <c r="Z156" s="229"/>
      <c r="AA156" s="229"/>
      <c r="AB156" s="229"/>
    </row>
    <row r="157" ht="15.75" customHeight="1">
      <c r="A157" s="276"/>
      <c r="B157" s="101"/>
      <c r="C157" s="98"/>
      <c r="D157" s="100"/>
      <c r="E157" s="98"/>
      <c r="F157" s="99"/>
      <c r="G157" s="101"/>
      <c r="H157" s="278"/>
      <c r="I157" s="101"/>
      <c r="J157" s="101"/>
      <c r="K157" s="101"/>
      <c r="L157" s="102"/>
      <c r="M157" s="102"/>
      <c r="N157" s="101"/>
      <c r="O157" s="279"/>
      <c r="P157" s="279"/>
      <c r="Q157" s="229"/>
      <c r="R157" s="229"/>
      <c r="S157" s="229"/>
      <c r="T157" s="229"/>
      <c r="U157" s="229"/>
      <c r="V157" s="229"/>
      <c r="W157" s="229"/>
      <c r="X157" s="229"/>
      <c r="Y157" s="229"/>
      <c r="Z157" s="229"/>
      <c r="AA157" s="229"/>
      <c r="AB157" s="229"/>
    </row>
    <row r="158" ht="15.75" customHeight="1">
      <c r="A158" s="276"/>
      <c r="B158" s="101"/>
      <c r="C158" s="98"/>
      <c r="D158" s="100"/>
      <c r="E158" s="98"/>
      <c r="F158" s="99"/>
      <c r="G158" s="101"/>
      <c r="H158" s="278"/>
      <c r="I158" s="101"/>
      <c r="J158" s="101"/>
      <c r="K158" s="101"/>
      <c r="L158" s="102"/>
      <c r="M158" s="102"/>
      <c r="N158" s="101"/>
      <c r="O158" s="279"/>
      <c r="P158" s="279"/>
      <c r="Q158" s="229"/>
      <c r="R158" s="229"/>
      <c r="S158" s="229"/>
      <c r="T158" s="229"/>
      <c r="U158" s="229"/>
      <c r="V158" s="229"/>
      <c r="W158" s="229"/>
      <c r="X158" s="229"/>
      <c r="Y158" s="229"/>
      <c r="Z158" s="229"/>
      <c r="AA158" s="229"/>
      <c r="AB158" s="229"/>
    </row>
    <row r="159" ht="15.75" customHeight="1">
      <c r="A159" s="276"/>
      <c r="B159" s="101"/>
      <c r="C159" s="98"/>
      <c r="D159" s="100"/>
      <c r="E159" s="98"/>
      <c r="F159" s="99"/>
      <c r="G159" s="101"/>
      <c r="H159" s="278"/>
      <c r="I159" s="101"/>
      <c r="J159" s="101"/>
      <c r="K159" s="101"/>
      <c r="L159" s="102"/>
      <c r="M159" s="102"/>
      <c r="N159" s="101"/>
      <c r="O159" s="279"/>
      <c r="P159" s="279"/>
      <c r="Q159" s="229"/>
      <c r="R159" s="229"/>
      <c r="S159" s="229"/>
      <c r="T159" s="229"/>
      <c r="U159" s="229"/>
      <c r="V159" s="229"/>
      <c r="W159" s="229"/>
      <c r="X159" s="229"/>
      <c r="Y159" s="229"/>
      <c r="Z159" s="229"/>
      <c r="AA159" s="229"/>
      <c r="AB159" s="229"/>
    </row>
    <row r="160" ht="15.75" customHeight="1">
      <c r="A160" s="276"/>
      <c r="B160" s="101"/>
      <c r="C160" s="98"/>
      <c r="D160" s="100"/>
      <c r="E160" s="98"/>
      <c r="F160" s="99"/>
      <c r="G160" s="101"/>
      <c r="H160" s="278"/>
      <c r="I160" s="101"/>
      <c r="J160" s="101"/>
      <c r="K160" s="101"/>
      <c r="L160" s="102"/>
      <c r="M160" s="102"/>
      <c r="N160" s="101"/>
      <c r="O160" s="279"/>
      <c r="P160" s="279"/>
      <c r="Q160" s="229"/>
      <c r="R160" s="229"/>
      <c r="S160" s="229"/>
      <c r="T160" s="229"/>
      <c r="U160" s="229"/>
      <c r="V160" s="229"/>
      <c r="W160" s="229"/>
      <c r="X160" s="229"/>
      <c r="Y160" s="229"/>
      <c r="Z160" s="229"/>
      <c r="AA160" s="229"/>
      <c r="AB160" s="229"/>
    </row>
    <row r="161" ht="15.75" customHeight="1">
      <c r="A161" s="276"/>
      <c r="B161" s="101"/>
      <c r="C161" s="98"/>
      <c r="D161" s="100"/>
      <c r="E161" s="98"/>
      <c r="F161" s="99"/>
      <c r="G161" s="101"/>
      <c r="H161" s="278"/>
      <c r="I161" s="101"/>
      <c r="J161" s="101"/>
      <c r="K161" s="101"/>
      <c r="L161" s="102"/>
      <c r="M161" s="102"/>
      <c r="N161" s="101"/>
      <c r="O161" s="279"/>
      <c r="P161" s="279"/>
      <c r="Q161" s="229"/>
      <c r="R161" s="229"/>
      <c r="S161" s="229"/>
      <c r="T161" s="229"/>
      <c r="U161" s="229"/>
      <c r="V161" s="229"/>
      <c r="W161" s="229"/>
      <c r="X161" s="229"/>
      <c r="Y161" s="229"/>
      <c r="Z161" s="229"/>
      <c r="AA161" s="229"/>
      <c r="AB161" s="229"/>
    </row>
    <row r="162" ht="15.75" customHeight="1">
      <c r="A162" s="276"/>
      <c r="B162" s="101"/>
      <c r="C162" s="98"/>
      <c r="D162" s="100"/>
      <c r="E162" s="98"/>
      <c r="F162" s="99"/>
      <c r="G162" s="101"/>
      <c r="H162" s="278"/>
      <c r="I162" s="101"/>
      <c r="J162" s="101"/>
      <c r="K162" s="101"/>
      <c r="L162" s="102"/>
      <c r="M162" s="102"/>
      <c r="N162" s="101"/>
      <c r="O162" s="279"/>
      <c r="P162" s="279"/>
      <c r="Q162" s="229"/>
      <c r="R162" s="229"/>
      <c r="S162" s="229"/>
      <c r="T162" s="229"/>
      <c r="U162" s="229"/>
      <c r="V162" s="229"/>
      <c r="W162" s="229"/>
      <c r="X162" s="229"/>
      <c r="Y162" s="229"/>
      <c r="Z162" s="229"/>
      <c r="AA162" s="229"/>
      <c r="AB162" s="229"/>
    </row>
    <row r="163" ht="15.75" customHeight="1">
      <c r="A163" s="276"/>
      <c r="B163" s="101"/>
      <c r="C163" s="98"/>
      <c r="D163" s="100"/>
      <c r="E163" s="98"/>
      <c r="F163" s="99"/>
      <c r="G163" s="101"/>
      <c r="H163" s="278"/>
      <c r="I163" s="101"/>
      <c r="J163" s="101"/>
      <c r="K163" s="101"/>
      <c r="L163" s="102"/>
      <c r="M163" s="102"/>
      <c r="N163" s="101"/>
      <c r="O163" s="279"/>
      <c r="P163" s="279"/>
      <c r="Q163" s="229"/>
      <c r="R163" s="229"/>
      <c r="S163" s="229"/>
      <c r="T163" s="229"/>
      <c r="U163" s="229"/>
      <c r="V163" s="229"/>
      <c r="W163" s="229"/>
      <c r="X163" s="229"/>
      <c r="Y163" s="229"/>
      <c r="Z163" s="229"/>
      <c r="AA163" s="229"/>
      <c r="AB163" s="229"/>
    </row>
    <row r="164" ht="15.75" customHeight="1">
      <c r="A164" s="276"/>
      <c r="B164" s="101"/>
      <c r="C164" s="98"/>
      <c r="D164" s="100"/>
      <c r="E164" s="98"/>
      <c r="F164" s="99"/>
      <c r="G164" s="101"/>
      <c r="H164" s="278"/>
      <c r="I164" s="101"/>
      <c r="J164" s="101"/>
      <c r="K164" s="101"/>
      <c r="L164" s="102"/>
      <c r="M164" s="102"/>
      <c r="N164" s="101"/>
      <c r="O164" s="279"/>
      <c r="P164" s="279"/>
      <c r="Q164" s="229"/>
      <c r="R164" s="229"/>
      <c r="S164" s="229"/>
      <c r="T164" s="229"/>
      <c r="U164" s="229"/>
      <c r="V164" s="229"/>
      <c r="W164" s="229"/>
      <c r="X164" s="229"/>
      <c r="Y164" s="229"/>
      <c r="Z164" s="229"/>
      <c r="AA164" s="229"/>
      <c r="AB164" s="229"/>
    </row>
    <row r="165" ht="15.75" customHeight="1">
      <c r="A165" s="276"/>
      <c r="B165" s="101"/>
      <c r="C165" s="98"/>
      <c r="D165" s="100"/>
      <c r="E165" s="98"/>
      <c r="F165" s="99"/>
      <c r="G165" s="101"/>
      <c r="H165" s="278"/>
      <c r="I165" s="101"/>
      <c r="J165" s="101"/>
      <c r="K165" s="101"/>
      <c r="L165" s="102"/>
      <c r="M165" s="102"/>
      <c r="N165" s="101"/>
      <c r="O165" s="279"/>
      <c r="P165" s="279"/>
      <c r="Q165" s="229"/>
      <c r="R165" s="229"/>
      <c r="S165" s="229"/>
      <c r="T165" s="229"/>
      <c r="U165" s="229"/>
      <c r="V165" s="229"/>
      <c r="W165" s="229"/>
      <c r="X165" s="229"/>
      <c r="Y165" s="229"/>
      <c r="Z165" s="229"/>
      <c r="AA165" s="229"/>
      <c r="AB165" s="229"/>
    </row>
    <row r="166" ht="15.75" customHeight="1">
      <c r="A166" s="276"/>
      <c r="B166" s="101"/>
      <c r="C166" s="98"/>
      <c r="D166" s="100"/>
      <c r="E166" s="98"/>
      <c r="F166" s="99"/>
      <c r="G166" s="101"/>
      <c r="H166" s="278"/>
      <c r="I166" s="101"/>
      <c r="J166" s="101"/>
      <c r="K166" s="101"/>
      <c r="L166" s="102"/>
      <c r="M166" s="102"/>
      <c r="N166" s="101"/>
      <c r="O166" s="279"/>
      <c r="P166" s="279"/>
      <c r="Q166" s="229"/>
      <c r="R166" s="229"/>
      <c r="S166" s="229"/>
      <c r="T166" s="229"/>
      <c r="U166" s="229"/>
      <c r="V166" s="229"/>
      <c r="W166" s="229"/>
      <c r="X166" s="229"/>
      <c r="Y166" s="229"/>
      <c r="Z166" s="229"/>
      <c r="AA166" s="229"/>
      <c r="AB166" s="229"/>
    </row>
    <row r="167" ht="15.75" customHeight="1">
      <c r="A167" s="276"/>
      <c r="B167" s="101"/>
      <c r="C167" s="98"/>
      <c r="D167" s="100"/>
      <c r="E167" s="98"/>
      <c r="F167" s="99"/>
      <c r="G167" s="101"/>
      <c r="H167" s="278"/>
      <c r="I167" s="101"/>
      <c r="J167" s="101"/>
      <c r="K167" s="101"/>
      <c r="L167" s="102"/>
      <c r="M167" s="102"/>
      <c r="N167" s="101"/>
      <c r="O167" s="279"/>
      <c r="P167" s="279"/>
      <c r="Q167" s="229"/>
      <c r="R167" s="229"/>
      <c r="S167" s="229"/>
      <c r="T167" s="229"/>
      <c r="U167" s="229"/>
      <c r="V167" s="229"/>
      <c r="W167" s="229"/>
      <c r="X167" s="229"/>
      <c r="Y167" s="229"/>
      <c r="Z167" s="229"/>
      <c r="AA167" s="229"/>
      <c r="AB167" s="229"/>
    </row>
    <row r="168" ht="15.75" customHeight="1">
      <c r="A168" s="276"/>
      <c r="B168" s="101"/>
      <c r="C168" s="98"/>
      <c r="D168" s="100"/>
      <c r="E168" s="98"/>
      <c r="F168" s="99"/>
      <c r="G168" s="101"/>
      <c r="H168" s="278"/>
      <c r="I168" s="101"/>
      <c r="J168" s="101"/>
      <c r="K168" s="101"/>
      <c r="L168" s="102"/>
      <c r="M168" s="102"/>
      <c r="N168" s="101"/>
      <c r="O168" s="279"/>
      <c r="P168" s="279"/>
      <c r="Q168" s="229"/>
      <c r="R168" s="229"/>
      <c r="S168" s="229"/>
      <c r="T168" s="229"/>
      <c r="U168" s="229"/>
      <c r="V168" s="229"/>
      <c r="W168" s="229"/>
      <c r="X168" s="229"/>
      <c r="Y168" s="229"/>
      <c r="Z168" s="229"/>
      <c r="AA168" s="229"/>
      <c r="AB168" s="229"/>
    </row>
    <row r="169" ht="15.75" customHeight="1">
      <c r="A169" s="276"/>
      <c r="B169" s="101"/>
      <c r="C169" s="98"/>
      <c r="D169" s="100"/>
      <c r="E169" s="98"/>
      <c r="F169" s="99"/>
      <c r="G169" s="101"/>
      <c r="H169" s="278"/>
      <c r="I169" s="101"/>
      <c r="J169" s="101"/>
      <c r="K169" s="101"/>
      <c r="L169" s="102"/>
      <c r="M169" s="102"/>
      <c r="N169" s="101"/>
      <c r="O169" s="279"/>
      <c r="P169" s="279"/>
      <c r="Q169" s="229"/>
      <c r="R169" s="229"/>
      <c r="S169" s="229"/>
      <c r="T169" s="229"/>
      <c r="U169" s="229"/>
      <c r="V169" s="229"/>
      <c r="W169" s="229"/>
      <c r="X169" s="229"/>
      <c r="Y169" s="229"/>
      <c r="Z169" s="229"/>
      <c r="AA169" s="229"/>
      <c r="AB169" s="229"/>
    </row>
    <row r="170" ht="15.75" customHeight="1">
      <c r="A170" s="276"/>
      <c r="B170" s="101"/>
      <c r="C170" s="98"/>
      <c r="D170" s="100"/>
      <c r="E170" s="98"/>
      <c r="F170" s="99"/>
      <c r="G170" s="101"/>
      <c r="H170" s="278"/>
      <c r="I170" s="101"/>
      <c r="J170" s="101"/>
      <c r="K170" s="101"/>
      <c r="L170" s="102"/>
      <c r="M170" s="102"/>
      <c r="N170" s="101"/>
      <c r="O170" s="279"/>
      <c r="P170" s="27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</row>
    <row r="171" ht="15.75" customHeight="1">
      <c r="A171" s="276"/>
      <c r="B171" s="101"/>
      <c r="C171" s="98"/>
      <c r="D171" s="100"/>
      <c r="E171" s="98"/>
      <c r="F171" s="99"/>
      <c r="G171" s="101"/>
      <c r="H171" s="278"/>
      <c r="I171" s="101"/>
      <c r="J171" s="101"/>
      <c r="K171" s="101"/>
      <c r="L171" s="102"/>
      <c r="M171" s="102"/>
      <c r="N171" s="101"/>
      <c r="O171" s="279"/>
      <c r="P171" s="27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</row>
    <row r="172" ht="15.75" customHeight="1">
      <c r="A172" s="276"/>
      <c r="B172" s="101"/>
      <c r="C172" s="98"/>
      <c r="D172" s="100"/>
      <c r="E172" s="98"/>
      <c r="F172" s="99"/>
      <c r="G172" s="101"/>
      <c r="H172" s="278"/>
      <c r="I172" s="101"/>
      <c r="J172" s="101"/>
      <c r="K172" s="101"/>
      <c r="L172" s="102"/>
      <c r="M172" s="102"/>
      <c r="N172" s="101"/>
      <c r="O172" s="279"/>
      <c r="P172" s="27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</row>
    <row r="173" ht="15.75" customHeight="1">
      <c r="A173" s="276"/>
      <c r="B173" s="101"/>
      <c r="C173" s="98"/>
      <c r="D173" s="100"/>
      <c r="E173" s="98"/>
      <c r="F173" s="99"/>
      <c r="G173" s="101"/>
      <c r="H173" s="278"/>
      <c r="I173" s="101"/>
      <c r="J173" s="101"/>
      <c r="K173" s="101"/>
      <c r="L173" s="102"/>
      <c r="M173" s="102"/>
      <c r="N173" s="101"/>
      <c r="O173" s="279"/>
      <c r="P173" s="27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</row>
    <row r="174" ht="15.75" customHeight="1">
      <c r="A174" s="276"/>
      <c r="B174" s="101"/>
      <c r="C174" s="98"/>
      <c r="D174" s="100"/>
      <c r="E174" s="98"/>
      <c r="F174" s="99"/>
      <c r="G174" s="101"/>
      <c r="H174" s="278"/>
      <c r="I174" s="101"/>
      <c r="J174" s="101"/>
      <c r="K174" s="101"/>
      <c r="L174" s="102"/>
      <c r="M174" s="102"/>
      <c r="N174" s="101"/>
      <c r="O174" s="279"/>
      <c r="P174" s="279"/>
      <c r="Q174" s="229"/>
      <c r="R174" s="229"/>
      <c r="S174" s="229"/>
      <c r="T174" s="229"/>
      <c r="U174" s="229"/>
      <c r="V174" s="229"/>
      <c r="W174" s="229"/>
      <c r="X174" s="229"/>
      <c r="Y174" s="229"/>
      <c r="Z174" s="229"/>
      <c r="AA174" s="229"/>
      <c r="AB174" s="229"/>
    </row>
    <row r="175" ht="15.75" customHeight="1">
      <c r="A175" s="276"/>
      <c r="B175" s="101"/>
      <c r="C175" s="98"/>
      <c r="D175" s="100"/>
      <c r="E175" s="98"/>
      <c r="F175" s="99"/>
      <c r="G175" s="101"/>
      <c r="H175" s="278"/>
      <c r="I175" s="101"/>
      <c r="J175" s="101"/>
      <c r="K175" s="101"/>
      <c r="L175" s="102"/>
      <c r="M175" s="102"/>
      <c r="N175" s="101"/>
      <c r="O175" s="279"/>
      <c r="P175" s="279"/>
      <c r="Q175" s="229"/>
      <c r="R175" s="229"/>
      <c r="S175" s="229"/>
      <c r="T175" s="229"/>
      <c r="U175" s="229"/>
      <c r="V175" s="229"/>
      <c r="W175" s="229"/>
      <c r="X175" s="229"/>
      <c r="Y175" s="229"/>
      <c r="Z175" s="229"/>
      <c r="AA175" s="229"/>
      <c r="AB175" s="229"/>
    </row>
    <row r="176" ht="15.75" customHeight="1">
      <c r="A176" s="276"/>
      <c r="B176" s="101"/>
      <c r="C176" s="98"/>
      <c r="D176" s="100"/>
      <c r="E176" s="98"/>
      <c r="F176" s="99"/>
      <c r="G176" s="101"/>
      <c r="H176" s="278"/>
      <c r="I176" s="101"/>
      <c r="J176" s="101"/>
      <c r="K176" s="101"/>
      <c r="L176" s="102"/>
      <c r="M176" s="102"/>
      <c r="N176" s="101"/>
      <c r="O176" s="279"/>
      <c r="P176" s="279"/>
      <c r="Q176" s="229"/>
      <c r="R176" s="229"/>
      <c r="S176" s="229"/>
      <c r="T176" s="229"/>
      <c r="U176" s="229"/>
      <c r="V176" s="229"/>
      <c r="W176" s="229"/>
      <c r="X176" s="229"/>
      <c r="Y176" s="229"/>
      <c r="Z176" s="229"/>
      <c r="AA176" s="229"/>
      <c r="AB176" s="229"/>
    </row>
    <row r="177" ht="15.75" customHeight="1">
      <c r="A177" s="276"/>
      <c r="B177" s="101"/>
      <c r="C177" s="98"/>
      <c r="D177" s="100"/>
      <c r="E177" s="98"/>
      <c r="F177" s="99"/>
      <c r="G177" s="101"/>
      <c r="H177" s="278"/>
      <c r="I177" s="101"/>
      <c r="J177" s="101"/>
      <c r="K177" s="101"/>
      <c r="L177" s="102"/>
      <c r="M177" s="102"/>
      <c r="N177" s="101"/>
      <c r="O177" s="279"/>
      <c r="P177" s="279"/>
      <c r="Q177" s="229"/>
      <c r="R177" s="229"/>
      <c r="S177" s="229"/>
      <c r="T177" s="229"/>
      <c r="U177" s="229"/>
      <c r="V177" s="229"/>
      <c r="W177" s="229"/>
      <c r="X177" s="229"/>
      <c r="Y177" s="229"/>
      <c r="Z177" s="229"/>
      <c r="AA177" s="229"/>
      <c r="AB177" s="229"/>
    </row>
    <row r="178" ht="15.75" customHeight="1">
      <c r="A178" s="276"/>
      <c r="B178" s="101"/>
      <c r="C178" s="98"/>
      <c r="D178" s="100"/>
      <c r="E178" s="98"/>
      <c r="F178" s="99"/>
      <c r="G178" s="101"/>
      <c r="H178" s="278"/>
      <c r="I178" s="101"/>
      <c r="J178" s="101"/>
      <c r="K178" s="101"/>
      <c r="L178" s="102"/>
      <c r="M178" s="102"/>
      <c r="N178" s="101"/>
      <c r="O178" s="279"/>
      <c r="P178" s="279"/>
      <c r="Q178" s="229"/>
      <c r="R178" s="229"/>
      <c r="S178" s="229"/>
      <c r="T178" s="229"/>
      <c r="U178" s="229"/>
      <c r="V178" s="229"/>
      <c r="W178" s="229"/>
      <c r="X178" s="229"/>
      <c r="Y178" s="229"/>
      <c r="Z178" s="229"/>
      <c r="AA178" s="229"/>
      <c r="AB178" s="229"/>
    </row>
    <row r="179" ht="15.75" customHeight="1">
      <c r="A179" s="276"/>
      <c r="B179" s="101"/>
      <c r="C179" s="98"/>
      <c r="D179" s="100"/>
      <c r="E179" s="98"/>
      <c r="F179" s="99"/>
      <c r="G179" s="101"/>
      <c r="H179" s="278"/>
      <c r="I179" s="101"/>
      <c r="J179" s="101"/>
      <c r="K179" s="101"/>
      <c r="L179" s="102"/>
      <c r="M179" s="102"/>
      <c r="N179" s="101"/>
      <c r="O179" s="279"/>
      <c r="P179" s="279"/>
      <c r="Q179" s="229"/>
      <c r="R179" s="229"/>
      <c r="S179" s="229"/>
      <c r="T179" s="229"/>
      <c r="U179" s="229"/>
      <c r="V179" s="229"/>
      <c r="W179" s="229"/>
      <c r="X179" s="229"/>
      <c r="Y179" s="229"/>
      <c r="Z179" s="229"/>
      <c r="AA179" s="229"/>
      <c r="AB179" s="229"/>
    </row>
    <row r="180" ht="15.75" customHeight="1">
      <c r="A180" s="276"/>
      <c r="B180" s="101"/>
      <c r="C180" s="98"/>
      <c r="D180" s="100"/>
      <c r="E180" s="98"/>
      <c r="F180" s="99"/>
      <c r="G180" s="101"/>
      <c r="H180" s="278"/>
      <c r="I180" s="101"/>
      <c r="J180" s="101"/>
      <c r="K180" s="101"/>
      <c r="L180" s="102"/>
      <c r="M180" s="102"/>
      <c r="N180" s="101"/>
      <c r="O180" s="279"/>
      <c r="P180" s="279"/>
      <c r="Q180" s="229"/>
      <c r="R180" s="229"/>
      <c r="S180" s="229"/>
      <c r="T180" s="229"/>
      <c r="U180" s="229"/>
      <c r="V180" s="229"/>
      <c r="W180" s="229"/>
      <c r="X180" s="229"/>
      <c r="Y180" s="229"/>
      <c r="Z180" s="229"/>
      <c r="AA180" s="229"/>
      <c r="AB180" s="229"/>
    </row>
    <row r="181" ht="15.75" customHeight="1">
      <c r="A181" s="276"/>
      <c r="B181" s="101"/>
      <c r="C181" s="98"/>
      <c r="D181" s="100"/>
      <c r="E181" s="98"/>
      <c r="F181" s="99"/>
      <c r="G181" s="101"/>
      <c r="H181" s="278"/>
      <c r="I181" s="101"/>
      <c r="J181" s="101"/>
      <c r="K181" s="101"/>
      <c r="L181" s="102"/>
      <c r="M181" s="102"/>
      <c r="N181" s="101"/>
      <c r="O181" s="279"/>
      <c r="P181" s="279"/>
      <c r="Q181" s="229"/>
      <c r="R181" s="229"/>
      <c r="S181" s="229"/>
      <c r="T181" s="229"/>
      <c r="U181" s="229"/>
      <c r="V181" s="229"/>
      <c r="W181" s="229"/>
      <c r="X181" s="229"/>
      <c r="Y181" s="229"/>
      <c r="Z181" s="229"/>
      <c r="AA181" s="229"/>
      <c r="AB181" s="229"/>
    </row>
    <row r="182" ht="15.75" customHeight="1">
      <c r="A182" s="276"/>
      <c r="B182" s="101"/>
      <c r="C182" s="98"/>
      <c r="D182" s="100"/>
      <c r="E182" s="98"/>
      <c r="F182" s="99"/>
      <c r="G182" s="101"/>
      <c r="H182" s="278"/>
      <c r="I182" s="101"/>
      <c r="J182" s="101"/>
      <c r="K182" s="101"/>
      <c r="L182" s="102"/>
      <c r="M182" s="102"/>
      <c r="N182" s="101"/>
      <c r="O182" s="279"/>
      <c r="P182" s="279"/>
      <c r="Q182" s="229"/>
      <c r="R182" s="229"/>
      <c r="S182" s="229"/>
      <c r="T182" s="229"/>
      <c r="U182" s="229"/>
      <c r="V182" s="229"/>
      <c r="W182" s="229"/>
      <c r="X182" s="229"/>
      <c r="Y182" s="229"/>
      <c r="Z182" s="229"/>
      <c r="AA182" s="229"/>
      <c r="AB182" s="229"/>
    </row>
    <row r="183" ht="15.75" customHeight="1">
      <c r="A183" s="276"/>
      <c r="B183" s="101"/>
      <c r="C183" s="98"/>
      <c r="D183" s="100"/>
      <c r="E183" s="98"/>
      <c r="F183" s="99"/>
      <c r="G183" s="101"/>
      <c r="H183" s="278"/>
      <c r="I183" s="101"/>
      <c r="J183" s="101"/>
      <c r="K183" s="101"/>
      <c r="L183" s="102"/>
      <c r="M183" s="102"/>
      <c r="N183" s="101"/>
      <c r="O183" s="279"/>
      <c r="P183" s="279"/>
      <c r="Q183" s="229"/>
      <c r="R183" s="229"/>
      <c r="S183" s="229"/>
      <c r="T183" s="229"/>
      <c r="U183" s="229"/>
      <c r="V183" s="229"/>
      <c r="W183" s="229"/>
      <c r="X183" s="229"/>
      <c r="Y183" s="229"/>
      <c r="Z183" s="229"/>
      <c r="AA183" s="229"/>
      <c r="AB183" s="229"/>
    </row>
    <row r="184" ht="15.75" customHeight="1">
      <c r="A184" s="276"/>
      <c r="B184" s="101"/>
      <c r="C184" s="98"/>
      <c r="D184" s="100"/>
      <c r="E184" s="98"/>
      <c r="F184" s="99"/>
      <c r="G184" s="101"/>
      <c r="H184" s="278"/>
      <c r="I184" s="101"/>
      <c r="J184" s="101"/>
      <c r="K184" s="101"/>
      <c r="L184" s="102"/>
      <c r="M184" s="102"/>
      <c r="N184" s="101"/>
      <c r="O184" s="279"/>
      <c r="P184" s="279"/>
      <c r="Q184" s="229"/>
      <c r="R184" s="229"/>
      <c r="S184" s="229"/>
      <c r="T184" s="229"/>
      <c r="U184" s="229"/>
      <c r="V184" s="229"/>
      <c r="W184" s="229"/>
      <c r="X184" s="229"/>
      <c r="Y184" s="229"/>
      <c r="Z184" s="229"/>
      <c r="AA184" s="229"/>
      <c r="AB184" s="229"/>
    </row>
    <row r="185" ht="15.75" customHeight="1">
      <c r="A185" s="276"/>
      <c r="B185" s="101"/>
      <c r="C185" s="98"/>
      <c r="D185" s="100"/>
      <c r="E185" s="98"/>
      <c r="F185" s="99"/>
      <c r="G185" s="101"/>
      <c r="H185" s="278"/>
      <c r="I185" s="101"/>
      <c r="J185" s="101"/>
      <c r="K185" s="101"/>
      <c r="L185" s="102"/>
      <c r="M185" s="102"/>
      <c r="N185" s="101"/>
      <c r="O185" s="279"/>
      <c r="P185" s="279"/>
      <c r="Q185" s="229"/>
      <c r="R185" s="229"/>
      <c r="S185" s="229"/>
      <c r="T185" s="229"/>
      <c r="U185" s="229"/>
      <c r="V185" s="229"/>
      <c r="W185" s="229"/>
      <c r="X185" s="229"/>
      <c r="Y185" s="229"/>
      <c r="Z185" s="229"/>
      <c r="AA185" s="229"/>
      <c r="AB185" s="229"/>
    </row>
    <row r="186" ht="15.75" customHeight="1">
      <c r="A186" s="276"/>
      <c r="B186" s="101"/>
      <c r="C186" s="98"/>
      <c r="D186" s="100"/>
      <c r="E186" s="98"/>
      <c r="F186" s="99"/>
      <c r="G186" s="101"/>
      <c r="H186" s="278"/>
      <c r="I186" s="101"/>
      <c r="J186" s="101"/>
      <c r="K186" s="101"/>
      <c r="L186" s="102"/>
      <c r="M186" s="102"/>
      <c r="N186" s="101"/>
      <c r="O186" s="279"/>
      <c r="P186" s="279"/>
      <c r="Q186" s="229"/>
      <c r="R186" s="229"/>
      <c r="S186" s="229"/>
      <c r="T186" s="229"/>
      <c r="U186" s="229"/>
      <c r="V186" s="229"/>
      <c r="W186" s="229"/>
      <c r="X186" s="229"/>
      <c r="Y186" s="229"/>
      <c r="Z186" s="229"/>
      <c r="AA186" s="229"/>
      <c r="AB186" s="229"/>
    </row>
    <row r="187" ht="15.75" customHeight="1">
      <c r="A187" s="276"/>
      <c r="B187" s="101"/>
      <c r="C187" s="98"/>
      <c r="D187" s="100"/>
      <c r="E187" s="98"/>
      <c r="F187" s="99"/>
      <c r="G187" s="101"/>
      <c r="H187" s="278"/>
      <c r="I187" s="101"/>
      <c r="J187" s="101"/>
      <c r="K187" s="101"/>
      <c r="L187" s="102"/>
      <c r="M187" s="102"/>
      <c r="N187" s="101"/>
      <c r="O187" s="279"/>
      <c r="P187" s="279"/>
      <c r="Q187" s="229"/>
      <c r="R187" s="229"/>
      <c r="S187" s="229"/>
      <c r="T187" s="229"/>
      <c r="U187" s="229"/>
      <c r="V187" s="229"/>
      <c r="W187" s="229"/>
      <c r="X187" s="229"/>
      <c r="Y187" s="229"/>
      <c r="Z187" s="229"/>
      <c r="AA187" s="229"/>
      <c r="AB187" s="229"/>
    </row>
    <row r="188" ht="15.75" customHeight="1">
      <c r="A188" s="276"/>
      <c r="B188" s="101"/>
      <c r="C188" s="98"/>
      <c r="D188" s="100"/>
      <c r="E188" s="98"/>
      <c r="F188" s="99"/>
      <c r="G188" s="101"/>
      <c r="H188" s="278"/>
      <c r="I188" s="101"/>
      <c r="J188" s="101"/>
      <c r="K188" s="101"/>
      <c r="L188" s="102"/>
      <c r="M188" s="102"/>
      <c r="N188" s="101"/>
      <c r="O188" s="279"/>
      <c r="P188" s="279"/>
      <c r="Q188" s="229"/>
      <c r="R188" s="229"/>
      <c r="S188" s="229"/>
      <c r="T188" s="229"/>
      <c r="U188" s="229"/>
      <c r="V188" s="229"/>
      <c r="W188" s="229"/>
      <c r="X188" s="229"/>
      <c r="Y188" s="229"/>
      <c r="Z188" s="229"/>
      <c r="AA188" s="229"/>
      <c r="AB188" s="229"/>
    </row>
    <row r="189" ht="15.75" customHeight="1">
      <c r="A189" s="276"/>
      <c r="B189" s="101"/>
      <c r="C189" s="98"/>
      <c r="D189" s="100"/>
      <c r="E189" s="98"/>
      <c r="F189" s="99"/>
      <c r="G189" s="101"/>
      <c r="H189" s="278"/>
      <c r="I189" s="101"/>
      <c r="J189" s="101"/>
      <c r="K189" s="101"/>
      <c r="L189" s="102"/>
      <c r="M189" s="102"/>
      <c r="N189" s="101"/>
      <c r="O189" s="279"/>
      <c r="P189" s="279"/>
      <c r="Q189" s="229"/>
      <c r="R189" s="229"/>
      <c r="S189" s="229"/>
      <c r="T189" s="229"/>
      <c r="U189" s="229"/>
      <c r="V189" s="229"/>
      <c r="W189" s="229"/>
      <c r="X189" s="229"/>
      <c r="Y189" s="229"/>
      <c r="Z189" s="229"/>
      <c r="AA189" s="229"/>
      <c r="AB189" s="229"/>
    </row>
    <row r="190" ht="15.75" customHeight="1">
      <c r="A190" s="276"/>
      <c r="B190" s="101"/>
      <c r="C190" s="98"/>
      <c r="D190" s="100"/>
      <c r="E190" s="98"/>
      <c r="F190" s="99"/>
      <c r="G190" s="101"/>
      <c r="H190" s="278"/>
      <c r="I190" s="101"/>
      <c r="J190" s="101"/>
      <c r="K190" s="101"/>
      <c r="L190" s="102"/>
      <c r="M190" s="102"/>
      <c r="N190" s="101"/>
      <c r="O190" s="279"/>
      <c r="P190" s="279"/>
      <c r="Q190" s="229"/>
      <c r="R190" s="229"/>
      <c r="S190" s="229"/>
      <c r="T190" s="229"/>
      <c r="U190" s="229"/>
      <c r="V190" s="229"/>
      <c r="W190" s="229"/>
      <c r="X190" s="229"/>
      <c r="Y190" s="229"/>
      <c r="Z190" s="229"/>
      <c r="AA190" s="229"/>
      <c r="AB190" s="229"/>
    </row>
    <row r="191" ht="15.75" customHeight="1">
      <c r="A191" s="276"/>
      <c r="B191" s="101"/>
      <c r="C191" s="98"/>
      <c r="D191" s="100"/>
      <c r="E191" s="98"/>
      <c r="F191" s="99"/>
      <c r="G191" s="101"/>
      <c r="H191" s="278"/>
      <c r="I191" s="101"/>
      <c r="J191" s="101"/>
      <c r="K191" s="101"/>
      <c r="L191" s="102"/>
      <c r="M191" s="102"/>
      <c r="N191" s="101"/>
      <c r="O191" s="279"/>
      <c r="P191" s="279"/>
      <c r="Q191" s="229"/>
      <c r="R191" s="229"/>
      <c r="S191" s="229"/>
      <c r="T191" s="229"/>
      <c r="U191" s="229"/>
      <c r="V191" s="229"/>
      <c r="W191" s="229"/>
      <c r="X191" s="229"/>
      <c r="Y191" s="229"/>
      <c r="Z191" s="229"/>
      <c r="AA191" s="229"/>
      <c r="AB191" s="229"/>
    </row>
    <row r="192" ht="15.75" customHeight="1">
      <c r="A192" s="276"/>
      <c r="B192" s="101"/>
      <c r="C192" s="98"/>
      <c r="D192" s="100"/>
      <c r="E192" s="98"/>
      <c r="F192" s="99"/>
      <c r="G192" s="101"/>
      <c r="H192" s="278"/>
      <c r="I192" s="101"/>
      <c r="J192" s="101"/>
      <c r="K192" s="101"/>
      <c r="L192" s="102"/>
      <c r="M192" s="102"/>
      <c r="N192" s="101"/>
      <c r="O192" s="279"/>
      <c r="P192" s="279"/>
      <c r="Q192" s="229"/>
      <c r="R192" s="229"/>
      <c r="S192" s="229"/>
      <c r="T192" s="229"/>
      <c r="U192" s="229"/>
      <c r="V192" s="229"/>
      <c r="W192" s="229"/>
      <c r="X192" s="229"/>
      <c r="Y192" s="229"/>
      <c r="Z192" s="229"/>
      <c r="AA192" s="229"/>
      <c r="AB192" s="229"/>
    </row>
    <row r="193" ht="15.75" customHeight="1">
      <c r="A193" s="276"/>
      <c r="B193" s="101"/>
      <c r="C193" s="98"/>
      <c r="D193" s="100"/>
      <c r="E193" s="98"/>
      <c r="F193" s="99"/>
      <c r="G193" s="101"/>
      <c r="H193" s="278"/>
      <c r="I193" s="101"/>
      <c r="J193" s="101"/>
      <c r="K193" s="101"/>
      <c r="L193" s="102"/>
      <c r="M193" s="102"/>
      <c r="N193" s="101"/>
      <c r="O193" s="279"/>
      <c r="P193" s="279"/>
      <c r="Q193" s="229"/>
      <c r="R193" s="229"/>
      <c r="S193" s="229"/>
      <c r="T193" s="229"/>
      <c r="U193" s="229"/>
      <c r="V193" s="229"/>
      <c r="W193" s="229"/>
      <c r="X193" s="229"/>
      <c r="Y193" s="229"/>
      <c r="Z193" s="229"/>
      <c r="AA193" s="229"/>
      <c r="AB193" s="229"/>
    </row>
    <row r="194" ht="15.75" customHeight="1">
      <c r="A194" s="276"/>
      <c r="B194" s="101"/>
      <c r="C194" s="98"/>
      <c r="D194" s="100"/>
      <c r="E194" s="98"/>
      <c r="F194" s="99"/>
      <c r="G194" s="101"/>
      <c r="H194" s="278"/>
      <c r="I194" s="101"/>
      <c r="J194" s="101"/>
      <c r="K194" s="101"/>
      <c r="L194" s="102"/>
      <c r="M194" s="102"/>
      <c r="N194" s="101"/>
      <c r="O194" s="279"/>
      <c r="P194" s="279"/>
      <c r="Q194" s="229"/>
      <c r="R194" s="229"/>
      <c r="S194" s="229"/>
      <c r="T194" s="229"/>
      <c r="U194" s="229"/>
      <c r="V194" s="229"/>
      <c r="W194" s="229"/>
      <c r="X194" s="229"/>
      <c r="Y194" s="229"/>
      <c r="Z194" s="229"/>
      <c r="AA194" s="229"/>
      <c r="AB194" s="229"/>
    </row>
    <row r="195" ht="15.75" customHeight="1">
      <c r="A195" s="276"/>
      <c r="B195" s="101"/>
      <c r="C195" s="98"/>
      <c r="D195" s="100"/>
      <c r="E195" s="98"/>
      <c r="F195" s="99"/>
      <c r="G195" s="101"/>
      <c r="H195" s="278"/>
      <c r="I195" s="101"/>
      <c r="J195" s="101"/>
      <c r="K195" s="101"/>
      <c r="L195" s="102"/>
      <c r="M195" s="102"/>
      <c r="N195" s="101"/>
      <c r="O195" s="279"/>
      <c r="P195" s="279"/>
      <c r="Q195" s="229"/>
      <c r="R195" s="229"/>
      <c r="S195" s="229"/>
      <c r="T195" s="229"/>
      <c r="U195" s="229"/>
      <c r="V195" s="229"/>
      <c r="W195" s="229"/>
      <c r="X195" s="229"/>
      <c r="Y195" s="229"/>
      <c r="Z195" s="229"/>
      <c r="AA195" s="229"/>
      <c r="AB195" s="229"/>
    </row>
    <row r="196" ht="15.75" customHeight="1">
      <c r="A196" s="276"/>
      <c r="B196" s="101"/>
      <c r="C196" s="98"/>
      <c r="D196" s="100"/>
      <c r="E196" s="98"/>
      <c r="F196" s="99"/>
      <c r="G196" s="101"/>
      <c r="H196" s="278"/>
      <c r="I196" s="101"/>
      <c r="J196" s="101"/>
      <c r="K196" s="101"/>
      <c r="L196" s="102"/>
      <c r="M196" s="102"/>
      <c r="N196" s="101"/>
      <c r="O196" s="279"/>
      <c r="P196" s="279"/>
      <c r="Q196" s="229"/>
      <c r="R196" s="229"/>
      <c r="S196" s="229"/>
      <c r="T196" s="229"/>
      <c r="U196" s="229"/>
      <c r="V196" s="229"/>
      <c r="W196" s="229"/>
      <c r="X196" s="229"/>
      <c r="Y196" s="229"/>
      <c r="Z196" s="229"/>
      <c r="AA196" s="229"/>
      <c r="AB196" s="229"/>
    </row>
    <row r="197" ht="15.75" customHeight="1">
      <c r="A197" s="276"/>
      <c r="B197" s="101"/>
      <c r="C197" s="98"/>
      <c r="D197" s="100"/>
      <c r="E197" s="98"/>
      <c r="F197" s="99"/>
      <c r="G197" s="101"/>
      <c r="H197" s="278"/>
      <c r="I197" s="101"/>
      <c r="J197" s="101"/>
      <c r="K197" s="101"/>
      <c r="L197" s="102"/>
      <c r="M197" s="102"/>
      <c r="N197" s="101"/>
      <c r="O197" s="279"/>
      <c r="P197" s="279"/>
      <c r="Q197" s="229"/>
      <c r="R197" s="229"/>
      <c r="S197" s="229"/>
      <c r="T197" s="229"/>
      <c r="U197" s="229"/>
      <c r="V197" s="229"/>
      <c r="W197" s="229"/>
      <c r="X197" s="229"/>
      <c r="Y197" s="229"/>
      <c r="Z197" s="229"/>
      <c r="AA197" s="229"/>
      <c r="AB197" s="229"/>
    </row>
    <row r="198" ht="15.75" customHeight="1">
      <c r="A198" s="276"/>
      <c r="B198" s="101"/>
      <c r="C198" s="98"/>
      <c r="D198" s="100"/>
      <c r="E198" s="98"/>
      <c r="F198" s="99"/>
      <c r="G198" s="101"/>
      <c r="H198" s="278"/>
      <c r="I198" s="101"/>
      <c r="J198" s="101"/>
      <c r="K198" s="101"/>
      <c r="L198" s="102"/>
      <c r="M198" s="102"/>
      <c r="N198" s="101"/>
      <c r="O198" s="279"/>
      <c r="P198" s="279"/>
      <c r="Q198" s="229"/>
      <c r="R198" s="229"/>
      <c r="S198" s="229"/>
      <c r="T198" s="229"/>
      <c r="U198" s="229"/>
      <c r="V198" s="229"/>
      <c r="W198" s="229"/>
      <c r="X198" s="229"/>
      <c r="Y198" s="229"/>
      <c r="Z198" s="229"/>
      <c r="AA198" s="229"/>
      <c r="AB198" s="229"/>
    </row>
    <row r="199" ht="15.75" customHeight="1">
      <c r="A199" s="276"/>
      <c r="B199" s="101"/>
      <c r="C199" s="98"/>
      <c r="D199" s="100"/>
      <c r="E199" s="98"/>
      <c r="F199" s="99"/>
      <c r="G199" s="101"/>
      <c r="H199" s="278"/>
      <c r="I199" s="101"/>
      <c r="J199" s="101"/>
      <c r="K199" s="101"/>
      <c r="L199" s="102"/>
      <c r="M199" s="102"/>
      <c r="N199" s="101"/>
      <c r="O199" s="279"/>
      <c r="P199" s="279"/>
      <c r="Q199" s="229"/>
      <c r="R199" s="229"/>
      <c r="S199" s="229"/>
      <c r="T199" s="229"/>
      <c r="U199" s="229"/>
      <c r="V199" s="229"/>
      <c r="W199" s="229"/>
      <c r="X199" s="229"/>
      <c r="Y199" s="229"/>
      <c r="Z199" s="229"/>
      <c r="AA199" s="229"/>
      <c r="AB199" s="229"/>
    </row>
    <row r="200" ht="15.75" customHeight="1">
      <c r="A200" s="276"/>
      <c r="B200" s="101"/>
      <c r="C200" s="98"/>
      <c r="D200" s="100"/>
      <c r="E200" s="98"/>
      <c r="F200" s="99"/>
      <c r="G200" s="101"/>
      <c r="H200" s="278"/>
      <c r="I200" s="101"/>
      <c r="J200" s="101"/>
      <c r="K200" s="101"/>
      <c r="L200" s="102"/>
      <c r="M200" s="102"/>
      <c r="N200" s="101"/>
      <c r="O200" s="279"/>
      <c r="P200" s="279"/>
      <c r="Q200" s="229"/>
      <c r="R200" s="229"/>
      <c r="S200" s="229"/>
      <c r="T200" s="229"/>
      <c r="U200" s="229"/>
      <c r="V200" s="229"/>
      <c r="W200" s="229"/>
      <c r="X200" s="229"/>
      <c r="Y200" s="229"/>
      <c r="Z200" s="229"/>
      <c r="AA200" s="229"/>
      <c r="AB200" s="229"/>
    </row>
    <row r="201" ht="15.75" customHeight="1">
      <c r="A201" s="276"/>
      <c r="B201" s="101"/>
      <c r="C201" s="98"/>
      <c r="D201" s="100"/>
      <c r="E201" s="98"/>
      <c r="F201" s="99"/>
      <c r="G201" s="101"/>
      <c r="H201" s="278"/>
      <c r="I201" s="101"/>
      <c r="J201" s="101"/>
      <c r="K201" s="101"/>
      <c r="L201" s="102"/>
      <c r="M201" s="102"/>
      <c r="N201" s="101"/>
      <c r="O201" s="279"/>
      <c r="P201" s="279"/>
      <c r="Q201" s="229"/>
      <c r="R201" s="229"/>
      <c r="S201" s="229"/>
      <c r="T201" s="229"/>
      <c r="U201" s="229"/>
      <c r="V201" s="229"/>
      <c r="W201" s="229"/>
      <c r="X201" s="229"/>
      <c r="Y201" s="229"/>
      <c r="Z201" s="229"/>
      <c r="AA201" s="229"/>
      <c r="AB201" s="229"/>
    </row>
    <row r="202" ht="15.75" customHeight="1">
      <c r="A202" s="276"/>
      <c r="B202" s="101"/>
      <c r="C202" s="98"/>
      <c r="D202" s="100"/>
      <c r="E202" s="98"/>
      <c r="F202" s="99"/>
      <c r="G202" s="101"/>
      <c r="H202" s="278"/>
      <c r="I202" s="101"/>
      <c r="J202" s="101"/>
      <c r="K202" s="101"/>
      <c r="L202" s="102"/>
      <c r="M202" s="102"/>
      <c r="N202" s="101"/>
      <c r="O202" s="279"/>
      <c r="P202" s="279"/>
      <c r="Q202" s="229"/>
      <c r="R202" s="229"/>
      <c r="S202" s="229"/>
      <c r="T202" s="229"/>
      <c r="U202" s="229"/>
      <c r="V202" s="229"/>
      <c r="W202" s="229"/>
      <c r="X202" s="229"/>
      <c r="Y202" s="229"/>
      <c r="Z202" s="229"/>
      <c r="AA202" s="229"/>
      <c r="AB202" s="229"/>
    </row>
    <row r="203" ht="15.75" customHeight="1">
      <c r="A203" s="276"/>
      <c r="B203" s="101"/>
      <c r="C203" s="98"/>
      <c r="D203" s="100"/>
      <c r="E203" s="98"/>
      <c r="F203" s="99"/>
      <c r="G203" s="101"/>
      <c r="H203" s="278"/>
      <c r="I203" s="101"/>
      <c r="J203" s="101"/>
      <c r="K203" s="101"/>
      <c r="L203" s="102"/>
      <c r="M203" s="102"/>
      <c r="N203" s="101"/>
      <c r="O203" s="279"/>
      <c r="P203" s="279"/>
      <c r="Q203" s="229"/>
      <c r="R203" s="229"/>
      <c r="S203" s="229"/>
      <c r="T203" s="229"/>
      <c r="U203" s="229"/>
      <c r="V203" s="229"/>
      <c r="W203" s="229"/>
      <c r="X203" s="229"/>
      <c r="Y203" s="229"/>
      <c r="Z203" s="229"/>
      <c r="AA203" s="229"/>
      <c r="AB203" s="229"/>
    </row>
    <row r="204" ht="15.75" customHeight="1">
      <c r="A204" s="276"/>
      <c r="B204" s="101"/>
      <c r="C204" s="98"/>
      <c r="D204" s="100"/>
      <c r="E204" s="98"/>
      <c r="F204" s="99"/>
      <c r="G204" s="101"/>
      <c r="H204" s="278"/>
      <c r="I204" s="101"/>
      <c r="J204" s="101"/>
      <c r="K204" s="101"/>
      <c r="L204" s="102"/>
      <c r="M204" s="102"/>
      <c r="N204" s="101"/>
      <c r="O204" s="279"/>
      <c r="P204" s="279"/>
      <c r="Q204" s="229"/>
      <c r="R204" s="229"/>
      <c r="S204" s="229"/>
      <c r="T204" s="229"/>
      <c r="U204" s="229"/>
      <c r="V204" s="229"/>
      <c r="W204" s="229"/>
      <c r="X204" s="229"/>
      <c r="Y204" s="229"/>
      <c r="Z204" s="229"/>
      <c r="AA204" s="229"/>
      <c r="AB204" s="229"/>
    </row>
    <row r="205" ht="15.75" customHeight="1">
      <c r="A205" s="276"/>
      <c r="B205" s="101"/>
      <c r="C205" s="98"/>
      <c r="D205" s="100"/>
      <c r="E205" s="98"/>
      <c r="F205" s="99"/>
      <c r="G205" s="101"/>
      <c r="H205" s="278"/>
      <c r="I205" s="101"/>
      <c r="J205" s="101"/>
      <c r="K205" s="101"/>
      <c r="L205" s="102"/>
      <c r="M205" s="102"/>
      <c r="N205" s="101"/>
      <c r="O205" s="279"/>
      <c r="P205" s="279"/>
      <c r="Q205" s="229"/>
      <c r="R205" s="229"/>
      <c r="S205" s="229"/>
      <c r="T205" s="229"/>
      <c r="U205" s="229"/>
      <c r="V205" s="229"/>
      <c r="W205" s="229"/>
      <c r="X205" s="229"/>
      <c r="Y205" s="229"/>
      <c r="Z205" s="229"/>
      <c r="AA205" s="229"/>
      <c r="AB205" s="229"/>
    </row>
    <row r="206" ht="15.75" customHeight="1">
      <c r="A206" s="276"/>
      <c r="B206" s="101"/>
      <c r="C206" s="98"/>
      <c r="D206" s="100"/>
      <c r="E206" s="98"/>
      <c r="F206" s="99"/>
      <c r="G206" s="101"/>
      <c r="H206" s="278"/>
      <c r="I206" s="101"/>
      <c r="J206" s="101"/>
      <c r="K206" s="101"/>
      <c r="L206" s="102"/>
      <c r="M206" s="102"/>
      <c r="N206" s="101"/>
      <c r="O206" s="279"/>
      <c r="P206" s="279"/>
      <c r="Q206" s="229"/>
      <c r="R206" s="229"/>
      <c r="S206" s="229"/>
      <c r="T206" s="229"/>
      <c r="U206" s="229"/>
      <c r="V206" s="229"/>
      <c r="W206" s="229"/>
      <c r="X206" s="229"/>
      <c r="Y206" s="229"/>
      <c r="Z206" s="229"/>
      <c r="AA206" s="229"/>
      <c r="AB206" s="229"/>
    </row>
    <row r="207" ht="15.75" customHeight="1">
      <c r="A207" s="276"/>
      <c r="B207" s="101"/>
      <c r="C207" s="98"/>
      <c r="D207" s="100"/>
      <c r="E207" s="98"/>
      <c r="F207" s="99"/>
      <c r="G207" s="101"/>
      <c r="H207" s="278"/>
      <c r="I207" s="101"/>
      <c r="J207" s="101"/>
      <c r="K207" s="101"/>
      <c r="L207" s="102"/>
      <c r="M207" s="102"/>
      <c r="N207" s="101"/>
      <c r="O207" s="279"/>
      <c r="P207" s="279"/>
      <c r="Q207" s="229"/>
      <c r="R207" s="229"/>
      <c r="S207" s="229"/>
      <c r="T207" s="229"/>
      <c r="U207" s="229"/>
      <c r="V207" s="229"/>
      <c r="W207" s="229"/>
      <c r="X207" s="229"/>
      <c r="Y207" s="229"/>
      <c r="Z207" s="229"/>
      <c r="AA207" s="229"/>
      <c r="AB207" s="229"/>
    </row>
    <row r="208" ht="15.75" customHeight="1">
      <c r="A208" s="276"/>
      <c r="B208" s="101"/>
      <c r="C208" s="98"/>
      <c r="D208" s="100"/>
      <c r="E208" s="98"/>
      <c r="F208" s="99"/>
      <c r="G208" s="101"/>
      <c r="H208" s="278"/>
      <c r="I208" s="101"/>
      <c r="J208" s="101"/>
      <c r="K208" s="101"/>
      <c r="L208" s="102"/>
      <c r="M208" s="102"/>
      <c r="N208" s="101"/>
      <c r="O208" s="279"/>
      <c r="P208" s="279"/>
      <c r="Q208" s="229"/>
      <c r="R208" s="229"/>
      <c r="S208" s="229"/>
      <c r="T208" s="229"/>
      <c r="U208" s="229"/>
      <c r="V208" s="229"/>
      <c r="W208" s="229"/>
      <c r="X208" s="229"/>
      <c r="Y208" s="229"/>
      <c r="Z208" s="229"/>
      <c r="AA208" s="229"/>
      <c r="AB208" s="229"/>
    </row>
    <row r="209" ht="15.75" customHeight="1">
      <c r="A209" s="276"/>
      <c r="B209" s="101"/>
      <c r="C209" s="98"/>
      <c r="D209" s="100"/>
      <c r="E209" s="98"/>
      <c r="F209" s="99"/>
      <c r="G209" s="101"/>
      <c r="H209" s="278"/>
      <c r="I209" s="101"/>
      <c r="J209" s="101"/>
      <c r="K209" s="101"/>
      <c r="L209" s="102"/>
      <c r="M209" s="102"/>
      <c r="N209" s="101"/>
      <c r="O209" s="279"/>
      <c r="P209" s="279"/>
      <c r="Q209" s="229"/>
      <c r="R209" s="229"/>
      <c r="S209" s="229"/>
      <c r="T209" s="229"/>
      <c r="U209" s="229"/>
      <c r="V209" s="229"/>
      <c r="W209" s="229"/>
      <c r="X209" s="229"/>
      <c r="Y209" s="229"/>
      <c r="Z209" s="229"/>
      <c r="AA209" s="229"/>
      <c r="AB209" s="229"/>
    </row>
    <row r="210" ht="15.75" customHeight="1">
      <c r="A210" s="276"/>
      <c r="B210" s="101"/>
      <c r="C210" s="98"/>
      <c r="D210" s="100"/>
      <c r="E210" s="98"/>
      <c r="F210" s="99"/>
      <c r="G210" s="101"/>
      <c r="H210" s="278"/>
      <c r="I210" s="101"/>
      <c r="J210" s="101"/>
      <c r="K210" s="101"/>
      <c r="L210" s="102"/>
      <c r="M210" s="102"/>
      <c r="N210" s="101"/>
      <c r="O210" s="279"/>
      <c r="P210" s="279"/>
      <c r="Q210" s="229"/>
      <c r="R210" s="229"/>
      <c r="S210" s="229"/>
      <c r="T210" s="229"/>
      <c r="U210" s="229"/>
      <c r="V210" s="229"/>
      <c r="W210" s="229"/>
      <c r="X210" s="229"/>
      <c r="Y210" s="229"/>
      <c r="Z210" s="229"/>
      <c r="AA210" s="229"/>
      <c r="AB210" s="229"/>
    </row>
    <row r="211" ht="15.75" customHeight="1">
      <c r="A211" s="276"/>
      <c r="B211" s="101"/>
      <c r="C211" s="98"/>
      <c r="D211" s="100"/>
      <c r="E211" s="98"/>
      <c r="F211" s="99"/>
      <c r="G211" s="101"/>
      <c r="H211" s="278"/>
      <c r="I211" s="101"/>
      <c r="J211" s="101"/>
      <c r="K211" s="101"/>
      <c r="L211" s="102"/>
      <c r="M211" s="102"/>
      <c r="N211" s="101"/>
      <c r="O211" s="279"/>
      <c r="P211" s="279"/>
      <c r="Q211" s="229"/>
      <c r="R211" s="229"/>
      <c r="S211" s="229"/>
      <c r="T211" s="229"/>
      <c r="U211" s="229"/>
      <c r="V211" s="229"/>
      <c r="W211" s="229"/>
      <c r="X211" s="229"/>
      <c r="Y211" s="229"/>
      <c r="Z211" s="229"/>
      <c r="AA211" s="229"/>
      <c r="AB211" s="229"/>
    </row>
    <row r="212" ht="15.75" customHeight="1">
      <c r="A212" s="276"/>
      <c r="B212" s="101"/>
      <c r="C212" s="98"/>
      <c r="D212" s="100"/>
      <c r="E212" s="98"/>
      <c r="F212" s="99"/>
      <c r="G212" s="101"/>
      <c r="H212" s="278"/>
      <c r="I212" s="101"/>
      <c r="J212" s="101"/>
      <c r="K212" s="101"/>
      <c r="L212" s="102"/>
      <c r="M212" s="102"/>
      <c r="N212" s="101"/>
      <c r="O212" s="279"/>
      <c r="P212" s="279"/>
      <c r="Q212" s="229"/>
      <c r="R212" s="229"/>
      <c r="S212" s="229"/>
      <c r="T212" s="229"/>
      <c r="U212" s="229"/>
      <c r="V212" s="229"/>
      <c r="W212" s="229"/>
      <c r="X212" s="229"/>
      <c r="Y212" s="229"/>
      <c r="Z212" s="229"/>
      <c r="AA212" s="229"/>
      <c r="AB212" s="229"/>
    </row>
    <row r="213" ht="15.75" customHeight="1">
      <c r="A213" s="276"/>
      <c r="B213" s="101"/>
      <c r="C213" s="98"/>
      <c r="D213" s="100"/>
      <c r="E213" s="98"/>
      <c r="F213" s="99"/>
      <c r="G213" s="101"/>
      <c r="H213" s="278"/>
      <c r="I213" s="101"/>
      <c r="J213" s="101"/>
      <c r="K213" s="101"/>
      <c r="L213" s="102"/>
      <c r="M213" s="102"/>
      <c r="N213" s="101"/>
      <c r="O213" s="279"/>
      <c r="P213" s="279"/>
      <c r="Q213" s="229"/>
      <c r="R213" s="229"/>
      <c r="S213" s="229"/>
      <c r="T213" s="229"/>
      <c r="U213" s="229"/>
      <c r="V213" s="229"/>
      <c r="W213" s="229"/>
      <c r="X213" s="229"/>
      <c r="Y213" s="229"/>
      <c r="Z213" s="229"/>
      <c r="AA213" s="229"/>
      <c r="AB213" s="229"/>
    </row>
    <row r="214" ht="15.75" customHeight="1">
      <c r="A214" s="276"/>
      <c r="B214" s="101"/>
      <c r="C214" s="98"/>
      <c r="D214" s="100"/>
      <c r="E214" s="98"/>
      <c r="F214" s="99"/>
      <c r="G214" s="101"/>
      <c r="H214" s="278"/>
      <c r="I214" s="101"/>
      <c r="J214" s="101"/>
      <c r="K214" s="101"/>
      <c r="L214" s="102"/>
      <c r="M214" s="102"/>
      <c r="N214" s="101"/>
      <c r="O214" s="279"/>
      <c r="P214" s="279"/>
      <c r="Q214" s="229"/>
      <c r="R214" s="229"/>
      <c r="S214" s="229"/>
      <c r="T214" s="229"/>
      <c r="U214" s="229"/>
      <c r="V214" s="229"/>
      <c r="W214" s="229"/>
      <c r="X214" s="229"/>
      <c r="Y214" s="229"/>
      <c r="Z214" s="229"/>
      <c r="AA214" s="229"/>
      <c r="AB214" s="229"/>
    </row>
    <row r="215" ht="15.75" customHeight="1">
      <c r="A215" s="276"/>
      <c r="B215" s="101"/>
      <c r="C215" s="98"/>
      <c r="D215" s="100"/>
      <c r="E215" s="98"/>
      <c r="F215" s="99"/>
      <c r="G215" s="101"/>
      <c r="H215" s="278"/>
      <c r="I215" s="101"/>
      <c r="J215" s="101"/>
      <c r="K215" s="101"/>
      <c r="L215" s="102"/>
      <c r="M215" s="102"/>
      <c r="N215" s="101"/>
      <c r="O215" s="279"/>
      <c r="P215" s="279"/>
      <c r="Q215" s="229"/>
      <c r="R215" s="229"/>
      <c r="S215" s="229"/>
      <c r="T215" s="229"/>
      <c r="U215" s="229"/>
      <c r="V215" s="229"/>
      <c r="W215" s="229"/>
      <c r="X215" s="229"/>
      <c r="Y215" s="229"/>
      <c r="Z215" s="229"/>
      <c r="AA215" s="229"/>
      <c r="AB215" s="229"/>
    </row>
    <row r="216" ht="15.75" customHeight="1">
      <c r="A216" s="276"/>
      <c r="B216" s="101"/>
      <c r="C216" s="98"/>
      <c r="D216" s="100"/>
      <c r="E216" s="98"/>
      <c r="F216" s="99"/>
      <c r="G216" s="101"/>
      <c r="H216" s="278"/>
      <c r="I216" s="101"/>
      <c r="J216" s="101"/>
      <c r="K216" s="101"/>
      <c r="L216" s="102"/>
      <c r="M216" s="102"/>
      <c r="N216" s="101"/>
      <c r="O216" s="279"/>
      <c r="P216" s="279"/>
      <c r="Q216" s="229"/>
      <c r="R216" s="229"/>
      <c r="S216" s="229"/>
      <c r="T216" s="229"/>
      <c r="U216" s="229"/>
      <c r="V216" s="229"/>
      <c r="W216" s="229"/>
      <c r="X216" s="229"/>
      <c r="Y216" s="229"/>
      <c r="Z216" s="229"/>
      <c r="AA216" s="229"/>
      <c r="AB216" s="229"/>
    </row>
    <row r="217" ht="15.75" customHeight="1">
      <c r="A217" s="276"/>
      <c r="B217" s="101"/>
      <c r="C217" s="98"/>
      <c r="D217" s="100"/>
      <c r="E217" s="98"/>
      <c r="F217" s="99"/>
      <c r="G217" s="101"/>
      <c r="H217" s="278"/>
      <c r="I217" s="101"/>
      <c r="J217" s="101"/>
      <c r="K217" s="101"/>
      <c r="L217" s="102"/>
      <c r="M217" s="102"/>
      <c r="N217" s="101"/>
      <c r="O217" s="279"/>
      <c r="P217" s="279"/>
      <c r="Q217" s="229"/>
      <c r="R217" s="229"/>
      <c r="S217" s="229"/>
      <c r="T217" s="229"/>
      <c r="U217" s="229"/>
      <c r="V217" s="229"/>
      <c r="W217" s="229"/>
      <c r="X217" s="229"/>
      <c r="Y217" s="229"/>
      <c r="Z217" s="229"/>
      <c r="AA217" s="229"/>
      <c r="AB217" s="229"/>
    </row>
    <row r="218" ht="15.75" customHeight="1">
      <c r="A218" s="276"/>
      <c r="B218" s="101"/>
      <c r="C218" s="98"/>
      <c r="D218" s="100"/>
      <c r="E218" s="98"/>
      <c r="F218" s="99"/>
      <c r="G218" s="101"/>
      <c r="H218" s="278"/>
      <c r="I218" s="101"/>
      <c r="J218" s="101"/>
      <c r="K218" s="101"/>
      <c r="L218" s="102"/>
      <c r="M218" s="102"/>
      <c r="N218" s="101"/>
      <c r="O218" s="279"/>
      <c r="P218" s="279"/>
      <c r="Q218" s="229"/>
      <c r="R218" s="229"/>
      <c r="S218" s="229"/>
      <c r="T218" s="229"/>
      <c r="U218" s="229"/>
      <c r="V218" s="229"/>
      <c r="W218" s="229"/>
      <c r="X218" s="229"/>
      <c r="Y218" s="229"/>
      <c r="Z218" s="229"/>
      <c r="AA218" s="229"/>
      <c r="AB218" s="229"/>
    </row>
    <row r="219" ht="15.75" customHeight="1">
      <c r="A219" s="276"/>
      <c r="B219" s="101"/>
      <c r="C219" s="98"/>
      <c r="D219" s="100"/>
      <c r="E219" s="98"/>
      <c r="F219" s="99"/>
      <c r="G219" s="101"/>
      <c r="H219" s="278"/>
      <c r="I219" s="101"/>
      <c r="J219" s="101"/>
      <c r="K219" s="101"/>
      <c r="L219" s="102"/>
      <c r="M219" s="102"/>
      <c r="N219" s="101"/>
      <c r="O219" s="279"/>
      <c r="P219" s="279"/>
      <c r="Q219" s="229"/>
      <c r="R219" s="229"/>
      <c r="S219" s="229"/>
      <c r="T219" s="229"/>
      <c r="U219" s="229"/>
      <c r="V219" s="229"/>
      <c r="W219" s="229"/>
      <c r="X219" s="229"/>
      <c r="Y219" s="229"/>
      <c r="Z219" s="229"/>
      <c r="AA219" s="229"/>
      <c r="AB219" s="229"/>
    </row>
    <row r="220" ht="15.75" customHeight="1">
      <c r="A220" s="276"/>
      <c r="B220" s="101"/>
      <c r="C220" s="98"/>
      <c r="D220" s="100"/>
      <c r="E220" s="98"/>
      <c r="F220" s="99"/>
      <c r="G220" s="101"/>
      <c r="H220" s="278"/>
      <c r="I220" s="101"/>
      <c r="J220" s="101"/>
      <c r="K220" s="101"/>
      <c r="L220" s="102"/>
      <c r="M220" s="102"/>
      <c r="N220" s="101"/>
      <c r="O220" s="279"/>
      <c r="P220" s="279"/>
      <c r="Q220" s="229"/>
      <c r="R220" s="229"/>
      <c r="S220" s="229"/>
      <c r="T220" s="229"/>
      <c r="U220" s="229"/>
      <c r="V220" s="229"/>
      <c r="W220" s="229"/>
      <c r="X220" s="229"/>
      <c r="Y220" s="229"/>
      <c r="Z220" s="229"/>
      <c r="AA220" s="229"/>
      <c r="AB220" s="229"/>
    </row>
    <row r="221" ht="15.75" customHeight="1">
      <c r="A221" s="276"/>
      <c r="B221" s="101"/>
      <c r="C221" s="98"/>
      <c r="D221" s="100"/>
      <c r="E221" s="98"/>
      <c r="F221" s="99"/>
      <c r="G221" s="101"/>
      <c r="H221" s="278"/>
      <c r="I221" s="101"/>
      <c r="J221" s="101"/>
      <c r="K221" s="101"/>
      <c r="L221" s="102"/>
      <c r="M221" s="102"/>
      <c r="N221" s="101"/>
      <c r="O221" s="279"/>
      <c r="P221" s="279"/>
      <c r="Q221" s="229"/>
      <c r="R221" s="229"/>
      <c r="S221" s="229"/>
      <c r="T221" s="229"/>
      <c r="U221" s="229"/>
      <c r="V221" s="229"/>
      <c r="W221" s="229"/>
      <c r="X221" s="229"/>
      <c r="Y221" s="229"/>
      <c r="Z221" s="229"/>
      <c r="AA221" s="229"/>
      <c r="AB221" s="229"/>
    </row>
    <row r="222" ht="15.75" customHeight="1">
      <c r="A222" s="276"/>
      <c r="B222" s="101"/>
      <c r="C222" s="98"/>
      <c r="D222" s="100"/>
      <c r="E222" s="98"/>
      <c r="F222" s="99"/>
      <c r="G222" s="101"/>
      <c r="H222" s="278"/>
      <c r="I222" s="101"/>
      <c r="J222" s="101"/>
      <c r="K222" s="101"/>
      <c r="L222" s="102"/>
      <c r="M222" s="102"/>
      <c r="N222" s="101"/>
      <c r="O222" s="279"/>
      <c r="P222" s="27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</row>
    <row r="223" ht="15.75" customHeight="1">
      <c r="A223" s="276"/>
      <c r="B223" s="101"/>
      <c r="C223" s="98"/>
      <c r="D223" s="100"/>
      <c r="E223" s="98"/>
      <c r="F223" s="99"/>
      <c r="G223" s="101"/>
      <c r="H223" s="278"/>
      <c r="I223" s="101"/>
      <c r="J223" s="101"/>
      <c r="K223" s="101"/>
      <c r="L223" s="102"/>
      <c r="M223" s="102"/>
      <c r="N223" s="101"/>
      <c r="O223" s="279"/>
      <c r="P223" s="27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  <c r="AB223" s="229"/>
    </row>
    <row r="224" ht="15.75" customHeight="1">
      <c r="A224" s="276"/>
      <c r="B224" s="101"/>
      <c r="C224" s="98"/>
      <c r="D224" s="100"/>
      <c r="E224" s="98"/>
      <c r="F224" s="99"/>
      <c r="G224" s="101"/>
      <c r="H224" s="278"/>
      <c r="I224" s="101"/>
      <c r="J224" s="101"/>
      <c r="K224" s="101"/>
      <c r="L224" s="102"/>
      <c r="M224" s="102"/>
      <c r="N224" s="101"/>
      <c r="O224" s="279"/>
      <c r="P224" s="27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  <c r="AB224" s="229"/>
    </row>
    <row r="225" ht="15.75" customHeight="1">
      <c r="A225" s="276"/>
      <c r="B225" s="101"/>
      <c r="C225" s="98"/>
      <c r="D225" s="100"/>
      <c r="E225" s="98"/>
      <c r="F225" s="99"/>
      <c r="G225" s="101"/>
      <c r="H225" s="278"/>
      <c r="I225" s="101"/>
      <c r="J225" s="101"/>
      <c r="K225" s="101"/>
      <c r="L225" s="102"/>
      <c r="M225" s="102"/>
      <c r="N225" s="101"/>
      <c r="O225" s="279"/>
      <c r="P225" s="27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</row>
    <row r="226" ht="15.75" customHeight="1">
      <c r="A226" s="276"/>
      <c r="B226" s="101"/>
      <c r="C226" s="98"/>
      <c r="D226" s="100"/>
      <c r="E226" s="98"/>
      <c r="F226" s="99"/>
      <c r="G226" s="101"/>
      <c r="H226" s="278"/>
      <c r="I226" s="101"/>
      <c r="J226" s="101"/>
      <c r="K226" s="101"/>
      <c r="L226" s="102"/>
      <c r="M226" s="102"/>
      <c r="N226" s="101"/>
      <c r="O226" s="279"/>
      <c r="P226" s="279"/>
      <c r="Q226" s="229"/>
      <c r="R226" s="229"/>
      <c r="S226" s="229"/>
      <c r="T226" s="229"/>
      <c r="U226" s="229"/>
      <c r="V226" s="229"/>
      <c r="W226" s="229"/>
      <c r="X226" s="229"/>
      <c r="Y226" s="229"/>
      <c r="Z226" s="229"/>
      <c r="AA226" s="229"/>
      <c r="AB226" s="229"/>
    </row>
    <row r="227" ht="15.75" customHeight="1">
      <c r="A227" s="276"/>
      <c r="B227" s="101"/>
      <c r="C227" s="98"/>
      <c r="D227" s="100"/>
      <c r="E227" s="98"/>
      <c r="F227" s="99"/>
      <c r="G227" s="101"/>
      <c r="H227" s="278"/>
      <c r="I227" s="101"/>
      <c r="J227" s="101"/>
      <c r="K227" s="101"/>
      <c r="L227" s="102"/>
      <c r="M227" s="102"/>
      <c r="N227" s="101"/>
      <c r="O227" s="279"/>
      <c r="P227" s="279"/>
      <c r="Q227" s="229"/>
      <c r="R227" s="229"/>
      <c r="S227" s="229"/>
      <c r="T227" s="229"/>
      <c r="U227" s="229"/>
      <c r="V227" s="229"/>
      <c r="W227" s="229"/>
      <c r="X227" s="229"/>
      <c r="Y227" s="229"/>
      <c r="Z227" s="229"/>
      <c r="AA227" s="229"/>
      <c r="AB227" s="229"/>
    </row>
    <row r="228" ht="15.75" customHeight="1">
      <c r="A228" s="276"/>
      <c r="B228" s="101"/>
      <c r="C228" s="98"/>
      <c r="D228" s="100"/>
      <c r="E228" s="98"/>
      <c r="F228" s="99"/>
      <c r="G228" s="101"/>
      <c r="H228" s="278"/>
      <c r="I228" s="101"/>
      <c r="J228" s="101"/>
      <c r="K228" s="101"/>
      <c r="L228" s="102"/>
      <c r="M228" s="102"/>
      <c r="N228" s="101"/>
      <c r="O228" s="279"/>
      <c r="P228" s="279"/>
      <c r="Q228" s="229"/>
      <c r="R228" s="229"/>
      <c r="S228" s="229"/>
      <c r="T228" s="229"/>
      <c r="U228" s="229"/>
      <c r="V228" s="229"/>
      <c r="W228" s="229"/>
      <c r="X228" s="229"/>
      <c r="Y228" s="229"/>
      <c r="Z228" s="229"/>
      <c r="AA228" s="229"/>
      <c r="AB228" s="229"/>
    </row>
    <row r="229" ht="15.75" customHeight="1">
      <c r="A229" s="276"/>
      <c r="B229" s="101"/>
      <c r="C229" s="98"/>
      <c r="D229" s="100"/>
      <c r="E229" s="98"/>
      <c r="F229" s="99"/>
      <c r="G229" s="101"/>
      <c r="H229" s="278"/>
      <c r="I229" s="101"/>
      <c r="J229" s="101"/>
      <c r="K229" s="101"/>
      <c r="L229" s="102"/>
      <c r="M229" s="102"/>
      <c r="N229" s="101"/>
      <c r="O229" s="279"/>
      <c r="P229" s="279"/>
      <c r="Q229" s="229"/>
      <c r="R229" s="229"/>
      <c r="S229" s="229"/>
      <c r="T229" s="229"/>
      <c r="U229" s="229"/>
      <c r="V229" s="229"/>
      <c r="W229" s="229"/>
      <c r="X229" s="229"/>
      <c r="Y229" s="229"/>
      <c r="Z229" s="229"/>
      <c r="AA229" s="229"/>
      <c r="AB229" s="229"/>
    </row>
    <row r="230" ht="15.75" customHeight="1">
      <c r="A230" s="276"/>
      <c r="B230" s="101"/>
      <c r="C230" s="98"/>
      <c r="D230" s="100"/>
      <c r="E230" s="98"/>
      <c r="F230" s="99"/>
      <c r="G230" s="101"/>
      <c r="H230" s="278"/>
      <c r="I230" s="101"/>
      <c r="J230" s="101"/>
      <c r="K230" s="101"/>
      <c r="L230" s="102"/>
      <c r="M230" s="102"/>
      <c r="N230" s="101"/>
      <c r="O230" s="279"/>
      <c r="P230" s="279"/>
      <c r="Q230" s="229"/>
      <c r="R230" s="229"/>
      <c r="S230" s="229"/>
      <c r="T230" s="229"/>
      <c r="U230" s="229"/>
      <c r="V230" s="229"/>
      <c r="W230" s="229"/>
      <c r="X230" s="229"/>
      <c r="Y230" s="229"/>
      <c r="Z230" s="229"/>
      <c r="AA230" s="229"/>
      <c r="AB230" s="229"/>
    </row>
    <row r="231" ht="15.75" customHeight="1">
      <c r="A231" s="276"/>
      <c r="B231" s="101"/>
      <c r="C231" s="98"/>
      <c r="D231" s="100"/>
      <c r="E231" s="98"/>
      <c r="F231" s="99"/>
      <c r="G231" s="101"/>
      <c r="H231" s="278"/>
      <c r="I231" s="101"/>
      <c r="J231" s="101"/>
      <c r="K231" s="101"/>
      <c r="L231" s="102"/>
      <c r="M231" s="102"/>
      <c r="N231" s="101"/>
      <c r="O231" s="279"/>
      <c r="P231" s="279"/>
      <c r="Q231" s="229"/>
      <c r="R231" s="229"/>
      <c r="S231" s="229"/>
      <c r="T231" s="229"/>
      <c r="U231" s="229"/>
      <c r="V231" s="229"/>
      <c r="W231" s="229"/>
      <c r="X231" s="229"/>
      <c r="Y231" s="229"/>
      <c r="Z231" s="229"/>
      <c r="AA231" s="229"/>
      <c r="AB231" s="229"/>
    </row>
    <row r="232" ht="15.75" customHeight="1">
      <c r="A232" s="276"/>
      <c r="B232" s="101"/>
      <c r="C232" s="98"/>
      <c r="D232" s="100"/>
      <c r="E232" s="98"/>
      <c r="F232" s="99"/>
      <c r="G232" s="101"/>
      <c r="H232" s="278"/>
      <c r="I232" s="101"/>
      <c r="J232" s="101"/>
      <c r="K232" s="101"/>
      <c r="L232" s="102"/>
      <c r="M232" s="102"/>
      <c r="N232" s="101"/>
      <c r="O232" s="279"/>
      <c r="P232" s="279"/>
      <c r="Q232" s="229"/>
      <c r="R232" s="229"/>
      <c r="S232" s="229"/>
      <c r="T232" s="229"/>
      <c r="U232" s="229"/>
      <c r="V232" s="229"/>
      <c r="W232" s="229"/>
      <c r="X232" s="229"/>
      <c r="Y232" s="229"/>
      <c r="Z232" s="229"/>
      <c r="AA232" s="229"/>
      <c r="AB232" s="229"/>
    </row>
    <row r="233" ht="15.75" customHeight="1">
      <c r="A233" s="276"/>
      <c r="B233" s="101"/>
      <c r="C233" s="98"/>
      <c r="D233" s="100"/>
      <c r="E233" s="98"/>
      <c r="F233" s="99"/>
      <c r="G233" s="101"/>
      <c r="H233" s="278"/>
      <c r="I233" s="101"/>
      <c r="J233" s="101"/>
      <c r="K233" s="101"/>
      <c r="L233" s="102"/>
      <c r="M233" s="102"/>
      <c r="N233" s="101"/>
      <c r="O233" s="279"/>
      <c r="P233" s="279"/>
      <c r="Q233" s="229"/>
      <c r="R233" s="229"/>
      <c r="S233" s="229"/>
      <c r="T233" s="229"/>
      <c r="U233" s="229"/>
      <c r="V233" s="229"/>
      <c r="W233" s="229"/>
      <c r="X233" s="229"/>
      <c r="Y233" s="229"/>
      <c r="Z233" s="229"/>
      <c r="AA233" s="229"/>
      <c r="AB233" s="229"/>
    </row>
    <row r="234" ht="15.75" customHeight="1">
      <c r="A234" s="276"/>
      <c r="B234" s="101"/>
      <c r="C234" s="98"/>
      <c r="D234" s="100"/>
      <c r="E234" s="98"/>
      <c r="F234" s="99"/>
      <c r="G234" s="101"/>
      <c r="H234" s="278"/>
      <c r="I234" s="101"/>
      <c r="J234" s="101"/>
      <c r="K234" s="101"/>
      <c r="L234" s="102"/>
      <c r="M234" s="102"/>
      <c r="N234" s="101"/>
      <c r="O234" s="279"/>
      <c r="P234" s="279"/>
      <c r="Q234" s="229"/>
      <c r="R234" s="229"/>
      <c r="S234" s="229"/>
      <c r="T234" s="229"/>
      <c r="U234" s="229"/>
      <c r="V234" s="229"/>
      <c r="W234" s="229"/>
      <c r="X234" s="229"/>
      <c r="Y234" s="229"/>
      <c r="Z234" s="229"/>
      <c r="AA234" s="229"/>
      <c r="AB234" s="229"/>
    </row>
    <row r="235" ht="15.75" customHeight="1">
      <c r="A235" s="276"/>
      <c r="B235" s="101"/>
      <c r="C235" s="98"/>
      <c r="D235" s="100"/>
      <c r="E235" s="98"/>
      <c r="F235" s="99"/>
      <c r="G235" s="101"/>
      <c r="H235" s="278"/>
      <c r="I235" s="101"/>
      <c r="J235" s="101"/>
      <c r="K235" s="101"/>
      <c r="L235" s="102"/>
      <c r="M235" s="102"/>
      <c r="N235" s="101"/>
      <c r="O235" s="279"/>
      <c r="P235" s="279"/>
      <c r="Q235" s="229"/>
      <c r="R235" s="229"/>
      <c r="S235" s="229"/>
      <c r="T235" s="229"/>
      <c r="U235" s="229"/>
      <c r="V235" s="229"/>
      <c r="W235" s="229"/>
      <c r="X235" s="229"/>
      <c r="Y235" s="229"/>
      <c r="Z235" s="229"/>
      <c r="AA235" s="229"/>
      <c r="AB235" s="229"/>
    </row>
    <row r="236" ht="15.75" customHeight="1">
      <c r="A236" s="276"/>
      <c r="B236" s="101"/>
      <c r="C236" s="98"/>
      <c r="D236" s="100"/>
      <c r="E236" s="98"/>
      <c r="F236" s="99"/>
      <c r="G236" s="101"/>
      <c r="H236" s="278"/>
      <c r="I236" s="101"/>
      <c r="J236" s="101"/>
      <c r="K236" s="101"/>
      <c r="L236" s="102"/>
      <c r="M236" s="102"/>
      <c r="N236" s="101"/>
      <c r="O236" s="279"/>
      <c r="P236" s="279"/>
      <c r="Q236" s="229"/>
      <c r="R236" s="229"/>
      <c r="S236" s="229"/>
      <c r="T236" s="229"/>
      <c r="U236" s="229"/>
      <c r="V236" s="229"/>
      <c r="W236" s="229"/>
      <c r="X236" s="229"/>
      <c r="Y236" s="229"/>
      <c r="Z236" s="229"/>
      <c r="AA236" s="229"/>
      <c r="AB236" s="229"/>
    </row>
    <row r="237" ht="15.75" customHeight="1">
      <c r="A237" s="276"/>
      <c r="B237" s="101"/>
      <c r="C237" s="98"/>
      <c r="D237" s="100"/>
      <c r="E237" s="98"/>
      <c r="F237" s="99"/>
      <c r="G237" s="101"/>
      <c r="H237" s="278"/>
      <c r="I237" s="101"/>
      <c r="J237" s="101"/>
      <c r="K237" s="101"/>
      <c r="L237" s="102"/>
      <c r="M237" s="102"/>
      <c r="N237" s="101"/>
      <c r="O237" s="279"/>
      <c r="P237" s="279"/>
      <c r="Q237" s="229"/>
      <c r="R237" s="229"/>
      <c r="S237" s="229"/>
      <c r="T237" s="229"/>
      <c r="U237" s="229"/>
      <c r="V237" s="229"/>
      <c r="W237" s="229"/>
      <c r="X237" s="229"/>
      <c r="Y237" s="229"/>
      <c r="Z237" s="229"/>
      <c r="AA237" s="229"/>
      <c r="AB237" s="229"/>
    </row>
    <row r="238" ht="15.75" customHeight="1">
      <c r="A238" s="276"/>
      <c r="B238" s="101"/>
      <c r="C238" s="98"/>
      <c r="D238" s="100"/>
      <c r="E238" s="98"/>
      <c r="F238" s="99"/>
      <c r="G238" s="101"/>
      <c r="H238" s="278"/>
      <c r="I238" s="101"/>
      <c r="J238" s="101"/>
      <c r="K238" s="101"/>
      <c r="L238" s="102"/>
      <c r="M238" s="102"/>
      <c r="N238" s="101"/>
      <c r="O238" s="279"/>
      <c r="P238" s="279"/>
      <c r="Q238" s="229"/>
      <c r="R238" s="229"/>
      <c r="S238" s="229"/>
      <c r="T238" s="229"/>
      <c r="U238" s="229"/>
      <c r="V238" s="229"/>
      <c r="W238" s="229"/>
      <c r="X238" s="229"/>
      <c r="Y238" s="229"/>
      <c r="Z238" s="229"/>
      <c r="AA238" s="229"/>
      <c r="AB238" s="229"/>
    </row>
    <row r="239" ht="15.75" customHeight="1">
      <c r="A239" s="276"/>
      <c r="B239" s="101"/>
      <c r="C239" s="98"/>
      <c r="D239" s="100"/>
      <c r="E239" s="98"/>
      <c r="F239" s="99"/>
      <c r="G239" s="101"/>
      <c r="H239" s="278"/>
      <c r="I239" s="101"/>
      <c r="J239" s="101"/>
      <c r="K239" s="101"/>
      <c r="L239" s="102"/>
      <c r="M239" s="102"/>
      <c r="N239" s="101"/>
      <c r="O239" s="279"/>
      <c r="P239" s="279"/>
      <c r="Q239" s="229"/>
      <c r="R239" s="229"/>
      <c r="S239" s="229"/>
      <c r="T239" s="229"/>
      <c r="U239" s="229"/>
      <c r="V239" s="229"/>
      <c r="W239" s="229"/>
      <c r="X239" s="229"/>
      <c r="Y239" s="229"/>
      <c r="Z239" s="229"/>
      <c r="AA239" s="229"/>
      <c r="AB239" s="229"/>
    </row>
    <row r="240" ht="15.75" customHeight="1">
      <c r="A240" s="276"/>
      <c r="B240" s="101"/>
      <c r="C240" s="98"/>
      <c r="D240" s="100"/>
      <c r="E240" s="98"/>
      <c r="F240" s="99"/>
      <c r="G240" s="101"/>
      <c r="H240" s="278"/>
      <c r="I240" s="101"/>
      <c r="J240" s="101"/>
      <c r="K240" s="101"/>
      <c r="L240" s="102"/>
      <c r="M240" s="102"/>
      <c r="N240" s="101"/>
      <c r="O240" s="279"/>
      <c r="P240" s="279"/>
      <c r="Q240" s="229"/>
      <c r="R240" s="229"/>
      <c r="S240" s="229"/>
      <c r="T240" s="229"/>
      <c r="U240" s="229"/>
      <c r="V240" s="229"/>
      <c r="W240" s="229"/>
      <c r="X240" s="229"/>
      <c r="Y240" s="229"/>
      <c r="Z240" s="229"/>
      <c r="AA240" s="229"/>
      <c r="AB240" s="229"/>
    </row>
    <row r="241" ht="15.75" customHeight="1">
      <c r="A241" s="276"/>
      <c r="B241" s="101"/>
      <c r="C241" s="98"/>
      <c r="D241" s="100"/>
      <c r="E241" s="98"/>
      <c r="F241" s="99"/>
      <c r="G241" s="101"/>
      <c r="H241" s="278"/>
      <c r="I241" s="101"/>
      <c r="J241" s="101"/>
      <c r="K241" s="101"/>
      <c r="L241" s="102"/>
      <c r="M241" s="102"/>
      <c r="N241" s="101"/>
      <c r="O241" s="279"/>
      <c r="P241" s="279"/>
      <c r="Q241" s="229"/>
      <c r="R241" s="229"/>
      <c r="S241" s="229"/>
      <c r="T241" s="229"/>
      <c r="U241" s="229"/>
      <c r="V241" s="229"/>
      <c r="W241" s="229"/>
      <c r="X241" s="229"/>
      <c r="Y241" s="229"/>
      <c r="Z241" s="229"/>
      <c r="AA241" s="229"/>
      <c r="AB241" s="229"/>
    </row>
    <row r="242" ht="15.75" customHeight="1">
      <c r="A242" s="276"/>
      <c r="B242" s="101"/>
      <c r="C242" s="98"/>
      <c r="D242" s="100"/>
      <c r="E242" s="98"/>
      <c r="F242" s="99"/>
      <c r="G242" s="101"/>
      <c r="H242" s="278"/>
      <c r="I242" s="101"/>
      <c r="J242" s="101"/>
      <c r="K242" s="101"/>
      <c r="L242" s="102"/>
      <c r="M242" s="102"/>
      <c r="N242" s="101"/>
      <c r="O242" s="279"/>
      <c r="P242" s="279"/>
      <c r="Q242" s="229"/>
      <c r="R242" s="229"/>
      <c r="S242" s="229"/>
      <c r="T242" s="229"/>
      <c r="U242" s="229"/>
      <c r="V242" s="229"/>
      <c r="W242" s="229"/>
      <c r="X242" s="229"/>
      <c r="Y242" s="229"/>
      <c r="Z242" s="229"/>
      <c r="AA242" s="229"/>
      <c r="AB242" s="229"/>
    </row>
    <row r="243" ht="15.75" customHeight="1">
      <c r="A243" s="276"/>
      <c r="B243" s="101"/>
      <c r="C243" s="98"/>
      <c r="D243" s="100"/>
      <c r="E243" s="98"/>
      <c r="F243" s="99"/>
      <c r="G243" s="101"/>
      <c r="H243" s="278"/>
      <c r="I243" s="101"/>
      <c r="J243" s="101"/>
      <c r="K243" s="101"/>
      <c r="L243" s="102"/>
      <c r="M243" s="102"/>
      <c r="N243" s="101"/>
      <c r="O243" s="279"/>
      <c r="P243" s="279"/>
      <c r="Q243" s="229"/>
      <c r="R243" s="229"/>
      <c r="S243" s="229"/>
      <c r="T243" s="229"/>
      <c r="U243" s="229"/>
      <c r="V243" s="229"/>
      <c r="W243" s="229"/>
      <c r="X243" s="229"/>
      <c r="Y243" s="229"/>
      <c r="Z243" s="229"/>
      <c r="AA243" s="229"/>
      <c r="AB243" s="229"/>
    </row>
    <row r="244" ht="15.75" customHeight="1">
      <c r="A244" s="276"/>
      <c r="B244" s="101"/>
      <c r="C244" s="98"/>
      <c r="D244" s="100"/>
      <c r="E244" s="98"/>
      <c r="F244" s="99"/>
      <c r="G244" s="101"/>
      <c r="H244" s="278"/>
      <c r="I244" s="101"/>
      <c r="J244" s="101"/>
      <c r="K244" s="101"/>
      <c r="L244" s="102"/>
      <c r="M244" s="102"/>
      <c r="N244" s="101"/>
      <c r="O244" s="279"/>
      <c r="P244" s="279"/>
      <c r="Q244" s="229"/>
      <c r="R244" s="229"/>
      <c r="S244" s="229"/>
      <c r="T244" s="229"/>
      <c r="U244" s="229"/>
      <c r="V244" s="229"/>
      <c r="W244" s="229"/>
      <c r="X244" s="229"/>
      <c r="Y244" s="229"/>
      <c r="Z244" s="229"/>
      <c r="AA244" s="229"/>
      <c r="AB244" s="229"/>
    </row>
    <row r="245" ht="15.75" customHeight="1">
      <c r="A245" s="276"/>
      <c r="B245" s="101"/>
      <c r="C245" s="98"/>
      <c r="D245" s="100"/>
      <c r="E245" s="98"/>
      <c r="F245" s="99"/>
      <c r="G245" s="101"/>
      <c r="H245" s="278"/>
      <c r="I245" s="101"/>
      <c r="J245" s="101"/>
      <c r="K245" s="101"/>
      <c r="L245" s="102"/>
      <c r="M245" s="102"/>
      <c r="N245" s="101"/>
      <c r="O245" s="279"/>
      <c r="P245" s="279"/>
      <c r="Q245" s="229"/>
      <c r="R245" s="229"/>
      <c r="S245" s="229"/>
      <c r="T245" s="229"/>
      <c r="U245" s="229"/>
      <c r="V245" s="229"/>
      <c r="W245" s="229"/>
      <c r="X245" s="229"/>
      <c r="Y245" s="229"/>
      <c r="Z245" s="229"/>
      <c r="AA245" s="229"/>
      <c r="AB245" s="229"/>
    </row>
    <row r="246" ht="15.75" customHeight="1">
      <c r="A246" s="276"/>
      <c r="B246" s="101"/>
      <c r="C246" s="98"/>
      <c r="D246" s="100"/>
      <c r="E246" s="98"/>
      <c r="F246" s="99"/>
      <c r="G246" s="101"/>
      <c r="H246" s="278"/>
      <c r="I246" s="101"/>
      <c r="J246" s="101"/>
      <c r="K246" s="101"/>
      <c r="L246" s="102"/>
      <c r="M246" s="102"/>
      <c r="N246" s="101"/>
      <c r="O246" s="279"/>
      <c r="P246" s="279"/>
      <c r="Q246" s="229"/>
      <c r="R246" s="229"/>
      <c r="S246" s="229"/>
      <c r="T246" s="229"/>
      <c r="U246" s="229"/>
      <c r="V246" s="229"/>
      <c r="W246" s="229"/>
      <c r="X246" s="229"/>
      <c r="Y246" s="229"/>
      <c r="Z246" s="229"/>
      <c r="AA246" s="229"/>
      <c r="AB246" s="229"/>
    </row>
    <row r="247" ht="15.75" customHeight="1">
      <c r="A247" s="276"/>
      <c r="B247" s="101"/>
      <c r="C247" s="98"/>
      <c r="D247" s="100"/>
      <c r="E247" s="98"/>
      <c r="F247" s="99"/>
      <c r="G247" s="101"/>
      <c r="H247" s="278"/>
      <c r="I247" s="101"/>
      <c r="J247" s="101"/>
      <c r="K247" s="101"/>
      <c r="L247" s="102"/>
      <c r="M247" s="102"/>
      <c r="N247" s="101"/>
      <c r="O247" s="279"/>
      <c r="P247" s="279"/>
      <c r="Q247" s="229"/>
      <c r="R247" s="229"/>
      <c r="S247" s="229"/>
      <c r="T247" s="229"/>
      <c r="U247" s="229"/>
      <c r="V247" s="229"/>
      <c r="W247" s="229"/>
      <c r="X247" s="229"/>
      <c r="Y247" s="229"/>
      <c r="Z247" s="229"/>
      <c r="AA247" s="229"/>
      <c r="AB247" s="229"/>
    </row>
    <row r="248" ht="15.75" customHeight="1">
      <c r="A248" s="276"/>
      <c r="B248" s="101"/>
      <c r="C248" s="98"/>
      <c r="D248" s="100"/>
      <c r="E248" s="98"/>
      <c r="F248" s="99"/>
      <c r="G248" s="101"/>
      <c r="H248" s="278"/>
      <c r="I248" s="101"/>
      <c r="J248" s="101"/>
      <c r="K248" s="101"/>
      <c r="L248" s="102"/>
      <c r="M248" s="102"/>
      <c r="N248" s="101"/>
      <c r="O248" s="279"/>
      <c r="P248" s="279"/>
      <c r="Q248" s="229"/>
      <c r="R248" s="229"/>
      <c r="S248" s="229"/>
      <c r="T248" s="229"/>
      <c r="U248" s="229"/>
      <c r="V248" s="229"/>
      <c r="W248" s="229"/>
      <c r="X248" s="229"/>
      <c r="Y248" s="229"/>
      <c r="Z248" s="229"/>
      <c r="AA248" s="229"/>
      <c r="AB248" s="229"/>
    </row>
    <row r="249" ht="15.75" customHeight="1">
      <c r="A249" s="276"/>
      <c r="B249" s="101"/>
      <c r="C249" s="98"/>
      <c r="D249" s="100"/>
      <c r="E249" s="98"/>
      <c r="F249" s="99"/>
      <c r="G249" s="101"/>
      <c r="H249" s="278"/>
      <c r="I249" s="101"/>
      <c r="J249" s="101"/>
      <c r="K249" s="101"/>
      <c r="L249" s="102"/>
      <c r="M249" s="102"/>
      <c r="N249" s="101"/>
      <c r="O249" s="279"/>
      <c r="P249" s="279"/>
      <c r="Q249" s="229"/>
      <c r="R249" s="229"/>
      <c r="S249" s="229"/>
      <c r="T249" s="229"/>
      <c r="U249" s="229"/>
      <c r="V249" s="229"/>
      <c r="W249" s="229"/>
      <c r="X249" s="229"/>
      <c r="Y249" s="229"/>
      <c r="Z249" s="229"/>
      <c r="AA249" s="229"/>
      <c r="AB249" s="229"/>
    </row>
    <row r="250" ht="15.75" customHeight="1">
      <c r="A250" s="276"/>
      <c r="B250" s="101"/>
      <c r="C250" s="98"/>
      <c r="D250" s="100"/>
      <c r="E250" s="98"/>
      <c r="F250" s="99"/>
      <c r="G250" s="101"/>
      <c r="H250" s="278"/>
      <c r="I250" s="101"/>
      <c r="J250" s="101"/>
      <c r="K250" s="101"/>
      <c r="L250" s="102"/>
      <c r="M250" s="102"/>
      <c r="N250" s="101"/>
      <c r="O250" s="279"/>
      <c r="P250" s="279"/>
      <c r="Q250" s="229"/>
      <c r="R250" s="229"/>
      <c r="S250" s="229"/>
      <c r="T250" s="229"/>
      <c r="U250" s="229"/>
      <c r="V250" s="229"/>
      <c r="W250" s="229"/>
      <c r="X250" s="229"/>
      <c r="Y250" s="229"/>
      <c r="Z250" s="229"/>
      <c r="AA250" s="229"/>
      <c r="AB250" s="229"/>
    </row>
    <row r="251" ht="15.75" customHeight="1">
      <c r="A251" s="276"/>
      <c r="B251" s="101"/>
      <c r="C251" s="98"/>
      <c r="D251" s="100"/>
      <c r="E251" s="98"/>
      <c r="F251" s="99"/>
      <c r="G251" s="101"/>
      <c r="H251" s="278"/>
      <c r="I251" s="101"/>
      <c r="J251" s="101"/>
      <c r="K251" s="101"/>
      <c r="L251" s="102"/>
      <c r="M251" s="102"/>
      <c r="N251" s="101"/>
      <c r="O251" s="279"/>
      <c r="P251" s="279"/>
      <c r="Q251" s="229"/>
      <c r="R251" s="229"/>
      <c r="S251" s="229"/>
      <c r="T251" s="229"/>
      <c r="U251" s="229"/>
      <c r="V251" s="229"/>
      <c r="W251" s="229"/>
      <c r="X251" s="229"/>
      <c r="Y251" s="229"/>
      <c r="Z251" s="229"/>
      <c r="AA251" s="229"/>
      <c r="AB251" s="229"/>
    </row>
    <row r="252" ht="15.75" customHeight="1">
      <c r="A252" s="276"/>
      <c r="B252" s="101"/>
      <c r="C252" s="98"/>
      <c r="D252" s="100"/>
      <c r="E252" s="98"/>
      <c r="F252" s="99"/>
      <c r="G252" s="101"/>
      <c r="H252" s="278"/>
      <c r="I252" s="101"/>
      <c r="J252" s="101"/>
      <c r="K252" s="101"/>
      <c r="L252" s="102"/>
      <c r="M252" s="102"/>
      <c r="N252" s="101"/>
      <c r="O252" s="279"/>
      <c r="P252" s="279"/>
      <c r="Q252" s="229"/>
      <c r="R252" s="229"/>
      <c r="S252" s="229"/>
      <c r="T252" s="229"/>
      <c r="U252" s="229"/>
      <c r="V252" s="229"/>
      <c r="W252" s="229"/>
      <c r="X252" s="229"/>
      <c r="Y252" s="229"/>
      <c r="Z252" s="229"/>
      <c r="AA252" s="229"/>
      <c r="AB252" s="229"/>
    </row>
    <row r="253" ht="15.75" customHeight="1">
      <c r="A253" s="276"/>
      <c r="B253" s="101"/>
      <c r="C253" s="98"/>
      <c r="D253" s="100"/>
      <c r="E253" s="98"/>
      <c r="F253" s="99"/>
      <c r="G253" s="101"/>
      <c r="H253" s="278"/>
      <c r="I253" s="101"/>
      <c r="J253" s="101"/>
      <c r="K253" s="101"/>
      <c r="L253" s="102"/>
      <c r="M253" s="102"/>
      <c r="N253" s="101"/>
      <c r="O253" s="279"/>
      <c r="P253" s="279"/>
      <c r="Q253" s="229"/>
      <c r="R253" s="229"/>
      <c r="S253" s="229"/>
      <c r="T253" s="229"/>
      <c r="U253" s="229"/>
      <c r="V253" s="229"/>
      <c r="W253" s="229"/>
      <c r="X253" s="229"/>
      <c r="Y253" s="229"/>
      <c r="Z253" s="229"/>
      <c r="AA253" s="229"/>
      <c r="AB253" s="229"/>
    </row>
    <row r="254" ht="15.75" customHeight="1">
      <c r="A254" s="276"/>
      <c r="B254" s="101"/>
      <c r="C254" s="98"/>
      <c r="D254" s="100"/>
      <c r="E254" s="98"/>
      <c r="F254" s="99"/>
      <c r="G254" s="101"/>
      <c r="H254" s="278"/>
      <c r="I254" s="101"/>
      <c r="J254" s="101"/>
      <c r="K254" s="101"/>
      <c r="L254" s="102"/>
      <c r="M254" s="102"/>
      <c r="N254" s="101"/>
      <c r="O254" s="279"/>
      <c r="P254" s="279"/>
      <c r="Q254" s="229"/>
      <c r="R254" s="229"/>
      <c r="S254" s="229"/>
      <c r="T254" s="229"/>
      <c r="U254" s="229"/>
      <c r="V254" s="229"/>
      <c r="W254" s="229"/>
      <c r="X254" s="229"/>
      <c r="Y254" s="229"/>
      <c r="Z254" s="229"/>
      <c r="AA254" s="229"/>
      <c r="AB254" s="229"/>
    </row>
    <row r="255" ht="15.75" customHeight="1">
      <c r="A255" s="276"/>
      <c r="B255" s="101"/>
      <c r="C255" s="98"/>
      <c r="D255" s="100"/>
      <c r="E255" s="98"/>
      <c r="F255" s="99"/>
      <c r="G255" s="101"/>
      <c r="H255" s="278"/>
      <c r="I255" s="101"/>
      <c r="J255" s="101"/>
      <c r="K255" s="101"/>
      <c r="L255" s="102"/>
      <c r="M255" s="102"/>
      <c r="N255" s="101"/>
      <c r="O255" s="279"/>
      <c r="P255" s="279"/>
      <c r="Q255" s="229"/>
      <c r="R255" s="229"/>
      <c r="S255" s="229"/>
      <c r="T255" s="229"/>
      <c r="U255" s="229"/>
      <c r="V255" s="229"/>
      <c r="W255" s="229"/>
      <c r="X255" s="229"/>
      <c r="Y255" s="229"/>
      <c r="Z255" s="229"/>
      <c r="AA255" s="229"/>
      <c r="AB255" s="229"/>
    </row>
    <row r="256" ht="15.75" customHeight="1">
      <c r="A256" s="276"/>
      <c r="B256" s="101"/>
      <c r="C256" s="98"/>
      <c r="D256" s="100"/>
      <c r="E256" s="98"/>
      <c r="F256" s="99"/>
      <c r="G256" s="101"/>
      <c r="H256" s="278"/>
      <c r="I256" s="101"/>
      <c r="J256" s="101"/>
      <c r="K256" s="101"/>
      <c r="L256" s="102"/>
      <c r="M256" s="102"/>
      <c r="N256" s="101"/>
      <c r="O256" s="279"/>
      <c r="P256" s="279"/>
      <c r="Q256" s="229"/>
      <c r="R256" s="229"/>
      <c r="S256" s="229"/>
      <c r="T256" s="229"/>
      <c r="U256" s="229"/>
      <c r="V256" s="229"/>
      <c r="W256" s="229"/>
      <c r="X256" s="229"/>
      <c r="Y256" s="229"/>
      <c r="Z256" s="229"/>
      <c r="AA256" s="229"/>
      <c r="AB256" s="229"/>
    </row>
    <row r="257" ht="15.75" customHeight="1">
      <c r="A257" s="276"/>
      <c r="B257" s="101"/>
      <c r="C257" s="98"/>
      <c r="D257" s="100"/>
      <c r="E257" s="98"/>
      <c r="F257" s="99"/>
      <c r="G257" s="101"/>
      <c r="H257" s="278"/>
      <c r="I257" s="101"/>
      <c r="J257" s="101"/>
      <c r="K257" s="101"/>
      <c r="L257" s="102"/>
      <c r="M257" s="102"/>
      <c r="N257" s="101"/>
      <c r="O257" s="279"/>
      <c r="P257" s="279"/>
      <c r="Q257" s="229"/>
      <c r="R257" s="229"/>
      <c r="S257" s="229"/>
      <c r="T257" s="229"/>
      <c r="U257" s="229"/>
      <c r="V257" s="229"/>
      <c r="W257" s="229"/>
      <c r="X257" s="229"/>
      <c r="Y257" s="229"/>
      <c r="Z257" s="229"/>
      <c r="AA257" s="229"/>
      <c r="AB257" s="229"/>
    </row>
    <row r="258" ht="15.75" customHeight="1">
      <c r="A258" s="276"/>
      <c r="B258" s="101"/>
      <c r="C258" s="98"/>
      <c r="D258" s="100"/>
      <c r="E258" s="98"/>
      <c r="F258" s="99"/>
      <c r="G258" s="101"/>
      <c r="H258" s="278"/>
      <c r="I258" s="101"/>
      <c r="J258" s="101"/>
      <c r="K258" s="101"/>
      <c r="L258" s="102"/>
      <c r="M258" s="102"/>
      <c r="N258" s="101"/>
      <c r="O258" s="279"/>
      <c r="P258" s="279"/>
      <c r="Q258" s="229"/>
      <c r="R258" s="229"/>
      <c r="S258" s="229"/>
      <c r="T258" s="229"/>
      <c r="U258" s="229"/>
      <c r="V258" s="229"/>
      <c r="W258" s="229"/>
      <c r="X258" s="229"/>
      <c r="Y258" s="229"/>
      <c r="Z258" s="229"/>
      <c r="AA258" s="229"/>
      <c r="AB258" s="229"/>
    </row>
    <row r="259" ht="15.75" customHeight="1">
      <c r="A259" s="276"/>
      <c r="B259" s="101"/>
      <c r="C259" s="98"/>
      <c r="D259" s="100"/>
      <c r="E259" s="98"/>
      <c r="F259" s="99"/>
      <c r="G259" s="101"/>
      <c r="H259" s="278"/>
      <c r="I259" s="101"/>
      <c r="J259" s="101"/>
      <c r="K259" s="101"/>
      <c r="L259" s="102"/>
      <c r="M259" s="102"/>
      <c r="N259" s="101"/>
      <c r="O259" s="279"/>
      <c r="P259" s="279"/>
      <c r="Q259" s="229"/>
      <c r="R259" s="229"/>
      <c r="S259" s="229"/>
      <c r="T259" s="229"/>
      <c r="U259" s="229"/>
      <c r="V259" s="229"/>
      <c r="W259" s="229"/>
      <c r="X259" s="229"/>
      <c r="Y259" s="229"/>
      <c r="Z259" s="229"/>
      <c r="AA259" s="229"/>
      <c r="AB259" s="229"/>
    </row>
    <row r="260" ht="15.75" customHeight="1">
      <c r="A260" s="276"/>
      <c r="B260" s="101"/>
      <c r="C260" s="98"/>
      <c r="D260" s="100"/>
      <c r="E260" s="98"/>
      <c r="F260" s="99"/>
      <c r="G260" s="101"/>
      <c r="H260" s="278"/>
      <c r="I260" s="101"/>
      <c r="J260" s="101"/>
      <c r="K260" s="101"/>
      <c r="L260" s="102"/>
      <c r="M260" s="102"/>
      <c r="N260" s="101"/>
      <c r="O260" s="279"/>
      <c r="P260" s="279"/>
      <c r="Q260" s="229"/>
      <c r="R260" s="229"/>
      <c r="S260" s="229"/>
      <c r="T260" s="229"/>
      <c r="U260" s="229"/>
      <c r="V260" s="229"/>
      <c r="W260" s="229"/>
      <c r="X260" s="229"/>
      <c r="Y260" s="229"/>
      <c r="Z260" s="229"/>
      <c r="AA260" s="229"/>
      <c r="AB260" s="229"/>
    </row>
    <row r="261" ht="15.75" customHeight="1">
      <c r="A261" s="276"/>
      <c r="B261" s="101"/>
      <c r="C261" s="98"/>
      <c r="D261" s="100"/>
      <c r="E261" s="98"/>
      <c r="F261" s="99"/>
      <c r="G261" s="101"/>
      <c r="H261" s="278"/>
      <c r="I261" s="101"/>
      <c r="J261" s="101"/>
      <c r="K261" s="101"/>
      <c r="L261" s="102"/>
      <c r="M261" s="102"/>
      <c r="N261" s="101"/>
      <c r="O261" s="279"/>
      <c r="P261" s="279"/>
      <c r="Q261" s="229"/>
      <c r="R261" s="229"/>
      <c r="S261" s="229"/>
      <c r="T261" s="229"/>
      <c r="U261" s="229"/>
      <c r="V261" s="229"/>
      <c r="W261" s="229"/>
      <c r="X261" s="229"/>
      <c r="Y261" s="229"/>
      <c r="Z261" s="229"/>
      <c r="AA261" s="229"/>
      <c r="AB261" s="229"/>
    </row>
    <row r="262" ht="15.75" customHeight="1">
      <c r="A262" s="276"/>
      <c r="B262" s="101"/>
      <c r="C262" s="98"/>
      <c r="D262" s="100"/>
      <c r="E262" s="98"/>
      <c r="F262" s="99"/>
      <c r="G262" s="101"/>
      <c r="H262" s="278"/>
      <c r="I262" s="101"/>
      <c r="J262" s="101"/>
      <c r="K262" s="101"/>
      <c r="L262" s="102"/>
      <c r="M262" s="102"/>
      <c r="N262" s="101"/>
      <c r="O262" s="279"/>
      <c r="P262" s="279"/>
      <c r="Q262" s="229"/>
      <c r="R262" s="229"/>
      <c r="S262" s="229"/>
      <c r="T262" s="229"/>
      <c r="U262" s="229"/>
      <c r="V262" s="229"/>
      <c r="W262" s="229"/>
      <c r="X262" s="229"/>
      <c r="Y262" s="229"/>
      <c r="Z262" s="229"/>
      <c r="AA262" s="229"/>
      <c r="AB262" s="229"/>
    </row>
    <row r="263" ht="15.75" customHeight="1">
      <c r="A263" s="276"/>
      <c r="B263" s="101"/>
      <c r="C263" s="98"/>
      <c r="D263" s="100"/>
      <c r="E263" s="98"/>
      <c r="F263" s="99"/>
      <c r="G263" s="101"/>
      <c r="H263" s="278"/>
      <c r="I263" s="101"/>
      <c r="J263" s="101"/>
      <c r="K263" s="101"/>
      <c r="L263" s="102"/>
      <c r="M263" s="102"/>
      <c r="N263" s="101"/>
      <c r="O263" s="279"/>
      <c r="P263" s="279"/>
      <c r="Q263" s="229"/>
      <c r="R263" s="229"/>
      <c r="S263" s="229"/>
      <c r="T263" s="229"/>
      <c r="U263" s="229"/>
      <c r="V263" s="229"/>
      <c r="W263" s="229"/>
      <c r="X263" s="229"/>
      <c r="Y263" s="229"/>
      <c r="Z263" s="229"/>
      <c r="AA263" s="229"/>
      <c r="AB263" s="229"/>
    </row>
    <row r="264" ht="15.75" customHeight="1">
      <c r="A264" s="276"/>
      <c r="B264" s="101"/>
      <c r="C264" s="98"/>
      <c r="D264" s="100"/>
      <c r="E264" s="98"/>
      <c r="F264" s="99"/>
      <c r="G264" s="101"/>
      <c r="H264" s="278"/>
      <c r="I264" s="101"/>
      <c r="J264" s="101"/>
      <c r="K264" s="101"/>
      <c r="L264" s="102"/>
      <c r="M264" s="102"/>
      <c r="N264" s="101"/>
      <c r="O264" s="279"/>
      <c r="P264" s="279"/>
      <c r="Q264" s="229"/>
      <c r="R264" s="229"/>
      <c r="S264" s="229"/>
      <c r="T264" s="229"/>
      <c r="U264" s="229"/>
      <c r="V264" s="229"/>
      <c r="W264" s="229"/>
      <c r="X264" s="229"/>
      <c r="Y264" s="229"/>
      <c r="Z264" s="229"/>
      <c r="AA264" s="229"/>
      <c r="AB264" s="229"/>
    </row>
    <row r="265" ht="15.75" customHeight="1">
      <c r="A265" s="276"/>
      <c r="B265" s="101"/>
      <c r="C265" s="98"/>
      <c r="D265" s="100"/>
      <c r="E265" s="98"/>
      <c r="F265" s="99"/>
      <c r="G265" s="101"/>
      <c r="H265" s="278"/>
      <c r="I265" s="101"/>
      <c r="J265" s="101"/>
      <c r="K265" s="101"/>
      <c r="L265" s="102"/>
      <c r="M265" s="102"/>
      <c r="N265" s="101"/>
      <c r="O265" s="279"/>
      <c r="P265" s="279"/>
      <c r="Q265" s="229"/>
      <c r="R265" s="229"/>
      <c r="S265" s="229"/>
      <c r="T265" s="229"/>
      <c r="U265" s="229"/>
      <c r="V265" s="229"/>
      <c r="W265" s="229"/>
      <c r="X265" s="229"/>
      <c r="Y265" s="229"/>
      <c r="Z265" s="229"/>
      <c r="AA265" s="229"/>
      <c r="AB265" s="229"/>
    </row>
    <row r="266" ht="15.75" customHeight="1">
      <c r="A266" s="276"/>
      <c r="B266" s="101"/>
      <c r="C266" s="98"/>
      <c r="D266" s="100"/>
      <c r="E266" s="98"/>
      <c r="F266" s="99"/>
      <c r="G266" s="101"/>
      <c r="H266" s="278"/>
      <c r="I266" s="101"/>
      <c r="J266" s="101"/>
      <c r="K266" s="101"/>
      <c r="L266" s="102"/>
      <c r="M266" s="102"/>
      <c r="N266" s="101"/>
      <c r="O266" s="279"/>
      <c r="P266" s="279"/>
      <c r="Q266" s="229"/>
      <c r="R266" s="229"/>
      <c r="S266" s="229"/>
      <c r="T266" s="229"/>
      <c r="U266" s="229"/>
      <c r="V266" s="229"/>
      <c r="W266" s="229"/>
      <c r="X266" s="229"/>
      <c r="Y266" s="229"/>
      <c r="Z266" s="229"/>
      <c r="AA266" s="229"/>
      <c r="AB266" s="229"/>
    </row>
    <row r="267" ht="15.75" customHeight="1">
      <c r="A267" s="276"/>
      <c r="B267" s="101"/>
      <c r="C267" s="98"/>
      <c r="D267" s="100"/>
      <c r="E267" s="98"/>
      <c r="F267" s="99"/>
      <c r="G267" s="101"/>
      <c r="H267" s="278"/>
      <c r="I267" s="101"/>
      <c r="J267" s="101"/>
      <c r="K267" s="101"/>
      <c r="L267" s="102"/>
      <c r="M267" s="102"/>
      <c r="N267" s="101"/>
      <c r="O267" s="279"/>
      <c r="P267" s="279"/>
      <c r="Q267" s="229"/>
      <c r="R267" s="229"/>
      <c r="S267" s="229"/>
      <c r="T267" s="229"/>
      <c r="U267" s="229"/>
      <c r="V267" s="229"/>
      <c r="W267" s="229"/>
      <c r="X267" s="229"/>
      <c r="Y267" s="229"/>
      <c r="Z267" s="229"/>
      <c r="AA267" s="229"/>
      <c r="AB267" s="229"/>
    </row>
    <row r="268" ht="15.75" customHeight="1">
      <c r="A268" s="276"/>
      <c r="B268" s="101"/>
      <c r="C268" s="98"/>
      <c r="D268" s="100"/>
      <c r="E268" s="98"/>
      <c r="F268" s="99"/>
      <c r="G268" s="101"/>
      <c r="H268" s="278"/>
      <c r="I268" s="101"/>
      <c r="J268" s="101"/>
      <c r="K268" s="101"/>
      <c r="L268" s="102"/>
      <c r="M268" s="102"/>
      <c r="N268" s="101"/>
      <c r="O268" s="279"/>
      <c r="P268" s="279"/>
      <c r="Q268" s="229"/>
      <c r="R268" s="229"/>
      <c r="S268" s="229"/>
      <c r="T268" s="229"/>
      <c r="U268" s="229"/>
      <c r="V268" s="229"/>
      <c r="W268" s="229"/>
      <c r="X268" s="229"/>
      <c r="Y268" s="229"/>
      <c r="Z268" s="229"/>
      <c r="AA268" s="229"/>
      <c r="AB268" s="229"/>
    </row>
    <row r="269" ht="15.75" customHeight="1">
      <c r="A269" s="276"/>
      <c r="B269" s="101"/>
      <c r="C269" s="98"/>
      <c r="D269" s="100"/>
      <c r="E269" s="98"/>
      <c r="F269" s="99"/>
      <c r="G269" s="101"/>
      <c r="H269" s="278"/>
      <c r="I269" s="101"/>
      <c r="J269" s="101"/>
      <c r="K269" s="101"/>
      <c r="L269" s="102"/>
      <c r="M269" s="102"/>
      <c r="N269" s="101"/>
      <c r="O269" s="279"/>
      <c r="P269" s="279"/>
      <c r="Q269" s="229"/>
      <c r="R269" s="229"/>
      <c r="S269" s="229"/>
      <c r="T269" s="229"/>
      <c r="U269" s="229"/>
      <c r="V269" s="229"/>
      <c r="W269" s="229"/>
      <c r="X269" s="229"/>
      <c r="Y269" s="229"/>
      <c r="Z269" s="229"/>
      <c r="AA269" s="229"/>
      <c r="AB269" s="229"/>
    </row>
    <row r="270" ht="15.75" customHeight="1">
      <c r="A270" s="276"/>
      <c r="B270" s="101"/>
      <c r="C270" s="98"/>
      <c r="D270" s="100"/>
      <c r="E270" s="98"/>
      <c r="F270" s="99"/>
      <c r="G270" s="101"/>
      <c r="H270" s="278"/>
      <c r="I270" s="101"/>
      <c r="J270" s="101"/>
      <c r="K270" s="101"/>
      <c r="L270" s="102"/>
      <c r="M270" s="102"/>
      <c r="N270" s="101"/>
      <c r="O270" s="279"/>
      <c r="P270" s="279"/>
      <c r="Q270" s="229"/>
      <c r="R270" s="229"/>
      <c r="S270" s="229"/>
      <c r="T270" s="229"/>
      <c r="U270" s="229"/>
      <c r="V270" s="229"/>
      <c r="W270" s="229"/>
      <c r="X270" s="229"/>
      <c r="Y270" s="229"/>
      <c r="Z270" s="229"/>
      <c r="AA270" s="229"/>
      <c r="AB270" s="229"/>
    </row>
    <row r="271" ht="15.75" customHeight="1">
      <c r="A271" s="276"/>
      <c r="B271" s="101"/>
      <c r="C271" s="98"/>
      <c r="D271" s="100"/>
      <c r="E271" s="98"/>
      <c r="F271" s="99"/>
      <c r="G271" s="101"/>
      <c r="H271" s="278"/>
      <c r="I271" s="101"/>
      <c r="J271" s="101"/>
      <c r="K271" s="101"/>
      <c r="L271" s="102"/>
      <c r="M271" s="102"/>
      <c r="N271" s="101"/>
      <c r="O271" s="279"/>
      <c r="P271" s="279"/>
      <c r="Q271" s="229"/>
      <c r="R271" s="229"/>
      <c r="S271" s="229"/>
      <c r="T271" s="229"/>
      <c r="U271" s="229"/>
      <c r="V271" s="229"/>
      <c r="W271" s="229"/>
      <c r="X271" s="229"/>
      <c r="Y271" s="229"/>
      <c r="Z271" s="229"/>
      <c r="AA271" s="229"/>
      <c r="AB271" s="229"/>
    </row>
    <row r="272" ht="15.75" customHeight="1">
      <c r="A272" s="276"/>
      <c r="B272" s="101"/>
      <c r="C272" s="98"/>
      <c r="D272" s="100"/>
      <c r="E272" s="98"/>
      <c r="F272" s="99"/>
      <c r="G272" s="101"/>
      <c r="H272" s="278"/>
      <c r="I272" s="101"/>
      <c r="J272" s="101"/>
      <c r="K272" s="101"/>
      <c r="L272" s="102"/>
      <c r="M272" s="102"/>
      <c r="N272" s="101"/>
      <c r="O272" s="279"/>
      <c r="P272" s="279"/>
      <c r="Q272" s="229"/>
      <c r="R272" s="229"/>
      <c r="S272" s="229"/>
      <c r="T272" s="229"/>
      <c r="U272" s="229"/>
      <c r="V272" s="229"/>
      <c r="W272" s="229"/>
      <c r="X272" s="229"/>
      <c r="Y272" s="229"/>
      <c r="Z272" s="229"/>
      <c r="AA272" s="229"/>
      <c r="AB272" s="229"/>
    </row>
    <row r="273" ht="15.75" customHeight="1">
      <c r="A273" s="276"/>
      <c r="B273" s="101"/>
      <c r="C273" s="98"/>
      <c r="D273" s="100"/>
      <c r="E273" s="98"/>
      <c r="F273" s="99"/>
      <c r="G273" s="101"/>
      <c r="H273" s="278"/>
      <c r="I273" s="101"/>
      <c r="J273" s="101"/>
      <c r="K273" s="101"/>
      <c r="L273" s="102"/>
      <c r="M273" s="102"/>
      <c r="N273" s="101"/>
      <c r="O273" s="279"/>
      <c r="P273" s="279"/>
      <c r="Q273" s="229"/>
      <c r="R273" s="229"/>
      <c r="S273" s="229"/>
      <c r="T273" s="229"/>
      <c r="U273" s="229"/>
      <c r="V273" s="229"/>
      <c r="W273" s="229"/>
      <c r="X273" s="229"/>
      <c r="Y273" s="229"/>
      <c r="Z273" s="229"/>
      <c r="AA273" s="229"/>
      <c r="AB273" s="229"/>
    </row>
    <row r="274" ht="15.75" customHeight="1">
      <c r="A274" s="276"/>
      <c r="B274" s="101"/>
      <c r="C274" s="98"/>
      <c r="D274" s="100"/>
      <c r="E274" s="98"/>
      <c r="F274" s="99"/>
      <c r="G274" s="101"/>
      <c r="H274" s="278"/>
      <c r="I274" s="101"/>
      <c r="J274" s="101"/>
      <c r="K274" s="101"/>
      <c r="L274" s="102"/>
      <c r="M274" s="102"/>
      <c r="N274" s="101"/>
      <c r="O274" s="279"/>
      <c r="P274" s="27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  <c r="AA274" s="229"/>
      <c r="AB274" s="229"/>
    </row>
    <row r="275" ht="15.75" customHeight="1">
      <c r="A275" s="276"/>
      <c r="B275" s="101"/>
      <c r="C275" s="98"/>
      <c r="D275" s="100"/>
      <c r="E275" s="98"/>
      <c r="F275" s="99"/>
      <c r="G275" s="101"/>
      <c r="H275" s="278"/>
      <c r="I275" s="101"/>
      <c r="J275" s="101"/>
      <c r="K275" s="101"/>
      <c r="L275" s="102"/>
      <c r="M275" s="102"/>
      <c r="N275" s="101"/>
      <c r="O275" s="279"/>
      <c r="P275" s="27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  <c r="AA275" s="229"/>
      <c r="AB275" s="229"/>
    </row>
    <row r="276" ht="15.75" customHeight="1">
      <c r="A276" s="276"/>
      <c r="B276" s="101"/>
      <c r="C276" s="98"/>
      <c r="D276" s="100"/>
      <c r="E276" s="98"/>
      <c r="F276" s="99"/>
      <c r="G276" s="101"/>
      <c r="H276" s="278"/>
      <c r="I276" s="101"/>
      <c r="J276" s="101"/>
      <c r="K276" s="101"/>
      <c r="L276" s="102"/>
      <c r="M276" s="102"/>
      <c r="N276" s="101"/>
      <c r="O276" s="279"/>
      <c r="P276" s="27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  <c r="AA276" s="229"/>
      <c r="AB276" s="229"/>
    </row>
    <row r="277" ht="15.75" customHeight="1">
      <c r="A277" s="276"/>
      <c r="B277" s="101"/>
      <c r="C277" s="98"/>
      <c r="D277" s="100"/>
      <c r="E277" s="98"/>
      <c r="F277" s="99"/>
      <c r="G277" s="101"/>
      <c r="H277" s="278"/>
      <c r="I277" s="101"/>
      <c r="J277" s="101"/>
      <c r="K277" s="101"/>
      <c r="L277" s="102"/>
      <c r="M277" s="102"/>
      <c r="N277" s="101"/>
      <c r="O277" s="279"/>
      <c r="P277" s="27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  <c r="AA277" s="229"/>
      <c r="AB277" s="229"/>
    </row>
    <row r="278" ht="15.75" customHeight="1">
      <c r="A278" s="276"/>
      <c r="B278" s="101"/>
      <c r="C278" s="98"/>
      <c r="D278" s="100"/>
      <c r="E278" s="98"/>
      <c r="F278" s="99"/>
      <c r="G278" s="101"/>
      <c r="H278" s="278"/>
      <c r="I278" s="101"/>
      <c r="J278" s="101"/>
      <c r="K278" s="101"/>
      <c r="L278" s="102"/>
      <c r="M278" s="102"/>
      <c r="N278" s="101"/>
      <c r="O278" s="279"/>
      <c r="P278" s="279"/>
      <c r="Q278" s="229"/>
      <c r="R278" s="229"/>
      <c r="S278" s="229"/>
      <c r="T278" s="229"/>
      <c r="U278" s="229"/>
      <c r="V278" s="229"/>
      <c r="W278" s="229"/>
      <c r="X278" s="229"/>
      <c r="Y278" s="229"/>
      <c r="Z278" s="229"/>
      <c r="AA278" s="229"/>
      <c r="AB278" s="229"/>
    </row>
    <row r="279" ht="15.75" customHeight="1">
      <c r="A279" s="276"/>
      <c r="B279" s="101"/>
      <c r="C279" s="98"/>
      <c r="D279" s="100"/>
      <c r="E279" s="98"/>
      <c r="F279" s="99"/>
      <c r="G279" s="101"/>
      <c r="H279" s="278"/>
      <c r="I279" s="101"/>
      <c r="J279" s="101"/>
      <c r="K279" s="101"/>
      <c r="L279" s="102"/>
      <c r="M279" s="102"/>
      <c r="N279" s="101"/>
      <c r="O279" s="279"/>
      <c r="P279" s="279"/>
      <c r="Q279" s="229"/>
      <c r="R279" s="229"/>
      <c r="S279" s="229"/>
      <c r="T279" s="229"/>
      <c r="U279" s="229"/>
      <c r="V279" s="229"/>
      <c r="W279" s="229"/>
      <c r="X279" s="229"/>
      <c r="Y279" s="229"/>
      <c r="Z279" s="229"/>
      <c r="AA279" s="229"/>
      <c r="AB279" s="229"/>
    </row>
    <row r="280" ht="15.75" customHeight="1">
      <c r="A280" s="276"/>
      <c r="B280" s="101"/>
      <c r="C280" s="98"/>
      <c r="D280" s="100"/>
      <c r="E280" s="98"/>
      <c r="F280" s="99"/>
      <c r="G280" s="101"/>
      <c r="H280" s="278"/>
      <c r="I280" s="101"/>
      <c r="J280" s="101"/>
      <c r="K280" s="101"/>
      <c r="L280" s="102"/>
      <c r="M280" s="102"/>
      <c r="N280" s="101"/>
      <c r="O280" s="279"/>
      <c r="P280" s="279"/>
      <c r="Q280" s="229"/>
      <c r="R280" s="229"/>
      <c r="S280" s="229"/>
      <c r="T280" s="229"/>
      <c r="U280" s="229"/>
      <c r="V280" s="229"/>
      <c r="W280" s="229"/>
      <c r="X280" s="229"/>
      <c r="Y280" s="229"/>
      <c r="Z280" s="229"/>
      <c r="AA280" s="229"/>
      <c r="AB280" s="229"/>
    </row>
    <row r="281" ht="15.75" customHeight="1">
      <c r="A281" s="276"/>
      <c r="B281" s="101"/>
      <c r="C281" s="98"/>
      <c r="D281" s="100"/>
      <c r="E281" s="98"/>
      <c r="F281" s="99"/>
      <c r="G281" s="101"/>
      <c r="H281" s="278"/>
      <c r="I281" s="101"/>
      <c r="J281" s="101"/>
      <c r="K281" s="101"/>
      <c r="L281" s="102"/>
      <c r="M281" s="102"/>
      <c r="N281" s="101"/>
      <c r="O281" s="279"/>
      <c r="P281" s="279"/>
      <c r="Q281" s="229"/>
      <c r="R281" s="229"/>
      <c r="S281" s="229"/>
      <c r="T281" s="229"/>
      <c r="U281" s="229"/>
      <c r="V281" s="229"/>
      <c r="W281" s="229"/>
      <c r="X281" s="229"/>
      <c r="Y281" s="229"/>
      <c r="Z281" s="229"/>
      <c r="AA281" s="229"/>
      <c r="AB281" s="229"/>
    </row>
    <row r="282" ht="15.75" customHeight="1">
      <c r="A282" s="276"/>
      <c r="B282" s="101"/>
      <c r="C282" s="98"/>
      <c r="D282" s="100"/>
      <c r="E282" s="98"/>
      <c r="F282" s="99"/>
      <c r="G282" s="101"/>
      <c r="H282" s="278"/>
      <c r="I282" s="101"/>
      <c r="J282" s="101"/>
      <c r="K282" s="101"/>
      <c r="L282" s="102"/>
      <c r="M282" s="102"/>
      <c r="N282" s="101"/>
      <c r="O282" s="279"/>
      <c r="P282" s="279"/>
      <c r="Q282" s="229"/>
      <c r="R282" s="229"/>
      <c r="S282" s="229"/>
      <c r="T282" s="229"/>
      <c r="U282" s="229"/>
      <c r="V282" s="229"/>
      <c r="W282" s="229"/>
      <c r="X282" s="229"/>
      <c r="Y282" s="229"/>
      <c r="Z282" s="229"/>
      <c r="AA282" s="229"/>
      <c r="AB282" s="229"/>
    </row>
    <row r="283" ht="15.75" customHeight="1">
      <c r="A283" s="276"/>
      <c r="B283" s="101"/>
      <c r="C283" s="98"/>
      <c r="D283" s="100"/>
      <c r="E283" s="98"/>
      <c r="F283" s="99"/>
      <c r="G283" s="101"/>
      <c r="H283" s="278"/>
      <c r="I283" s="101"/>
      <c r="J283" s="101"/>
      <c r="K283" s="101"/>
      <c r="L283" s="102"/>
      <c r="M283" s="102"/>
      <c r="N283" s="101"/>
      <c r="O283" s="279"/>
      <c r="P283" s="279"/>
      <c r="Q283" s="229"/>
      <c r="R283" s="229"/>
      <c r="S283" s="229"/>
      <c r="T283" s="229"/>
      <c r="U283" s="229"/>
      <c r="V283" s="229"/>
      <c r="W283" s="229"/>
      <c r="X283" s="229"/>
      <c r="Y283" s="229"/>
      <c r="Z283" s="229"/>
      <c r="AA283" s="229"/>
      <c r="AB283" s="229"/>
    </row>
    <row r="284" ht="15.75" customHeight="1">
      <c r="A284" s="276"/>
      <c r="B284" s="101"/>
      <c r="C284" s="98"/>
      <c r="D284" s="100"/>
      <c r="E284" s="98"/>
      <c r="F284" s="99"/>
      <c r="G284" s="101"/>
      <c r="H284" s="278"/>
      <c r="I284" s="101"/>
      <c r="J284" s="101"/>
      <c r="K284" s="101"/>
      <c r="L284" s="102"/>
      <c r="M284" s="102"/>
      <c r="N284" s="101"/>
      <c r="O284" s="279"/>
      <c r="P284" s="279"/>
      <c r="Q284" s="229"/>
      <c r="R284" s="229"/>
      <c r="S284" s="229"/>
      <c r="T284" s="229"/>
      <c r="U284" s="229"/>
      <c r="V284" s="229"/>
      <c r="W284" s="229"/>
      <c r="X284" s="229"/>
      <c r="Y284" s="229"/>
      <c r="Z284" s="229"/>
      <c r="AA284" s="229"/>
      <c r="AB284" s="229"/>
    </row>
    <row r="285" ht="15.75" customHeight="1">
      <c r="A285" s="276"/>
      <c r="B285" s="101"/>
      <c r="C285" s="98"/>
      <c r="D285" s="100"/>
      <c r="E285" s="98"/>
      <c r="F285" s="99"/>
      <c r="G285" s="101"/>
      <c r="H285" s="278"/>
      <c r="I285" s="101"/>
      <c r="J285" s="101"/>
      <c r="K285" s="101"/>
      <c r="L285" s="102"/>
      <c r="M285" s="102"/>
      <c r="N285" s="101"/>
      <c r="O285" s="279"/>
      <c r="P285" s="279"/>
      <c r="Q285" s="229"/>
      <c r="R285" s="229"/>
      <c r="S285" s="229"/>
      <c r="T285" s="229"/>
      <c r="U285" s="229"/>
      <c r="V285" s="229"/>
      <c r="W285" s="229"/>
      <c r="X285" s="229"/>
      <c r="Y285" s="229"/>
      <c r="Z285" s="229"/>
      <c r="AA285" s="229"/>
      <c r="AB285" s="229"/>
    </row>
    <row r="286" ht="15.75" customHeight="1">
      <c r="A286" s="276"/>
      <c r="B286" s="101"/>
      <c r="C286" s="98"/>
      <c r="D286" s="100"/>
      <c r="E286" s="98"/>
      <c r="F286" s="99"/>
      <c r="G286" s="101"/>
      <c r="H286" s="278"/>
      <c r="I286" s="101"/>
      <c r="J286" s="101"/>
      <c r="K286" s="101"/>
      <c r="L286" s="102"/>
      <c r="M286" s="102"/>
      <c r="N286" s="101"/>
      <c r="O286" s="279"/>
      <c r="P286" s="279"/>
      <c r="Q286" s="229"/>
      <c r="R286" s="229"/>
      <c r="S286" s="229"/>
      <c r="T286" s="229"/>
      <c r="U286" s="229"/>
      <c r="V286" s="229"/>
      <c r="W286" s="229"/>
      <c r="X286" s="229"/>
      <c r="Y286" s="229"/>
      <c r="Z286" s="229"/>
      <c r="AA286" s="229"/>
      <c r="AB286" s="229"/>
    </row>
    <row r="287" ht="15.75" customHeight="1">
      <c r="A287" s="276"/>
      <c r="B287" s="101"/>
      <c r="C287" s="98"/>
      <c r="D287" s="100"/>
      <c r="E287" s="98"/>
      <c r="F287" s="99"/>
      <c r="G287" s="101"/>
      <c r="H287" s="278"/>
      <c r="I287" s="101"/>
      <c r="J287" s="101"/>
      <c r="K287" s="101"/>
      <c r="L287" s="102"/>
      <c r="M287" s="102"/>
      <c r="N287" s="101"/>
      <c r="O287" s="279"/>
      <c r="P287" s="279"/>
      <c r="Q287" s="229"/>
      <c r="R287" s="229"/>
      <c r="S287" s="229"/>
      <c r="T287" s="229"/>
      <c r="U287" s="229"/>
      <c r="V287" s="229"/>
      <c r="W287" s="229"/>
      <c r="X287" s="229"/>
      <c r="Y287" s="229"/>
      <c r="Z287" s="229"/>
      <c r="AA287" s="229"/>
      <c r="AB287" s="229"/>
    </row>
    <row r="288" ht="15.75" customHeight="1">
      <c r="A288" s="276"/>
      <c r="B288" s="101"/>
      <c r="C288" s="98"/>
      <c r="D288" s="100"/>
      <c r="E288" s="98"/>
      <c r="F288" s="99"/>
      <c r="G288" s="101"/>
      <c r="H288" s="278"/>
      <c r="I288" s="101"/>
      <c r="J288" s="101"/>
      <c r="K288" s="101"/>
      <c r="L288" s="102"/>
      <c r="M288" s="102"/>
      <c r="N288" s="101"/>
      <c r="O288" s="279"/>
      <c r="P288" s="279"/>
      <c r="Q288" s="229"/>
      <c r="R288" s="229"/>
      <c r="S288" s="229"/>
      <c r="T288" s="229"/>
      <c r="U288" s="229"/>
      <c r="V288" s="229"/>
      <c r="W288" s="229"/>
      <c r="X288" s="229"/>
      <c r="Y288" s="229"/>
      <c r="Z288" s="229"/>
      <c r="AA288" s="229"/>
      <c r="AB288" s="229"/>
    </row>
    <row r="289" ht="15.75" customHeight="1">
      <c r="A289" s="276"/>
      <c r="B289" s="101"/>
      <c r="C289" s="98"/>
      <c r="D289" s="100"/>
      <c r="E289" s="98"/>
      <c r="F289" s="99"/>
      <c r="G289" s="101"/>
      <c r="H289" s="278"/>
      <c r="I289" s="101"/>
      <c r="J289" s="101"/>
      <c r="K289" s="101"/>
      <c r="L289" s="102"/>
      <c r="M289" s="102"/>
      <c r="N289" s="101"/>
      <c r="O289" s="279"/>
      <c r="P289" s="279"/>
      <c r="Q289" s="229"/>
      <c r="R289" s="229"/>
      <c r="S289" s="229"/>
      <c r="T289" s="229"/>
      <c r="U289" s="229"/>
      <c r="V289" s="229"/>
      <c r="W289" s="229"/>
      <c r="X289" s="229"/>
      <c r="Y289" s="229"/>
      <c r="Z289" s="229"/>
      <c r="AA289" s="229"/>
      <c r="AB289" s="229"/>
    </row>
    <row r="290" ht="15.75" customHeight="1">
      <c r="A290" s="276"/>
      <c r="B290" s="101"/>
      <c r="C290" s="98"/>
      <c r="D290" s="100"/>
      <c r="E290" s="98"/>
      <c r="F290" s="99"/>
      <c r="G290" s="101"/>
      <c r="H290" s="278"/>
      <c r="I290" s="101"/>
      <c r="J290" s="101"/>
      <c r="K290" s="101"/>
      <c r="L290" s="102"/>
      <c r="M290" s="102"/>
      <c r="N290" s="101"/>
      <c r="O290" s="279"/>
      <c r="P290" s="279"/>
      <c r="Q290" s="229"/>
      <c r="R290" s="229"/>
      <c r="S290" s="229"/>
      <c r="T290" s="229"/>
      <c r="U290" s="229"/>
      <c r="V290" s="229"/>
      <c r="W290" s="229"/>
      <c r="X290" s="229"/>
      <c r="Y290" s="229"/>
      <c r="Z290" s="229"/>
      <c r="AA290" s="229"/>
      <c r="AB290" s="229"/>
    </row>
    <row r="291" ht="15.75" customHeight="1">
      <c r="A291" s="276"/>
      <c r="B291" s="101"/>
      <c r="C291" s="98"/>
      <c r="D291" s="100"/>
      <c r="E291" s="98"/>
      <c r="F291" s="99"/>
      <c r="G291" s="101"/>
      <c r="H291" s="278"/>
      <c r="I291" s="101"/>
      <c r="J291" s="101"/>
      <c r="K291" s="101"/>
      <c r="L291" s="102"/>
      <c r="M291" s="102"/>
      <c r="N291" s="101"/>
      <c r="O291" s="279"/>
      <c r="P291" s="279"/>
      <c r="Q291" s="229"/>
      <c r="R291" s="229"/>
      <c r="S291" s="229"/>
      <c r="T291" s="229"/>
      <c r="U291" s="229"/>
      <c r="V291" s="229"/>
      <c r="W291" s="229"/>
      <c r="X291" s="229"/>
      <c r="Y291" s="229"/>
      <c r="Z291" s="229"/>
      <c r="AA291" s="229"/>
      <c r="AB291" s="229"/>
    </row>
    <row r="292" ht="15.75" customHeight="1">
      <c r="A292" s="276"/>
      <c r="B292" s="101"/>
      <c r="C292" s="98"/>
      <c r="D292" s="100"/>
      <c r="E292" s="98"/>
      <c r="F292" s="99"/>
      <c r="G292" s="101"/>
      <c r="H292" s="278"/>
      <c r="I292" s="101"/>
      <c r="J292" s="101"/>
      <c r="K292" s="101"/>
      <c r="L292" s="102"/>
      <c r="M292" s="102"/>
      <c r="N292" s="101"/>
      <c r="O292" s="279"/>
      <c r="P292" s="279"/>
      <c r="Q292" s="229"/>
      <c r="R292" s="229"/>
      <c r="S292" s="229"/>
      <c r="T292" s="229"/>
      <c r="U292" s="229"/>
      <c r="V292" s="229"/>
      <c r="W292" s="229"/>
      <c r="X292" s="229"/>
      <c r="Y292" s="229"/>
      <c r="Z292" s="229"/>
      <c r="AA292" s="229"/>
      <c r="AB292" s="229"/>
    </row>
    <row r="293" ht="15.75" customHeight="1">
      <c r="A293" s="276"/>
      <c r="B293" s="101"/>
      <c r="C293" s="98"/>
      <c r="D293" s="100"/>
      <c r="E293" s="98"/>
      <c r="F293" s="99"/>
      <c r="G293" s="101"/>
      <c r="H293" s="278"/>
      <c r="I293" s="101"/>
      <c r="J293" s="101"/>
      <c r="K293" s="101"/>
      <c r="L293" s="102"/>
      <c r="M293" s="102"/>
      <c r="N293" s="101"/>
      <c r="O293" s="279"/>
      <c r="P293" s="279"/>
      <c r="Q293" s="229"/>
      <c r="R293" s="229"/>
      <c r="S293" s="229"/>
      <c r="T293" s="229"/>
      <c r="U293" s="229"/>
      <c r="V293" s="229"/>
      <c r="W293" s="229"/>
      <c r="X293" s="229"/>
      <c r="Y293" s="229"/>
      <c r="Z293" s="229"/>
      <c r="AA293" s="229"/>
      <c r="AB293" s="229"/>
    </row>
    <row r="294" ht="15.75" customHeight="1">
      <c r="A294" s="276"/>
      <c r="B294" s="101"/>
      <c r="C294" s="98"/>
      <c r="D294" s="100"/>
      <c r="E294" s="98"/>
      <c r="F294" s="99"/>
      <c r="G294" s="101"/>
      <c r="H294" s="278"/>
      <c r="I294" s="101"/>
      <c r="J294" s="101"/>
      <c r="K294" s="101"/>
      <c r="L294" s="102"/>
      <c r="M294" s="102"/>
      <c r="N294" s="101"/>
      <c r="O294" s="279"/>
      <c r="P294" s="279"/>
      <c r="Q294" s="229"/>
      <c r="R294" s="229"/>
      <c r="S294" s="229"/>
      <c r="T294" s="229"/>
      <c r="U294" s="229"/>
      <c r="V294" s="229"/>
      <c r="W294" s="229"/>
      <c r="X294" s="229"/>
      <c r="Y294" s="229"/>
      <c r="Z294" s="229"/>
      <c r="AA294" s="229"/>
      <c r="AB294" s="229"/>
    </row>
    <row r="295" ht="15.75" customHeight="1">
      <c r="A295" s="276"/>
      <c r="B295" s="101"/>
      <c r="C295" s="98"/>
      <c r="D295" s="100"/>
      <c r="E295" s="98"/>
      <c r="F295" s="99"/>
      <c r="G295" s="101"/>
      <c r="H295" s="278"/>
      <c r="I295" s="101"/>
      <c r="J295" s="101"/>
      <c r="K295" s="101"/>
      <c r="L295" s="102"/>
      <c r="M295" s="102"/>
      <c r="N295" s="101"/>
      <c r="O295" s="279"/>
      <c r="P295" s="279"/>
      <c r="Q295" s="229"/>
      <c r="R295" s="229"/>
      <c r="S295" s="229"/>
      <c r="T295" s="229"/>
      <c r="U295" s="229"/>
      <c r="V295" s="229"/>
      <c r="W295" s="229"/>
      <c r="X295" s="229"/>
      <c r="Y295" s="229"/>
      <c r="Z295" s="229"/>
      <c r="AA295" s="229"/>
      <c r="AB295" s="229"/>
    </row>
    <row r="296" ht="15.75" customHeight="1">
      <c r="A296" s="276"/>
      <c r="B296" s="101"/>
      <c r="C296" s="98"/>
      <c r="D296" s="100"/>
      <c r="E296" s="98"/>
      <c r="F296" s="99"/>
      <c r="G296" s="101"/>
      <c r="H296" s="278"/>
      <c r="I296" s="101"/>
      <c r="J296" s="101"/>
      <c r="K296" s="101"/>
      <c r="L296" s="102"/>
      <c r="M296" s="102"/>
      <c r="N296" s="101"/>
      <c r="O296" s="279"/>
      <c r="P296" s="279"/>
      <c r="Q296" s="229"/>
      <c r="R296" s="229"/>
      <c r="S296" s="229"/>
      <c r="T296" s="229"/>
      <c r="U296" s="229"/>
      <c r="V296" s="229"/>
      <c r="W296" s="229"/>
      <c r="X296" s="229"/>
      <c r="Y296" s="229"/>
      <c r="Z296" s="229"/>
      <c r="AA296" s="229"/>
      <c r="AB296" s="229"/>
    </row>
    <row r="297" ht="15.75" customHeight="1">
      <c r="A297" s="276"/>
      <c r="B297" s="101"/>
      <c r="C297" s="98"/>
      <c r="D297" s="100"/>
      <c r="E297" s="98"/>
      <c r="F297" s="99"/>
      <c r="G297" s="101"/>
      <c r="H297" s="278"/>
      <c r="I297" s="101"/>
      <c r="J297" s="101"/>
      <c r="K297" s="101"/>
      <c r="L297" s="102"/>
      <c r="M297" s="102"/>
      <c r="N297" s="101"/>
      <c r="O297" s="279"/>
      <c r="P297" s="279"/>
      <c r="Q297" s="229"/>
      <c r="R297" s="229"/>
      <c r="S297" s="229"/>
      <c r="T297" s="229"/>
      <c r="U297" s="229"/>
      <c r="V297" s="229"/>
      <c r="W297" s="229"/>
      <c r="X297" s="229"/>
      <c r="Y297" s="229"/>
      <c r="Z297" s="229"/>
      <c r="AA297" s="229"/>
      <c r="AB297" s="229"/>
    </row>
    <row r="298" ht="15.75" customHeight="1">
      <c r="A298" s="276"/>
      <c r="B298" s="101"/>
      <c r="C298" s="98"/>
      <c r="D298" s="100"/>
      <c r="E298" s="98"/>
      <c r="F298" s="99"/>
      <c r="G298" s="101"/>
      <c r="H298" s="278"/>
      <c r="I298" s="101"/>
      <c r="J298" s="101"/>
      <c r="K298" s="101"/>
      <c r="L298" s="102"/>
      <c r="M298" s="102"/>
      <c r="N298" s="101"/>
      <c r="O298" s="279"/>
      <c r="P298" s="279"/>
      <c r="Q298" s="229"/>
      <c r="R298" s="229"/>
      <c r="S298" s="229"/>
      <c r="T298" s="229"/>
      <c r="U298" s="229"/>
      <c r="V298" s="229"/>
      <c r="W298" s="229"/>
      <c r="X298" s="229"/>
      <c r="Y298" s="229"/>
      <c r="Z298" s="229"/>
      <c r="AA298" s="229"/>
      <c r="AB298" s="229"/>
    </row>
    <row r="299" ht="15.75" customHeight="1">
      <c r="A299" s="276"/>
      <c r="B299" s="101"/>
      <c r="C299" s="98"/>
      <c r="D299" s="100"/>
      <c r="E299" s="98"/>
      <c r="F299" s="99"/>
      <c r="G299" s="101"/>
      <c r="H299" s="278"/>
      <c r="I299" s="101"/>
      <c r="J299" s="101"/>
      <c r="K299" s="101"/>
      <c r="L299" s="102"/>
      <c r="M299" s="102"/>
      <c r="N299" s="101"/>
      <c r="O299" s="279"/>
      <c r="P299" s="279"/>
      <c r="Q299" s="229"/>
      <c r="R299" s="229"/>
      <c r="S299" s="229"/>
      <c r="T299" s="229"/>
      <c r="U299" s="229"/>
      <c r="V299" s="229"/>
      <c r="W299" s="229"/>
      <c r="X299" s="229"/>
      <c r="Y299" s="229"/>
      <c r="Z299" s="229"/>
      <c r="AA299" s="229"/>
      <c r="AB299" s="229"/>
    </row>
    <row r="300" ht="15.75" customHeight="1">
      <c r="A300" s="276"/>
      <c r="B300" s="101"/>
      <c r="C300" s="98"/>
      <c r="D300" s="100"/>
      <c r="E300" s="98"/>
      <c r="F300" s="99"/>
      <c r="G300" s="101"/>
      <c r="H300" s="278"/>
      <c r="I300" s="101"/>
      <c r="J300" s="101"/>
      <c r="K300" s="101"/>
      <c r="L300" s="102"/>
      <c r="M300" s="102"/>
      <c r="N300" s="101"/>
      <c r="O300" s="279"/>
      <c r="P300" s="279"/>
      <c r="Q300" s="229"/>
      <c r="R300" s="229"/>
      <c r="S300" s="229"/>
      <c r="T300" s="229"/>
      <c r="U300" s="229"/>
      <c r="V300" s="229"/>
      <c r="W300" s="229"/>
      <c r="X300" s="229"/>
      <c r="Y300" s="229"/>
      <c r="Z300" s="229"/>
      <c r="AA300" s="229"/>
      <c r="AB300" s="229"/>
    </row>
    <row r="301" ht="15.75" customHeight="1">
      <c r="A301" s="276"/>
      <c r="B301" s="101"/>
      <c r="C301" s="98"/>
      <c r="D301" s="100"/>
      <c r="E301" s="98"/>
      <c r="F301" s="99"/>
      <c r="G301" s="101"/>
      <c r="H301" s="278"/>
      <c r="I301" s="101"/>
      <c r="J301" s="101"/>
      <c r="K301" s="101"/>
      <c r="L301" s="102"/>
      <c r="M301" s="102"/>
      <c r="N301" s="101"/>
      <c r="O301" s="279"/>
      <c r="P301" s="279"/>
      <c r="Q301" s="229"/>
      <c r="R301" s="229"/>
      <c r="S301" s="229"/>
      <c r="T301" s="229"/>
      <c r="U301" s="229"/>
      <c r="V301" s="229"/>
      <c r="W301" s="229"/>
      <c r="X301" s="229"/>
      <c r="Y301" s="229"/>
      <c r="Z301" s="229"/>
      <c r="AA301" s="229"/>
      <c r="AB301" s="229"/>
    </row>
    <row r="302" ht="15.75" customHeight="1">
      <c r="A302" s="276"/>
      <c r="B302" s="101"/>
      <c r="C302" s="98"/>
      <c r="D302" s="100"/>
      <c r="E302" s="98"/>
      <c r="F302" s="99"/>
      <c r="G302" s="101"/>
      <c r="H302" s="278"/>
      <c r="I302" s="101"/>
      <c r="J302" s="101"/>
      <c r="K302" s="101"/>
      <c r="L302" s="102"/>
      <c r="M302" s="102"/>
      <c r="N302" s="101"/>
      <c r="O302" s="279"/>
      <c r="P302" s="279"/>
      <c r="Q302" s="229"/>
      <c r="R302" s="229"/>
      <c r="S302" s="229"/>
      <c r="T302" s="229"/>
      <c r="U302" s="229"/>
      <c r="V302" s="229"/>
      <c r="W302" s="229"/>
      <c r="X302" s="229"/>
      <c r="Y302" s="229"/>
      <c r="Z302" s="229"/>
      <c r="AA302" s="229"/>
      <c r="AB302" s="229"/>
    </row>
    <row r="303" ht="15.75" customHeight="1">
      <c r="A303" s="276"/>
      <c r="B303" s="101"/>
      <c r="C303" s="98"/>
      <c r="D303" s="100"/>
      <c r="E303" s="98"/>
      <c r="F303" s="99"/>
      <c r="G303" s="101"/>
      <c r="H303" s="278"/>
      <c r="I303" s="101"/>
      <c r="J303" s="101"/>
      <c r="K303" s="101"/>
      <c r="L303" s="102"/>
      <c r="M303" s="102"/>
      <c r="N303" s="101"/>
      <c r="O303" s="279"/>
      <c r="P303" s="279"/>
      <c r="Q303" s="229"/>
      <c r="R303" s="229"/>
      <c r="S303" s="229"/>
      <c r="T303" s="229"/>
      <c r="U303" s="229"/>
      <c r="V303" s="229"/>
      <c r="W303" s="229"/>
      <c r="X303" s="229"/>
      <c r="Y303" s="229"/>
      <c r="Z303" s="229"/>
      <c r="AA303" s="229"/>
      <c r="AB303" s="229"/>
    </row>
    <row r="304" ht="15.75" customHeight="1">
      <c r="A304" s="276"/>
      <c r="B304" s="101"/>
      <c r="C304" s="98"/>
      <c r="D304" s="100"/>
      <c r="E304" s="98"/>
      <c r="F304" s="99"/>
      <c r="G304" s="101"/>
      <c r="H304" s="278"/>
      <c r="I304" s="101"/>
      <c r="J304" s="101"/>
      <c r="K304" s="101"/>
      <c r="L304" s="102"/>
      <c r="M304" s="102"/>
      <c r="N304" s="101"/>
      <c r="O304" s="279"/>
      <c r="P304" s="279"/>
      <c r="Q304" s="229"/>
      <c r="R304" s="229"/>
      <c r="S304" s="229"/>
      <c r="T304" s="229"/>
      <c r="U304" s="229"/>
      <c r="V304" s="229"/>
      <c r="W304" s="229"/>
      <c r="X304" s="229"/>
      <c r="Y304" s="229"/>
      <c r="Z304" s="229"/>
      <c r="AA304" s="229"/>
      <c r="AB304" s="229"/>
    </row>
    <row r="305" ht="15.75" customHeight="1">
      <c r="A305" s="276"/>
      <c r="B305" s="101"/>
      <c r="C305" s="98"/>
      <c r="D305" s="100"/>
      <c r="E305" s="98"/>
      <c r="F305" s="99"/>
      <c r="G305" s="101"/>
      <c r="H305" s="278"/>
      <c r="I305" s="101"/>
      <c r="J305" s="101"/>
      <c r="K305" s="101"/>
      <c r="L305" s="102"/>
      <c r="M305" s="102"/>
      <c r="N305" s="101"/>
      <c r="O305" s="279"/>
      <c r="P305" s="279"/>
      <c r="Q305" s="229"/>
      <c r="R305" s="229"/>
      <c r="S305" s="229"/>
      <c r="T305" s="229"/>
      <c r="U305" s="229"/>
      <c r="V305" s="229"/>
      <c r="W305" s="229"/>
      <c r="X305" s="229"/>
      <c r="Y305" s="229"/>
      <c r="Z305" s="229"/>
      <c r="AA305" s="229"/>
      <c r="AB305" s="229"/>
    </row>
    <row r="306" ht="15.75" customHeight="1">
      <c r="A306" s="276"/>
      <c r="B306" s="101"/>
      <c r="C306" s="98"/>
      <c r="D306" s="100"/>
      <c r="E306" s="98"/>
      <c r="F306" s="99"/>
      <c r="G306" s="101"/>
      <c r="H306" s="278"/>
      <c r="I306" s="101"/>
      <c r="J306" s="101"/>
      <c r="K306" s="101"/>
      <c r="L306" s="102"/>
      <c r="M306" s="102"/>
      <c r="N306" s="101"/>
      <c r="O306" s="279"/>
      <c r="P306" s="279"/>
      <c r="Q306" s="229"/>
      <c r="R306" s="229"/>
      <c r="S306" s="229"/>
      <c r="T306" s="229"/>
      <c r="U306" s="229"/>
      <c r="V306" s="229"/>
      <c r="W306" s="229"/>
      <c r="X306" s="229"/>
      <c r="Y306" s="229"/>
      <c r="Z306" s="229"/>
      <c r="AA306" s="229"/>
      <c r="AB306" s="229"/>
    </row>
    <row r="307" ht="15.75" customHeight="1">
      <c r="A307" s="276"/>
      <c r="B307" s="101"/>
      <c r="C307" s="98"/>
      <c r="D307" s="100"/>
      <c r="E307" s="98"/>
      <c r="F307" s="99"/>
      <c r="G307" s="101"/>
      <c r="H307" s="278"/>
      <c r="I307" s="101"/>
      <c r="J307" s="101"/>
      <c r="K307" s="101"/>
      <c r="L307" s="102"/>
      <c r="M307" s="102"/>
      <c r="N307" s="101"/>
      <c r="O307" s="279"/>
      <c r="P307" s="279"/>
      <c r="Q307" s="229"/>
      <c r="R307" s="229"/>
      <c r="S307" s="229"/>
      <c r="T307" s="229"/>
      <c r="U307" s="229"/>
      <c r="V307" s="229"/>
      <c r="W307" s="229"/>
      <c r="X307" s="229"/>
      <c r="Y307" s="229"/>
      <c r="Z307" s="229"/>
      <c r="AA307" s="229"/>
      <c r="AB307" s="229"/>
    </row>
    <row r="308" ht="15.75" customHeight="1">
      <c r="A308" s="276"/>
      <c r="B308" s="101"/>
      <c r="C308" s="98"/>
      <c r="D308" s="100"/>
      <c r="E308" s="98"/>
      <c r="F308" s="99"/>
      <c r="G308" s="101"/>
      <c r="H308" s="278"/>
      <c r="I308" s="101"/>
      <c r="J308" s="101"/>
      <c r="K308" s="101"/>
      <c r="L308" s="102"/>
      <c r="M308" s="102"/>
      <c r="N308" s="101"/>
      <c r="O308" s="279"/>
      <c r="P308" s="279"/>
      <c r="Q308" s="229"/>
      <c r="R308" s="229"/>
      <c r="S308" s="229"/>
      <c r="T308" s="229"/>
      <c r="U308" s="229"/>
      <c r="V308" s="229"/>
      <c r="W308" s="229"/>
      <c r="X308" s="229"/>
      <c r="Y308" s="229"/>
      <c r="Z308" s="229"/>
      <c r="AA308" s="229"/>
      <c r="AB308" s="229"/>
    </row>
    <row r="309" ht="15.75" customHeight="1">
      <c r="A309" s="276"/>
      <c r="B309" s="101"/>
      <c r="C309" s="98"/>
      <c r="D309" s="100"/>
      <c r="E309" s="98"/>
      <c r="F309" s="99"/>
      <c r="G309" s="101"/>
      <c r="H309" s="278"/>
      <c r="I309" s="101"/>
      <c r="J309" s="101"/>
      <c r="K309" s="101"/>
      <c r="L309" s="102"/>
      <c r="M309" s="102"/>
      <c r="N309" s="101"/>
      <c r="O309" s="279"/>
      <c r="P309" s="279"/>
      <c r="Q309" s="229"/>
      <c r="R309" s="229"/>
      <c r="S309" s="229"/>
      <c r="T309" s="229"/>
      <c r="U309" s="229"/>
      <c r="V309" s="229"/>
      <c r="W309" s="229"/>
      <c r="X309" s="229"/>
      <c r="Y309" s="229"/>
      <c r="Z309" s="229"/>
      <c r="AA309" s="229"/>
      <c r="AB309" s="229"/>
    </row>
    <row r="310" ht="15.75" customHeight="1">
      <c r="A310" s="276"/>
      <c r="B310" s="101"/>
      <c r="C310" s="98"/>
      <c r="D310" s="100"/>
      <c r="E310" s="98"/>
      <c r="F310" s="99"/>
      <c r="G310" s="101"/>
      <c r="H310" s="278"/>
      <c r="I310" s="101"/>
      <c r="J310" s="101"/>
      <c r="K310" s="101"/>
      <c r="L310" s="102"/>
      <c r="M310" s="102"/>
      <c r="N310" s="101"/>
      <c r="O310" s="279"/>
      <c r="P310" s="279"/>
      <c r="Q310" s="229"/>
      <c r="R310" s="229"/>
      <c r="S310" s="229"/>
      <c r="T310" s="229"/>
      <c r="U310" s="229"/>
      <c r="V310" s="229"/>
      <c r="W310" s="229"/>
      <c r="X310" s="229"/>
      <c r="Y310" s="229"/>
      <c r="Z310" s="229"/>
      <c r="AA310" s="229"/>
      <c r="AB310" s="229"/>
    </row>
    <row r="311" ht="15.75" customHeight="1">
      <c r="A311" s="276"/>
      <c r="B311" s="101"/>
      <c r="C311" s="98"/>
      <c r="D311" s="100"/>
      <c r="E311" s="98"/>
      <c r="F311" s="99"/>
      <c r="G311" s="101"/>
      <c r="H311" s="278"/>
      <c r="I311" s="101"/>
      <c r="J311" s="101"/>
      <c r="K311" s="101"/>
      <c r="L311" s="102"/>
      <c r="M311" s="102"/>
      <c r="N311" s="101"/>
      <c r="O311" s="279"/>
      <c r="P311" s="279"/>
      <c r="Q311" s="229"/>
      <c r="R311" s="229"/>
      <c r="S311" s="229"/>
      <c r="T311" s="229"/>
      <c r="U311" s="229"/>
      <c r="V311" s="229"/>
      <c r="W311" s="229"/>
      <c r="X311" s="229"/>
      <c r="Y311" s="229"/>
      <c r="Z311" s="229"/>
      <c r="AA311" s="229"/>
      <c r="AB311" s="229"/>
    </row>
    <row r="312" ht="15.75" customHeight="1">
      <c r="A312" s="276"/>
      <c r="B312" s="101"/>
      <c r="C312" s="98"/>
      <c r="D312" s="100"/>
      <c r="E312" s="98"/>
      <c r="F312" s="99"/>
      <c r="G312" s="101"/>
      <c r="H312" s="278"/>
      <c r="I312" s="101"/>
      <c r="J312" s="101"/>
      <c r="K312" s="101"/>
      <c r="L312" s="102"/>
      <c r="M312" s="102"/>
      <c r="N312" s="101"/>
      <c r="O312" s="279"/>
      <c r="P312" s="279"/>
      <c r="Q312" s="229"/>
      <c r="R312" s="229"/>
      <c r="S312" s="229"/>
      <c r="T312" s="229"/>
      <c r="U312" s="229"/>
      <c r="V312" s="229"/>
      <c r="W312" s="229"/>
      <c r="X312" s="229"/>
      <c r="Y312" s="229"/>
      <c r="Z312" s="229"/>
      <c r="AA312" s="229"/>
      <c r="AB312" s="229"/>
    </row>
    <row r="313" ht="15.75" customHeight="1">
      <c r="A313" s="276"/>
      <c r="B313" s="101"/>
      <c r="C313" s="98"/>
      <c r="D313" s="100"/>
      <c r="E313" s="98"/>
      <c r="F313" s="99"/>
      <c r="G313" s="101"/>
      <c r="H313" s="278"/>
      <c r="I313" s="101"/>
      <c r="J313" s="101"/>
      <c r="K313" s="101"/>
      <c r="L313" s="102"/>
      <c r="M313" s="102"/>
      <c r="N313" s="101"/>
      <c r="O313" s="279"/>
      <c r="P313" s="279"/>
      <c r="Q313" s="229"/>
      <c r="R313" s="229"/>
      <c r="S313" s="229"/>
      <c r="T313" s="229"/>
      <c r="U313" s="229"/>
      <c r="V313" s="229"/>
      <c r="W313" s="229"/>
      <c r="X313" s="229"/>
      <c r="Y313" s="229"/>
      <c r="Z313" s="229"/>
      <c r="AA313" s="229"/>
      <c r="AB313" s="229"/>
    </row>
    <row r="314" ht="15.75" customHeight="1">
      <c r="A314" s="276"/>
      <c r="B314" s="101"/>
      <c r="C314" s="98"/>
      <c r="D314" s="100"/>
      <c r="E314" s="98"/>
      <c r="F314" s="99"/>
      <c r="G314" s="101"/>
      <c r="H314" s="278"/>
      <c r="I314" s="101"/>
      <c r="J314" s="101"/>
      <c r="K314" s="101"/>
      <c r="L314" s="102"/>
      <c r="M314" s="102"/>
      <c r="N314" s="101"/>
      <c r="O314" s="279"/>
      <c r="P314" s="279"/>
      <c r="Q314" s="229"/>
      <c r="R314" s="229"/>
      <c r="S314" s="229"/>
      <c r="T314" s="229"/>
      <c r="U314" s="229"/>
      <c r="V314" s="229"/>
      <c r="W314" s="229"/>
      <c r="X314" s="229"/>
      <c r="Y314" s="229"/>
      <c r="Z314" s="229"/>
      <c r="AA314" s="229"/>
      <c r="AB314" s="229"/>
    </row>
    <row r="315" ht="15.75" customHeight="1">
      <c r="A315" s="276"/>
      <c r="B315" s="101"/>
      <c r="C315" s="98"/>
      <c r="D315" s="100"/>
      <c r="E315" s="98"/>
      <c r="F315" s="99"/>
      <c r="G315" s="101"/>
      <c r="H315" s="278"/>
      <c r="I315" s="101"/>
      <c r="J315" s="101"/>
      <c r="K315" s="101"/>
      <c r="L315" s="102"/>
      <c r="M315" s="102"/>
      <c r="N315" s="101"/>
      <c r="O315" s="279"/>
      <c r="P315" s="279"/>
      <c r="Q315" s="229"/>
      <c r="R315" s="229"/>
      <c r="S315" s="229"/>
      <c r="T315" s="229"/>
      <c r="U315" s="229"/>
      <c r="V315" s="229"/>
      <c r="W315" s="229"/>
      <c r="X315" s="229"/>
      <c r="Y315" s="229"/>
      <c r="Z315" s="229"/>
      <c r="AA315" s="229"/>
      <c r="AB315" s="229"/>
    </row>
    <row r="316" ht="15.75" customHeight="1">
      <c r="A316" s="276"/>
      <c r="B316" s="101"/>
      <c r="C316" s="98"/>
      <c r="D316" s="100"/>
      <c r="E316" s="98"/>
      <c r="F316" s="99"/>
      <c r="G316" s="101"/>
      <c r="H316" s="278"/>
      <c r="I316" s="101"/>
      <c r="J316" s="101"/>
      <c r="K316" s="101"/>
      <c r="L316" s="102"/>
      <c r="M316" s="102"/>
      <c r="N316" s="101"/>
      <c r="O316" s="279"/>
      <c r="P316" s="279"/>
      <c r="Q316" s="229"/>
      <c r="R316" s="229"/>
      <c r="S316" s="229"/>
      <c r="T316" s="229"/>
      <c r="U316" s="229"/>
      <c r="V316" s="229"/>
      <c r="W316" s="229"/>
      <c r="X316" s="229"/>
      <c r="Y316" s="229"/>
      <c r="Z316" s="229"/>
      <c r="AA316" s="229"/>
      <c r="AB316" s="229"/>
    </row>
    <row r="317" ht="15.75" customHeight="1">
      <c r="A317" s="276"/>
      <c r="B317" s="101"/>
      <c r="C317" s="98"/>
      <c r="D317" s="100"/>
      <c r="E317" s="98"/>
      <c r="F317" s="99"/>
      <c r="G317" s="101"/>
      <c r="H317" s="278"/>
      <c r="I317" s="101"/>
      <c r="J317" s="101"/>
      <c r="K317" s="101"/>
      <c r="L317" s="102"/>
      <c r="M317" s="102"/>
      <c r="N317" s="101"/>
      <c r="O317" s="279"/>
      <c r="P317" s="279"/>
      <c r="Q317" s="229"/>
      <c r="R317" s="229"/>
      <c r="S317" s="229"/>
      <c r="T317" s="229"/>
      <c r="U317" s="229"/>
      <c r="V317" s="229"/>
      <c r="W317" s="229"/>
      <c r="X317" s="229"/>
      <c r="Y317" s="229"/>
      <c r="Z317" s="229"/>
      <c r="AA317" s="229"/>
      <c r="AB317" s="229"/>
    </row>
    <row r="318" ht="15.75" customHeight="1">
      <c r="A318" s="276"/>
      <c r="B318" s="101"/>
      <c r="C318" s="98"/>
      <c r="D318" s="100"/>
      <c r="E318" s="98"/>
      <c r="F318" s="99"/>
      <c r="G318" s="101"/>
      <c r="H318" s="278"/>
      <c r="I318" s="101"/>
      <c r="J318" s="101"/>
      <c r="K318" s="101"/>
      <c r="L318" s="102"/>
      <c r="M318" s="102"/>
      <c r="N318" s="101"/>
      <c r="O318" s="279"/>
      <c r="P318" s="279"/>
      <c r="Q318" s="229"/>
      <c r="R318" s="229"/>
      <c r="S318" s="229"/>
      <c r="T318" s="229"/>
      <c r="U318" s="229"/>
      <c r="V318" s="229"/>
      <c r="W318" s="229"/>
      <c r="X318" s="229"/>
      <c r="Y318" s="229"/>
      <c r="Z318" s="229"/>
      <c r="AA318" s="229"/>
      <c r="AB318" s="229"/>
    </row>
    <row r="319" ht="15.75" customHeight="1">
      <c r="A319" s="276"/>
      <c r="B319" s="101"/>
      <c r="C319" s="98"/>
      <c r="D319" s="100"/>
      <c r="E319" s="98"/>
      <c r="F319" s="99"/>
      <c r="G319" s="101"/>
      <c r="H319" s="278"/>
      <c r="I319" s="101"/>
      <c r="J319" s="101"/>
      <c r="K319" s="101"/>
      <c r="L319" s="102"/>
      <c r="M319" s="102"/>
      <c r="N319" s="101"/>
      <c r="O319" s="279"/>
      <c r="P319" s="279"/>
      <c r="Q319" s="229"/>
      <c r="R319" s="229"/>
      <c r="S319" s="229"/>
      <c r="T319" s="229"/>
      <c r="U319" s="229"/>
      <c r="V319" s="229"/>
      <c r="W319" s="229"/>
      <c r="X319" s="229"/>
      <c r="Y319" s="229"/>
      <c r="Z319" s="229"/>
      <c r="AA319" s="229"/>
      <c r="AB319" s="229"/>
    </row>
    <row r="320" ht="15.75" customHeight="1">
      <c r="A320" s="276"/>
      <c r="B320" s="101"/>
      <c r="C320" s="98"/>
      <c r="D320" s="100"/>
      <c r="E320" s="98"/>
      <c r="F320" s="99"/>
      <c r="G320" s="101"/>
      <c r="H320" s="278"/>
      <c r="I320" s="101"/>
      <c r="J320" s="101"/>
      <c r="K320" s="101"/>
      <c r="L320" s="102"/>
      <c r="M320" s="102"/>
      <c r="N320" s="101"/>
      <c r="O320" s="279"/>
      <c r="P320" s="279"/>
      <c r="Q320" s="229"/>
      <c r="R320" s="229"/>
      <c r="S320" s="229"/>
      <c r="T320" s="229"/>
      <c r="U320" s="229"/>
      <c r="V320" s="229"/>
      <c r="W320" s="229"/>
      <c r="X320" s="229"/>
      <c r="Y320" s="229"/>
      <c r="Z320" s="229"/>
      <c r="AA320" s="229"/>
      <c r="AB320" s="229"/>
    </row>
    <row r="321" ht="15.75" customHeight="1">
      <c r="A321" s="276"/>
      <c r="B321" s="101"/>
      <c r="C321" s="98"/>
      <c r="D321" s="100"/>
      <c r="E321" s="98"/>
      <c r="F321" s="99"/>
      <c r="G321" s="101"/>
      <c r="H321" s="278"/>
      <c r="I321" s="101"/>
      <c r="J321" s="101"/>
      <c r="K321" s="101"/>
      <c r="L321" s="102"/>
      <c r="M321" s="102"/>
      <c r="N321" s="101"/>
      <c r="O321" s="279"/>
      <c r="P321" s="279"/>
      <c r="Q321" s="229"/>
      <c r="R321" s="229"/>
      <c r="S321" s="229"/>
      <c r="T321" s="229"/>
      <c r="U321" s="229"/>
      <c r="V321" s="229"/>
      <c r="W321" s="229"/>
      <c r="X321" s="229"/>
      <c r="Y321" s="229"/>
      <c r="Z321" s="229"/>
      <c r="AA321" s="229"/>
      <c r="AB321" s="229"/>
    </row>
    <row r="322" ht="15.75" customHeight="1">
      <c r="A322" s="276"/>
      <c r="B322" s="101"/>
      <c r="C322" s="98"/>
      <c r="D322" s="100"/>
      <c r="E322" s="98"/>
      <c r="F322" s="99"/>
      <c r="G322" s="101"/>
      <c r="H322" s="278"/>
      <c r="I322" s="101"/>
      <c r="J322" s="101"/>
      <c r="K322" s="101"/>
      <c r="L322" s="102"/>
      <c r="M322" s="102"/>
      <c r="N322" s="101"/>
      <c r="O322" s="279"/>
      <c r="P322" s="279"/>
      <c r="Q322" s="229"/>
      <c r="R322" s="229"/>
      <c r="S322" s="229"/>
      <c r="T322" s="229"/>
      <c r="U322" s="229"/>
      <c r="V322" s="229"/>
      <c r="W322" s="229"/>
      <c r="X322" s="229"/>
      <c r="Y322" s="229"/>
      <c r="Z322" s="229"/>
      <c r="AA322" s="229"/>
      <c r="AB322" s="229"/>
    </row>
    <row r="323" ht="15.75" customHeight="1">
      <c r="A323" s="276"/>
      <c r="B323" s="101"/>
      <c r="C323" s="98"/>
      <c r="D323" s="100"/>
      <c r="E323" s="98"/>
      <c r="F323" s="99"/>
      <c r="G323" s="101"/>
      <c r="H323" s="278"/>
      <c r="I323" s="101"/>
      <c r="J323" s="101"/>
      <c r="K323" s="101"/>
      <c r="L323" s="102"/>
      <c r="M323" s="102"/>
      <c r="N323" s="101"/>
      <c r="O323" s="279"/>
      <c r="P323" s="279"/>
      <c r="Q323" s="229"/>
      <c r="R323" s="229"/>
      <c r="S323" s="229"/>
      <c r="T323" s="229"/>
      <c r="U323" s="229"/>
      <c r="V323" s="229"/>
      <c r="W323" s="229"/>
      <c r="X323" s="229"/>
      <c r="Y323" s="229"/>
      <c r="Z323" s="229"/>
      <c r="AA323" s="229"/>
      <c r="AB323" s="229"/>
    </row>
    <row r="324" ht="15.75" customHeight="1">
      <c r="A324" s="276"/>
      <c r="B324" s="101"/>
      <c r="C324" s="98"/>
      <c r="D324" s="100"/>
      <c r="E324" s="98"/>
      <c r="F324" s="99"/>
      <c r="G324" s="101"/>
      <c r="H324" s="278"/>
      <c r="I324" s="101"/>
      <c r="J324" s="101"/>
      <c r="K324" s="101"/>
      <c r="L324" s="102"/>
      <c r="M324" s="102"/>
      <c r="N324" s="101"/>
      <c r="O324" s="279"/>
      <c r="P324" s="279"/>
      <c r="Q324" s="229"/>
      <c r="R324" s="229"/>
      <c r="S324" s="229"/>
      <c r="T324" s="229"/>
      <c r="U324" s="229"/>
      <c r="V324" s="229"/>
      <c r="W324" s="229"/>
      <c r="X324" s="229"/>
      <c r="Y324" s="229"/>
      <c r="Z324" s="229"/>
      <c r="AA324" s="229"/>
      <c r="AB324" s="229"/>
    </row>
    <row r="325" ht="15.75" customHeight="1">
      <c r="A325" s="276"/>
      <c r="B325" s="101"/>
      <c r="C325" s="98"/>
      <c r="D325" s="100"/>
      <c r="E325" s="98"/>
      <c r="F325" s="99"/>
      <c r="G325" s="101"/>
      <c r="H325" s="278"/>
      <c r="I325" s="101"/>
      <c r="J325" s="101"/>
      <c r="K325" s="101"/>
      <c r="L325" s="102"/>
      <c r="M325" s="102"/>
      <c r="N325" s="101"/>
      <c r="O325" s="279"/>
      <c r="P325" s="279"/>
      <c r="Q325" s="229"/>
      <c r="R325" s="229"/>
      <c r="S325" s="229"/>
      <c r="T325" s="229"/>
      <c r="U325" s="229"/>
      <c r="V325" s="229"/>
      <c r="W325" s="229"/>
      <c r="X325" s="229"/>
      <c r="Y325" s="229"/>
      <c r="Z325" s="229"/>
      <c r="AA325" s="229"/>
      <c r="AB325" s="229"/>
    </row>
    <row r="326" ht="15.75" customHeight="1">
      <c r="A326" s="276"/>
      <c r="B326" s="101"/>
      <c r="C326" s="98"/>
      <c r="D326" s="100"/>
      <c r="E326" s="98"/>
      <c r="F326" s="99"/>
      <c r="G326" s="101"/>
      <c r="H326" s="278"/>
      <c r="I326" s="101"/>
      <c r="J326" s="101"/>
      <c r="K326" s="101"/>
      <c r="L326" s="102"/>
      <c r="M326" s="102"/>
      <c r="N326" s="101"/>
      <c r="O326" s="279"/>
      <c r="P326" s="27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</row>
    <row r="327" ht="15.75" customHeight="1">
      <c r="A327" s="276"/>
      <c r="B327" s="101"/>
      <c r="C327" s="98"/>
      <c r="D327" s="100"/>
      <c r="E327" s="98"/>
      <c r="F327" s="99"/>
      <c r="G327" s="101"/>
      <c r="H327" s="278"/>
      <c r="I327" s="101"/>
      <c r="J327" s="101"/>
      <c r="K327" s="101"/>
      <c r="L327" s="102"/>
      <c r="M327" s="102"/>
      <c r="N327" s="101"/>
      <c r="O327" s="279"/>
      <c r="P327" s="27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</row>
    <row r="328" ht="15.75" customHeight="1">
      <c r="A328" s="276"/>
      <c r="B328" s="101"/>
      <c r="C328" s="98"/>
      <c r="D328" s="100"/>
      <c r="E328" s="98"/>
      <c r="F328" s="99"/>
      <c r="G328" s="101"/>
      <c r="H328" s="278"/>
      <c r="I328" s="101"/>
      <c r="J328" s="101"/>
      <c r="K328" s="101"/>
      <c r="L328" s="102"/>
      <c r="M328" s="102"/>
      <c r="N328" s="101"/>
      <c r="O328" s="279"/>
      <c r="P328" s="27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</row>
    <row r="329" ht="15.75" customHeight="1">
      <c r="A329" s="276"/>
      <c r="B329" s="101"/>
      <c r="C329" s="98"/>
      <c r="D329" s="100"/>
      <c r="E329" s="98"/>
      <c r="F329" s="99"/>
      <c r="G329" s="101"/>
      <c r="H329" s="278"/>
      <c r="I329" s="101"/>
      <c r="J329" s="101"/>
      <c r="K329" s="101"/>
      <c r="L329" s="102"/>
      <c r="M329" s="102"/>
      <c r="N329" s="101"/>
      <c r="O329" s="279"/>
      <c r="P329" s="27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</row>
    <row r="330" ht="15.75" customHeight="1">
      <c r="A330" s="276"/>
      <c r="B330" s="101"/>
      <c r="C330" s="98"/>
      <c r="D330" s="100"/>
      <c r="E330" s="98"/>
      <c r="F330" s="99"/>
      <c r="G330" s="101"/>
      <c r="H330" s="278"/>
      <c r="I330" s="101"/>
      <c r="J330" s="101"/>
      <c r="K330" s="101"/>
      <c r="L330" s="102"/>
      <c r="M330" s="102"/>
      <c r="N330" s="101"/>
      <c r="O330" s="279"/>
      <c r="P330" s="279"/>
      <c r="Q330" s="229"/>
      <c r="R330" s="229"/>
      <c r="S330" s="229"/>
      <c r="T330" s="229"/>
      <c r="U330" s="229"/>
      <c r="V330" s="229"/>
      <c r="W330" s="229"/>
      <c r="X330" s="229"/>
      <c r="Y330" s="229"/>
      <c r="Z330" s="229"/>
      <c r="AA330" s="229"/>
      <c r="AB330" s="229"/>
    </row>
    <row r="331" ht="15.75" customHeight="1">
      <c r="A331" s="276"/>
      <c r="B331" s="101"/>
      <c r="C331" s="98"/>
      <c r="D331" s="100"/>
      <c r="E331" s="98"/>
      <c r="F331" s="99"/>
      <c r="G331" s="101"/>
      <c r="H331" s="278"/>
      <c r="I331" s="101"/>
      <c r="J331" s="101"/>
      <c r="K331" s="101"/>
      <c r="L331" s="102"/>
      <c r="M331" s="102"/>
      <c r="N331" s="101"/>
      <c r="O331" s="279"/>
      <c r="P331" s="279"/>
      <c r="Q331" s="229"/>
      <c r="R331" s="229"/>
      <c r="S331" s="229"/>
      <c r="T331" s="229"/>
      <c r="U331" s="229"/>
      <c r="V331" s="229"/>
      <c r="W331" s="229"/>
      <c r="X331" s="229"/>
      <c r="Y331" s="229"/>
      <c r="Z331" s="229"/>
      <c r="AA331" s="229"/>
      <c r="AB331" s="229"/>
    </row>
    <row r="332" ht="15.75" customHeight="1">
      <c r="A332" s="276"/>
      <c r="B332" s="101"/>
      <c r="C332" s="98"/>
      <c r="D332" s="100"/>
      <c r="E332" s="98"/>
      <c r="F332" s="99"/>
      <c r="G332" s="101"/>
      <c r="H332" s="278"/>
      <c r="I332" s="101"/>
      <c r="J332" s="101"/>
      <c r="K332" s="101"/>
      <c r="L332" s="102"/>
      <c r="M332" s="102"/>
      <c r="N332" s="101"/>
      <c r="O332" s="279"/>
      <c r="P332" s="279"/>
      <c r="Q332" s="229"/>
      <c r="R332" s="229"/>
      <c r="S332" s="229"/>
      <c r="T332" s="229"/>
      <c r="U332" s="229"/>
      <c r="V332" s="229"/>
      <c r="W332" s="229"/>
      <c r="X332" s="229"/>
      <c r="Y332" s="229"/>
      <c r="Z332" s="229"/>
      <c r="AA332" s="229"/>
      <c r="AB332" s="229"/>
    </row>
    <row r="333" ht="15.75" customHeight="1">
      <c r="A333" s="276"/>
      <c r="B333" s="101"/>
      <c r="C333" s="98"/>
      <c r="D333" s="100"/>
      <c r="E333" s="98"/>
      <c r="F333" s="99"/>
      <c r="G333" s="101"/>
      <c r="H333" s="278"/>
      <c r="I333" s="101"/>
      <c r="J333" s="101"/>
      <c r="K333" s="101"/>
      <c r="L333" s="102"/>
      <c r="M333" s="102"/>
      <c r="N333" s="101"/>
      <c r="O333" s="279"/>
      <c r="P333" s="279"/>
      <c r="Q333" s="229"/>
      <c r="R333" s="229"/>
      <c r="S333" s="229"/>
      <c r="T333" s="229"/>
      <c r="U333" s="229"/>
      <c r="V333" s="229"/>
      <c r="W333" s="229"/>
      <c r="X333" s="229"/>
      <c r="Y333" s="229"/>
      <c r="Z333" s="229"/>
      <c r="AA333" s="229"/>
      <c r="AB333" s="229"/>
    </row>
    <row r="334" ht="15.75" customHeight="1">
      <c r="A334" s="276"/>
      <c r="B334" s="101"/>
      <c r="C334" s="98"/>
      <c r="D334" s="100"/>
      <c r="E334" s="98"/>
      <c r="F334" s="99"/>
      <c r="G334" s="101"/>
      <c r="H334" s="278"/>
      <c r="I334" s="101"/>
      <c r="J334" s="101"/>
      <c r="K334" s="101"/>
      <c r="L334" s="102"/>
      <c r="M334" s="102"/>
      <c r="N334" s="101"/>
      <c r="O334" s="279"/>
      <c r="P334" s="279"/>
      <c r="Q334" s="229"/>
      <c r="R334" s="229"/>
      <c r="S334" s="229"/>
      <c r="T334" s="229"/>
      <c r="U334" s="229"/>
      <c r="V334" s="229"/>
      <c r="W334" s="229"/>
      <c r="X334" s="229"/>
      <c r="Y334" s="229"/>
      <c r="Z334" s="229"/>
      <c r="AA334" s="229"/>
      <c r="AB334" s="229"/>
    </row>
    <row r="335" ht="15.75" customHeight="1">
      <c r="A335" s="276"/>
      <c r="B335" s="101"/>
      <c r="C335" s="98"/>
      <c r="D335" s="100"/>
      <c r="E335" s="98"/>
      <c r="F335" s="99"/>
      <c r="G335" s="101"/>
      <c r="H335" s="278"/>
      <c r="I335" s="101"/>
      <c r="J335" s="101"/>
      <c r="K335" s="101"/>
      <c r="L335" s="102"/>
      <c r="M335" s="102"/>
      <c r="N335" s="101"/>
      <c r="O335" s="279"/>
      <c r="P335" s="279"/>
      <c r="Q335" s="229"/>
      <c r="R335" s="229"/>
      <c r="S335" s="229"/>
      <c r="T335" s="229"/>
      <c r="U335" s="229"/>
      <c r="V335" s="229"/>
      <c r="W335" s="229"/>
      <c r="X335" s="229"/>
      <c r="Y335" s="229"/>
      <c r="Z335" s="229"/>
      <c r="AA335" s="229"/>
      <c r="AB335" s="229"/>
    </row>
    <row r="336" ht="15.75" customHeight="1">
      <c r="A336" s="276"/>
      <c r="B336" s="101"/>
      <c r="C336" s="98"/>
      <c r="D336" s="100"/>
      <c r="E336" s="98"/>
      <c r="F336" s="99"/>
      <c r="G336" s="101"/>
      <c r="H336" s="278"/>
      <c r="I336" s="101"/>
      <c r="J336" s="101"/>
      <c r="K336" s="101"/>
      <c r="L336" s="102"/>
      <c r="M336" s="102"/>
      <c r="N336" s="101"/>
      <c r="O336" s="279"/>
      <c r="P336" s="279"/>
      <c r="Q336" s="229"/>
      <c r="R336" s="229"/>
      <c r="S336" s="229"/>
      <c r="T336" s="229"/>
      <c r="U336" s="229"/>
      <c r="V336" s="229"/>
      <c r="W336" s="229"/>
      <c r="X336" s="229"/>
      <c r="Y336" s="229"/>
      <c r="Z336" s="229"/>
      <c r="AA336" s="229"/>
      <c r="AB336" s="229"/>
    </row>
    <row r="337" ht="15.75" customHeight="1">
      <c r="A337" s="276"/>
      <c r="B337" s="101"/>
      <c r="C337" s="98"/>
      <c r="D337" s="100"/>
      <c r="E337" s="98"/>
      <c r="F337" s="99"/>
      <c r="G337" s="101"/>
      <c r="H337" s="278"/>
      <c r="I337" s="101"/>
      <c r="J337" s="101"/>
      <c r="K337" s="101"/>
      <c r="L337" s="102"/>
      <c r="M337" s="102"/>
      <c r="N337" s="101"/>
      <c r="O337" s="279"/>
      <c r="P337" s="279"/>
      <c r="Q337" s="229"/>
      <c r="R337" s="229"/>
      <c r="S337" s="229"/>
      <c r="T337" s="229"/>
      <c r="U337" s="229"/>
      <c r="V337" s="229"/>
      <c r="W337" s="229"/>
      <c r="X337" s="229"/>
      <c r="Y337" s="229"/>
      <c r="Z337" s="229"/>
      <c r="AA337" s="229"/>
      <c r="AB337" s="229"/>
    </row>
    <row r="338" ht="15.75" customHeight="1">
      <c r="A338" s="276"/>
      <c r="B338" s="101"/>
      <c r="C338" s="98"/>
      <c r="D338" s="100"/>
      <c r="E338" s="98"/>
      <c r="F338" s="99"/>
      <c r="G338" s="101"/>
      <c r="H338" s="278"/>
      <c r="I338" s="101"/>
      <c r="J338" s="101"/>
      <c r="K338" s="101"/>
      <c r="L338" s="102"/>
      <c r="M338" s="102"/>
      <c r="N338" s="101"/>
      <c r="O338" s="279"/>
      <c r="P338" s="279"/>
      <c r="Q338" s="229"/>
      <c r="R338" s="229"/>
      <c r="S338" s="229"/>
      <c r="T338" s="229"/>
      <c r="U338" s="229"/>
      <c r="V338" s="229"/>
      <c r="W338" s="229"/>
      <c r="X338" s="229"/>
      <c r="Y338" s="229"/>
      <c r="Z338" s="229"/>
      <c r="AA338" s="229"/>
      <c r="AB338" s="229"/>
    </row>
    <row r="339" ht="15.75" customHeight="1">
      <c r="A339" s="276"/>
      <c r="B339" s="101"/>
      <c r="C339" s="98"/>
      <c r="D339" s="100"/>
      <c r="E339" s="98"/>
      <c r="F339" s="99"/>
      <c r="G339" s="101"/>
      <c r="H339" s="278"/>
      <c r="I339" s="101"/>
      <c r="J339" s="101"/>
      <c r="K339" s="101"/>
      <c r="L339" s="102"/>
      <c r="M339" s="102"/>
      <c r="N339" s="101"/>
      <c r="O339" s="279"/>
      <c r="P339" s="279"/>
      <c r="Q339" s="229"/>
      <c r="R339" s="229"/>
      <c r="S339" s="229"/>
      <c r="T339" s="229"/>
      <c r="U339" s="229"/>
      <c r="V339" s="229"/>
      <c r="W339" s="229"/>
      <c r="X339" s="229"/>
      <c r="Y339" s="229"/>
      <c r="Z339" s="229"/>
      <c r="AA339" s="229"/>
      <c r="AB339" s="229"/>
    </row>
    <row r="340" ht="15.75" customHeight="1">
      <c r="A340" s="276"/>
      <c r="B340" s="101"/>
      <c r="C340" s="98"/>
      <c r="D340" s="100"/>
      <c r="E340" s="98"/>
      <c r="F340" s="99"/>
      <c r="G340" s="101"/>
      <c r="H340" s="278"/>
      <c r="I340" s="101"/>
      <c r="J340" s="101"/>
      <c r="K340" s="101"/>
      <c r="L340" s="102"/>
      <c r="M340" s="102"/>
      <c r="N340" s="101"/>
      <c r="O340" s="279"/>
      <c r="P340" s="279"/>
      <c r="Q340" s="229"/>
      <c r="R340" s="229"/>
      <c r="S340" s="229"/>
      <c r="T340" s="229"/>
      <c r="U340" s="229"/>
      <c r="V340" s="229"/>
      <c r="W340" s="229"/>
      <c r="X340" s="229"/>
      <c r="Y340" s="229"/>
      <c r="Z340" s="229"/>
      <c r="AA340" s="229"/>
      <c r="AB340" s="229"/>
    </row>
    <row r="341" ht="15.75" customHeight="1">
      <c r="A341" s="276"/>
      <c r="B341" s="101"/>
      <c r="C341" s="98"/>
      <c r="D341" s="100"/>
      <c r="E341" s="98"/>
      <c r="F341" s="99"/>
      <c r="G341" s="101"/>
      <c r="H341" s="278"/>
      <c r="I341" s="101"/>
      <c r="J341" s="101"/>
      <c r="K341" s="101"/>
      <c r="L341" s="102"/>
      <c r="M341" s="102"/>
      <c r="N341" s="101"/>
      <c r="O341" s="279"/>
      <c r="P341" s="279"/>
      <c r="Q341" s="229"/>
      <c r="R341" s="229"/>
      <c r="S341" s="229"/>
      <c r="T341" s="229"/>
      <c r="U341" s="229"/>
      <c r="V341" s="229"/>
      <c r="W341" s="229"/>
      <c r="X341" s="229"/>
      <c r="Y341" s="229"/>
      <c r="Z341" s="229"/>
      <c r="AA341" s="229"/>
      <c r="AB341" s="229"/>
    </row>
    <row r="342" ht="15.75" customHeight="1">
      <c r="A342" s="276"/>
      <c r="B342" s="101"/>
      <c r="C342" s="98"/>
      <c r="D342" s="100"/>
      <c r="E342" s="98"/>
      <c r="F342" s="99"/>
      <c r="G342" s="101"/>
      <c r="H342" s="278"/>
      <c r="I342" s="101"/>
      <c r="J342" s="101"/>
      <c r="K342" s="101"/>
      <c r="L342" s="102"/>
      <c r="M342" s="102"/>
      <c r="N342" s="101"/>
      <c r="O342" s="279"/>
      <c r="P342" s="279"/>
      <c r="Q342" s="229"/>
      <c r="R342" s="229"/>
      <c r="S342" s="229"/>
      <c r="T342" s="229"/>
      <c r="U342" s="229"/>
      <c r="V342" s="229"/>
      <c r="W342" s="229"/>
      <c r="X342" s="229"/>
      <c r="Y342" s="229"/>
      <c r="Z342" s="229"/>
      <c r="AA342" s="229"/>
      <c r="AB342" s="229"/>
    </row>
    <row r="343" ht="15.75" customHeight="1">
      <c r="A343" s="276"/>
      <c r="B343" s="101"/>
      <c r="C343" s="98"/>
      <c r="D343" s="100"/>
      <c r="E343" s="98"/>
      <c r="F343" s="99"/>
      <c r="G343" s="101"/>
      <c r="H343" s="278"/>
      <c r="I343" s="101"/>
      <c r="J343" s="101"/>
      <c r="K343" s="101"/>
      <c r="L343" s="102"/>
      <c r="M343" s="102"/>
      <c r="N343" s="101"/>
      <c r="O343" s="279"/>
      <c r="P343" s="279"/>
      <c r="Q343" s="229"/>
      <c r="R343" s="229"/>
      <c r="S343" s="229"/>
      <c r="T343" s="229"/>
      <c r="U343" s="229"/>
      <c r="V343" s="229"/>
      <c r="W343" s="229"/>
      <c r="X343" s="229"/>
      <c r="Y343" s="229"/>
      <c r="Z343" s="229"/>
      <c r="AA343" s="229"/>
      <c r="AB343" s="229"/>
    </row>
    <row r="344" ht="15.75" customHeight="1">
      <c r="A344" s="276"/>
      <c r="B344" s="101"/>
      <c r="C344" s="98"/>
      <c r="D344" s="100"/>
      <c r="E344" s="98"/>
      <c r="F344" s="99"/>
      <c r="G344" s="101"/>
      <c r="H344" s="278"/>
      <c r="I344" s="101"/>
      <c r="J344" s="101"/>
      <c r="K344" s="101"/>
      <c r="L344" s="102"/>
      <c r="M344" s="102"/>
      <c r="N344" s="101"/>
      <c r="O344" s="279"/>
      <c r="P344" s="279"/>
      <c r="Q344" s="229"/>
      <c r="R344" s="229"/>
      <c r="S344" s="229"/>
      <c r="T344" s="229"/>
      <c r="U344" s="229"/>
      <c r="V344" s="229"/>
      <c r="W344" s="229"/>
      <c r="X344" s="229"/>
      <c r="Y344" s="229"/>
      <c r="Z344" s="229"/>
      <c r="AA344" s="229"/>
      <c r="AB344" s="229"/>
    </row>
    <row r="345" ht="15.75" customHeight="1">
      <c r="A345" s="276"/>
      <c r="B345" s="101"/>
      <c r="C345" s="98"/>
      <c r="D345" s="100"/>
      <c r="E345" s="98"/>
      <c r="F345" s="99"/>
      <c r="G345" s="101"/>
      <c r="H345" s="278"/>
      <c r="I345" s="101"/>
      <c r="J345" s="101"/>
      <c r="K345" s="101"/>
      <c r="L345" s="102"/>
      <c r="M345" s="102"/>
      <c r="N345" s="101"/>
      <c r="O345" s="279"/>
      <c r="P345" s="279"/>
      <c r="Q345" s="229"/>
      <c r="R345" s="229"/>
      <c r="S345" s="229"/>
      <c r="T345" s="229"/>
      <c r="U345" s="229"/>
      <c r="V345" s="229"/>
      <c r="W345" s="229"/>
      <c r="X345" s="229"/>
      <c r="Y345" s="229"/>
      <c r="Z345" s="229"/>
      <c r="AA345" s="229"/>
      <c r="AB345" s="229"/>
    </row>
    <row r="346" ht="15.75" customHeight="1">
      <c r="A346" s="276"/>
      <c r="B346" s="101"/>
      <c r="C346" s="98"/>
      <c r="D346" s="100"/>
      <c r="E346" s="98"/>
      <c r="F346" s="99"/>
      <c r="G346" s="101"/>
      <c r="H346" s="278"/>
      <c r="I346" s="101"/>
      <c r="J346" s="101"/>
      <c r="K346" s="101"/>
      <c r="L346" s="102"/>
      <c r="M346" s="102"/>
      <c r="N346" s="101"/>
      <c r="O346" s="279"/>
      <c r="P346" s="279"/>
      <c r="Q346" s="229"/>
      <c r="R346" s="229"/>
      <c r="S346" s="229"/>
      <c r="T346" s="229"/>
      <c r="U346" s="229"/>
      <c r="V346" s="229"/>
      <c r="W346" s="229"/>
      <c r="X346" s="229"/>
      <c r="Y346" s="229"/>
      <c r="Z346" s="229"/>
      <c r="AA346" s="229"/>
      <c r="AB346" s="229"/>
    </row>
    <row r="347" ht="15.75" customHeight="1">
      <c r="A347" s="276"/>
      <c r="B347" s="101"/>
      <c r="C347" s="98"/>
      <c r="D347" s="100"/>
      <c r="E347" s="98"/>
      <c r="F347" s="99"/>
      <c r="G347" s="101"/>
      <c r="H347" s="278"/>
      <c r="I347" s="101"/>
      <c r="J347" s="101"/>
      <c r="K347" s="101"/>
      <c r="L347" s="102"/>
      <c r="M347" s="102"/>
      <c r="N347" s="101"/>
      <c r="O347" s="279"/>
      <c r="P347" s="279"/>
      <c r="Q347" s="229"/>
      <c r="R347" s="229"/>
      <c r="S347" s="229"/>
      <c r="T347" s="229"/>
      <c r="U347" s="229"/>
      <c r="V347" s="229"/>
      <c r="W347" s="229"/>
      <c r="X347" s="229"/>
      <c r="Y347" s="229"/>
      <c r="Z347" s="229"/>
      <c r="AA347" s="229"/>
      <c r="AB347" s="229"/>
    </row>
    <row r="348" ht="15.75" customHeight="1">
      <c r="A348" s="276"/>
      <c r="B348" s="101"/>
      <c r="C348" s="98"/>
      <c r="D348" s="100"/>
      <c r="E348" s="98"/>
      <c r="F348" s="99"/>
      <c r="G348" s="101"/>
      <c r="H348" s="278"/>
      <c r="I348" s="101"/>
      <c r="J348" s="101"/>
      <c r="K348" s="101"/>
      <c r="L348" s="102"/>
      <c r="M348" s="102"/>
      <c r="N348" s="101"/>
      <c r="O348" s="279"/>
      <c r="P348" s="279"/>
      <c r="Q348" s="229"/>
      <c r="R348" s="229"/>
      <c r="S348" s="229"/>
      <c r="T348" s="229"/>
      <c r="U348" s="229"/>
      <c r="V348" s="229"/>
      <c r="W348" s="229"/>
      <c r="X348" s="229"/>
      <c r="Y348" s="229"/>
      <c r="Z348" s="229"/>
      <c r="AA348" s="229"/>
      <c r="AB348" s="229"/>
    </row>
    <row r="349" ht="15.75" customHeight="1">
      <c r="A349" s="276"/>
      <c r="B349" s="101"/>
      <c r="C349" s="98"/>
      <c r="D349" s="100"/>
      <c r="E349" s="98"/>
      <c r="F349" s="99"/>
      <c r="G349" s="101"/>
      <c r="H349" s="278"/>
      <c r="I349" s="101"/>
      <c r="J349" s="101"/>
      <c r="K349" s="101"/>
      <c r="L349" s="102"/>
      <c r="M349" s="102"/>
      <c r="N349" s="101"/>
      <c r="O349" s="279"/>
      <c r="P349" s="279"/>
      <c r="Q349" s="229"/>
      <c r="R349" s="229"/>
      <c r="S349" s="229"/>
      <c r="T349" s="229"/>
      <c r="U349" s="229"/>
      <c r="V349" s="229"/>
      <c r="W349" s="229"/>
      <c r="X349" s="229"/>
      <c r="Y349" s="229"/>
      <c r="Z349" s="229"/>
      <c r="AA349" s="229"/>
      <c r="AB349" s="229"/>
    </row>
    <row r="350" ht="15.75" customHeight="1">
      <c r="A350" s="276"/>
      <c r="B350" s="101"/>
      <c r="C350" s="98"/>
      <c r="D350" s="100"/>
      <c r="E350" s="98"/>
      <c r="F350" s="99"/>
      <c r="G350" s="101"/>
      <c r="H350" s="278"/>
      <c r="I350" s="101"/>
      <c r="J350" s="101"/>
      <c r="K350" s="101"/>
      <c r="L350" s="102"/>
      <c r="M350" s="102"/>
      <c r="N350" s="101"/>
      <c r="O350" s="279"/>
      <c r="P350" s="279"/>
      <c r="Q350" s="229"/>
      <c r="R350" s="229"/>
      <c r="S350" s="229"/>
      <c r="T350" s="229"/>
      <c r="U350" s="229"/>
      <c r="V350" s="229"/>
      <c r="W350" s="229"/>
      <c r="X350" s="229"/>
      <c r="Y350" s="229"/>
      <c r="Z350" s="229"/>
      <c r="AA350" s="229"/>
      <c r="AB350" s="229"/>
    </row>
    <row r="351" ht="15.75" customHeight="1">
      <c r="A351" s="276"/>
      <c r="B351" s="101"/>
      <c r="C351" s="98"/>
      <c r="D351" s="100"/>
      <c r="E351" s="98"/>
      <c r="F351" s="99"/>
      <c r="G351" s="101"/>
      <c r="H351" s="278"/>
      <c r="I351" s="101"/>
      <c r="J351" s="101"/>
      <c r="K351" s="101"/>
      <c r="L351" s="102"/>
      <c r="M351" s="102"/>
      <c r="N351" s="101"/>
      <c r="O351" s="279"/>
      <c r="P351" s="279"/>
      <c r="Q351" s="229"/>
      <c r="R351" s="229"/>
      <c r="S351" s="229"/>
      <c r="T351" s="229"/>
      <c r="U351" s="229"/>
      <c r="V351" s="229"/>
      <c r="W351" s="229"/>
      <c r="X351" s="229"/>
      <c r="Y351" s="229"/>
      <c r="Z351" s="229"/>
      <c r="AA351" s="229"/>
      <c r="AB351" s="229"/>
    </row>
    <row r="352" ht="15.75" customHeight="1">
      <c r="A352" s="276"/>
      <c r="B352" s="101"/>
      <c r="C352" s="98"/>
      <c r="D352" s="100"/>
      <c r="E352" s="98"/>
      <c r="F352" s="99"/>
      <c r="G352" s="101"/>
      <c r="H352" s="278"/>
      <c r="I352" s="101"/>
      <c r="J352" s="101"/>
      <c r="K352" s="101"/>
      <c r="L352" s="102"/>
      <c r="M352" s="102"/>
      <c r="N352" s="101"/>
      <c r="O352" s="279"/>
      <c r="P352" s="279"/>
      <c r="Q352" s="229"/>
      <c r="R352" s="229"/>
      <c r="S352" s="229"/>
      <c r="T352" s="229"/>
      <c r="U352" s="229"/>
      <c r="V352" s="229"/>
      <c r="W352" s="229"/>
      <c r="X352" s="229"/>
      <c r="Y352" s="229"/>
      <c r="Z352" s="229"/>
      <c r="AA352" s="229"/>
      <c r="AB352" s="229"/>
    </row>
    <row r="353" ht="15.75" customHeight="1">
      <c r="A353" s="276"/>
      <c r="B353" s="101"/>
      <c r="C353" s="98"/>
      <c r="D353" s="100"/>
      <c r="E353" s="98"/>
      <c r="F353" s="99"/>
      <c r="G353" s="101"/>
      <c r="H353" s="278"/>
      <c r="I353" s="101"/>
      <c r="J353" s="101"/>
      <c r="K353" s="101"/>
      <c r="L353" s="102"/>
      <c r="M353" s="102"/>
      <c r="N353" s="101"/>
      <c r="O353" s="279"/>
      <c r="P353" s="279"/>
      <c r="Q353" s="229"/>
      <c r="R353" s="229"/>
      <c r="S353" s="229"/>
      <c r="T353" s="229"/>
      <c r="U353" s="229"/>
      <c r="V353" s="229"/>
      <c r="W353" s="229"/>
      <c r="X353" s="229"/>
      <c r="Y353" s="229"/>
      <c r="Z353" s="229"/>
      <c r="AA353" s="229"/>
      <c r="AB353" s="229"/>
    </row>
    <row r="354" ht="15.75" customHeight="1">
      <c r="A354" s="276"/>
      <c r="B354" s="101"/>
      <c r="C354" s="98"/>
      <c r="D354" s="100"/>
      <c r="E354" s="98"/>
      <c r="F354" s="99"/>
      <c r="G354" s="101"/>
      <c r="H354" s="278"/>
      <c r="I354" s="101"/>
      <c r="J354" s="101"/>
      <c r="K354" s="101"/>
      <c r="L354" s="102"/>
      <c r="M354" s="102"/>
      <c r="N354" s="101"/>
      <c r="O354" s="279"/>
      <c r="P354" s="279"/>
      <c r="Q354" s="229"/>
      <c r="R354" s="229"/>
      <c r="S354" s="229"/>
      <c r="T354" s="229"/>
      <c r="U354" s="229"/>
      <c r="V354" s="229"/>
      <c r="W354" s="229"/>
      <c r="X354" s="229"/>
      <c r="Y354" s="229"/>
      <c r="Z354" s="229"/>
      <c r="AA354" s="229"/>
      <c r="AB354" s="229"/>
    </row>
    <row r="355" ht="15.75" customHeight="1">
      <c r="A355" s="276"/>
      <c r="B355" s="101"/>
      <c r="C355" s="98"/>
      <c r="D355" s="100"/>
      <c r="E355" s="98"/>
      <c r="F355" s="99"/>
      <c r="G355" s="101"/>
      <c r="H355" s="278"/>
      <c r="I355" s="101"/>
      <c r="J355" s="101"/>
      <c r="K355" s="101"/>
      <c r="L355" s="102"/>
      <c r="M355" s="102"/>
      <c r="N355" s="101"/>
      <c r="O355" s="279"/>
      <c r="P355" s="279"/>
      <c r="Q355" s="229"/>
      <c r="R355" s="229"/>
      <c r="S355" s="229"/>
      <c r="T355" s="229"/>
      <c r="U355" s="229"/>
      <c r="V355" s="229"/>
      <c r="W355" s="229"/>
      <c r="X355" s="229"/>
      <c r="Y355" s="229"/>
      <c r="Z355" s="229"/>
      <c r="AA355" s="229"/>
      <c r="AB355" s="229"/>
    </row>
    <row r="356" ht="15.75" customHeight="1">
      <c r="A356" s="276"/>
      <c r="B356" s="101"/>
      <c r="C356" s="98"/>
      <c r="D356" s="100"/>
      <c r="E356" s="98"/>
      <c r="F356" s="99"/>
      <c r="G356" s="101"/>
      <c r="H356" s="278"/>
      <c r="I356" s="101"/>
      <c r="J356" s="101"/>
      <c r="K356" s="101"/>
      <c r="L356" s="102"/>
      <c r="M356" s="102"/>
      <c r="N356" s="101"/>
      <c r="O356" s="279"/>
      <c r="P356" s="279"/>
      <c r="Q356" s="229"/>
      <c r="R356" s="229"/>
      <c r="S356" s="229"/>
      <c r="T356" s="229"/>
      <c r="U356" s="229"/>
      <c r="V356" s="229"/>
      <c r="W356" s="229"/>
      <c r="X356" s="229"/>
      <c r="Y356" s="229"/>
      <c r="Z356" s="229"/>
      <c r="AA356" s="229"/>
      <c r="AB356" s="229"/>
    </row>
    <row r="357" ht="15.75" customHeight="1">
      <c r="A357" s="276"/>
      <c r="B357" s="101"/>
      <c r="C357" s="98"/>
      <c r="D357" s="100"/>
      <c r="E357" s="98"/>
      <c r="F357" s="99"/>
      <c r="G357" s="101"/>
      <c r="H357" s="278"/>
      <c r="I357" s="101"/>
      <c r="J357" s="101"/>
      <c r="K357" s="101"/>
      <c r="L357" s="102"/>
      <c r="M357" s="102"/>
      <c r="N357" s="101"/>
      <c r="O357" s="279"/>
      <c r="P357" s="279"/>
      <c r="Q357" s="229"/>
      <c r="R357" s="229"/>
      <c r="S357" s="229"/>
      <c r="T357" s="229"/>
      <c r="U357" s="229"/>
      <c r="V357" s="229"/>
      <c r="W357" s="229"/>
      <c r="X357" s="229"/>
      <c r="Y357" s="229"/>
      <c r="Z357" s="229"/>
      <c r="AA357" s="229"/>
      <c r="AB357" s="229"/>
    </row>
    <row r="358" ht="15.75" customHeight="1">
      <c r="A358" s="276"/>
      <c r="B358" s="101"/>
      <c r="C358" s="98"/>
      <c r="D358" s="100"/>
      <c r="E358" s="98"/>
      <c r="F358" s="99"/>
      <c r="G358" s="101"/>
      <c r="H358" s="278"/>
      <c r="I358" s="101"/>
      <c r="J358" s="101"/>
      <c r="K358" s="101"/>
      <c r="L358" s="102"/>
      <c r="M358" s="102"/>
      <c r="N358" s="101"/>
      <c r="O358" s="279"/>
      <c r="P358" s="279"/>
      <c r="Q358" s="229"/>
      <c r="R358" s="229"/>
      <c r="S358" s="229"/>
      <c r="T358" s="229"/>
      <c r="U358" s="229"/>
      <c r="V358" s="229"/>
      <c r="W358" s="229"/>
      <c r="X358" s="229"/>
      <c r="Y358" s="229"/>
      <c r="Z358" s="229"/>
      <c r="AA358" s="229"/>
      <c r="AB358" s="229"/>
    </row>
    <row r="359" ht="15.75" customHeight="1">
      <c r="A359" s="276"/>
      <c r="B359" s="101"/>
      <c r="C359" s="98"/>
      <c r="D359" s="100"/>
      <c r="E359" s="98"/>
      <c r="F359" s="99"/>
      <c r="G359" s="101"/>
      <c r="H359" s="278"/>
      <c r="I359" s="101"/>
      <c r="J359" s="101"/>
      <c r="K359" s="101"/>
      <c r="L359" s="102"/>
      <c r="M359" s="102"/>
      <c r="N359" s="101"/>
      <c r="O359" s="279"/>
      <c r="P359" s="279"/>
      <c r="Q359" s="229"/>
      <c r="R359" s="229"/>
      <c r="S359" s="229"/>
      <c r="T359" s="229"/>
      <c r="U359" s="229"/>
      <c r="V359" s="229"/>
      <c r="W359" s="229"/>
      <c r="X359" s="229"/>
      <c r="Y359" s="229"/>
      <c r="Z359" s="229"/>
      <c r="AA359" s="229"/>
      <c r="AB359" s="229"/>
    </row>
    <row r="360" ht="15.75" customHeight="1">
      <c r="A360" s="276"/>
      <c r="B360" s="101"/>
      <c r="C360" s="98"/>
      <c r="D360" s="100"/>
      <c r="E360" s="98"/>
      <c r="F360" s="99"/>
      <c r="G360" s="101"/>
      <c r="H360" s="278"/>
      <c r="I360" s="101"/>
      <c r="J360" s="101"/>
      <c r="K360" s="101"/>
      <c r="L360" s="102"/>
      <c r="M360" s="102"/>
      <c r="N360" s="101"/>
      <c r="O360" s="279"/>
      <c r="P360" s="279"/>
      <c r="Q360" s="229"/>
      <c r="R360" s="229"/>
      <c r="S360" s="229"/>
      <c r="T360" s="229"/>
      <c r="U360" s="229"/>
      <c r="V360" s="229"/>
      <c r="W360" s="229"/>
      <c r="X360" s="229"/>
      <c r="Y360" s="229"/>
      <c r="Z360" s="229"/>
      <c r="AA360" s="229"/>
      <c r="AB360" s="229"/>
    </row>
    <row r="361" ht="15.75" customHeight="1">
      <c r="A361" s="276"/>
      <c r="B361" s="101"/>
      <c r="C361" s="98"/>
      <c r="D361" s="100"/>
      <c r="E361" s="98"/>
      <c r="F361" s="99"/>
      <c r="G361" s="101"/>
      <c r="H361" s="278"/>
      <c r="I361" s="101"/>
      <c r="J361" s="101"/>
      <c r="K361" s="101"/>
      <c r="L361" s="102"/>
      <c r="M361" s="102"/>
      <c r="N361" s="101"/>
      <c r="O361" s="279"/>
      <c r="P361" s="279"/>
      <c r="Q361" s="229"/>
      <c r="R361" s="229"/>
      <c r="S361" s="229"/>
      <c r="T361" s="229"/>
      <c r="U361" s="229"/>
      <c r="V361" s="229"/>
      <c r="W361" s="229"/>
      <c r="X361" s="229"/>
      <c r="Y361" s="229"/>
      <c r="Z361" s="229"/>
      <c r="AA361" s="229"/>
      <c r="AB361" s="229"/>
    </row>
    <row r="362" ht="15.75" customHeight="1">
      <c r="A362" s="276"/>
      <c r="B362" s="101"/>
      <c r="C362" s="98"/>
      <c r="D362" s="100"/>
      <c r="E362" s="98"/>
      <c r="F362" s="99"/>
      <c r="G362" s="101"/>
      <c r="H362" s="278"/>
      <c r="I362" s="101"/>
      <c r="J362" s="101"/>
      <c r="K362" s="101"/>
      <c r="L362" s="102"/>
      <c r="M362" s="102"/>
      <c r="N362" s="101"/>
      <c r="O362" s="279"/>
      <c r="P362" s="279"/>
      <c r="Q362" s="229"/>
      <c r="R362" s="229"/>
      <c r="S362" s="229"/>
      <c r="T362" s="229"/>
      <c r="U362" s="229"/>
      <c r="V362" s="229"/>
      <c r="W362" s="229"/>
      <c r="X362" s="229"/>
      <c r="Y362" s="229"/>
      <c r="Z362" s="229"/>
      <c r="AA362" s="229"/>
      <c r="AB362" s="229"/>
    </row>
    <row r="363" ht="15.75" customHeight="1">
      <c r="A363" s="276"/>
      <c r="B363" s="101"/>
      <c r="C363" s="98"/>
      <c r="D363" s="100"/>
      <c r="E363" s="98"/>
      <c r="F363" s="99"/>
      <c r="G363" s="101"/>
      <c r="H363" s="278"/>
      <c r="I363" s="101"/>
      <c r="J363" s="101"/>
      <c r="K363" s="101"/>
      <c r="L363" s="102"/>
      <c r="M363" s="102"/>
      <c r="N363" s="101"/>
      <c r="O363" s="279"/>
      <c r="P363" s="279"/>
      <c r="Q363" s="229"/>
      <c r="R363" s="229"/>
      <c r="S363" s="229"/>
      <c r="T363" s="229"/>
      <c r="U363" s="229"/>
      <c r="V363" s="229"/>
      <c r="W363" s="229"/>
      <c r="X363" s="229"/>
      <c r="Y363" s="229"/>
      <c r="Z363" s="229"/>
      <c r="AA363" s="229"/>
      <c r="AB363" s="229"/>
    </row>
    <row r="364" ht="15.75" customHeight="1">
      <c r="A364" s="276"/>
      <c r="B364" s="101"/>
      <c r="C364" s="98"/>
      <c r="D364" s="100"/>
      <c r="E364" s="98"/>
      <c r="F364" s="99"/>
      <c r="G364" s="101"/>
      <c r="H364" s="278"/>
      <c r="I364" s="101"/>
      <c r="J364" s="101"/>
      <c r="K364" s="101"/>
      <c r="L364" s="102"/>
      <c r="M364" s="102"/>
      <c r="N364" s="101"/>
      <c r="O364" s="279"/>
      <c r="P364" s="279"/>
      <c r="Q364" s="229"/>
      <c r="R364" s="229"/>
      <c r="S364" s="229"/>
      <c r="T364" s="229"/>
      <c r="U364" s="229"/>
      <c r="V364" s="229"/>
      <c r="W364" s="229"/>
      <c r="X364" s="229"/>
      <c r="Y364" s="229"/>
      <c r="Z364" s="229"/>
      <c r="AA364" s="229"/>
      <c r="AB364" s="229"/>
    </row>
    <row r="365" ht="15.75" customHeight="1">
      <c r="A365" s="276"/>
      <c r="B365" s="101"/>
      <c r="C365" s="98"/>
      <c r="D365" s="100"/>
      <c r="E365" s="98"/>
      <c r="F365" s="99"/>
      <c r="G365" s="101"/>
      <c r="H365" s="278"/>
      <c r="I365" s="101"/>
      <c r="J365" s="101"/>
      <c r="K365" s="101"/>
      <c r="L365" s="102"/>
      <c r="M365" s="102"/>
      <c r="N365" s="101"/>
      <c r="O365" s="279"/>
      <c r="P365" s="279"/>
      <c r="Q365" s="229"/>
      <c r="R365" s="229"/>
      <c r="S365" s="229"/>
      <c r="T365" s="229"/>
      <c r="U365" s="229"/>
      <c r="V365" s="229"/>
      <c r="W365" s="229"/>
      <c r="X365" s="229"/>
      <c r="Y365" s="229"/>
      <c r="Z365" s="229"/>
      <c r="AA365" s="229"/>
      <c r="AB365" s="229"/>
    </row>
    <row r="366" ht="15.75" customHeight="1">
      <c r="A366" s="276"/>
      <c r="B366" s="101"/>
      <c r="C366" s="98"/>
      <c r="D366" s="100"/>
      <c r="E366" s="98"/>
      <c r="F366" s="99"/>
      <c r="G366" s="101"/>
      <c r="H366" s="278"/>
      <c r="I366" s="101"/>
      <c r="J366" s="101"/>
      <c r="K366" s="101"/>
      <c r="L366" s="102"/>
      <c r="M366" s="102"/>
      <c r="N366" s="101"/>
      <c r="O366" s="279"/>
      <c r="P366" s="279"/>
      <c r="Q366" s="229"/>
      <c r="R366" s="229"/>
      <c r="S366" s="229"/>
      <c r="T366" s="229"/>
      <c r="U366" s="229"/>
      <c r="V366" s="229"/>
      <c r="W366" s="229"/>
      <c r="X366" s="229"/>
      <c r="Y366" s="229"/>
      <c r="Z366" s="229"/>
      <c r="AA366" s="229"/>
      <c r="AB366" s="229"/>
    </row>
    <row r="367" ht="15.75" customHeight="1">
      <c r="A367" s="276"/>
      <c r="B367" s="101"/>
      <c r="C367" s="98"/>
      <c r="D367" s="100"/>
      <c r="E367" s="98"/>
      <c r="F367" s="99"/>
      <c r="G367" s="101"/>
      <c r="H367" s="278"/>
      <c r="I367" s="101"/>
      <c r="J367" s="101"/>
      <c r="K367" s="101"/>
      <c r="L367" s="102"/>
      <c r="M367" s="102"/>
      <c r="N367" s="101"/>
      <c r="O367" s="279"/>
      <c r="P367" s="279"/>
      <c r="Q367" s="229"/>
      <c r="R367" s="229"/>
      <c r="S367" s="229"/>
      <c r="T367" s="229"/>
      <c r="U367" s="229"/>
      <c r="V367" s="229"/>
      <c r="W367" s="229"/>
      <c r="X367" s="229"/>
      <c r="Y367" s="229"/>
      <c r="Z367" s="229"/>
      <c r="AA367" s="229"/>
      <c r="AB367" s="229"/>
    </row>
    <row r="368" ht="15.75" customHeight="1">
      <c r="A368" s="276"/>
      <c r="B368" s="101"/>
      <c r="C368" s="98"/>
      <c r="D368" s="100"/>
      <c r="E368" s="98"/>
      <c r="F368" s="99"/>
      <c r="G368" s="101"/>
      <c r="H368" s="278"/>
      <c r="I368" s="101"/>
      <c r="J368" s="101"/>
      <c r="K368" s="101"/>
      <c r="L368" s="102"/>
      <c r="M368" s="102"/>
      <c r="N368" s="101"/>
      <c r="O368" s="279"/>
      <c r="P368" s="279"/>
      <c r="Q368" s="229"/>
      <c r="R368" s="229"/>
      <c r="S368" s="229"/>
      <c r="T368" s="229"/>
      <c r="U368" s="229"/>
      <c r="V368" s="229"/>
      <c r="W368" s="229"/>
      <c r="X368" s="229"/>
      <c r="Y368" s="229"/>
      <c r="Z368" s="229"/>
      <c r="AA368" s="229"/>
      <c r="AB368" s="229"/>
    </row>
    <row r="369" ht="15.75" customHeight="1">
      <c r="A369" s="276"/>
      <c r="B369" s="101"/>
      <c r="C369" s="98"/>
      <c r="D369" s="100"/>
      <c r="E369" s="98"/>
      <c r="F369" s="99"/>
      <c r="G369" s="101"/>
      <c r="H369" s="278"/>
      <c r="I369" s="101"/>
      <c r="J369" s="101"/>
      <c r="K369" s="101"/>
      <c r="L369" s="102"/>
      <c r="M369" s="102"/>
      <c r="N369" s="101"/>
      <c r="O369" s="279"/>
      <c r="P369" s="279"/>
      <c r="Q369" s="229"/>
      <c r="R369" s="229"/>
      <c r="S369" s="229"/>
      <c r="T369" s="229"/>
      <c r="U369" s="229"/>
      <c r="V369" s="229"/>
      <c r="W369" s="229"/>
      <c r="X369" s="229"/>
      <c r="Y369" s="229"/>
      <c r="Z369" s="229"/>
      <c r="AA369" s="229"/>
      <c r="AB369" s="229"/>
    </row>
    <row r="370" ht="15.75" customHeight="1">
      <c r="A370" s="276"/>
      <c r="B370" s="101"/>
      <c r="C370" s="98"/>
      <c r="D370" s="100"/>
      <c r="E370" s="98"/>
      <c r="F370" s="99"/>
      <c r="G370" s="101"/>
      <c r="H370" s="278"/>
      <c r="I370" s="101"/>
      <c r="J370" s="101"/>
      <c r="K370" s="101"/>
      <c r="L370" s="102"/>
      <c r="M370" s="102"/>
      <c r="N370" s="101"/>
      <c r="O370" s="279"/>
      <c r="P370" s="279"/>
      <c r="Q370" s="229"/>
      <c r="R370" s="229"/>
      <c r="S370" s="229"/>
      <c r="T370" s="229"/>
      <c r="U370" s="229"/>
      <c r="V370" s="229"/>
      <c r="W370" s="229"/>
      <c r="X370" s="229"/>
      <c r="Y370" s="229"/>
      <c r="Z370" s="229"/>
      <c r="AA370" s="229"/>
      <c r="AB370" s="229"/>
    </row>
    <row r="371" ht="15.75" customHeight="1">
      <c r="A371" s="276"/>
      <c r="B371" s="101"/>
      <c r="C371" s="98"/>
      <c r="D371" s="100"/>
      <c r="E371" s="98"/>
      <c r="F371" s="99"/>
      <c r="G371" s="101"/>
      <c r="H371" s="278"/>
      <c r="I371" s="101"/>
      <c r="J371" s="101"/>
      <c r="K371" s="101"/>
      <c r="L371" s="102"/>
      <c r="M371" s="102"/>
      <c r="N371" s="101"/>
      <c r="O371" s="279"/>
      <c r="P371" s="279"/>
      <c r="Q371" s="229"/>
      <c r="R371" s="229"/>
      <c r="S371" s="229"/>
      <c r="T371" s="229"/>
      <c r="U371" s="229"/>
      <c r="V371" s="229"/>
      <c r="W371" s="229"/>
      <c r="X371" s="229"/>
      <c r="Y371" s="229"/>
      <c r="Z371" s="229"/>
      <c r="AA371" s="229"/>
      <c r="AB371" s="229"/>
    </row>
    <row r="372" ht="15.75" customHeight="1">
      <c r="A372" s="276"/>
      <c r="B372" s="101"/>
      <c r="C372" s="98"/>
      <c r="D372" s="100"/>
      <c r="E372" s="98"/>
      <c r="F372" s="99"/>
      <c r="G372" s="101"/>
      <c r="H372" s="278"/>
      <c r="I372" s="101"/>
      <c r="J372" s="101"/>
      <c r="K372" s="101"/>
      <c r="L372" s="102"/>
      <c r="M372" s="102"/>
      <c r="N372" s="101"/>
      <c r="O372" s="279"/>
      <c r="P372" s="279"/>
      <c r="Q372" s="229"/>
      <c r="R372" s="229"/>
      <c r="S372" s="229"/>
      <c r="T372" s="229"/>
      <c r="U372" s="229"/>
      <c r="V372" s="229"/>
      <c r="W372" s="229"/>
      <c r="X372" s="229"/>
      <c r="Y372" s="229"/>
      <c r="Z372" s="229"/>
      <c r="AA372" s="229"/>
      <c r="AB372" s="229"/>
    </row>
    <row r="373" ht="15.75" customHeight="1">
      <c r="A373" s="276"/>
      <c r="B373" s="101"/>
      <c r="C373" s="98"/>
      <c r="D373" s="100"/>
      <c r="E373" s="98"/>
      <c r="F373" s="99"/>
      <c r="G373" s="101"/>
      <c r="H373" s="278"/>
      <c r="I373" s="101"/>
      <c r="J373" s="101"/>
      <c r="K373" s="101"/>
      <c r="L373" s="102"/>
      <c r="M373" s="102"/>
      <c r="N373" s="101"/>
      <c r="O373" s="279"/>
      <c r="P373" s="279"/>
      <c r="Q373" s="229"/>
      <c r="R373" s="229"/>
      <c r="S373" s="229"/>
      <c r="T373" s="229"/>
      <c r="U373" s="229"/>
      <c r="V373" s="229"/>
      <c r="W373" s="229"/>
      <c r="X373" s="229"/>
      <c r="Y373" s="229"/>
      <c r="Z373" s="229"/>
      <c r="AA373" s="229"/>
      <c r="AB373" s="229"/>
    </row>
    <row r="374" ht="15.75" customHeight="1">
      <c r="A374" s="276"/>
      <c r="B374" s="101"/>
      <c r="C374" s="98"/>
      <c r="D374" s="100"/>
      <c r="E374" s="98"/>
      <c r="F374" s="99"/>
      <c r="G374" s="101"/>
      <c r="H374" s="278"/>
      <c r="I374" s="101"/>
      <c r="J374" s="101"/>
      <c r="K374" s="101"/>
      <c r="L374" s="102"/>
      <c r="M374" s="102"/>
      <c r="N374" s="101"/>
      <c r="O374" s="279"/>
      <c r="P374" s="279"/>
      <c r="Q374" s="229"/>
      <c r="R374" s="229"/>
      <c r="S374" s="229"/>
      <c r="T374" s="229"/>
      <c r="U374" s="229"/>
      <c r="V374" s="229"/>
      <c r="W374" s="229"/>
      <c r="X374" s="229"/>
      <c r="Y374" s="229"/>
      <c r="Z374" s="229"/>
      <c r="AA374" s="229"/>
      <c r="AB374" s="229"/>
    </row>
    <row r="375" ht="15.75" customHeight="1">
      <c r="A375" s="276"/>
      <c r="B375" s="101"/>
      <c r="C375" s="98"/>
      <c r="D375" s="100"/>
      <c r="E375" s="98"/>
      <c r="F375" s="99"/>
      <c r="G375" s="101"/>
      <c r="H375" s="278"/>
      <c r="I375" s="101"/>
      <c r="J375" s="101"/>
      <c r="K375" s="101"/>
      <c r="L375" s="102"/>
      <c r="M375" s="102"/>
      <c r="N375" s="101"/>
      <c r="O375" s="279"/>
      <c r="P375" s="279"/>
      <c r="Q375" s="229"/>
      <c r="R375" s="229"/>
      <c r="S375" s="229"/>
      <c r="T375" s="229"/>
      <c r="U375" s="229"/>
      <c r="V375" s="229"/>
      <c r="W375" s="229"/>
      <c r="X375" s="229"/>
      <c r="Y375" s="229"/>
      <c r="Z375" s="229"/>
      <c r="AA375" s="229"/>
      <c r="AB375" s="229"/>
    </row>
    <row r="376" ht="15.75" customHeight="1">
      <c r="A376" s="276"/>
      <c r="B376" s="101"/>
      <c r="C376" s="98"/>
      <c r="D376" s="100"/>
      <c r="E376" s="98"/>
      <c r="F376" s="99"/>
      <c r="G376" s="101"/>
      <c r="H376" s="278"/>
      <c r="I376" s="101"/>
      <c r="J376" s="101"/>
      <c r="K376" s="101"/>
      <c r="L376" s="102"/>
      <c r="M376" s="102"/>
      <c r="N376" s="101"/>
      <c r="O376" s="279"/>
      <c r="P376" s="279"/>
      <c r="Q376" s="229"/>
      <c r="R376" s="229"/>
      <c r="S376" s="229"/>
      <c r="T376" s="229"/>
      <c r="U376" s="229"/>
      <c r="V376" s="229"/>
      <c r="W376" s="229"/>
      <c r="X376" s="229"/>
      <c r="Y376" s="229"/>
      <c r="Z376" s="229"/>
      <c r="AA376" s="229"/>
      <c r="AB376" s="229"/>
    </row>
    <row r="377" ht="15.75" customHeight="1">
      <c r="A377" s="276"/>
      <c r="B377" s="101"/>
      <c r="C377" s="98"/>
      <c r="D377" s="100"/>
      <c r="E377" s="98"/>
      <c r="F377" s="99"/>
      <c r="G377" s="101"/>
      <c r="H377" s="278"/>
      <c r="I377" s="101"/>
      <c r="J377" s="101"/>
      <c r="K377" s="101"/>
      <c r="L377" s="102"/>
      <c r="M377" s="102"/>
      <c r="N377" s="101"/>
      <c r="O377" s="279"/>
      <c r="P377" s="279"/>
      <c r="Q377" s="229"/>
      <c r="R377" s="229"/>
      <c r="S377" s="229"/>
      <c r="T377" s="229"/>
      <c r="U377" s="229"/>
      <c r="V377" s="229"/>
      <c r="W377" s="229"/>
      <c r="X377" s="229"/>
      <c r="Y377" s="229"/>
      <c r="Z377" s="229"/>
      <c r="AA377" s="229"/>
      <c r="AB377" s="229"/>
    </row>
    <row r="378" ht="15.75" customHeight="1">
      <c r="A378" s="276"/>
      <c r="B378" s="101"/>
      <c r="C378" s="98"/>
      <c r="D378" s="100"/>
      <c r="E378" s="98"/>
      <c r="F378" s="99"/>
      <c r="G378" s="101"/>
      <c r="H378" s="278"/>
      <c r="I378" s="101"/>
      <c r="J378" s="101"/>
      <c r="K378" s="101"/>
      <c r="L378" s="102"/>
      <c r="M378" s="102"/>
      <c r="N378" s="101"/>
      <c r="O378" s="279"/>
      <c r="P378" s="27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</row>
    <row r="379" ht="15.75" customHeight="1">
      <c r="A379" s="276"/>
      <c r="B379" s="101"/>
      <c r="C379" s="98"/>
      <c r="D379" s="100"/>
      <c r="E379" s="98"/>
      <c r="F379" s="99"/>
      <c r="G379" s="101"/>
      <c r="H379" s="278"/>
      <c r="I379" s="101"/>
      <c r="J379" s="101"/>
      <c r="K379" s="101"/>
      <c r="L379" s="102"/>
      <c r="M379" s="102"/>
      <c r="N379" s="101"/>
      <c r="O379" s="279"/>
      <c r="P379" s="27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</row>
    <row r="380" ht="15.75" customHeight="1">
      <c r="A380" s="276"/>
      <c r="B380" s="101"/>
      <c r="C380" s="98"/>
      <c r="D380" s="100"/>
      <c r="E380" s="98"/>
      <c r="F380" s="99"/>
      <c r="G380" s="101"/>
      <c r="H380" s="278"/>
      <c r="I380" s="101"/>
      <c r="J380" s="101"/>
      <c r="K380" s="101"/>
      <c r="L380" s="102"/>
      <c r="M380" s="102"/>
      <c r="N380" s="101"/>
      <c r="O380" s="279"/>
      <c r="P380" s="27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</row>
    <row r="381" ht="15.75" customHeight="1">
      <c r="A381" s="276"/>
      <c r="B381" s="101"/>
      <c r="C381" s="98"/>
      <c r="D381" s="100"/>
      <c r="E381" s="98"/>
      <c r="F381" s="99"/>
      <c r="G381" s="101"/>
      <c r="H381" s="278"/>
      <c r="I381" s="101"/>
      <c r="J381" s="101"/>
      <c r="K381" s="101"/>
      <c r="L381" s="102"/>
      <c r="M381" s="102"/>
      <c r="N381" s="101"/>
      <c r="O381" s="279"/>
      <c r="P381" s="27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</row>
    <row r="382" ht="15.75" customHeight="1">
      <c r="A382" s="276"/>
      <c r="B382" s="101"/>
      <c r="C382" s="98"/>
      <c r="D382" s="100"/>
      <c r="E382" s="98"/>
      <c r="F382" s="99"/>
      <c r="G382" s="101"/>
      <c r="H382" s="278"/>
      <c r="I382" s="101"/>
      <c r="J382" s="101"/>
      <c r="K382" s="101"/>
      <c r="L382" s="102"/>
      <c r="M382" s="102"/>
      <c r="N382" s="101"/>
      <c r="O382" s="279"/>
      <c r="P382" s="279"/>
      <c r="Q382" s="229"/>
      <c r="R382" s="229"/>
      <c r="S382" s="229"/>
      <c r="T382" s="229"/>
      <c r="U382" s="229"/>
      <c r="V382" s="229"/>
      <c r="W382" s="229"/>
      <c r="X382" s="229"/>
      <c r="Y382" s="229"/>
      <c r="Z382" s="229"/>
      <c r="AA382" s="229"/>
      <c r="AB382" s="229"/>
    </row>
    <row r="383" ht="15.75" customHeight="1">
      <c r="A383" s="276"/>
      <c r="B383" s="101"/>
      <c r="C383" s="98"/>
      <c r="D383" s="100"/>
      <c r="E383" s="98"/>
      <c r="F383" s="99"/>
      <c r="G383" s="101"/>
      <c r="H383" s="278"/>
      <c r="I383" s="101"/>
      <c r="J383" s="101"/>
      <c r="K383" s="101"/>
      <c r="L383" s="102"/>
      <c r="M383" s="102"/>
      <c r="N383" s="101"/>
      <c r="O383" s="279"/>
      <c r="P383" s="279"/>
      <c r="Q383" s="229"/>
      <c r="R383" s="229"/>
      <c r="S383" s="229"/>
      <c r="T383" s="229"/>
      <c r="U383" s="229"/>
      <c r="V383" s="229"/>
      <c r="W383" s="229"/>
      <c r="X383" s="229"/>
      <c r="Y383" s="229"/>
      <c r="Z383" s="229"/>
      <c r="AA383" s="229"/>
      <c r="AB383" s="229"/>
    </row>
    <row r="384" ht="15.75" customHeight="1">
      <c r="A384" s="276"/>
      <c r="B384" s="101"/>
      <c r="C384" s="98"/>
      <c r="D384" s="100"/>
      <c r="E384" s="98"/>
      <c r="F384" s="99"/>
      <c r="G384" s="101"/>
      <c r="H384" s="278"/>
      <c r="I384" s="101"/>
      <c r="J384" s="101"/>
      <c r="K384" s="101"/>
      <c r="L384" s="102"/>
      <c r="M384" s="102"/>
      <c r="N384" s="101"/>
      <c r="O384" s="279"/>
      <c r="P384" s="279"/>
      <c r="Q384" s="229"/>
      <c r="R384" s="229"/>
      <c r="S384" s="229"/>
      <c r="T384" s="229"/>
      <c r="U384" s="229"/>
      <c r="V384" s="229"/>
      <c r="W384" s="229"/>
      <c r="X384" s="229"/>
      <c r="Y384" s="229"/>
      <c r="Z384" s="229"/>
      <c r="AA384" s="229"/>
      <c r="AB384" s="229"/>
    </row>
    <row r="385" ht="15.75" customHeight="1">
      <c r="A385" s="276"/>
      <c r="B385" s="101"/>
      <c r="C385" s="98"/>
      <c r="D385" s="100"/>
      <c r="E385" s="98"/>
      <c r="F385" s="99"/>
      <c r="G385" s="101"/>
      <c r="H385" s="278"/>
      <c r="I385" s="101"/>
      <c r="J385" s="101"/>
      <c r="K385" s="101"/>
      <c r="L385" s="102"/>
      <c r="M385" s="102"/>
      <c r="N385" s="101"/>
      <c r="O385" s="279"/>
      <c r="P385" s="279"/>
      <c r="Q385" s="229"/>
      <c r="R385" s="229"/>
      <c r="S385" s="229"/>
      <c r="T385" s="229"/>
      <c r="U385" s="229"/>
      <c r="V385" s="229"/>
      <c r="W385" s="229"/>
      <c r="X385" s="229"/>
      <c r="Y385" s="229"/>
      <c r="Z385" s="229"/>
      <c r="AA385" s="229"/>
      <c r="AB385" s="229"/>
    </row>
    <row r="386" ht="15.75" customHeight="1">
      <c r="A386" s="276"/>
      <c r="B386" s="101"/>
      <c r="C386" s="98"/>
      <c r="D386" s="100"/>
      <c r="E386" s="98"/>
      <c r="F386" s="99"/>
      <c r="G386" s="101"/>
      <c r="H386" s="278"/>
      <c r="I386" s="101"/>
      <c r="J386" s="101"/>
      <c r="K386" s="101"/>
      <c r="L386" s="102"/>
      <c r="M386" s="102"/>
      <c r="N386" s="101"/>
      <c r="O386" s="279"/>
      <c r="P386" s="279"/>
      <c r="Q386" s="229"/>
      <c r="R386" s="229"/>
      <c r="S386" s="229"/>
      <c r="T386" s="229"/>
      <c r="U386" s="229"/>
      <c r="V386" s="229"/>
      <c r="W386" s="229"/>
      <c r="X386" s="229"/>
      <c r="Y386" s="229"/>
      <c r="Z386" s="229"/>
      <c r="AA386" s="229"/>
      <c r="AB386" s="229"/>
    </row>
    <row r="387" ht="15.75" customHeight="1">
      <c r="A387" s="276"/>
      <c r="B387" s="101"/>
      <c r="C387" s="98"/>
      <c r="D387" s="100"/>
      <c r="E387" s="98"/>
      <c r="F387" s="99"/>
      <c r="G387" s="101"/>
      <c r="H387" s="278"/>
      <c r="I387" s="101"/>
      <c r="J387" s="101"/>
      <c r="K387" s="101"/>
      <c r="L387" s="102"/>
      <c r="M387" s="102"/>
      <c r="N387" s="101"/>
      <c r="O387" s="279"/>
      <c r="P387" s="279"/>
      <c r="Q387" s="229"/>
      <c r="R387" s="229"/>
      <c r="S387" s="229"/>
      <c r="T387" s="229"/>
      <c r="U387" s="229"/>
      <c r="V387" s="229"/>
      <c r="W387" s="229"/>
      <c r="X387" s="229"/>
      <c r="Y387" s="229"/>
      <c r="Z387" s="229"/>
      <c r="AA387" s="229"/>
      <c r="AB387" s="229"/>
    </row>
    <row r="388" ht="15.75" customHeight="1">
      <c r="A388" s="276"/>
      <c r="B388" s="101"/>
      <c r="C388" s="98"/>
      <c r="D388" s="100"/>
      <c r="E388" s="98"/>
      <c r="F388" s="99"/>
      <c r="G388" s="101"/>
      <c r="H388" s="278"/>
      <c r="I388" s="101"/>
      <c r="J388" s="101"/>
      <c r="K388" s="101"/>
      <c r="L388" s="102"/>
      <c r="M388" s="102"/>
      <c r="N388" s="101"/>
      <c r="O388" s="279"/>
      <c r="P388" s="279"/>
      <c r="Q388" s="229"/>
      <c r="R388" s="229"/>
      <c r="S388" s="229"/>
      <c r="T388" s="229"/>
      <c r="U388" s="229"/>
      <c r="V388" s="229"/>
      <c r="W388" s="229"/>
      <c r="X388" s="229"/>
      <c r="Y388" s="229"/>
      <c r="Z388" s="229"/>
      <c r="AA388" s="229"/>
      <c r="AB388" s="229"/>
    </row>
    <row r="389" ht="15.75" customHeight="1">
      <c r="A389" s="276"/>
      <c r="B389" s="101"/>
      <c r="C389" s="98"/>
      <c r="D389" s="100"/>
      <c r="E389" s="98"/>
      <c r="F389" s="99"/>
      <c r="G389" s="101"/>
      <c r="H389" s="278"/>
      <c r="I389" s="101"/>
      <c r="J389" s="101"/>
      <c r="K389" s="101"/>
      <c r="L389" s="102"/>
      <c r="M389" s="102"/>
      <c r="N389" s="101"/>
      <c r="O389" s="279"/>
      <c r="P389" s="279"/>
      <c r="Q389" s="229"/>
      <c r="R389" s="229"/>
      <c r="S389" s="229"/>
      <c r="T389" s="229"/>
      <c r="U389" s="229"/>
      <c r="V389" s="229"/>
      <c r="W389" s="229"/>
      <c r="X389" s="229"/>
      <c r="Y389" s="229"/>
      <c r="Z389" s="229"/>
      <c r="AA389" s="229"/>
      <c r="AB389" s="229"/>
    </row>
    <row r="390" ht="15.75" customHeight="1">
      <c r="A390" s="276"/>
      <c r="B390" s="101"/>
      <c r="C390" s="98"/>
      <c r="D390" s="100"/>
      <c r="E390" s="98"/>
      <c r="F390" s="99"/>
      <c r="G390" s="101"/>
      <c r="H390" s="278"/>
      <c r="I390" s="101"/>
      <c r="J390" s="101"/>
      <c r="K390" s="101"/>
      <c r="L390" s="102"/>
      <c r="M390" s="102"/>
      <c r="N390" s="101"/>
      <c r="O390" s="279"/>
      <c r="P390" s="279"/>
      <c r="Q390" s="229"/>
      <c r="R390" s="229"/>
      <c r="S390" s="229"/>
      <c r="T390" s="229"/>
      <c r="U390" s="229"/>
      <c r="V390" s="229"/>
      <c r="W390" s="229"/>
      <c r="X390" s="229"/>
      <c r="Y390" s="229"/>
      <c r="Z390" s="229"/>
      <c r="AA390" s="229"/>
      <c r="AB390" s="229"/>
    </row>
    <row r="391" ht="15.75" customHeight="1">
      <c r="A391" s="276"/>
      <c r="B391" s="101"/>
      <c r="C391" s="98"/>
      <c r="D391" s="100"/>
      <c r="E391" s="98"/>
      <c r="F391" s="99"/>
      <c r="G391" s="101"/>
      <c r="H391" s="278"/>
      <c r="I391" s="101"/>
      <c r="J391" s="101"/>
      <c r="K391" s="101"/>
      <c r="L391" s="102"/>
      <c r="M391" s="102"/>
      <c r="N391" s="101"/>
      <c r="O391" s="279"/>
      <c r="P391" s="279"/>
      <c r="Q391" s="229"/>
      <c r="R391" s="229"/>
      <c r="S391" s="229"/>
      <c r="T391" s="229"/>
      <c r="U391" s="229"/>
      <c r="V391" s="229"/>
      <c r="W391" s="229"/>
      <c r="X391" s="229"/>
      <c r="Y391" s="229"/>
      <c r="Z391" s="229"/>
      <c r="AA391" s="229"/>
      <c r="AB391" s="229"/>
    </row>
    <row r="392" ht="15.75" customHeight="1">
      <c r="A392" s="276"/>
      <c r="B392" s="101"/>
      <c r="C392" s="98"/>
      <c r="D392" s="100"/>
      <c r="E392" s="98"/>
      <c r="F392" s="99"/>
      <c r="G392" s="101"/>
      <c r="H392" s="278"/>
      <c r="I392" s="101"/>
      <c r="J392" s="101"/>
      <c r="K392" s="101"/>
      <c r="L392" s="102"/>
      <c r="M392" s="102"/>
      <c r="N392" s="101"/>
      <c r="O392" s="279"/>
      <c r="P392" s="279"/>
      <c r="Q392" s="229"/>
      <c r="R392" s="229"/>
      <c r="S392" s="229"/>
      <c r="T392" s="229"/>
      <c r="U392" s="229"/>
      <c r="V392" s="229"/>
      <c r="W392" s="229"/>
      <c r="X392" s="229"/>
      <c r="Y392" s="229"/>
      <c r="Z392" s="229"/>
      <c r="AA392" s="229"/>
      <c r="AB392" s="229"/>
    </row>
    <row r="393" ht="15.75" customHeight="1">
      <c r="A393" s="276"/>
      <c r="B393" s="101"/>
      <c r="C393" s="98"/>
      <c r="D393" s="100"/>
      <c r="E393" s="98"/>
      <c r="F393" s="99"/>
      <c r="G393" s="101"/>
      <c r="H393" s="278"/>
      <c r="I393" s="101"/>
      <c r="J393" s="101"/>
      <c r="K393" s="101"/>
      <c r="L393" s="102"/>
      <c r="M393" s="102"/>
      <c r="N393" s="101"/>
      <c r="O393" s="279"/>
      <c r="P393" s="279"/>
      <c r="Q393" s="229"/>
      <c r="R393" s="229"/>
      <c r="S393" s="229"/>
      <c r="T393" s="229"/>
      <c r="U393" s="229"/>
      <c r="V393" s="229"/>
      <c r="W393" s="229"/>
      <c r="X393" s="229"/>
      <c r="Y393" s="229"/>
      <c r="Z393" s="229"/>
      <c r="AA393" s="229"/>
      <c r="AB393" s="229"/>
    </row>
    <row r="394" ht="15.75" customHeight="1">
      <c r="A394" s="276"/>
      <c r="B394" s="101"/>
      <c r="C394" s="98"/>
      <c r="D394" s="100"/>
      <c r="E394" s="98"/>
      <c r="F394" s="99"/>
      <c r="G394" s="101"/>
      <c r="H394" s="278"/>
      <c r="I394" s="101"/>
      <c r="J394" s="101"/>
      <c r="K394" s="101"/>
      <c r="L394" s="102"/>
      <c r="M394" s="102"/>
      <c r="N394" s="101"/>
      <c r="O394" s="279"/>
      <c r="P394" s="279"/>
      <c r="Q394" s="229"/>
      <c r="R394" s="229"/>
      <c r="S394" s="229"/>
      <c r="T394" s="229"/>
      <c r="U394" s="229"/>
      <c r="V394" s="229"/>
      <c r="W394" s="229"/>
      <c r="X394" s="229"/>
      <c r="Y394" s="229"/>
      <c r="Z394" s="229"/>
      <c r="AA394" s="229"/>
      <c r="AB394" s="229"/>
    </row>
    <row r="395" ht="15.75" customHeight="1">
      <c r="A395" s="276"/>
      <c r="B395" s="101"/>
      <c r="C395" s="98"/>
      <c r="D395" s="100"/>
      <c r="E395" s="98"/>
      <c r="F395" s="99"/>
      <c r="G395" s="101"/>
      <c r="H395" s="278"/>
      <c r="I395" s="101"/>
      <c r="J395" s="101"/>
      <c r="K395" s="101"/>
      <c r="L395" s="102"/>
      <c r="M395" s="102"/>
      <c r="N395" s="101"/>
      <c r="O395" s="279"/>
      <c r="P395" s="279"/>
      <c r="Q395" s="229"/>
      <c r="R395" s="229"/>
      <c r="S395" s="229"/>
      <c r="T395" s="229"/>
      <c r="U395" s="229"/>
      <c r="V395" s="229"/>
      <c r="W395" s="229"/>
      <c r="X395" s="229"/>
      <c r="Y395" s="229"/>
      <c r="Z395" s="229"/>
      <c r="AA395" s="229"/>
      <c r="AB395" s="229"/>
    </row>
    <row r="396" ht="15.75" customHeight="1">
      <c r="A396" s="276"/>
      <c r="B396" s="101"/>
      <c r="C396" s="98"/>
      <c r="D396" s="100"/>
      <c r="E396" s="98"/>
      <c r="F396" s="99"/>
      <c r="G396" s="101"/>
      <c r="H396" s="278"/>
      <c r="I396" s="101"/>
      <c r="J396" s="101"/>
      <c r="K396" s="101"/>
      <c r="L396" s="102"/>
      <c r="M396" s="102"/>
      <c r="N396" s="101"/>
      <c r="O396" s="279"/>
      <c r="P396" s="279"/>
      <c r="Q396" s="229"/>
      <c r="R396" s="229"/>
      <c r="S396" s="229"/>
      <c r="T396" s="229"/>
      <c r="U396" s="229"/>
      <c r="V396" s="229"/>
      <c r="W396" s="229"/>
      <c r="X396" s="229"/>
      <c r="Y396" s="229"/>
      <c r="Z396" s="229"/>
      <c r="AA396" s="229"/>
      <c r="AB396" s="229"/>
    </row>
    <row r="397" ht="15.75" customHeight="1">
      <c r="A397" s="276"/>
      <c r="B397" s="101"/>
      <c r="C397" s="98"/>
      <c r="D397" s="100"/>
      <c r="E397" s="98"/>
      <c r="F397" s="99"/>
      <c r="G397" s="101"/>
      <c r="H397" s="278"/>
      <c r="I397" s="101"/>
      <c r="J397" s="101"/>
      <c r="K397" s="101"/>
      <c r="L397" s="102"/>
      <c r="M397" s="102"/>
      <c r="N397" s="101"/>
      <c r="O397" s="279"/>
      <c r="P397" s="279"/>
      <c r="Q397" s="229"/>
      <c r="R397" s="229"/>
      <c r="S397" s="229"/>
      <c r="T397" s="229"/>
      <c r="U397" s="229"/>
      <c r="V397" s="229"/>
      <c r="W397" s="229"/>
      <c r="X397" s="229"/>
      <c r="Y397" s="229"/>
      <c r="Z397" s="229"/>
      <c r="AA397" s="229"/>
      <c r="AB397" s="229"/>
    </row>
    <row r="398" ht="15.75" customHeight="1">
      <c r="A398" s="276"/>
      <c r="B398" s="101"/>
      <c r="C398" s="98"/>
      <c r="D398" s="100"/>
      <c r="E398" s="98"/>
      <c r="F398" s="99"/>
      <c r="G398" s="101"/>
      <c r="H398" s="278"/>
      <c r="I398" s="101"/>
      <c r="J398" s="101"/>
      <c r="K398" s="101"/>
      <c r="L398" s="102"/>
      <c r="M398" s="102"/>
      <c r="N398" s="101"/>
      <c r="O398" s="279"/>
      <c r="P398" s="279"/>
      <c r="Q398" s="229"/>
      <c r="R398" s="229"/>
      <c r="S398" s="229"/>
      <c r="T398" s="229"/>
      <c r="U398" s="229"/>
      <c r="V398" s="229"/>
      <c r="W398" s="229"/>
      <c r="X398" s="229"/>
      <c r="Y398" s="229"/>
      <c r="Z398" s="229"/>
      <c r="AA398" s="229"/>
      <c r="AB398" s="229"/>
    </row>
    <row r="399" ht="15.75" customHeight="1">
      <c r="A399" s="276"/>
      <c r="B399" s="101"/>
      <c r="C399" s="98"/>
      <c r="D399" s="100"/>
      <c r="E399" s="98"/>
      <c r="F399" s="99"/>
      <c r="G399" s="101"/>
      <c r="H399" s="278"/>
      <c r="I399" s="101"/>
      <c r="J399" s="101"/>
      <c r="K399" s="101"/>
      <c r="L399" s="102"/>
      <c r="M399" s="102"/>
      <c r="N399" s="101"/>
      <c r="O399" s="279"/>
      <c r="P399" s="279"/>
      <c r="Q399" s="229"/>
      <c r="R399" s="229"/>
      <c r="S399" s="229"/>
      <c r="T399" s="229"/>
      <c r="U399" s="229"/>
      <c r="V399" s="229"/>
      <c r="W399" s="229"/>
      <c r="X399" s="229"/>
      <c r="Y399" s="229"/>
      <c r="Z399" s="229"/>
      <c r="AA399" s="229"/>
      <c r="AB399" s="229"/>
    </row>
    <row r="400" ht="15.75" customHeight="1">
      <c r="A400" s="276"/>
      <c r="B400" s="101"/>
      <c r="C400" s="98"/>
      <c r="D400" s="100"/>
      <c r="E400" s="98"/>
      <c r="F400" s="99"/>
      <c r="G400" s="101"/>
      <c r="H400" s="278"/>
      <c r="I400" s="101"/>
      <c r="J400" s="101"/>
      <c r="K400" s="101"/>
      <c r="L400" s="102"/>
      <c r="M400" s="102"/>
      <c r="N400" s="101"/>
      <c r="O400" s="279"/>
      <c r="P400" s="279"/>
      <c r="Q400" s="229"/>
      <c r="R400" s="229"/>
      <c r="S400" s="229"/>
      <c r="T400" s="229"/>
      <c r="U400" s="229"/>
      <c r="V400" s="229"/>
      <c r="W400" s="229"/>
      <c r="X400" s="229"/>
      <c r="Y400" s="229"/>
      <c r="Z400" s="229"/>
      <c r="AA400" s="229"/>
      <c r="AB400" s="229"/>
    </row>
    <row r="401" ht="15.75" customHeight="1">
      <c r="A401" s="276"/>
      <c r="B401" s="101"/>
      <c r="C401" s="98"/>
      <c r="D401" s="100"/>
      <c r="E401" s="98"/>
      <c r="F401" s="99"/>
      <c r="G401" s="101"/>
      <c r="H401" s="278"/>
      <c r="I401" s="101"/>
      <c r="J401" s="101"/>
      <c r="K401" s="101"/>
      <c r="L401" s="102"/>
      <c r="M401" s="102"/>
      <c r="N401" s="101"/>
      <c r="O401" s="279"/>
      <c r="P401" s="279"/>
      <c r="Q401" s="229"/>
      <c r="R401" s="229"/>
      <c r="S401" s="229"/>
      <c r="T401" s="229"/>
      <c r="U401" s="229"/>
      <c r="V401" s="229"/>
      <c r="W401" s="229"/>
      <c r="X401" s="229"/>
      <c r="Y401" s="229"/>
      <c r="Z401" s="229"/>
      <c r="AA401" s="229"/>
      <c r="AB401" s="229"/>
    </row>
    <row r="402" ht="15.75" customHeight="1">
      <c r="A402" s="276"/>
      <c r="B402" s="101"/>
      <c r="C402" s="98"/>
      <c r="D402" s="100"/>
      <c r="E402" s="98"/>
      <c r="F402" s="99"/>
      <c r="G402" s="101"/>
      <c r="H402" s="278"/>
      <c r="I402" s="101"/>
      <c r="J402" s="101"/>
      <c r="K402" s="101"/>
      <c r="L402" s="102"/>
      <c r="M402" s="102"/>
      <c r="N402" s="101"/>
      <c r="O402" s="279"/>
      <c r="P402" s="279"/>
      <c r="Q402" s="229"/>
      <c r="R402" s="229"/>
      <c r="S402" s="229"/>
      <c r="T402" s="229"/>
      <c r="U402" s="229"/>
      <c r="V402" s="229"/>
      <c r="W402" s="229"/>
      <c r="X402" s="229"/>
      <c r="Y402" s="229"/>
      <c r="Z402" s="229"/>
      <c r="AA402" s="229"/>
      <c r="AB402" s="229"/>
    </row>
    <row r="403" ht="15.75" customHeight="1">
      <c r="A403" s="276"/>
      <c r="B403" s="101"/>
      <c r="C403" s="98"/>
      <c r="D403" s="100"/>
      <c r="E403" s="98"/>
      <c r="F403" s="99"/>
      <c r="G403" s="101"/>
      <c r="H403" s="278"/>
      <c r="I403" s="101"/>
      <c r="J403" s="101"/>
      <c r="K403" s="101"/>
      <c r="L403" s="102"/>
      <c r="M403" s="102"/>
      <c r="N403" s="101"/>
      <c r="O403" s="279"/>
      <c r="P403" s="279"/>
      <c r="Q403" s="229"/>
      <c r="R403" s="229"/>
      <c r="S403" s="229"/>
      <c r="T403" s="229"/>
      <c r="U403" s="229"/>
      <c r="V403" s="229"/>
      <c r="W403" s="229"/>
      <c r="X403" s="229"/>
      <c r="Y403" s="229"/>
      <c r="Z403" s="229"/>
      <c r="AA403" s="229"/>
      <c r="AB403" s="229"/>
    </row>
    <row r="404" ht="15.75" customHeight="1">
      <c r="A404" s="276"/>
      <c r="B404" s="101"/>
      <c r="C404" s="98"/>
      <c r="D404" s="100"/>
      <c r="E404" s="98"/>
      <c r="F404" s="99"/>
      <c r="G404" s="101"/>
      <c r="H404" s="278"/>
      <c r="I404" s="101"/>
      <c r="J404" s="101"/>
      <c r="K404" s="101"/>
      <c r="L404" s="102"/>
      <c r="M404" s="102"/>
      <c r="N404" s="101"/>
      <c r="O404" s="279"/>
      <c r="P404" s="279"/>
      <c r="Q404" s="229"/>
      <c r="R404" s="229"/>
      <c r="S404" s="229"/>
      <c r="T404" s="229"/>
      <c r="U404" s="229"/>
      <c r="V404" s="229"/>
      <c r="W404" s="229"/>
      <c r="X404" s="229"/>
      <c r="Y404" s="229"/>
      <c r="Z404" s="229"/>
      <c r="AA404" s="229"/>
      <c r="AB404" s="229"/>
    </row>
    <row r="405" ht="15.75" customHeight="1">
      <c r="A405" s="276"/>
      <c r="B405" s="101"/>
      <c r="C405" s="98"/>
      <c r="D405" s="100"/>
      <c r="E405" s="98"/>
      <c r="F405" s="99"/>
      <c r="G405" s="101"/>
      <c r="H405" s="278"/>
      <c r="I405" s="101"/>
      <c r="J405" s="101"/>
      <c r="K405" s="101"/>
      <c r="L405" s="102"/>
      <c r="M405" s="102"/>
      <c r="N405" s="101"/>
      <c r="O405" s="279"/>
      <c r="P405" s="279"/>
      <c r="Q405" s="229"/>
      <c r="R405" s="229"/>
      <c r="S405" s="229"/>
      <c r="T405" s="229"/>
      <c r="U405" s="229"/>
      <c r="V405" s="229"/>
      <c r="W405" s="229"/>
      <c r="X405" s="229"/>
      <c r="Y405" s="229"/>
      <c r="Z405" s="229"/>
      <c r="AA405" s="229"/>
      <c r="AB405" s="229"/>
    </row>
    <row r="406" ht="15.75" customHeight="1">
      <c r="A406" s="276"/>
      <c r="B406" s="101"/>
      <c r="C406" s="98"/>
      <c r="D406" s="100"/>
      <c r="E406" s="98"/>
      <c r="F406" s="99"/>
      <c r="G406" s="101"/>
      <c r="H406" s="278"/>
      <c r="I406" s="101"/>
      <c r="J406" s="101"/>
      <c r="K406" s="101"/>
      <c r="L406" s="102"/>
      <c r="M406" s="102"/>
      <c r="N406" s="101"/>
      <c r="O406" s="279"/>
      <c r="P406" s="279"/>
      <c r="Q406" s="229"/>
      <c r="R406" s="229"/>
      <c r="S406" s="229"/>
      <c r="T406" s="229"/>
      <c r="U406" s="229"/>
      <c r="V406" s="229"/>
      <c r="W406" s="229"/>
      <c r="X406" s="229"/>
      <c r="Y406" s="229"/>
      <c r="Z406" s="229"/>
      <c r="AA406" s="229"/>
      <c r="AB406" s="229"/>
    </row>
    <row r="407" ht="15.75" customHeight="1">
      <c r="A407" s="276"/>
      <c r="B407" s="101"/>
      <c r="C407" s="98"/>
      <c r="D407" s="100"/>
      <c r="E407" s="98"/>
      <c r="F407" s="99"/>
      <c r="G407" s="101"/>
      <c r="H407" s="278"/>
      <c r="I407" s="101"/>
      <c r="J407" s="101"/>
      <c r="K407" s="101"/>
      <c r="L407" s="102"/>
      <c r="M407" s="102"/>
      <c r="N407" s="101"/>
      <c r="O407" s="279"/>
      <c r="P407" s="279"/>
      <c r="Q407" s="229"/>
      <c r="R407" s="229"/>
      <c r="S407" s="229"/>
      <c r="T407" s="229"/>
      <c r="U407" s="229"/>
      <c r="V407" s="229"/>
      <c r="W407" s="229"/>
      <c r="X407" s="229"/>
      <c r="Y407" s="229"/>
      <c r="Z407" s="229"/>
      <c r="AA407" s="229"/>
      <c r="AB407" s="229"/>
    </row>
    <row r="408" ht="15.75" customHeight="1">
      <c r="A408" s="276"/>
      <c r="B408" s="101"/>
      <c r="C408" s="98"/>
      <c r="D408" s="100"/>
      <c r="E408" s="98"/>
      <c r="F408" s="99"/>
      <c r="G408" s="101"/>
      <c r="H408" s="278"/>
      <c r="I408" s="101"/>
      <c r="J408" s="101"/>
      <c r="K408" s="101"/>
      <c r="L408" s="102"/>
      <c r="M408" s="102"/>
      <c r="N408" s="101"/>
      <c r="O408" s="279"/>
      <c r="P408" s="279"/>
      <c r="Q408" s="229"/>
      <c r="R408" s="229"/>
      <c r="S408" s="229"/>
      <c r="T408" s="229"/>
      <c r="U408" s="229"/>
      <c r="V408" s="229"/>
      <c r="W408" s="229"/>
      <c r="X408" s="229"/>
      <c r="Y408" s="229"/>
      <c r="Z408" s="229"/>
      <c r="AA408" s="229"/>
      <c r="AB408" s="229"/>
    </row>
    <row r="409" ht="15.75" customHeight="1">
      <c r="A409" s="276"/>
      <c r="B409" s="101"/>
      <c r="C409" s="98"/>
      <c r="D409" s="100"/>
      <c r="E409" s="98"/>
      <c r="F409" s="99"/>
      <c r="G409" s="101"/>
      <c r="H409" s="278"/>
      <c r="I409" s="101"/>
      <c r="J409" s="101"/>
      <c r="K409" s="101"/>
      <c r="L409" s="102"/>
      <c r="M409" s="102"/>
      <c r="N409" s="101"/>
      <c r="O409" s="279"/>
      <c r="P409" s="279"/>
      <c r="Q409" s="229"/>
      <c r="R409" s="229"/>
      <c r="S409" s="229"/>
      <c r="T409" s="229"/>
      <c r="U409" s="229"/>
      <c r="V409" s="229"/>
      <c r="W409" s="229"/>
      <c r="X409" s="229"/>
      <c r="Y409" s="229"/>
      <c r="Z409" s="229"/>
      <c r="AA409" s="229"/>
      <c r="AB409" s="229"/>
    </row>
    <row r="410" ht="15.75" customHeight="1">
      <c r="A410" s="276"/>
      <c r="B410" s="101"/>
      <c r="C410" s="98"/>
      <c r="D410" s="100"/>
      <c r="E410" s="98"/>
      <c r="F410" s="99"/>
      <c r="G410" s="101"/>
      <c r="H410" s="278"/>
      <c r="I410" s="101"/>
      <c r="J410" s="101"/>
      <c r="K410" s="101"/>
      <c r="L410" s="102"/>
      <c r="M410" s="102"/>
      <c r="N410" s="101"/>
      <c r="O410" s="279"/>
      <c r="P410" s="279"/>
      <c r="Q410" s="229"/>
      <c r="R410" s="229"/>
      <c r="S410" s="229"/>
      <c r="T410" s="229"/>
      <c r="U410" s="229"/>
      <c r="V410" s="229"/>
      <c r="W410" s="229"/>
      <c r="X410" s="229"/>
      <c r="Y410" s="229"/>
      <c r="Z410" s="229"/>
      <c r="AA410" s="229"/>
      <c r="AB410" s="229"/>
    </row>
    <row r="411" ht="15.75" customHeight="1">
      <c r="A411" s="276"/>
      <c r="B411" s="101"/>
      <c r="C411" s="98"/>
      <c r="D411" s="100"/>
      <c r="E411" s="98"/>
      <c r="F411" s="99"/>
      <c r="G411" s="101"/>
      <c r="H411" s="278"/>
      <c r="I411" s="101"/>
      <c r="J411" s="101"/>
      <c r="K411" s="101"/>
      <c r="L411" s="102"/>
      <c r="M411" s="102"/>
      <c r="N411" s="101"/>
      <c r="O411" s="279"/>
      <c r="P411" s="279"/>
      <c r="Q411" s="229"/>
      <c r="R411" s="229"/>
      <c r="S411" s="229"/>
      <c r="T411" s="229"/>
      <c r="U411" s="229"/>
      <c r="V411" s="229"/>
      <c r="W411" s="229"/>
      <c r="X411" s="229"/>
      <c r="Y411" s="229"/>
      <c r="Z411" s="229"/>
      <c r="AA411" s="229"/>
      <c r="AB411" s="229"/>
    </row>
    <row r="412" ht="15.75" customHeight="1">
      <c r="A412" s="276"/>
      <c r="B412" s="101"/>
      <c r="C412" s="98"/>
      <c r="D412" s="100"/>
      <c r="E412" s="98"/>
      <c r="F412" s="99"/>
      <c r="G412" s="101"/>
      <c r="H412" s="278"/>
      <c r="I412" s="101"/>
      <c r="J412" s="101"/>
      <c r="K412" s="101"/>
      <c r="L412" s="102"/>
      <c r="M412" s="102"/>
      <c r="N412" s="101"/>
      <c r="O412" s="279"/>
      <c r="P412" s="279"/>
      <c r="Q412" s="229"/>
      <c r="R412" s="229"/>
      <c r="S412" s="229"/>
      <c r="T412" s="229"/>
      <c r="U412" s="229"/>
      <c r="V412" s="229"/>
      <c r="W412" s="229"/>
      <c r="X412" s="229"/>
      <c r="Y412" s="229"/>
      <c r="Z412" s="229"/>
      <c r="AA412" s="229"/>
      <c r="AB412" s="229"/>
    </row>
    <row r="413" ht="15.75" customHeight="1">
      <c r="A413" s="276"/>
      <c r="B413" s="101"/>
      <c r="C413" s="98"/>
      <c r="D413" s="100"/>
      <c r="E413" s="98"/>
      <c r="F413" s="99"/>
      <c r="G413" s="101"/>
      <c r="H413" s="278"/>
      <c r="I413" s="101"/>
      <c r="J413" s="101"/>
      <c r="K413" s="101"/>
      <c r="L413" s="102"/>
      <c r="M413" s="102"/>
      <c r="N413" s="101"/>
      <c r="O413" s="279"/>
      <c r="P413" s="279"/>
      <c r="Q413" s="229"/>
      <c r="R413" s="229"/>
      <c r="S413" s="229"/>
      <c r="T413" s="229"/>
      <c r="U413" s="229"/>
      <c r="V413" s="229"/>
      <c r="W413" s="229"/>
      <c r="X413" s="229"/>
      <c r="Y413" s="229"/>
      <c r="Z413" s="229"/>
      <c r="AA413" s="229"/>
      <c r="AB413" s="229"/>
    </row>
    <row r="414" ht="15.75" customHeight="1">
      <c r="A414" s="276"/>
      <c r="B414" s="101"/>
      <c r="C414" s="98"/>
      <c r="D414" s="100"/>
      <c r="E414" s="98"/>
      <c r="F414" s="99"/>
      <c r="G414" s="101"/>
      <c r="H414" s="278"/>
      <c r="I414" s="101"/>
      <c r="J414" s="101"/>
      <c r="K414" s="101"/>
      <c r="L414" s="102"/>
      <c r="M414" s="102"/>
      <c r="N414" s="101"/>
      <c r="O414" s="279"/>
      <c r="P414" s="279"/>
      <c r="Q414" s="229"/>
      <c r="R414" s="229"/>
      <c r="S414" s="229"/>
      <c r="T414" s="229"/>
      <c r="U414" s="229"/>
      <c r="V414" s="229"/>
      <c r="W414" s="229"/>
      <c r="X414" s="229"/>
      <c r="Y414" s="229"/>
      <c r="Z414" s="229"/>
      <c r="AA414" s="229"/>
      <c r="AB414" s="229"/>
    </row>
    <row r="415" ht="15.75" customHeight="1">
      <c r="A415" s="276"/>
      <c r="B415" s="101"/>
      <c r="C415" s="98"/>
      <c r="D415" s="100"/>
      <c r="E415" s="98"/>
      <c r="F415" s="99"/>
      <c r="G415" s="101"/>
      <c r="H415" s="278"/>
      <c r="I415" s="101"/>
      <c r="J415" s="101"/>
      <c r="K415" s="101"/>
      <c r="L415" s="102"/>
      <c r="M415" s="102"/>
      <c r="N415" s="101"/>
      <c r="O415" s="279"/>
      <c r="P415" s="279"/>
      <c r="Q415" s="229"/>
      <c r="R415" s="229"/>
      <c r="S415" s="229"/>
      <c r="T415" s="229"/>
      <c r="U415" s="229"/>
      <c r="V415" s="229"/>
      <c r="W415" s="229"/>
      <c r="X415" s="229"/>
      <c r="Y415" s="229"/>
      <c r="Z415" s="229"/>
      <c r="AA415" s="229"/>
      <c r="AB415" s="229"/>
    </row>
    <row r="416" ht="15.75" customHeight="1">
      <c r="A416" s="276"/>
      <c r="B416" s="101"/>
      <c r="C416" s="98"/>
      <c r="D416" s="100"/>
      <c r="E416" s="98"/>
      <c r="F416" s="99"/>
      <c r="G416" s="101"/>
      <c r="H416" s="278"/>
      <c r="I416" s="101"/>
      <c r="J416" s="101"/>
      <c r="K416" s="101"/>
      <c r="L416" s="102"/>
      <c r="M416" s="102"/>
      <c r="N416" s="101"/>
      <c r="O416" s="279"/>
      <c r="P416" s="279"/>
      <c r="Q416" s="229"/>
      <c r="R416" s="229"/>
      <c r="S416" s="229"/>
      <c r="T416" s="229"/>
      <c r="U416" s="229"/>
      <c r="V416" s="229"/>
      <c r="W416" s="229"/>
      <c r="X416" s="229"/>
      <c r="Y416" s="229"/>
      <c r="Z416" s="229"/>
      <c r="AA416" s="229"/>
      <c r="AB416" s="229"/>
    </row>
    <row r="417" ht="15.75" customHeight="1">
      <c r="A417" s="276"/>
      <c r="B417" s="101"/>
      <c r="C417" s="98"/>
      <c r="D417" s="100"/>
      <c r="E417" s="98"/>
      <c r="F417" s="99"/>
      <c r="G417" s="101"/>
      <c r="H417" s="278"/>
      <c r="I417" s="101"/>
      <c r="J417" s="101"/>
      <c r="K417" s="101"/>
      <c r="L417" s="102"/>
      <c r="M417" s="102"/>
      <c r="N417" s="101"/>
      <c r="O417" s="279"/>
      <c r="P417" s="279"/>
      <c r="Q417" s="229"/>
      <c r="R417" s="229"/>
      <c r="S417" s="229"/>
      <c r="T417" s="229"/>
      <c r="U417" s="229"/>
      <c r="V417" s="229"/>
      <c r="W417" s="229"/>
      <c r="X417" s="229"/>
      <c r="Y417" s="229"/>
      <c r="Z417" s="229"/>
      <c r="AA417" s="229"/>
      <c r="AB417" s="229"/>
    </row>
    <row r="418" ht="15.75" customHeight="1">
      <c r="A418" s="276"/>
      <c r="B418" s="101"/>
      <c r="C418" s="98"/>
      <c r="D418" s="100"/>
      <c r="E418" s="98"/>
      <c r="F418" s="99"/>
      <c r="G418" s="101"/>
      <c r="H418" s="278"/>
      <c r="I418" s="101"/>
      <c r="J418" s="101"/>
      <c r="K418" s="101"/>
      <c r="L418" s="102"/>
      <c r="M418" s="102"/>
      <c r="N418" s="101"/>
      <c r="O418" s="279"/>
      <c r="P418" s="279"/>
      <c r="Q418" s="229"/>
      <c r="R418" s="229"/>
      <c r="S418" s="229"/>
      <c r="T418" s="229"/>
      <c r="U418" s="229"/>
      <c r="V418" s="229"/>
      <c r="W418" s="229"/>
      <c r="X418" s="229"/>
      <c r="Y418" s="229"/>
      <c r="Z418" s="229"/>
      <c r="AA418" s="229"/>
      <c r="AB418" s="229"/>
    </row>
    <row r="419" ht="15.75" customHeight="1">
      <c r="A419" s="276"/>
      <c r="B419" s="101"/>
      <c r="C419" s="98"/>
      <c r="D419" s="100"/>
      <c r="E419" s="98"/>
      <c r="F419" s="99"/>
      <c r="G419" s="101"/>
      <c r="H419" s="278"/>
      <c r="I419" s="101"/>
      <c r="J419" s="101"/>
      <c r="K419" s="101"/>
      <c r="L419" s="102"/>
      <c r="M419" s="102"/>
      <c r="N419" s="101"/>
      <c r="O419" s="279"/>
      <c r="P419" s="279"/>
      <c r="Q419" s="229"/>
      <c r="R419" s="229"/>
      <c r="S419" s="229"/>
      <c r="T419" s="229"/>
      <c r="U419" s="229"/>
      <c r="V419" s="229"/>
      <c r="W419" s="229"/>
      <c r="X419" s="229"/>
      <c r="Y419" s="229"/>
      <c r="Z419" s="229"/>
      <c r="AA419" s="229"/>
      <c r="AB419" s="229"/>
    </row>
    <row r="420" ht="15.75" customHeight="1">
      <c r="A420" s="276"/>
      <c r="B420" s="101"/>
      <c r="C420" s="98"/>
      <c r="D420" s="100"/>
      <c r="E420" s="98"/>
      <c r="F420" s="99"/>
      <c r="G420" s="101"/>
      <c r="H420" s="278"/>
      <c r="I420" s="101"/>
      <c r="J420" s="101"/>
      <c r="K420" s="101"/>
      <c r="L420" s="102"/>
      <c r="M420" s="102"/>
      <c r="N420" s="101"/>
      <c r="O420" s="279"/>
      <c r="P420" s="279"/>
      <c r="Q420" s="229"/>
      <c r="R420" s="229"/>
      <c r="S420" s="229"/>
      <c r="T420" s="229"/>
      <c r="U420" s="229"/>
      <c r="V420" s="229"/>
      <c r="W420" s="229"/>
      <c r="X420" s="229"/>
      <c r="Y420" s="229"/>
      <c r="Z420" s="229"/>
      <c r="AA420" s="229"/>
      <c r="AB420" s="229"/>
    </row>
    <row r="421" ht="15.75" customHeight="1">
      <c r="A421" s="276"/>
      <c r="B421" s="101"/>
      <c r="C421" s="98"/>
      <c r="D421" s="100"/>
      <c r="E421" s="98"/>
      <c r="F421" s="99"/>
      <c r="G421" s="101"/>
      <c r="H421" s="278"/>
      <c r="I421" s="101"/>
      <c r="J421" s="101"/>
      <c r="K421" s="101"/>
      <c r="L421" s="102"/>
      <c r="M421" s="102"/>
      <c r="N421" s="101"/>
      <c r="O421" s="279"/>
      <c r="P421" s="279"/>
      <c r="Q421" s="229"/>
      <c r="R421" s="229"/>
      <c r="S421" s="229"/>
      <c r="T421" s="229"/>
      <c r="U421" s="229"/>
      <c r="V421" s="229"/>
      <c r="W421" s="229"/>
      <c r="X421" s="229"/>
      <c r="Y421" s="229"/>
      <c r="Z421" s="229"/>
      <c r="AA421" s="229"/>
      <c r="AB421" s="229"/>
    </row>
    <row r="422" ht="15.75" customHeight="1">
      <c r="A422" s="276"/>
      <c r="B422" s="101"/>
      <c r="C422" s="98"/>
      <c r="D422" s="100"/>
      <c r="E422" s="98"/>
      <c r="F422" s="99"/>
      <c r="G422" s="101"/>
      <c r="H422" s="278"/>
      <c r="I422" s="101"/>
      <c r="J422" s="101"/>
      <c r="K422" s="101"/>
      <c r="L422" s="102"/>
      <c r="M422" s="102"/>
      <c r="N422" s="101"/>
      <c r="O422" s="279"/>
      <c r="P422" s="279"/>
      <c r="Q422" s="229"/>
      <c r="R422" s="229"/>
      <c r="S422" s="229"/>
      <c r="T422" s="229"/>
      <c r="U422" s="229"/>
      <c r="V422" s="229"/>
      <c r="W422" s="229"/>
      <c r="X422" s="229"/>
      <c r="Y422" s="229"/>
      <c r="Z422" s="229"/>
      <c r="AA422" s="229"/>
      <c r="AB422" s="229"/>
    </row>
    <row r="423" ht="15.75" customHeight="1">
      <c r="A423" s="276"/>
      <c r="B423" s="101"/>
      <c r="C423" s="98"/>
      <c r="D423" s="100"/>
      <c r="E423" s="98"/>
      <c r="F423" s="99"/>
      <c r="G423" s="101"/>
      <c r="H423" s="278"/>
      <c r="I423" s="101"/>
      <c r="J423" s="101"/>
      <c r="K423" s="101"/>
      <c r="L423" s="102"/>
      <c r="M423" s="102"/>
      <c r="N423" s="101"/>
      <c r="O423" s="279"/>
      <c r="P423" s="279"/>
      <c r="Q423" s="229"/>
      <c r="R423" s="229"/>
      <c r="S423" s="229"/>
      <c r="T423" s="229"/>
      <c r="U423" s="229"/>
      <c r="V423" s="229"/>
      <c r="W423" s="229"/>
      <c r="X423" s="229"/>
      <c r="Y423" s="229"/>
      <c r="Z423" s="229"/>
      <c r="AA423" s="229"/>
      <c r="AB423" s="229"/>
    </row>
    <row r="424" ht="15.75" customHeight="1">
      <c r="A424" s="276"/>
      <c r="B424" s="101"/>
      <c r="C424" s="98"/>
      <c r="D424" s="100"/>
      <c r="E424" s="98"/>
      <c r="F424" s="99"/>
      <c r="G424" s="101"/>
      <c r="H424" s="278"/>
      <c r="I424" s="101"/>
      <c r="J424" s="101"/>
      <c r="K424" s="101"/>
      <c r="L424" s="102"/>
      <c r="M424" s="102"/>
      <c r="N424" s="101"/>
      <c r="O424" s="279"/>
      <c r="P424" s="279"/>
      <c r="Q424" s="229"/>
      <c r="R424" s="229"/>
      <c r="S424" s="229"/>
      <c r="T424" s="229"/>
      <c r="U424" s="229"/>
      <c r="V424" s="229"/>
      <c r="W424" s="229"/>
      <c r="X424" s="229"/>
      <c r="Y424" s="229"/>
      <c r="Z424" s="229"/>
      <c r="AA424" s="229"/>
      <c r="AB424" s="229"/>
    </row>
    <row r="425" ht="15.75" customHeight="1">
      <c r="A425" s="276"/>
      <c r="B425" s="101"/>
      <c r="C425" s="98"/>
      <c r="D425" s="100"/>
      <c r="E425" s="98"/>
      <c r="F425" s="99"/>
      <c r="G425" s="101"/>
      <c r="H425" s="278"/>
      <c r="I425" s="101"/>
      <c r="J425" s="101"/>
      <c r="K425" s="101"/>
      <c r="L425" s="102"/>
      <c r="M425" s="102"/>
      <c r="N425" s="101"/>
      <c r="O425" s="279"/>
      <c r="P425" s="279"/>
      <c r="Q425" s="229"/>
      <c r="R425" s="229"/>
      <c r="S425" s="229"/>
      <c r="T425" s="229"/>
      <c r="U425" s="229"/>
      <c r="V425" s="229"/>
      <c r="W425" s="229"/>
      <c r="X425" s="229"/>
      <c r="Y425" s="229"/>
      <c r="Z425" s="229"/>
      <c r="AA425" s="229"/>
      <c r="AB425" s="229"/>
    </row>
    <row r="426" ht="15.75" customHeight="1">
      <c r="A426" s="276"/>
      <c r="B426" s="101"/>
      <c r="C426" s="98"/>
      <c r="D426" s="100"/>
      <c r="E426" s="98"/>
      <c r="F426" s="99"/>
      <c r="G426" s="101"/>
      <c r="H426" s="278"/>
      <c r="I426" s="101"/>
      <c r="J426" s="101"/>
      <c r="K426" s="101"/>
      <c r="L426" s="102"/>
      <c r="M426" s="102"/>
      <c r="N426" s="101"/>
      <c r="O426" s="279"/>
      <c r="P426" s="279"/>
      <c r="Q426" s="229"/>
      <c r="R426" s="229"/>
      <c r="S426" s="229"/>
      <c r="T426" s="229"/>
      <c r="U426" s="229"/>
      <c r="V426" s="229"/>
      <c r="W426" s="229"/>
      <c r="X426" s="229"/>
      <c r="Y426" s="229"/>
      <c r="Z426" s="229"/>
      <c r="AA426" s="229"/>
      <c r="AB426" s="229"/>
    </row>
    <row r="427" ht="15.75" customHeight="1">
      <c r="A427" s="276"/>
      <c r="B427" s="101"/>
      <c r="C427" s="98"/>
      <c r="D427" s="100"/>
      <c r="E427" s="98"/>
      <c r="F427" s="99"/>
      <c r="G427" s="101"/>
      <c r="H427" s="278"/>
      <c r="I427" s="101"/>
      <c r="J427" s="101"/>
      <c r="K427" s="101"/>
      <c r="L427" s="102"/>
      <c r="M427" s="102"/>
      <c r="N427" s="101"/>
      <c r="O427" s="279"/>
      <c r="P427" s="279"/>
      <c r="Q427" s="229"/>
      <c r="R427" s="229"/>
      <c r="S427" s="229"/>
      <c r="T427" s="229"/>
      <c r="U427" s="229"/>
      <c r="V427" s="229"/>
      <c r="W427" s="229"/>
      <c r="X427" s="229"/>
      <c r="Y427" s="229"/>
      <c r="Z427" s="229"/>
      <c r="AA427" s="229"/>
      <c r="AB427" s="229"/>
    </row>
    <row r="428" ht="15.75" customHeight="1">
      <c r="A428" s="276"/>
      <c r="B428" s="101"/>
      <c r="C428" s="98"/>
      <c r="D428" s="100"/>
      <c r="E428" s="98"/>
      <c r="F428" s="99"/>
      <c r="G428" s="101"/>
      <c r="H428" s="278"/>
      <c r="I428" s="101"/>
      <c r="J428" s="101"/>
      <c r="K428" s="101"/>
      <c r="L428" s="102"/>
      <c r="M428" s="102"/>
      <c r="N428" s="101"/>
      <c r="O428" s="279"/>
      <c r="P428" s="279"/>
      <c r="Q428" s="229"/>
      <c r="R428" s="229"/>
      <c r="S428" s="229"/>
      <c r="T428" s="229"/>
      <c r="U428" s="229"/>
      <c r="V428" s="229"/>
      <c r="W428" s="229"/>
      <c r="X428" s="229"/>
      <c r="Y428" s="229"/>
      <c r="Z428" s="229"/>
      <c r="AA428" s="229"/>
      <c r="AB428" s="229"/>
    </row>
    <row r="429" ht="15.75" customHeight="1">
      <c r="A429" s="276"/>
      <c r="B429" s="101"/>
      <c r="C429" s="98"/>
      <c r="D429" s="100"/>
      <c r="E429" s="98"/>
      <c r="F429" s="99"/>
      <c r="G429" s="101"/>
      <c r="H429" s="278"/>
      <c r="I429" s="101"/>
      <c r="J429" s="101"/>
      <c r="K429" s="101"/>
      <c r="L429" s="102"/>
      <c r="M429" s="102"/>
      <c r="N429" s="101"/>
      <c r="O429" s="279"/>
      <c r="P429" s="279"/>
      <c r="Q429" s="229"/>
      <c r="R429" s="229"/>
      <c r="S429" s="229"/>
      <c r="T429" s="229"/>
      <c r="U429" s="229"/>
      <c r="V429" s="229"/>
      <c r="W429" s="229"/>
      <c r="X429" s="229"/>
      <c r="Y429" s="229"/>
      <c r="Z429" s="229"/>
      <c r="AA429" s="229"/>
      <c r="AB429" s="229"/>
    </row>
    <row r="430" ht="15.75" customHeight="1">
      <c r="A430" s="276"/>
      <c r="B430" s="101"/>
      <c r="C430" s="98"/>
      <c r="D430" s="100"/>
      <c r="E430" s="98"/>
      <c r="F430" s="99"/>
      <c r="G430" s="101"/>
      <c r="H430" s="278"/>
      <c r="I430" s="101"/>
      <c r="J430" s="101"/>
      <c r="K430" s="101"/>
      <c r="L430" s="102"/>
      <c r="M430" s="102"/>
      <c r="N430" s="101"/>
      <c r="O430" s="279"/>
      <c r="P430" s="27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</row>
    <row r="431" ht="15.75" customHeight="1">
      <c r="A431" s="276"/>
      <c r="B431" s="101"/>
      <c r="C431" s="98"/>
      <c r="D431" s="100"/>
      <c r="E431" s="98"/>
      <c r="F431" s="99"/>
      <c r="G431" s="101"/>
      <c r="H431" s="278"/>
      <c r="I431" s="101"/>
      <c r="J431" s="101"/>
      <c r="K431" s="101"/>
      <c r="L431" s="102"/>
      <c r="M431" s="102"/>
      <c r="N431" s="101"/>
      <c r="O431" s="279"/>
      <c r="P431" s="27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</row>
    <row r="432" ht="15.75" customHeight="1">
      <c r="A432" s="276"/>
      <c r="B432" s="101"/>
      <c r="C432" s="98"/>
      <c r="D432" s="100"/>
      <c r="E432" s="98"/>
      <c r="F432" s="99"/>
      <c r="G432" s="101"/>
      <c r="H432" s="278"/>
      <c r="I432" s="101"/>
      <c r="J432" s="101"/>
      <c r="K432" s="101"/>
      <c r="L432" s="102"/>
      <c r="M432" s="102"/>
      <c r="N432" s="101"/>
      <c r="O432" s="279"/>
      <c r="P432" s="27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</row>
    <row r="433" ht="15.75" customHeight="1">
      <c r="A433" s="276"/>
      <c r="B433" s="101"/>
      <c r="C433" s="98"/>
      <c r="D433" s="100"/>
      <c r="E433" s="98"/>
      <c r="F433" s="99"/>
      <c r="G433" s="101"/>
      <c r="H433" s="278"/>
      <c r="I433" s="101"/>
      <c r="J433" s="101"/>
      <c r="K433" s="101"/>
      <c r="L433" s="102"/>
      <c r="M433" s="102"/>
      <c r="N433" s="101"/>
      <c r="O433" s="279"/>
      <c r="P433" s="27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</row>
    <row r="434" ht="15.75" customHeight="1">
      <c r="A434" s="276"/>
      <c r="B434" s="101"/>
      <c r="C434" s="98"/>
      <c r="D434" s="100"/>
      <c r="E434" s="98"/>
      <c r="F434" s="99"/>
      <c r="G434" s="101"/>
      <c r="H434" s="278"/>
      <c r="I434" s="101"/>
      <c r="J434" s="101"/>
      <c r="K434" s="101"/>
      <c r="L434" s="102"/>
      <c r="M434" s="102"/>
      <c r="N434" s="101"/>
      <c r="O434" s="279"/>
      <c r="P434" s="279"/>
      <c r="Q434" s="229"/>
      <c r="R434" s="229"/>
      <c r="S434" s="229"/>
      <c r="T434" s="229"/>
      <c r="U434" s="229"/>
      <c r="V434" s="229"/>
      <c r="W434" s="229"/>
      <c r="X434" s="229"/>
      <c r="Y434" s="229"/>
      <c r="Z434" s="229"/>
      <c r="AA434" s="229"/>
      <c r="AB434" s="229"/>
    </row>
    <row r="435" ht="15.75" customHeight="1">
      <c r="A435" s="276"/>
      <c r="B435" s="101"/>
      <c r="C435" s="98"/>
      <c r="D435" s="100"/>
      <c r="E435" s="98"/>
      <c r="F435" s="99"/>
      <c r="G435" s="101"/>
      <c r="H435" s="278"/>
      <c r="I435" s="101"/>
      <c r="J435" s="101"/>
      <c r="K435" s="101"/>
      <c r="L435" s="102"/>
      <c r="M435" s="102"/>
      <c r="N435" s="101"/>
      <c r="O435" s="279"/>
      <c r="P435" s="279"/>
      <c r="Q435" s="229"/>
      <c r="R435" s="229"/>
      <c r="S435" s="229"/>
      <c r="T435" s="229"/>
      <c r="U435" s="229"/>
      <c r="V435" s="229"/>
      <c r="W435" s="229"/>
      <c r="X435" s="229"/>
      <c r="Y435" s="229"/>
      <c r="Z435" s="229"/>
      <c r="AA435" s="229"/>
      <c r="AB435" s="229"/>
    </row>
    <row r="436" ht="15.75" customHeight="1">
      <c r="A436" s="276"/>
      <c r="B436" s="101"/>
      <c r="C436" s="98"/>
      <c r="D436" s="100"/>
      <c r="E436" s="98"/>
      <c r="F436" s="99"/>
      <c r="G436" s="101"/>
      <c r="H436" s="278"/>
      <c r="I436" s="101"/>
      <c r="J436" s="101"/>
      <c r="K436" s="101"/>
      <c r="L436" s="102"/>
      <c r="M436" s="102"/>
      <c r="N436" s="101"/>
      <c r="O436" s="279"/>
      <c r="P436" s="279"/>
      <c r="Q436" s="229"/>
      <c r="R436" s="229"/>
      <c r="S436" s="229"/>
      <c r="T436" s="229"/>
      <c r="U436" s="229"/>
      <c r="V436" s="229"/>
      <c r="W436" s="229"/>
      <c r="X436" s="229"/>
      <c r="Y436" s="229"/>
      <c r="Z436" s="229"/>
      <c r="AA436" s="229"/>
      <c r="AB436" s="229"/>
    </row>
    <row r="437" ht="15.75" customHeight="1">
      <c r="A437" s="276"/>
      <c r="B437" s="101"/>
      <c r="C437" s="98"/>
      <c r="D437" s="100"/>
      <c r="E437" s="98"/>
      <c r="F437" s="99"/>
      <c r="G437" s="101"/>
      <c r="H437" s="278"/>
      <c r="I437" s="101"/>
      <c r="J437" s="101"/>
      <c r="K437" s="101"/>
      <c r="L437" s="102"/>
      <c r="M437" s="102"/>
      <c r="N437" s="101"/>
      <c r="O437" s="279"/>
      <c r="P437" s="279"/>
      <c r="Q437" s="229"/>
      <c r="R437" s="229"/>
      <c r="S437" s="229"/>
      <c r="T437" s="229"/>
      <c r="U437" s="229"/>
      <c r="V437" s="229"/>
      <c r="W437" s="229"/>
      <c r="X437" s="229"/>
      <c r="Y437" s="229"/>
      <c r="Z437" s="229"/>
      <c r="AA437" s="229"/>
      <c r="AB437" s="229"/>
    </row>
    <row r="438" ht="15.75" customHeight="1">
      <c r="A438" s="276"/>
      <c r="B438" s="101"/>
      <c r="C438" s="98"/>
      <c r="D438" s="100"/>
      <c r="E438" s="98"/>
      <c r="F438" s="99"/>
      <c r="G438" s="101"/>
      <c r="H438" s="278"/>
      <c r="I438" s="101"/>
      <c r="J438" s="101"/>
      <c r="K438" s="101"/>
      <c r="L438" s="102"/>
      <c r="M438" s="102"/>
      <c r="N438" s="101"/>
      <c r="O438" s="279"/>
      <c r="P438" s="279"/>
      <c r="Q438" s="229"/>
      <c r="R438" s="229"/>
      <c r="S438" s="229"/>
      <c r="T438" s="229"/>
      <c r="U438" s="229"/>
      <c r="V438" s="229"/>
      <c r="W438" s="229"/>
      <c r="X438" s="229"/>
      <c r="Y438" s="229"/>
      <c r="Z438" s="229"/>
      <c r="AA438" s="229"/>
      <c r="AB438" s="229"/>
    </row>
    <row r="439" ht="15.75" customHeight="1">
      <c r="A439" s="276"/>
      <c r="B439" s="101"/>
      <c r="C439" s="98"/>
      <c r="D439" s="100"/>
      <c r="E439" s="98"/>
      <c r="F439" s="99"/>
      <c r="G439" s="101"/>
      <c r="H439" s="278"/>
      <c r="I439" s="101"/>
      <c r="J439" s="101"/>
      <c r="K439" s="101"/>
      <c r="L439" s="102"/>
      <c r="M439" s="102"/>
      <c r="N439" s="101"/>
      <c r="O439" s="279"/>
      <c r="P439" s="279"/>
      <c r="Q439" s="229"/>
      <c r="R439" s="229"/>
      <c r="S439" s="229"/>
      <c r="T439" s="229"/>
      <c r="U439" s="229"/>
      <c r="V439" s="229"/>
      <c r="W439" s="229"/>
      <c r="X439" s="229"/>
      <c r="Y439" s="229"/>
      <c r="Z439" s="229"/>
      <c r="AA439" s="229"/>
      <c r="AB439" s="229"/>
    </row>
    <row r="440" ht="15.75" customHeight="1">
      <c r="A440" s="276"/>
      <c r="B440" s="101"/>
      <c r="C440" s="98"/>
      <c r="D440" s="100"/>
      <c r="E440" s="98"/>
      <c r="F440" s="99"/>
      <c r="G440" s="101"/>
      <c r="H440" s="278"/>
      <c r="I440" s="101"/>
      <c r="J440" s="101"/>
      <c r="K440" s="101"/>
      <c r="L440" s="102"/>
      <c r="M440" s="102"/>
      <c r="N440" s="101"/>
      <c r="O440" s="279"/>
      <c r="P440" s="279"/>
      <c r="Q440" s="229"/>
      <c r="R440" s="229"/>
      <c r="S440" s="229"/>
      <c r="T440" s="229"/>
      <c r="U440" s="229"/>
      <c r="V440" s="229"/>
      <c r="W440" s="229"/>
      <c r="X440" s="229"/>
      <c r="Y440" s="229"/>
      <c r="Z440" s="229"/>
      <c r="AA440" s="229"/>
      <c r="AB440" s="229"/>
    </row>
    <row r="441" ht="15.75" customHeight="1">
      <c r="A441" s="276"/>
      <c r="B441" s="101"/>
      <c r="C441" s="98"/>
      <c r="D441" s="100"/>
      <c r="E441" s="98"/>
      <c r="F441" s="99"/>
      <c r="G441" s="101"/>
      <c r="H441" s="278"/>
      <c r="I441" s="101"/>
      <c r="J441" s="101"/>
      <c r="K441" s="101"/>
      <c r="L441" s="102"/>
      <c r="M441" s="102"/>
      <c r="N441" s="101"/>
      <c r="O441" s="279"/>
      <c r="P441" s="279"/>
      <c r="Q441" s="229"/>
      <c r="R441" s="229"/>
      <c r="S441" s="229"/>
      <c r="T441" s="229"/>
      <c r="U441" s="229"/>
      <c r="V441" s="229"/>
      <c r="W441" s="229"/>
      <c r="X441" s="229"/>
      <c r="Y441" s="229"/>
      <c r="Z441" s="229"/>
      <c r="AA441" s="229"/>
      <c r="AB441" s="229"/>
    </row>
    <row r="442" ht="15.75" customHeight="1">
      <c r="A442" s="276"/>
      <c r="B442" s="101"/>
      <c r="C442" s="98"/>
      <c r="D442" s="100"/>
      <c r="E442" s="98"/>
      <c r="F442" s="99"/>
      <c r="G442" s="101"/>
      <c r="H442" s="278"/>
      <c r="I442" s="101"/>
      <c r="J442" s="101"/>
      <c r="K442" s="101"/>
      <c r="L442" s="102"/>
      <c r="M442" s="102"/>
      <c r="N442" s="101"/>
      <c r="O442" s="279"/>
      <c r="P442" s="279"/>
      <c r="Q442" s="229"/>
      <c r="R442" s="229"/>
      <c r="S442" s="229"/>
      <c r="T442" s="229"/>
      <c r="U442" s="229"/>
      <c r="V442" s="229"/>
      <c r="W442" s="229"/>
      <c r="X442" s="229"/>
      <c r="Y442" s="229"/>
      <c r="Z442" s="229"/>
      <c r="AA442" s="229"/>
      <c r="AB442" s="229"/>
    </row>
    <row r="443" ht="15.75" customHeight="1">
      <c r="A443" s="276"/>
      <c r="B443" s="101"/>
      <c r="C443" s="98"/>
      <c r="D443" s="100"/>
      <c r="E443" s="98"/>
      <c r="F443" s="99"/>
      <c r="G443" s="101"/>
      <c r="H443" s="278"/>
      <c r="I443" s="101"/>
      <c r="J443" s="101"/>
      <c r="K443" s="101"/>
      <c r="L443" s="102"/>
      <c r="M443" s="102"/>
      <c r="N443" s="101"/>
      <c r="O443" s="279"/>
      <c r="P443" s="279"/>
      <c r="Q443" s="229"/>
      <c r="R443" s="229"/>
      <c r="S443" s="229"/>
      <c r="T443" s="229"/>
      <c r="U443" s="229"/>
      <c r="V443" s="229"/>
      <c r="W443" s="229"/>
      <c r="X443" s="229"/>
      <c r="Y443" s="229"/>
      <c r="Z443" s="229"/>
      <c r="AA443" s="229"/>
      <c r="AB443" s="229"/>
    </row>
    <row r="444" ht="15.75" customHeight="1">
      <c r="A444" s="276"/>
      <c r="B444" s="101"/>
      <c r="C444" s="98"/>
      <c r="D444" s="100"/>
      <c r="E444" s="98"/>
      <c r="F444" s="99"/>
      <c r="G444" s="101"/>
      <c r="H444" s="278"/>
      <c r="I444" s="101"/>
      <c r="J444" s="101"/>
      <c r="K444" s="101"/>
      <c r="L444" s="102"/>
      <c r="M444" s="102"/>
      <c r="N444" s="101"/>
      <c r="O444" s="279"/>
      <c r="P444" s="279"/>
      <c r="Q444" s="229"/>
      <c r="R444" s="229"/>
      <c r="S444" s="229"/>
      <c r="T444" s="229"/>
      <c r="U444" s="229"/>
      <c r="V444" s="229"/>
      <c r="W444" s="229"/>
      <c r="X444" s="229"/>
      <c r="Y444" s="229"/>
      <c r="Z444" s="229"/>
      <c r="AA444" s="229"/>
      <c r="AB444" s="229"/>
    </row>
    <row r="445" ht="15.75" customHeight="1">
      <c r="A445" s="276"/>
      <c r="B445" s="101"/>
      <c r="C445" s="98"/>
      <c r="D445" s="100"/>
      <c r="E445" s="98"/>
      <c r="F445" s="99"/>
      <c r="G445" s="101"/>
      <c r="H445" s="278"/>
      <c r="I445" s="101"/>
      <c r="J445" s="101"/>
      <c r="K445" s="101"/>
      <c r="L445" s="102"/>
      <c r="M445" s="102"/>
      <c r="N445" s="101"/>
      <c r="O445" s="279"/>
      <c r="P445" s="279"/>
      <c r="Q445" s="229"/>
      <c r="R445" s="229"/>
      <c r="S445" s="229"/>
      <c r="T445" s="229"/>
      <c r="U445" s="229"/>
      <c r="V445" s="229"/>
      <c r="W445" s="229"/>
      <c r="X445" s="229"/>
      <c r="Y445" s="229"/>
      <c r="Z445" s="229"/>
      <c r="AA445" s="229"/>
      <c r="AB445" s="229"/>
    </row>
    <row r="446" ht="15.75" customHeight="1">
      <c r="A446" s="276"/>
      <c r="B446" s="101"/>
      <c r="C446" s="98"/>
      <c r="D446" s="100"/>
      <c r="E446" s="98"/>
      <c r="F446" s="99"/>
      <c r="G446" s="101"/>
      <c r="H446" s="278"/>
      <c r="I446" s="101"/>
      <c r="J446" s="101"/>
      <c r="K446" s="101"/>
      <c r="L446" s="102"/>
      <c r="M446" s="102"/>
      <c r="N446" s="101"/>
      <c r="O446" s="279"/>
      <c r="P446" s="279"/>
      <c r="Q446" s="229"/>
      <c r="R446" s="229"/>
      <c r="S446" s="229"/>
      <c r="T446" s="229"/>
      <c r="U446" s="229"/>
      <c r="V446" s="229"/>
      <c r="W446" s="229"/>
      <c r="X446" s="229"/>
      <c r="Y446" s="229"/>
      <c r="Z446" s="229"/>
      <c r="AA446" s="229"/>
      <c r="AB446" s="229"/>
    </row>
    <row r="447" ht="15.75" customHeight="1">
      <c r="A447" s="276"/>
      <c r="B447" s="101"/>
      <c r="C447" s="98"/>
      <c r="D447" s="100"/>
      <c r="E447" s="98"/>
      <c r="F447" s="99"/>
      <c r="G447" s="101"/>
      <c r="H447" s="278"/>
      <c r="I447" s="101"/>
      <c r="J447" s="101"/>
      <c r="K447" s="101"/>
      <c r="L447" s="102"/>
      <c r="M447" s="102"/>
      <c r="N447" s="101"/>
      <c r="O447" s="279"/>
      <c r="P447" s="279"/>
      <c r="Q447" s="229"/>
      <c r="R447" s="229"/>
      <c r="S447" s="229"/>
      <c r="T447" s="229"/>
      <c r="U447" s="229"/>
      <c r="V447" s="229"/>
      <c r="W447" s="229"/>
      <c r="X447" s="229"/>
      <c r="Y447" s="229"/>
      <c r="Z447" s="229"/>
      <c r="AA447" s="229"/>
      <c r="AB447" s="229"/>
    </row>
    <row r="448" ht="15.75" customHeight="1">
      <c r="A448" s="276"/>
      <c r="B448" s="101"/>
      <c r="C448" s="98"/>
      <c r="D448" s="100"/>
      <c r="E448" s="98"/>
      <c r="F448" s="99"/>
      <c r="G448" s="101"/>
      <c r="H448" s="278"/>
      <c r="I448" s="101"/>
      <c r="J448" s="101"/>
      <c r="K448" s="101"/>
      <c r="L448" s="102"/>
      <c r="M448" s="102"/>
      <c r="N448" s="101"/>
      <c r="O448" s="279"/>
      <c r="P448" s="279"/>
      <c r="Q448" s="229"/>
      <c r="R448" s="229"/>
      <c r="S448" s="229"/>
      <c r="T448" s="229"/>
      <c r="U448" s="229"/>
      <c r="V448" s="229"/>
      <c r="W448" s="229"/>
      <c r="X448" s="229"/>
      <c r="Y448" s="229"/>
      <c r="Z448" s="229"/>
      <c r="AA448" s="229"/>
      <c r="AB448" s="229"/>
    </row>
    <row r="449" ht="15.75" customHeight="1">
      <c r="A449" s="276"/>
      <c r="B449" s="101"/>
      <c r="C449" s="98"/>
      <c r="D449" s="100"/>
      <c r="E449" s="98"/>
      <c r="F449" s="99"/>
      <c r="G449" s="101"/>
      <c r="H449" s="278"/>
      <c r="I449" s="101"/>
      <c r="J449" s="101"/>
      <c r="K449" s="101"/>
      <c r="L449" s="102"/>
      <c r="M449" s="102"/>
      <c r="N449" s="101"/>
      <c r="O449" s="279"/>
      <c r="P449" s="279"/>
      <c r="Q449" s="229"/>
      <c r="R449" s="229"/>
      <c r="S449" s="229"/>
      <c r="T449" s="229"/>
      <c r="U449" s="229"/>
      <c r="V449" s="229"/>
      <c r="W449" s="229"/>
      <c r="X449" s="229"/>
      <c r="Y449" s="229"/>
      <c r="Z449" s="229"/>
      <c r="AA449" s="229"/>
      <c r="AB449" s="229"/>
    </row>
    <row r="450" ht="15.75" customHeight="1">
      <c r="A450" s="276"/>
      <c r="B450" s="101"/>
      <c r="C450" s="98"/>
      <c r="D450" s="100"/>
      <c r="E450" s="98"/>
      <c r="F450" s="99"/>
      <c r="G450" s="101"/>
      <c r="H450" s="278"/>
      <c r="I450" s="101"/>
      <c r="J450" s="101"/>
      <c r="K450" s="101"/>
      <c r="L450" s="102"/>
      <c r="M450" s="102"/>
      <c r="N450" s="101"/>
      <c r="O450" s="279"/>
      <c r="P450" s="279"/>
      <c r="Q450" s="229"/>
      <c r="R450" s="229"/>
      <c r="S450" s="229"/>
      <c r="T450" s="229"/>
      <c r="U450" s="229"/>
      <c r="V450" s="229"/>
      <c r="W450" s="229"/>
      <c r="X450" s="229"/>
      <c r="Y450" s="229"/>
      <c r="Z450" s="229"/>
      <c r="AA450" s="229"/>
      <c r="AB450" s="229"/>
    </row>
    <row r="451" ht="15.75" customHeight="1">
      <c r="A451" s="276"/>
      <c r="B451" s="101"/>
      <c r="C451" s="98"/>
      <c r="D451" s="100"/>
      <c r="E451" s="98"/>
      <c r="F451" s="99"/>
      <c r="G451" s="101"/>
      <c r="H451" s="278"/>
      <c r="I451" s="101"/>
      <c r="J451" s="101"/>
      <c r="K451" s="101"/>
      <c r="L451" s="102"/>
      <c r="M451" s="102"/>
      <c r="N451" s="101"/>
      <c r="O451" s="279"/>
      <c r="P451" s="279"/>
      <c r="Q451" s="229"/>
      <c r="R451" s="229"/>
      <c r="S451" s="229"/>
      <c r="T451" s="229"/>
      <c r="U451" s="229"/>
      <c r="V451" s="229"/>
      <c r="W451" s="229"/>
      <c r="X451" s="229"/>
      <c r="Y451" s="229"/>
      <c r="Z451" s="229"/>
      <c r="AA451" s="229"/>
      <c r="AB451" s="229"/>
    </row>
    <row r="452" ht="15.75" customHeight="1">
      <c r="A452" s="276"/>
      <c r="B452" s="101"/>
      <c r="C452" s="98"/>
      <c r="D452" s="100"/>
      <c r="E452" s="98"/>
      <c r="F452" s="99"/>
      <c r="G452" s="101"/>
      <c r="H452" s="278"/>
      <c r="I452" s="101"/>
      <c r="J452" s="101"/>
      <c r="K452" s="101"/>
      <c r="L452" s="102"/>
      <c r="M452" s="102"/>
      <c r="N452" s="101"/>
      <c r="O452" s="279"/>
      <c r="P452" s="279"/>
      <c r="Q452" s="229"/>
      <c r="R452" s="229"/>
      <c r="S452" s="229"/>
      <c r="T452" s="229"/>
      <c r="U452" s="229"/>
      <c r="V452" s="229"/>
      <c r="W452" s="229"/>
      <c r="X452" s="229"/>
      <c r="Y452" s="229"/>
      <c r="Z452" s="229"/>
      <c r="AA452" s="229"/>
      <c r="AB452" s="229"/>
    </row>
    <row r="453" ht="15.75" customHeight="1">
      <c r="A453" s="276"/>
      <c r="B453" s="101"/>
      <c r="C453" s="98"/>
      <c r="D453" s="100"/>
      <c r="E453" s="98"/>
      <c r="F453" s="99"/>
      <c r="G453" s="101"/>
      <c r="H453" s="278"/>
      <c r="I453" s="101"/>
      <c r="J453" s="101"/>
      <c r="K453" s="101"/>
      <c r="L453" s="102"/>
      <c r="M453" s="102"/>
      <c r="N453" s="101"/>
      <c r="O453" s="279"/>
      <c r="P453" s="279"/>
      <c r="Q453" s="229"/>
      <c r="R453" s="229"/>
      <c r="S453" s="229"/>
      <c r="T453" s="229"/>
      <c r="U453" s="229"/>
      <c r="V453" s="229"/>
      <c r="W453" s="229"/>
      <c r="X453" s="229"/>
      <c r="Y453" s="229"/>
      <c r="Z453" s="229"/>
      <c r="AA453" s="229"/>
      <c r="AB453" s="229"/>
    </row>
    <row r="454" ht="15.75" customHeight="1">
      <c r="A454" s="276"/>
      <c r="B454" s="101"/>
      <c r="C454" s="98"/>
      <c r="D454" s="100"/>
      <c r="E454" s="98"/>
      <c r="F454" s="99"/>
      <c r="G454" s="101"/>
      <c r="H454" s="278"/>
      <c r="I454" s="101"/>
      <c r="J454" s="101"/>
      <c r="K454" s="101"/>
      <c r="L454" s="102"/>
      <c r="M454" s="102"/>
      <c r="N454" s="101"/>
      <c r="O454" s="279"/>
      <c r="P454" s="279"/>
      <c r="Q454" s="229"/>
      <c r="R454" s="229"/>
      <c r="S454" s="229"/>
      <c r="T454" s="229"/>
      <c r="U454" s="229"/>
      <c r="V454" s="229"/>
      <c r="W454" s="229"/>
      <c r="X454" s="229"/>
      <c r="Y454" s="229"/>
      <c r="Z454" s="229"/>
      <c r="AA454" s="229"/>
      <c r="AB454" s="229"/>
    </row>
    <row r="455" ht="15.75" customHeight="1">
      <c r="A455" s="276"/>
      <c r="B455" s="101"/>
      <c r="C455" s="98"/>
      <c r="D455" s="100"/>
      <c r="E455" s="98"/>
      <c r="F455" s="99"/>
      <c r="G455" s="101"/>
      <c r="H455" s="278"/>
      <c r="I455" s="101"/>
      <c r="J455" s="101"/>
      <c r="K455" s="101"/>
      <c r="L455" s="102"/>
      <c r="M455" s="102"/>
      <c r="N455" s="101"/>
      <c r="O455" s="279"/>
      <c r="P455" s="279"/>
      <c r="Q455" s="229"/>
      <c r="R455" s="229"/>
      <c r="S455" s="229"/>
      <c r="T455" s="229"/>
      <c r="U455" s="229"/>
      <c r="V455" s="229"/>
      <c r="W455" s="229"/>
      <c r="X455" s="229"/>
      <c r="Y455" s="229"/>
      <c r="Z455" s="229"/>
      <c r="AA455" s="229"/>
      <c r="AB455" s="229"/>
    </row>
    <row r="456" ht="15.75" customHeight="1">
      <c r="A456" s="276"/>
      <c r="B456" s="101"/>
      <c r="C456" s="98"/>
      <c r="D456" s="100"/>
      <c r="E456" s="98"/>
      <c r="F456" s="99"/>
      <c r="G456" s="101"/>
      <c r="H456" s="278"/>
      <c r="I456" s="101"/>
      <c r="J456" s="101"/>
      <c r="K456" s="101"/>
      <c r="L456" s="102"/>
      <c r="M456" s="102"/>
      <c r="N456" s="101"/>
      <c r="O456" s="279"/>
      <c r="P456" s="279"/>
      <c r="Q456" s="229"/>
      <c r="R456" s="229"/>
      <c r="S456" s="229"/>
      <c r="T456" s="229"/>
      <c r="U456" s="229"/>
      <c r="V456" s="229"/>
      <c r="W456" s="229"/>
      <c r="X456" s="229"/>
      <c r="Y456" s="229"/>
      <c r="Z456" s="229"/>
      <c r="AA456" s="229"/>
      <c r="AB456" s="229"/>
    </row>
    <row r="457" ht="15.75" customHeight="1">
      <c r="A457" s="276"/>
      <c r="B457" s="101"/>
      <c r="C457" s="98"/>
      <c r="D457" s="100"/>
      <c r="E457" s="98"/>
      <c r="F457" s="99"/>
      <c r="G457" s="101"/>
      <c r="H457" s="278"/>
      <c r="I457" s="101"/>
      <c r="J457" s="101"/>
      <c r="K457" s="101"/>
      <c r="L457" s="102"/>
      <c r="M457" s="102"/>
      <c r="N457" s="101"/>
      <c r="O457" s="279"/>
      <c r="P457" s="279"/>
      <c r="Q457" s="229"/>
      <c r="R457" s="229"/>
      <c r="S457" s="229"/>
      <c r="T457" s="229"/>
      <c r="U457" s="229"/>
      <c r="V457" s="229"/>
      <c r="W457" s="229"/>
      <c r="X457" s="229"/>
      <c r="Y457" s="229"/>
      <c r="Z457" s="229"/>
      <c r="AA457" s="229"/>
      <c r="AB457" s="229"/>
    </row>
    <row r="458" ht="15.75" customHeight="1">
      <c r="A458" s="276"/>
      <c r="B458" s="101"/>
      <c r="C458" s="98"/>
      <c r="D458" s="100"/>
      <c r="E458" s="98"/>
      <c r="F458" s="99"/>
      <c r="G458" s="101"/>
      <c r="H458" s="278"/>
      <c r="I458" s="101"/>
      <c r="J458" s="101"/>
      <c r="K458" s="101"/>
      <c r="L458" s="102"/>
      <c r="M458" s="102"/>
      <c r="N458" s="101"/>
      <c r="O458" s="279"/>
      <c r="P458" s="279"/>
      <c r="Q458" s="229"/>
      <c r="R458" s="229"/>
      <c r="S458" s="229"/>
      <c r="T458" s="229"/>
      <c r="U458" s="229"/>
      <c r="V458" s="229"/>
      <c r="W458" s="229"/>
      <c r="X458" s="229"/>
      <c r="Y458" s="229"/>
      <c r="Z458" s="229"/>
      <c r="AA458" s="229"/>
      <c r="AB458" s="229"/>
    </row>
    <row r="459" ht="15.75" customHeight="1">
      <c r="A459" s="276"/>
      <c r="B459" s="101"/>
      <c r="C459" s="98"/>
      <c r="D459" s="100"/>
      <c r="E459" s="98"/>
      <c r="F459" s="99"/>
      <c r="G459" s="101"/>
      <c r="H459" s="278"/>
      <c r="I459" s="101"/>
      <c r="J459" s="101"/>
      <c r="K459" s="101"/>
      <c r="L459" s="102"/>
      <c r="M459" s="102"/>
      <c r="N459" s="101"/>
      <c r="O459" s="279"/>
      <c r="P459" s="279"/>
      <c r="Q459" s="229"/>
      <c r="R459" s="229"/>
      <c r="S459" s="229"/>
      <c r="T459" s="229"/>
      <c r="U459" s="229"/>
      <c r="V459" s="229"/>
      <c r="W459" s="229"/>
      <c r="X459" s="229"/>
      <c r="Y459" s="229"/>
      <c r="Z459" s="229"/>
      <c r="AA459" s="229"/>
      <c r="AB459" s="229"/>
    </row>
    <row r="460" ht="15.75" customHeight="1">
      <c r="A460" s="276"/>
      <c r="B460" s="101"/>
      <c r="C460" s="98"/>
      <c r="D460" s="100"/>
      <c r="E460" s="98"/>
      <c r="F460" s="99"/>
      <c r="G460" s="101"/>
      <c r="H460" s="278"/>
      <c r="I460" s="101"/>
      <c r="J460" s="101"/>
      <c r="K460" s="101"/>
      <c r="L460" s="102"/>
      <c r="M460" s="102"/>
      <c r="N460" s="101"/>
      <c r="O460" s="279"/>
      <c r="P460" s="279"/>
      <c r="Q460" s="229"/>
      <c r="R460" s="229"/>
      <c r="S460" s="229"/>
      <c r="T460" s="229"/>
      <c r="U460" s="229"/>
      <c r="V460" s="229"/>
      <c r="W460" s="229"/>
      <c r="X460" s="229"/>
      <c r="Y460" s="229"/>
      <c r="Z460" s="229"/>
      <c r="AA460" s="229"/>
      <c r="AB460" s="229"/>
    </row>
    <row r="461" ht="15.75" customHeight="1">
      <c r="A461" s="276"/>
      <c r="B461" s="101"/>
      <c r="C461" s="98"/>
      <c r="D461" s="100"/>
      <c r="E461" s="98"/>
      <c r="F461" s="99"/>
      <c r="G461" s="101"/>
      <c r="H461" s="278"/>
      <c r="I461" s="101"/>
      <c r="J461" s="101"/>
      <c r="K461" s="101"/>
      <c r="L461" s="102"/>
      <c r="M461" s="102"/>
      <c r="N461" s="101"/>
      <c r="O461" s="279"/>
      <c r="P461" s="279"/>
      <c r="Q461" s="229"/>
      <c r="R461" s="229"/>
      <c r="S461" s="229"/>
      <c r="T461" s="229"/>
      <c r="U461" s="229"/>
      <c r="V461" s="229"/>
      <c r="W461" s="229"/>
      <c r="X461" s="229"/>
      <c r="Y461" s="229"/>
      <c r="Z461" s="229"/>
      <c r="AA461" s="229"/>
      <c r="AB461" s="229"/>
    </row>
    <row r="462" ht="15.75" customHeight="1">
      <c r="A462" s="276"/>
      <c r="B462" s="101"/>
      <c r="C462" s="98"/>
      <c r="D462" s="100"/>
      <c r="E462" s="98"/>
      <c r="F462" s="99"/>
      <c r="G462" s="101"/>
      <c r="H462" s="278"/>
      <c r="I462" s="101"/>
      <c r="J462" s="101"/>
      <c r="K462" s="101"/>
      <c r="L462" s="102"/>
      <c r="M462" s="102"/>
      <c r="N462" s="101"/>
      <c r="O462" s="279"/>
      <c r="P462" s="279"/>
      <c r="Q462" s="229"/>
      <c r="R462" s="229"/>
      <c r="S462" s="229"/>
      <c r="T462" s="229"/>
      <c r="U462" s="229"/>
      <c r="V462" s="229"/>
      <c r="W462" s="229"/>
      <c r="X462" s="229"/>
      <c r="Y462" s="229"/>
      <c r="Z462" s="229"/>
      <c r="AA462" s="229"/>
      <c r="AB462" s="229"/>
    </row>
    <row r="463" ht="15.75" customHeight="1">
      <c r="A463" s="276"/>
      <c r="B463" s="101"/>
      <c r="C463" s="98"/>
      <c r="D463" s="100"/>
      <c r="E463" s="98"/>
      <c r="F463" s="99"/>
      <c r="G463" s="101"/>
      <c r="H463" s="278"/>
      <c r="I463" s="101"/>
      <c r="J463" s="101"/>
      <c r="K463" s="101"/>
      <c r="L463" s="102"/>
      <c r="M463" s="102"/>
      <c r="N463" s="101"/>
      <c r="O463" s="279"/>
      <c r="P463" s="279"/>
      <c r="Q463" s="229"/>
      <c r="R463" s="229"/>
      <c r="S463" s="229"/>
      <c r="T463" s="229"/>
      <c r="U463" s="229"/>
      <c r="V463" s="229"/>
      <c r="W463" s="229"/>
      <c r="X463" s="229"/>
      <c r="Y463" s="229"/>
      <c r="Z463" s="229"/>
      <c r="AA463" s="229"/>
      <c r="AB463" s="229"/>
    </row>
    <row r="464" ht="15.75" customHeight="1">
      <c r="A464" s="276"/>
      <c r="B464" s="101"/>
      <c r="C464" s="98"/>
      <c r="D464" s="100"/>
      <c r="E464" s="98"/>
      <c r="F464" s="99"/>
      <c r="G464" s="101"/>
      <c r="H464" s="278"/>
      <c r="I464" s="101"/>
      <c r="J464" s="101"/>
      <c r="K464" s="101"/>
      <c r="L464" s="102"/>
      <c r="M464" s="102"/>
      <c r="N464" s="101"/>
      <c r="O464" s="279"/>
      <c r="P464" s="279"/>
      <c r="Q464" s="229"/>
      <c r="R464" s="229"/>
      <c r="S464" s="229"/>
      <c r="T464" s="229"/>
      <c r="U464" s="229"/>
      <c r="V464" s="229"/>
      <c r="W464" s="229"/>
      <c r="X464" s="229"/>
      <c r="Y464" s="229"/>
      <c r="Z464" s="229"/>
      <c r="AA464" s="229"/>
      <c r="AB464" s="229"/>
    </row>
    <row r="465" ht="15.75" customHeight="1">
      <c r="A465" s="276"/>
      <c r="B465" s="101"/>
      <c r="C465" s="98"/>
      <c r="D465" s="100"/>
      <c r="E465" s="98"/>
      <c r="F465" s="99"/>
      <c r="G465" s="101"/>
      <c r="H465" s="278"/>
      <c r="I465" s="101"/>
      <c r="J465" s="101"/>
      <c r="K465" s="101"/>
      <c r="L465" s="102"/>
      <c r="M465" s="102"/>
      <c r="N465" s="101"/>
      <c r="O465" s="279"/>
      <c r="P465" s="279"/>
      <c r="Q465" s="229"/>
      <c r="R465" s="229"/>
      <c r="S465" s="229"/>
      <c r="T465" s="229"/>
      <c r="U465" s="229"/>
      <c r="V465" s="229"/>
      <c r="W465" s="229"/>
      <c r="X465" s="229"/>
      <c r="Y465" s="229"/>
      <c r="Z465" s="229"/>
      <c r="AA465" s="229"/>
      <c r="AB465" s="229"/>
    </row>
    <row r="466" ht="15.75" customHeight="1">
      <c r="A466" s="276"/>
      <c r="B466" s="101"/>
      <c r="C466" s="98"/>
      <c r="D466" s="100"/>
      <c r="E466" s="98"/>
      <c r="F466" s="99"/>
      <c r="G466" s="101"/>
      <c r="H466" s="278"/>
      <c r="I466" s="101"/>
      <c r="J466" s="101"/>
      <c r="K466" s="101"/>
      <c r="L466" s="102"/>
      <c r="M466" s="102"/>
      <c r="N466" s="101"/>
      <c r="O466" s="279"/>
      <c r="P466" s="279"/>
      <c r="Q466" s="229"/>
      <c r="R466" s="229"/>
      <c r="S466" s="229"/>
      <c r="T466" s="229"/>
      <c r="U466" s="229"/>
      <c r="V466" s="229"/>
      <c r="W466" s="229"/>
      <c r="X466" s="229"/>
      <c r="Y466" s="229"/>
      <c r="Z466" s="229"/>
      <c r="AA466" s="229"/>
      <c r="AB466" s="229"/>
    </row>
    <row r="467" ht="15.75" customHeight="1">
      <c r="A467" s="276"/>
      <c r="B467" s="101"/>
      <c r="C467" s="98"/>
      <c r="D467" s="100"/>
      <c r="E467" s="98"/>
      <c r="F467" s="99"/>
      <c r="G467" s="101"/>
      <c r="H467" s="278"/>
      <c r="I467" s="101"/>
      <c r="J467" s="101"/>
      <c r="K467" s="101"/>
      <c r="L467" s="102"/>
      <c r="M467" s="102"/>
      <c r="N467" s="101"/>
      <c r="O467" s="279"/>
      <c r="P467" s="279"/>
      <c r="Q467" s="229"/>
      <c r="R467" s="229"/>
      <c r="S467" s="229"/>
      <c r="T467" s="229"/>
      <c r="U467" s="229"/>
      <c r="V467" s="229"/>
      <c r="W467" s="229"/>
      <c r="X467" s="229"/>
      <c r="Y467" s="229"/>
      <c r="Z467" s="229"/>
      <c r="AA467" s="229"/>
      <c r="AB467" s="229"/>
    </row>
    <row r="468" ht="15.75" customHeight="1">
      <c r="A468" s="276"/>
      <c r="B468" s="101"/>
      <c r="C468" s="98"/>
      <c r="D468" s="100"/>
      <c r="E468" s="98"/>
      <c r="F468" s="99"/>
      <c r="G468" s="101"/>
      <c r="H468" s="278"/>
      <c r="I468" s="101"/>
      <c r="J468" s="101"/>
      <c r="K468" s="101"/>
      <c r="L468" s="102"/>
      <c r="M468" s="102"/>
      <c r="N468" s="101"/>
      <c r="O468" s="279"/>
      <c r="P468" s="279"/>
      <c r="Q468" s="229"/>
      <c r="R468" s="229"/>
      <c r="S468" s="229"/>
      <c r="T468" s="229"/>
      <c r="U468" s="229"/>
      <c r="V468" s="229"/>
      <c r="W468" s="229"/>
      <c r="X468" s="229"/>
      <c r="Y468" s="229"/>
      <c r="Z468" s="229"/>
      <c r="AA468" s="229"/>
      <c r="AB468" s="229"/>
    </row>
    <row r="469" ht="15.75" customHeight="1">
      <c r="A469" s="276"/>
      <c r="B469" s="101"/>
      <c r="C469" s="98"/>
      <c r="D469" s="100"/>
      <c r="E469" s="98"/>
      <c r="F469" s="99"/>
      <c r="G469" s="101"/>
      <c r="H469" s="278"/>
      <c r="I469" s="101"/>
      <c r="J469" s="101"/>
      <c r="K469" s="101"/>
      <c r="L469" s="102"/>
      <c r="M469" s="102"/>
      <c r="N469" s="101"/>
      <c r="O469" s="279"/>
      <c r="P469" s="279"/>
      <c r="Q469" s="229"/>
      <c r="R469" s="229"/>
      <c r="S469" s="229"/>
      <c r="T469" s="229"/>
      <c r="U469" s="229"/>
      <c r="V469" s="229"/>
      <c r="W469" s="229"/>
      <c r="X469" s="229"/>
      <c r="Y469" s="229"/>
      <c r="Z469" s="229"/>
      <c r="AA469" s="229"/>
      <c r="AB469" s="229"/>
    </row>
    <row r="470" ht="15.75" customHeight="1">
      <c r="A470" s="276"/>
      <c r="B470" s="101"/>
      <c r="C470" s="98"/>
      <c r="D470" s="100"/>
      <c r="E470" s="98"/>
      <c r="F470" s="99"/>
      <c r="G470" s="101"/>
      <c r="H470" s="278"/>
      <c r="I470" s="101"/>
      <c r="J470" s="101"/>
      <c r="K470" s="101"/>
      <c r="L470" s="102"/>
      <c r="M470" s="102"/>
      <c r="N470" s="101"/>
      <c r="O470" s="279"/>
      <c r="P470" s="279"/>
      <c r="Q470" s="229"/>
      <c r="R470" s="229"/>
      <c r="S470" s="229"/>
      <c r="T470" s="229"/>
      <c r="U470" s="229"/>
      <c r="V470" s="229"/>
      <c r="W470" s="229"/>
      <c r="X470" s="229"/>
      <c r="Y470" s="229"/>
      <c r="Z470" s="229"/>
      <c r="AA470" s="229"/>
      <c r="AB470" s="229"/>
    </row>
    <row r="471" ht="15.75" customHeight="1">
      <c r="A471" s="276"/>
      <c r="B471" s="101"/>
      <c r="C471" s="98"/>
      <c r="D471" s="100"/>
      <c r="E471" s="98"/>
      <c r="F471" s="99"/>
      <c r="G471" s="101"/>
      <c r="H471" s="278"/>
      <c r="I471" s="101"/>
      <c r="J471" s="101"/>
      <c r="K471" s="101"/>
      <c r="L471" s="102"/>
      <c r="M471" s="102"/>
      <c r="N471" s="101"/>
      <c r="O471" s="279"/>
      <c r="P471" s="279"/>
      <c r="Q471" s="229"/>
      <c r="R471" s="229"/>
      <c r="S471" s="229"/>
      <c r="T471" s="229"/>
      <c r="U471" s="229"/>
      <c r="V471" s="229"/>
      <c r="W471" s="229"/>
      <c r="X471" s="229"/>
      <c r="Y471" s="229"/>
      <c r="Z471" s="229"/>
      <c r="AA471" s="229"/>
      <c r="AB471" s="229"/>
    </row>
    <row r="472" ht="15.75" customHeight="1">
      <c r="A472" s="276"/>
      <c r="B472" s="101"/>
      <c r="C472" s="98"/>
      <c r="D472" s="100"/>
      <c r="E472" s="98"/>
      <c r="F472" s="99"/>
      <c r="G472" s="101"/>
      <c r="H472" s="278"/>
      <c r="I472" s="101"/>
      <c r="J472" s="101"/>
      <c r="K472" s="101"/>
      <c r="L472" s="102"/>
      <c r="M472" s="102"/>
      <c r="N472" s="101"/>
      <c r="O472" s="279"/>
      <c r="P472" s="279"/>
      <c r="Q472" s="229"/>
      <c r="R472" s="229"/>
      <c r="S472" s="229"/>
      <c r="T472" s="229"/>
      <c r="U472" s="229"/>
      <c r="V472" s="229"/>
      <c r="W472" s="229"/>
      <c r="X472" s="229"/>
      <c r="Y472" s="229"/>
      <c r="Z472" s="229"/>
      <c r="AA472" s="229"/>
      <c r="AB472" s="229"/>
    </row>
    <row r="473" ht="15.75" customHeight="1">
      <c r="A473" s="276"/>
      <c r="B473" s="101"/>
      <c r="C473" s="98"/>
      <c r="D473" s="100"/>
      <c r="E473" s="98"/>
      <c r="F473" s="99"/>
      <c r="G473" s="101"/>
      <c r="H473" s="278"/>
      <c r="I473" s="101"/>
      <c r="J473" s="101"/>
      <c r="K473" s="101"/>
      <c r="L473" s="102"/>
      <c r="M473" s="102"/>
      <c r="N473" s="101"/>
      <c r="O473" s="279"/>
      <c r="P473" s="279"/>
      <c r="Q473" s="229"/>
      <c r="R473" s="229"/>
      <c r="S473" s="229"/>
      <c r="T473" s="229"/>
      <c r="U473" s="229"/>
      <c r="V473" s="229"/>
      <c r="W473" s="229"/>
      <c r="X473" s="229"/>
      <c r="Y473" s="229"/>
      <c r="Z473" s="229"/>
      <c r="AA473" s="229"/>
      <c r="AB473" s="229"/>
    </row>
    <row r="474" ht="15.75" customHeight="1">
      <c r="A474" s="276"/>
      <c r="B474" s="101"/>
      <c r="C474" s="98"/>
      <c r="D474" s="100"/>
      <c r="E474" s="98"/>
      <c r="F474" s="99"/>
      <c r="G474" s="101"/>
      <c r="H474" s="278"/>
      <c r="I474" s="101"/>
      <c r="J474" s="101"/>
      <c r="K474" s="101"/>
      <c r="L474" s="102"/>
      <c r="M474" s="102"/>
      <c r="N474" s="101"/>
      <c r="O474" s="279"/>
      <c r="P474" s="279"/>
      <c r="Q474" s="229"/>
      <c r="R474" s="229"/>
      <c r="S474" s="229"/>
      <c r="T474" s="229"/>
      <c r="U474" s="229"/>
      <c r="V474" s="229"/>
      <c r="W474" s="229"/>
      <c r="X474" s="229"/>
      <c r="Y474" s="229"/>
      <c r="Z474" s="229"/>
      <c r="AA474" s="229"/>
      <c r="AB474" s="229"/>
    </row>
    <row r="475" ht="15.75" customHeight="1">
      <c r="A475" s="276"/>
      <c r="B475" s="101"/>
      <c r="C475" s="98"/>
      <c r="D475" s="100"/>
      <c r="E475" s="98"/>
      <c r="F475" s="99"/>
      <c r="G475" s="101"/>
      <c r="H475" s="278"/>
      <c r="I475" s="101"/>
      <c r="J475" s="101"/>
      <c r="K475" s="101"/>
      <c r="L475" s="102"/>
      <c r="M475" s="102"/>
      <c r="N475" s="101"/>
      <c r="O475" s="279"/>
      <c r="P475" s="279"/>
      <c r="Q475" s="229"/>
      <c r="R475" s="229"/>
      <c r="S475" s="229"/>
      <c r="T475" s="229"/>
      <c r="U475" s="229"/>
      <c r="V475" s="229"/>
      <c r="W475" s="229"/>
      <c r="X475" s="229"/>
      <c r="Y475" s="229"/>
      <c r="Z475" s="229"/>
      <c r="AA475" s="229"/>
      <c r="AB475" s="229"/>
    </row>
    <row r="476" ht="15.75" customHeight="1">
      <c r="A476" s="276"/>
      <c r="B476" s="101"/>
      <c r="C476" s="98"/>
      <c r="D476" s="100"/>
      <c r="E476" s="98"/>
      <c r="F476" s="99"/>
      <c r="G476" s="101"/>
      <c r="H476" s="278"/>
      <c r="I476" s="101"/>
      <c r="J476" s="101"/>
      <c r="K476" s="101"/>
      <c r="L476" s="102"/>
      <c r="M476" s="102"/>
      <c r="N476" s="101"/>
      <c r="O476" s="279"/>
      <c r="P476" s="279"/>
      <c r="Q476" s="229"/>
      <c r="R476" s="229"/>
      <c r="S476" s="229"/>
      <c r="T476" s="229"/>
      <c r="U476" s="229"/>
      <c r="V476" s="229"/>
      <c r="W476" s="229"/>
      <c r="X476" s="229"/>
      <c r="Y476" s="229"/>
      <c r="Z476" s="229"/>
      <c r="AA476" s="229"/>
      <c r="AB476" s="229"/>
    </row>
    <row r="477" ht="15.75" customHeight="1">
      <c r="A477" s="276"/>
      <c r="B477" s="101"/>
      <c r="C477" s="98"/>
      <c r="D477" s="100"/>
      <c r="E477" s="98"/>
      <c r="F477" s="99"/>
      <c r="G477" s="101"/>
      <c r="H477" s="278"/>
      <c r="I477" s="101"/>
      <c r="J477" s="101"/>
      <c r="K477" s="101"/>
      <c r="L477" s="102"/>
      <c r="M477" s="102"/>
      <c r="N477" s="101"/>
      <c r="O477" s="279"/>
      <c r="P477" s="279"/>
      <c r="Q477" s="229"/>
      <c r="R477" s="229"/>
      <c r="S477" s="229"/>
      <c r="T477" s="229"/>
      <c r="U477" s="229"/>
      <c r="V477" s="229"/>
      <c r="W477" s="229"/>
      <c r="X477" s="229"/>
      <c r="Y477" s="229"/>
      <c r="Z477" s="229"/>
      <c r="AA477" s="229"/>
      <c r="AB477" s="229"/>
    </row>
    <row r="478" ht="15.75" customHeight="1">
      <c r="A478" s="276"/>
      <c r="B478" s="101"/>
      <c r="C478" s="98"/>
      <c r="D478" s="100"/>
      <c r="E478" s="98"/>
      <c r="F478" s="99"/>
      <c r="G478" s="101"/>
      <c r="H478" s="278"/>
      <c r="I478" s="101"/>
      <c r="J478" s="101"/>
      <c r="K478" s="101"/>
      <c r="L478" s="102"/>
      <c r="M478" s="102"/>
      <c r="N478" s="101"/>
      <c r="O478" s="279"/>
      <c r="P478" s="279"/>
      <c r="Q478" s="229"/>
      <c r="R478" s="229"/>
      <c r="S478" s="229"/>
      <c r="T478" s="229"/>
      <c r="U478" s="229"/>
      <c r="V478" s="229"/>
      <c r="W478" s="229"/>
      <c r="X478" s="229"/>
      <c r="Y478" s="229"/>
      <c r="Z478" s="229"/>
      <c r="AA478" s="229"/>
      <c r="AB478" s="229"/>
    </row>
    <row r="479" ht="15.75" customHeight="1">
      <c r="A479" s="276"/>
      <c r="B479" s="101"/>
      <c r="C479" s="98"/>
      <c r="D479" s="100"/>
      <c r="E479" s="98"/>
      <c r="F479" s="99"/>
      <c r="G479" s="101"/>
      <c r="H479" s="278"/>
      <c r="I479" s="101"/>
      <c r="J479" s="101"/>
      <c r="K479" s="101"/>
      <c r="L479" s="102"/>
      <c r="M479" s="102"/>
      <c r="N479" s="101"/>
      <c r="O479" s="279"/>
      <c r="P479" s="279"/>
      <c r="Q479" s="229"/>
      <c r="R479" s="229"/>
      <c r="S479" s="229"/>
      <c r="T479" s="229"/>
      <c r="U479" s="229"/>
      <c r="V479" s="229"/>
      <c r="W479" s="229"/>
      <c r="X479" s="229"/>
      <c r="Y479" s="229"/>
      <c r="Z479" s="229"/>
      <c r="AA479" s="229"/>
      <c r="AB479" s="229"/>
    </row>
    <row r="480" ht="15.75" customHeight="1">
      <c r="A480" s="276"/>
      <c r="B480" s="101"/>
      <c r="C480" s="98"/>
      <c r="D480" s="100"/>
      <c r="E480" s="98"/>
      <c r="F480" s="99"/>
      <c r="G480" s="101"/>
      <c r="H480" s="278"/>
      <c r="I480" s="101"/>
      <c r="J480" s="101"/>
      <c r="K480" s="101"/>
      <c r="L480" s="102"/>
      <c r="M480" s="102"/>
      <c r="N480" s="101"/>
      <c r="O480" s="279"/>
      <c r="P480" s="279"/>
      <c r="Q480" s="229"/>
      <c r="R480" s="229"/>
      <c r="S480" s="229"/>
      <c r="T480" s="229"/>
      <c r="U480" s="229"/>
      <c r="V480" s="229"/>
      <c r="W480" s="229"/>
      <c r="X480" s="229"/>
      <c r="Y480" s="229"/>
      <c r="Z480" s="229"/>
      <c r="AA480" s="229"/>
      <c r="AB480" s="229"/>
    </row>
    <row r="481" ht="15.75" customHeight="1">
      <c r="A481" s="276"/>
      <c r="B481" s="101"/>
      <c r="C481" s="98"/>
      <c r="D481" s="100"/>
      <c r="E481" s="98"/>
      <c r="F481" s="99"/>
      <c r="G481" s="101"/>
      <c r="H481" s="278"/>
      <c r="I481" s="101"/>
      <c r="J481" s="101"/>
      <c r="K481" s="101"/>
      <c r="L481" s="102"/>
      <c r="M481" s="102"/>
      <c r="N481" s="101"/>
      <c r="O481" s="279"/>
      <c r="P481" s="279"/>
      <c r="Q481" s="229"/>
      <c r="R481" s="229"/>
      <c r="S481" s="229"/>
      <c r="T481" s="229"/>
      <c r="U481" s="229"/>
      <c r="V481" s="229"/>
      <c r="W481" s="229"/>
      <c r="X481" s="229"/>
      <c r="Y481" s="229"/>
      <c r="Z481" s="229"/>
      <c r="AA481" s="229"/>
      <c r="AB481" s="229"/>
    </row>
    <row r="482" ht="15.75" customHeight="1">
      <c r="A482" s="276"/>
      <c r="B482" s="101"/>
      <c r="C482" s="98"/>
      <c r="D482" s="100"/>
      <c r="E482" s="98"/>
      <c r="F482" s="99"/>
      <c r="G482" s="101"/>
      <c r="H482" s="278"/>
      <c r="I482" s="101"/>
      <c r="J482" s="101"/>
      <c r="K482" s="101"/>
      <c r="L482" s="102"/>
      <c r="M482" s="102"/>
      <c r="N482" s="101"/>
      <c r="O482" s="279"/>
      <c r="P482" s="27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</row>
    <row r="483" ht="15.75" customHeight="1">
      <c r="A483" s="276"/>
      <c r="B483" s="101"/>
      <c r="C483" s="98"/>
      <c r="D483" s="100"/>
      <c r="E483" s="98"/>
      <c r="F483" s="99"/>
      <c r="G483" s="101"/>
      <c r="H483" s="278"/>
      <c r="I483" s="101"/>
      <c r="J483" s="101"/>
      <c r="K483" s="101"/>
      <c r="L483" s="102"/>
      <c r="M483" s="102"/>
      <c r="N483" s="101"/>
      <c r="O483" s="279"/>
      <c r="P483" s="27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</row>
    <row r="484" ht="15.75" customHeight="1">
      <c r="A484" s="276"/>
      <c r="B484" s="101"/>
      <c r="C484" s="98"/>
      <c r="D484" s="100"/>
      <c r="E484" s="98"/>
      <c r="F484" s="99"/>
      <c r="G484" s="101"/>
      <c r="H484" s="278"/>
      <c r="I484" s="101"/>
      <c r="J484" s="101"/>
      <c r="K484" s="101"/>
      <c r="L484" s="102"/>
      <c r="M484" s="102"/>
      <c r="N484" s="101"/>
      <c r="O484" s="279"/>
      <c r="P484" s="27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</row>
    <row r="485" ht="15.75" customHeight="1">
      <c r="A485" s="276"/>
      <c r="B485" s="101"/>
      <c r="C485" s="98"/>
      <c r="D485" s="100"/>
      <c r="E485" s="98"/>
      <c r="F485" s="99"/>
      <c r="G485" s="101"/>
      <c r="H485" s="278"/>
      <c r="I485" s="101"/>
      <c r="J485" s="101"/>
      <c r="K485" s="101"/>
      <c r="L485" s="102"/>
      <c r="M485" s="102"/>
      <c r="N485" s="101"/>
      <c r="O485" s="279"/>
      <c r="P485" s="27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</row>
    <row r="486" ht="15.75" customHeight="1">
      <c r="A486" s="276"/>
      <c r="B486" s="101"/>
      <c r="C486" s="98"/>
      <c r="D486" s="100"/>
      <c r="E486" s="98"/>
      <c r="F486" s="99"/>
      <c r="G486" s="101"/>
      <c r="H486" s="278"/>
      <c r="I486" s="101"/>
      <c r="J486" s="101"/>
      <c r="K486" s="101"/>
      <c r="L486" s="102"/>
      <c r="M486" s="102"/>
      <c r="N486" s="101"/>
      <c r="O486" s="279"/>
      <c r="P486" s="279"/>
      <c r="Q486" s="229"/>
      <c r="R486" s="229"/>
      <c r="S486" s="229"/>
      <c r="T486" s="229"/>
      <c r="U486" s="229"/>
      <c r="V486" s="229"/>
      <c r="W486" s="229"/>
      <c r="X486" s="229"/>
      <c r="Y486" s="229"/>
      <c r="Z486" s="229"/>
      <c r="AA486" s="229"/>
      <c r="AB486" s="229"/>
    </row>
    <row r="487" ht="15.75" customHeight="1">
      <c r="A487" s="276"/>
      <c r="B487" s="101"/>
      <c r="C487" s="98"/>
      <c r="D487" s="100"/>
      <c r="E487" s="98"/>
      <c r="F487" s="99"/>
      <c r="G487" s="101"/>
      <c r="H487" s="278"/>
      <c r="I487" s="101"/>
      <c r="J487" s="101"/>
      <c r="K487" s="101"/>
      <c r="L487" s="102"/>
      <c r="M487" s="102"/>
      <c r="N487" s="101"/>
      <c r="O487" s="279"/>
      <c r="P487" s="279"/>
      <c r="Q487" s="229"/>
      <c r="R487" s="229"/>
      <c r="S487" s="229"/>
      <c r="T487" s="229"/>
      <c r="U487" s="229"/>
      <c r="V487" s="229"/>
      <c r="W487" s="229"/>
      <c r="X487" s="229"/>
      <c r="Y487" s="229"/>
      <c r="Z487" s="229"/>
      <c r="AA487" s="229"/>
      <c r="AB487" s="229"/>
    </row>
    <row r="488" ht="15.75" customHeight="1">
      <c r="A488" s="276"/>
      <c r="B488" s="101"/>
      <c r="C488" s="98"/>
      <c r="D488" s="100"/>
      <c r="E488" s="98"/>
      <c r="F488" s="99"/>
      <c r="G488" s="101"/>
      <c r="H488" s="278"/>
      <c r="I488" s="101"/>
      <c r="J488" s="101"/>
      <c r="K488" s="101"/>
      <c r="L488" s="102"/>
      <c r="M488" s="102"/>
      <c r="N488" s="101"/>
      <c r="O488" s="279"/>
      <c r="P488" s="279"/>
      <c r="Q488" s="229"/>
      <c r="R488" s="229"/>
      <c r="S488" s="229"/>
      <c r="T488" s="229"/>
      <c r="U488" s="229"/>
      <c r="V488" s="229"/>
      <c r="W488" s="229"/>
      <c r="X488" s="229"/>
      <c r="Y488" s="229"/>
      <c r="Z488" s="229"/>
      <c r="AA488" s="229"/>
      <c r="AB488" s="229"/>
    </row>
    <row r="489" ht="15.75" customHeight="1">
      <c r="A489" s="276"/>
      <c r="B489" s="101"/>
      <c r="C489" s="98"/>
      <c r="D489" s="100"/>
      <c r="E489" s="98"/>
      <c r="F489" s="99"/>
      <c r="G489" s="101"/>
      <c r="H489" s="278"/>
      <c r="I489" s="101"/>
      <c r="J489" s="101"/>
      <c r="K489" s="101"/>
      <c r="L489" s="102"/>
      <c r="M489" s="102"/>
      <c r="N489" s="101"/>
      <c r="O489" s="279"/>
      <c r="P489" s="279"/>
      <c r="Q489" s="229"/>
      <c r="R489" s="229"/>
      <c r="S489" s="229"/>
      <c r="T489" s="229"/>
      <c r="U489" s="229"/>
      <c r="V489" s="229"/>
      <c r="W489" s="229"/>
      <c r="X489" s="229"/>
      <c r="Y489" s="229"/>
      <c r="Z489" s="229"/>
      <c r="AA489" s="229"/>
      <c r="AB489" s="229"/>
    </row>
    <row r="490" ht="15.75" customHeight="1">
      <c r="A490" s="276"/>
      <c r="B490" s="101"/>
      <c r="C490" s="98"/>
      <c r="D490" s="100"/>
      <c r="E490" s="98"/>
      <c r="F490" s="99"/>
      <c r="G490" s="101"/>
      <c r="H490" s="278"/>
      <c r="I490" s="101"/>
      <c r="J490" s="101"/>
      <c r="K490" s="101"/>
      <c r="L490" s="102"/>
      <c r="M490" s="102"/>
      <c r="N490" s="101"/>
      <c r="O490" s="279"/>
      <c r="P490" s="279"/>
      <c r="Q490" s="229"/>
      <c r="R490" s="229"/>
      <c r="S490" s="229"/>
      <c r="T490" s="229"/>
      <c r="U490" s="229"/>
      <c r="V490" s="229"/>
      <c r="W490" s="229"/>
      <c r="X490" s="229"/>
      <c r="Y490" s="229"/>
      <c r="Z490" s="229"/>
      <c r="AA490" s="229"/>
      <c r="AB490" s="229"/>
    </row>
    <row r="491" ht="15.75" customHeight="1">
      <c r="A491" s="276"/>
      <c r="B491" s="101"/>
      <c r="C491" s="98"/>
      <c r="D491" s="100"/>
      <c r="E491" s="98"/>
      <c r="F491" s="99"/>
      <c r="G491" s="101"/>
      <c r="H491" s="278"/>
      <c r="I491" s="101"/>
      <c r="J491" s="101"/>
      <c r="K491" s="101"/>
      <c r="L491" s="102"/>
      <c r="M491" s="102"/>
      <c r="N491" s="101"/>
      <c r="O491" s="279"/>
      <c r="P491" s="279"/>
      <c r="Q491" s="229"/>
      <c r="R491" s="229"/>
      <c r="S491" s="229"/>
      <c r="T491" s="229"/>
      <c r="U491" s="229"/>
      <c r="V491" s="229"/>
      <c r="W491" s="229"/>
      <c r="X491" s="229"/>
      <c r="Y491" s="229"/>
      <c r="Z491" s="229"/>
      <c r="AA491" s="229"/>
      <c r="AB491" s="229"/>
    </row>
    <row r="492" ht="15.75" customHeight="1">
      <c r="A492" s="276"/>
      <c r="B492" s="101"/>
      <c r="C492" s="98"/>
      <c r="D492" s="100"/>
      <c r="E492" s="98"/>
      <c r="F492" s="99"/>
      <c r="G492" s="101"/>
      <c r="H492" s="278"/>
      <c r="I492" s="101"/>
      <c r="J492" s="101"/>
      <c r="K492" s="101"/>
      <c r="L492" s="102"/>
      <c r="M492" s="102"/>
      <c r="N492" s="101"/>
      <c r="O492" s="279"/>
      <c r="P492" s="279"/>
      <c r="Q492" s="229"/>
      <c r="R492" s="229"/>
      <c r="S492" s="229"/>
      <c r="T492" s="229"/>
      <c r="U492" s="229"/>
      <c r="V492" s="229"/>
      <c r="W492" s="229"/>
      <c r="X492" s="229"/>
      <c r="Y492" s="229"/>
      <c r="Z492" s="229"/>
      <c r="AA492" s="229"/>
      <c r="AB492" s="229"/>
    </row>
    <row r="493" ht="15.75" customHeight="1">
      <c r="A493" s="276"/>
      <c r="B493" s="101"/>
      <c r="C493" s="98"/>
      <c r="D493" s="100"/>
      <c r="E493" s="98"/>
      <c r="F493" s="99"/>
      <c r="G493" s="101"/>
      <c r="H493" s="278"/>
      <c r="I493" s="101"/>
      <c r="J493" s="101"/>
      <c r="K493" s="101"/>
      <c r="L493" s="102"/>
      <c r="M493" s="102"/>
      <c r="N493" s="101"/>
      <c r="O493" s="279"/>
      <c r="P493" s="279"/>
      <c r="Q493" s="229"/>
      <c r="R493" s="229"/>
      <c r="S493" s="229"/>
      <c r="T493" s="229"/>
      <c r="U493" s="229"/>
      <c r="V493" s="229"/>
      <c r="W493" s="229"/>
      <c r="X493" s="229"/>
      <c r="Y493" s="229"/>
      <c r="Z493" s="229"/>
      <c r="AA493" s="229"/>
      <c r="AB493" s="229"/>
    </row>
    <row r="494" ht="15.75" customHeight="1">
      <c r="A494" s="276"/>
      <c r="B494" s="101"/>
      <c r="C494" s="98"/>
      <c r="D494" s="100"/>
      <c r="E494" s="98"/>
      <c r="F494" s="99"/>
      <c r="G494" s="101"/>
      <c r="H494" s="278"/>
      <c r="I494" s="101"/>
      <c r="J494" s="101"/>
      <c r="K494" s="101"/>
      <c r="L494" s="102"/>
      <c r="M494" s="102"/>
      <c r="N494" s="101"/>
      <c r="O494" s="279"/>
      <c r="P494" s="279"/>
      <c r="Q494" s="229"/>
      <c r="R494" s="229"/>
      <c r="S494" s="229"/>
      <c r="T494" s="229"/>
      <c r="U494" s="229"/>
      <c r="V494" s="229"/>
      <c r="W494" s="229"/>
      <c r="X494" s="229"/>
      <c r="Y494" s="229"/>
      <c r="Z494" s="229"/>
      <c r="AA494" s="229"/>
      <c r="AB494" s="229"/>
    </row>
    <row r="495" ht="15.75" customHeight="1">
      <c r="A495" s="276"/>
      <c r="B495" s="101"/>
      <c r="C495" s="98"/>
      <c r="D495" s="100"/>
      <c r="E495" s="98"/>
      <c r="F495" s="99"/>
      <c r="G495" s="101"/>
      <c r="H495" s="278"/>
      <c r="I495" s="101"/>
      <c r="J495" s="101"/>
      <c r="K495" s="101"/>
      <c r="L495" s="102"/>
      <c r="M495" s="102"/>
      <c r="N495" s="101"/>
      <c r="O495" s="279"/>
      <c r="P495" s="279"/>
      <c r="Q495" s="229"/>
      <c r="R495" s="229"/>
      <c r="S495" s="229"/>
      <c r="T495" s="229"/>
      <c r="U495" s="229"/>
      <c r="V495" s="229"/>
      <c r="W495" s="229"/>
      <c r="X495" s="229"/>
      <c r="Y495" s="229"/>
      <c r="Z495" s="229"/>
      <c r="AA495" s="229"/>
      <c r="AB495" s="229"/>
    </row>
    <row r="496" ht="15.75" customHeight="1">
      <c r="A496" s="276"/>
      <c r="B496" s="101"/>
      <c r="C496" s="98"/>
      <c r="D496" s="100"/>
      <c r="E496" s="98"/>
      <c r="F496" s="99"/>
      <c r="G496" s="101"/>
      <c r="H496" s="278"/>
      <c r="I496" s="101"/>
      <c r="J496" s="101"/>
      <c r="K496" s="101"/>
      <c r="L496" s="102"/>
      <c r="M496" s="102"/>
      <c r="N496" s="101"/>
      <c r="O496" s="279"/>
      <c r="P496" s="279"/>
      <c r="Q496" s="229"/>
      <c r="R496" s="229"/>
      <c r="S496" s="229"/>
      <c r="T496" s="229"/>
      <c r="U496" s="229"/>
      <c r="V496" s="229"/>
      <c r="W496" s="229"/>
      <c r="X496" s="229"/>
      <c r="Y496" s="229"/>
      <c r="Z496" s="229"/>
      <c r="AA496" s="229"/>
      <c r="AB496" s="229"/>
    </row>
    <row r="497" ht="15.75" customHeight="1">
      <c r="A497" s="276"/>
      <c r="B497" s="101"/>
      <c r="C497" s="98"/>
      <c r="D497" s="100"/>
      <c r="E497" s="98"/>
      <c r="F497" s="99"/>
      <c r="G497" s="101"/>
      <c r="H497" s="278"/>
      <c r="I497" s="101"/>
      <c r="J497" s="101"/>
      <c r="K497" s="101"/>
      <c r="L497" s="102"/>
      <c r="M497" s="102"/>
      <c r="N497" s="101"/>
      <c r="O497" s="279"/>
      <c r="P497" s="279"/>
      <c r="Q497" s="229"/>
      <c r="R497" s="229"/>
      <c r="S497" s="229"/>
      <c r="T497" s="229"/>
      <c r="U497" s="229"/>
      <c r="V497" s="229"/>
      <c r="W497" s="229"/>
      <c r="X497" s="229"/>
      <c r="Y497" s="229"/>
      <c r="Z497" s="229"/>
      <c r="AA497" s="229"/>
      <c r="AB497" s="229"/>
    </row>
    <row r="498" ht="15.75" customHeight="1">
      <c r="A498" s="276"/>
      <c r="B498" s="101"/>
      <c r="C498" s="98"/>
      <c r="D498" s="100"/>
      <c r="E498" s="98"/>
      <c r="F498" s="99"/>
      <c r="G498" s="101"/>
      <c r="H498" s="278"/>
      <c r="I498" s="101"/>
      <c r="J498" s="101"/>
      <c r="K498" s="101"/>
      <c r="L498" s="102"/>
      <c r="M498" s="102"/>
      <c r="N498" s="101"/>
      <c r="O498" s="279"/>
      <c r="P498" s="279"/>
      <c r="Q498" s="229"/>
      <c r="R498" s="229"/>
      <c r="S498" s="229"/>
      <c r="T498" s="229"/>
      <c r="U498" s="229"/>
      <c r="V498" s="229"/>
      <c r="W498" s="229"/>
      <c r="X498" s="229"/>
      <c r="Y498" s="229"/>
      <c r="Z498" s="229"/>
      <c r="AA498" s="229"/>
      <c r="AB498" s="229"/>
    </row>
    <row r="499" ht="15.75" customHeight="1">
      <c r="A499" s="276"/>
      <c r="B499" s="101"/>
      <c r="C499" s="98"/>
      <c r="D499" s="100"/>
      <c r="E499" s="98"/>
      <c r="F499" s="99"/>
      <c r="G499" s="101"/>
      <c r="H499" s="278"/>
      <c r="I499" s="101"/>
      <c r="J499" s="101"/>
      <c r="K499" s="101"/>
      <c r="L499" s="102"/>
      <c r="M499" s="102"/>
      <c r="N499" s="101"/>
      <c r="O499" s="279"/>
      <c r="P499" s="279"/>
      <c r="Q499" s="229"/>
      <c r="R499" s="229"/>
      <c r="S499" s="229"/>
      <c r="T499" s="229"/>
      <c r="U499" s="229"/>
      <c r="V499" s="229"/>
      <c r="W499" s="229"/>
      <c r="X499" s="229"/>
      <c r="Y499" s="229"/>
      <c r="Z499" s="229"/>
      <c r="AA499" s="229"/>
      <c r="AB499" s="229"/>
    </row>
    <row r="500" ht="15.75" customHeight="1">
      <c r="A500" s="276"/>
      <c r="B500" s="101"/>
      <c r="C500" s="98"/>
      <c r="D500" s="100"/>
      <c r="E500" s="98"/>
      <c r="F500" s="99"/>
      <c r="G500" s="101"/>
      <c r="H500" s="278"/>
      <c r="I500" s="101"/>
      <c r="J500" s="101"/>
      <c r="K500" s="101"/>
      <c r="L500" s="102"/>
      <c r="M500" s="102"/>
      <c r="N500" s="101"/>
      <c r="O500" s="279"/>
      <c r="P500" s="279"/>
      <c r="Q500" s="229"/>
      <c r="R500" s="229"/>
      <c r="S500" s="229"/>
      <c r="T500" s="229"/>
      <c r="U500" s="229"/>
      <c r="V500" s="229"/>
      <c r="W500" s="229"/>
      <c r="X500" s="229"/>
      <c r="Y500" s="229"/>
      <c r="Z500" s="229"/>
      <c r="AA500" s="229"/>
      <c r="AB500" s="229"/>
    </row>
    <row r="501" ht="15.75" customHeight="1">
      <c r="A501" s="276"/>
      <c r="B501" s="101"/>
      <c r="C501" s="98"/>
      <c r="D501" s="100"/>
      <c r="E501" s="98"/>
      <c r="F501" s="99"/>
      <c r="G501" s="101"/>
      <c r="H501" s="278"/>
      <c r="I501" s="101"/>
      <c r="J501" s="101"/>
      <c r="K501" s="101"/>
      <c r="L501" s="102"/>
      <c r="M501" s="102"/>
      <c r="N501" s="101"/>
      <c r="O501" s="279"/>
      <c r="P501" s="279"/>
      <c r="Q501" s="229"/>
      <c r="R501" s="229"/>
      <c r="S501" s="229"/>
      <c r="T501" s="229"/>
      <c r="U501" s="229"/>
      <c r="V501" s="229"/>
      <c r="W501" s="229"/>
      <c r="X501" s="229"/>
      <c r="Y501" s="229"/>
      <c r="Z501" s="229"/>
      <c r="AA501" s="229"/>
      <c r="AB501" s="229"/>
    </row>
    <row r="502" ht="15.75" customHeight="1">
      <c r="A502" s="276"/>
      <c r="B502" s="101"/>
      <c r="C502" s="98"/>
      <c r="D502" s="100"/>
      <c r="E502" s="98"/>
      <c r="F502" s="99"/>
      <c r="G502" s="101"/>
      <c r="H502" s="278"/>
      <c r="I502" s="101"/>
      <c r="J502" s="101"/>
      <c r="K502" s="101"/>
      <c r="L502" s="102"/>
      <c r="M502" s="102"/>
      <c r="N502" s="101"/>
      <c r="O502" s="279"/>
      <c r="P502" s="279"/>
      <c r="Q502" s="229"/>
      <c r="R502" s="229"/>
      <c r="S502" s="229"/>
      <c r="T502" s="229"/>
      <c r="U502" s="229"/>
      <c r="V502" s="229"/>
      <c r="W502" s="229"/>
      <c r="X502" s="229"/>
      <c r="Y502" s="229"/>
      <c r="Z502" s="229"/>
      <c r="AA502" s="229"/>
      <c r="AB502" s="229"/>
    </row>
    <row r="503" ht="15.75" customHeight="1">
      <c r="A503" s="276"/>
      <c r="B503" s="101"/>
      <c r="C503" s="98"/>
      <c r="D503" s="100"/>
      <c r="E503" s="98"/>
      <c r="F503" s="99"/>
      <c r="G503" s="101"/>
      <c r="H503" s="278"/>
      <c r="I503" s="101"/>
      <c r="J503" s="101"/>
      <c r="K503" s="101"/>
      <c r="L503" s="102"/>
      <c r="M503" s="102"/>
      <c r="N503" s="101"/>
      <c r="O503" s="279"/>
      <c r="P503" s="279"/>
      <c r="Q503" s="229"/>
      <c r="R503" s="229"/>
      <c r="S503" s="229"/>
      <c r="T503" s="229"/>
      <c r="U503" s="229"/>
      <c r="V503" s="229"/>
      <c r="W503" s="229"/>
      <c r="X503" s="229"/>
      <c r="Y503" s="229"/>
      <c r="Z503" s="229"/>
      <c r="AA503" s="229"/>
      <c r="AB503" s="229"/>
    </row>
    <row r="504" ht="15.75" customHeight="1">
      <c r="A504" s="276"/>
      <c r="B504" s="101"/>
      <c r="C504" s="98"/>
      <c r="D504" s="100"/>
      <c r="E504" s="98"/>
      <c r="F504" s="99"/>
      <c r="G504" s="101"/>
      <c r="H504" s="278"/>
      <c r="I504" s="101"/>
      <c r="J504" s="101"/>
      <c r="K504" s="101"/>
      <c r="L504" s="102"/>
      <c r="M504" s="102"/>
      <c r="N504" s="101"/>
      <c r="O504" s="279"/>
      <c r="P504" s="279"/>
      <c r="Q504" s="229"/>
      <c r="R504" s="229"/>
      <c r="S504" s="229"/>
      <c r="T504" s="229"/>
      <c r="U504" s="229"/>
      <c r="V504" s="229"/>
      <c r="W504" s="229"/>
      <c r="X504" s="229"/>
      <c r="Y504" s="229"/>
      <c r="Z504" s="229"/>
      <c r="AA504" s="229"/>
      <c r="AB504" s="229"/>
    </row>
    <row r="505" ht="15.75" customHeight="1">
      <c r="A505" s="276"/>
      <c r="B505" s="101"/>
      <c r="C505" s="98"/>
      <c r="D505" s="100"/>
      <c r="E505" s="98"/>
      <c r="F505" s="99"/>
      <c r="G505" s="101"/>
      <c r="H505" s="278"/>
      <c r="I505" s="101"/>
      <c r="J505" s="101"/>
      <c r="K505" s="101"/>
      <c r="L505" s="102"/>
      <c r="M505" s="102"/>
      <c r="N505" s="101"/>
      <c r="O505" s="279"/>
      <c r="P505" s="279"/>
      <c r="Q505" s="229"/>
      <c r="R505" s="229"/>
      <c r="S505" s="229"/>
      <c r="T505" s="229"/>
      <c r="U505" s="229"/>
      <c r="V505" s="229"/>
      <c r="W505" s="229"/>
      <c r="X505" s="229"/>
      <c r="Y505" s="229"/>
      <c r="Z505" s="229"/>
      <c r="AA505" s="229"/>
      <c r="AB505" s="229"/>
    </row>
    <row r="506" ht="15.75" customHeight="1">
      <c r="A506" s="276"/>
      <c r="B506" s="101"/>
      <c r="C506" s="98"/>
      <c r="D506" s="100"/>
      <c r="E506" s="98"/>
      <c r="F506" s="99"/>
      <c r="G506" s="101"/>
      <c r="H506" s="278"/>
      <c r="I506" s="101"/>
      <c r="J506" s="101"/>
      <c r="K506" s="101"/>
      <c r="L506" s="102"/>
      <c r="M506" s="102"/>
      <c r="N506" s="101"/>
      <c r="O506" s="279"/>
      <c r="P506" s="279"/>
      <c r="Q506" s="229"/>
      <c r="R506" s="229"/>
      <c r="S506" s="229"/>
      <c r="T506" s="229"/>
      <c r="U506" s="229"/>
      <c r="V506" s="229"/>
      <c r="W506" s="229"/>
      <c r="X506" s="229"/>
      <c r="Y506" s="229"/>
      <c r="Z506" s="229"/>
      <c r="AA506" s="229"/>
      <c r="AB506" s="229"/>
    </row>
    <row r="507" ht="15.75" customHeight="1">
      <c r="A507" s="276"/>
      <c r="B507" s="101"/>
      <c r="C507" s="98"/>
      <c r="D507" s="100"/>
      <c r="E507" s="98"/>
      <c r="F507" s="99"/>
      <c r="G507" s="101"/>
      <c r="H507" s="278"/>
      <c r="I507" s="101"/>
      <c r="J507" s="101"/>
      <c r="K507" s="101"/>
      <c r="L507" s="102"/>
      <c r="M507" s="102"/>
      <c r="N507" s="101"/>
      <c r="O507" s="279"/>
      <c r="P507" s="279"/>
      <c r="Q507" s="229"/>
      <c r="R507" s="229"/>
      <c r="S507" s="229"/>
      <c r="T507" s="229"/>
      <c r="U507" s="229"/>
      <c r="V507" s="229"/>
      <c r="W507" s="229"/>
      <c r="X507" s="229"/>
      <c r="Y507" s="229"/>
      <c r="Z507" s="229"/>
      <c r="AA507" s="229"/>
      <c r="AB507" s="229"/>
    </row>
    <row r="508" ht="15.75" customHeight="1">
      <c r="A508" s="276"/>
      <c r="B508" s="101"/>
      <c r="C508" s="98"/>
      <c r="D508" s="100"/>
      <c r="E508" s="98"/>
      <c r="F508" s="99"/>
      <c r="G508" s="101"/>
      <c r="H508" s="278"/>
      <c r="I508" s="101"/>
      <c r="J508" s="101"/>
      <c r="K508" s="101"/>
      <c r="L508" s="102"/>
      <c r="M508" s="102"/>
      <c r="N508" s="101"/>
      <c r="O508" s="279"/>
      <c r="P508" s="279"/>
      <c r="Q508" s="229"/>
      <c r="R508" s="229"/>
      <c r="S508" s="229"/>
      <c r="T508" s="229"/>
      <c r="U508" s="229"/>
      <c r="V508" s="229"/>
      <c r="W508" s="229"/>
      <c r="X508" s="229"/>
      <c r="Y508" s="229"/>
      <c r="Z508" s="229"/>
      <c r="AA508" s="229"/>
      <c r="AB508" s="229"/>
    </row>
    <row r="509" ht="15.75" customHeight="1">
      <c r="A509" s="276"/>
      <c r="B509" s="101"/>
      <c r="C509" s="98"/>
      <c r="D509" s="100"/>
      <c r="E509" s="98"/>
      <c r="F509" s="99"/>
      <c r="G509" s="101"/>
      <c r="H509" s="278"/>
      <c r="I509" s="101"/>
      <c r="J509" s="101"/>
      <c r="K509" s="101"/>
      <c r="L509" s="102"/>
      <c r="M509" s="102"/>
      <c r="N509" s="101"/>
      <c r="O509" s="279"/>
      <c r="P509" s="279"/>
      <c r="Q509" s="229"/>
      <c r="R509" s="229"/>
      <c r="S509" s="229"/>
      <c r="T509" s="229"/>
      <c r="U509" s="229"/>
      <c r="V509" s="229"/>
      <c r="W509" s="229"/>
      <c r="X509" s="229"/>
      <c r="Y509" s="229"/>
      <c r="Z509" s="229"/>
      <c r="AA509" s="229"/>
      <c r="AB509" s="229"/>
    </row>
    <row r="510" ht="15.75" customHeight="1">
      <c r="A510" s="276"/>
      <c r="B510" s="101"/>
      <c r="C510" s="98"/>
      <c r="D510" s="100"/>
      <c r="E510" s="98"/>
      <c r="F510" s="99"/>
      <c r="G510" s="101"/>
      <c r="H510" s="278"/>
      <c r="I510" s="101"/>
      <c r="J510" s="101"/>
      <c r="K510" s="101"/>
      <c r="L510" s="102"/>
      <c r="M510" s="102"/>
      <c r="N510" s="101"/>
      <c r="O510" s="279"/>
      <c r="P510" s="279"/>
      <c r="Q510" s="229"/>
      <c r="R510" s="229"/>
      <c r="S510" s="229"/>
      <c r="T510" s="229"/>
      <c r="U510" s="229"/>
      <c r="V510" s="229"/>
      <c r="W510" s="229"/>
      <c r="X510" s="229"/>
      <c r="Y510" s="229"/>
      <c r="Z510" s="229"/>
      <c r="AA510" s="229"/>
      <c r="AB510" s="229"/>
    </row>
    <row r="511" ht="15.75" customHeight="1">
      <c r="A511" s="276"/>
      <c r="B511" s="101"/>
      <c r="C511" s="98"/>
      <c r="D511" s="100"/>
      <c r="E511" s="98"/>
      <c r="F511" s="99"/>
      <c r="G511" s="101"/>
      <c r="H511" s="278"/>
      <c r="I511" s="101"/>
      <c r="J511" s="101"/>
      <c r="K511" s="101"/>
      <c r="L511" s="102"/>
      <c r="M511" s="102"/>
      <c r="N511" s="101"/>
      <c r="O511" s="279"/>
      <c r="P511" s="279"/>
      <c r="Q511" s="229"/>
      <c r="R511" s="229"/>
      <c r="S511" s="229"/>
      <c r="T511" s="229"/>
      <c r="U511" s="229"/>
      <c r="V511" s="229"/>
      <c r="W511" s="229"/>
      <c r="X511" s="229"/>
      <c r="Y511" s="229"/>
      <c r="Z511" s="229"/>
      <c r="AA511" s="229"/>
      <c r="AB511" s="229"/>
    </row>
    <row r="512" ht="15.75" customHeight="1">
      <c r="A512" s="276"/>
      <c r="B512" s="101"/>
      <c r="C512" s="98"/>
      <c r="D512" s="100"/>
      <c r="E512" s="98"/>
      <c r="F512" s="99"/>
      <c r="G512" s="101"/>
      <c r="H512" s="278"/>
      <c r="I512" s="101"/>
      <c r="J512" s="101"/>
      <c r="K512" s="101"/>
      <c r="L512" s="102"/>
      <c r="M512" s="102"/>
      <c r="N512" s="101"/>
      <c r="O512" s="279"/>
      <c r="P512" s="279"/>
      <c r="Q512" s="229"/>
      <c r="R512" s="229"/>
      <c r="S512" s="229"/>
      <c r="T512" s="229"/>
      <c r="U512" s="229"/>
      <c r="V512" s="229"/>
      <c r="W512" s="229"/>
      <c r="X512" s="229"/>
      <c r="Y512" s="229"/>
      <c r="Z512" s="229"/>
      <c r="AA512" s="229"/>
      <c r="AB512" s="229"/>
    </row>
    <row r="513" ht="15.75" customHeight="1">
      <c r="A513" s="276"/>
      <c r="B513" s="101"/>
      <c r="C513" s="98"/>
      <c r="D513" s="100"/>
      <c r="E513" s="98"/>
      <c r="F513" s="99"/>
      <c r="G513" s="101"/>
      <c r="H513" s="278"/>
      <c r="I513" s="101"/>
      <c r="J513" s="101"/>
      <c r="K513" s="101"/>
      <c r="L513" s="102"/>
      <c r="M513" s="102"/>
      <c r="N513" s="101"/>
      <c r="O513" s="279"/>
      <c r="P513" s="279"/>
      <c r="Q513" s="229"/>
      <c r="R513" s="229"/>
      <c r="S513" s="229"/>
      <c r="T513" s="229"/>
      <c r="U513" s="229"/>
      <c r="V513" s="229"/>
      <c r="W513" s="229"/>
      <c r="X513" s="229"/>
      <c r="Y513" s="229"/>
      <c r="Z513" s="229"/>
      <c r="AA513" s="229"/>
      <c r="AB513" s="229"/>
    </row>
    <row r="514" ht="15.75" customHeight="1">
      <c r="A514" s="276"/>
      <c r="B514" s="101"/>
      <c r="C514" s="98"/>
      <c r="D514" s="100"/>
      <c r="E514" s="98"/>
      <c r="F514" s="99"/>
      <c r="G514" s="101"/>
      <c r="H514" s="278"/>
      <c r="I514" s="101"/>
      <c r="J514" s="101"/>
      <c r="K514" s="101"/>
      <c r="L514" s="102"/>
      <c r="M514" s="102"/>
      <c r="N514" s="101"/>
      <c r="O514" s="279"/>
      <c r="P514" s="279"/>
      <c r="Q514" s="229"/>
      <c r="R514" s="229"/>
      <c r="S514" s="229"/>
      <c r="T514" s="229"/>
      <c r="U514" s="229"/>
      <c r="V514" s="229"/>
      <c r="W514" s="229"/>
      <c r="X514" s="229"/>
      <c r="Y514" s="229"/>
      <c r="Z514" s="229"/>
      <c r="AA514" s="229"/>
      <c r="AB514" s="229"/>
    </row>
    <row r="515" ht="15.75" customHeight="1">
      <c r="A515" s="276"/>
      <c r="B515" s="101"/>
      <c r="C515" s="98"/>
      <c r="D515" s="100"/>
      <c r="E515" s="98"/>
      <c r="F515" s="99"/>
      <c r="G515" s="101"/>
      <c r="H515" s="278"/>
      <c r="I515" s="101"/>
      <c r="J515" s="101"/>
      <c r="K515" s="101"/>
      <c r="L515" s="102"/>
      <c r="M515" s="102"/>
      <c r="N515" s="101"/>
      <c r="O515" s="279"/>
      <c r="P515" s="279"/>
      <c r="Q515" s="229"/>
      <c r="R515" s="229"/>
      <c r="S515" s="229"/>
      <c r="T515" s="229"/>
      <c r="U515" s="229"/>
      <c r="V515" s="229"/>
      <c r="W515" s="229"/>
      <c r="X515" s="229"/>
      <c r="Y515" s="229"/>
      <c r="Z515" s="229"/>
      <c r="AA515" s="229"/>
      <c r="AB515" s="229"/>
    </row>
    <row r="516" ht="15.75" customHeight="1">
      <c r="A516" s="276"/>
      <c r="B516" s="101"/>
      <c r="C516" s="98"/>
      <c r="D516" s="100"/>
      <c r="E516" s="98"/>
      <c r="F516" s="99"/>
      <c r="G516" s="101"/>
      <c r="H516" s="278"/>
      <c r="I516" s="101"/>
      <c r="J516" s="101"/>
      <c r="K516" s="101"/>
      <c r="L516" s="102"/>
      <c r="M516" s="102"/>
      <c r="N516" s="101"/>
      <c r="O516" s="279"/>
      <c r="P516" s="279"/>
      <c r="Q516" s="229"/>
      <c r="R516" s="229"/>
      <c r="S516" s="229"/>
      <c r="T516" s="229"/>
      <c r="U516" s="229"/>
      <c r="V516" s="229"/>
      <c r="W516" s="229"/>
      <c r="X516" s="229"/>
      <c r="Y516" s="229"/>
      <c r="Z516" s="229"/>
      <c r="AA516" s="229"/>
      <c r="AB516" s="229"/>
    </row>
    <row r="517" ht="15.75" customHeight="1">
      <c r="A517" s="276"/>
      <c r="B517" s="101"/>
      <c r="C517" s="98"/>
      <c r="D517" s="100"/>
      <c r="E517" s="98"/>
      <c r="F517" s="99"/>
      <c r="G517" s="101"/>
      <c r="H517" s="278"/>
      <c r="I517" s="101"/>
      <c r="J517" s="101"/>
      <c r="K517" s="101"/>
      <c r="L517" s="102"/>
      <c r="M517" s="102"/>
      <c r="N517" s="101"/>
      <c r="O517" s="279"/>
      <c r="P517" s="279"/>
      <c r="Q517" s="229"/>
      <c r="R517" s="229"/>
      <c r="S517" s="229"/>
      <c r="T517" s="229"/>
      <c r="U517" s="229"/>
      <c r="V517" s="229"/>
      <c r="W517" s="229"/>
      <c r="X517" s="229"/>
      <c r="Y517" s="229"/>
      <c r="Z517" s="229"/>
      <c r="AA517" s="229"/>
      <c r="AB517" s="229"/>
    </row>
    <row r="518" ht="15.75" customHeight="1">
      <c r="A518" s="276"/>
      <c r="B518" s="101"/>
      <c r="C518" s="98"/>
      <c r="D518" s="100"/>
      <c r="E518" s="98"/>
      <c r="F518" s="99"/>
      <c r="G518" s="101"/>
      <c r="H518" s="278"/>
      <c r="I518" s="101"/>
      <c r="J518" s="101"/>
      <c r="K518" s="101"/>
      <c r="L518" s="102"/>
      <c r="M518" s="102"/>
      <c r="N518" s="101"/>
      <c r="O518" s="279"/>
      <c r="P518" s="279"/>
      <c r="Q518" s="229"/>
      <c r="R518" s="229"/>
      <c r="S518" s="229"/>
      <c r="T518" s="229"/>
      <c r="U518" s="229"/>
      <c r="V518" s="229"/>
      <c r="W518" s="229"/>
      <c r="X518" s="229"/>
      <c r="Y518" s="229"/>
      <c r="Z518" s="229"/>
      <c r="AA518" s="229"/>
      <c r="AB518" s="229"/>
    </row>
    <row r="519" ht="15.75" customHeight="1">
      <c r="A519" s="276"/>
      <c r="B519" s="101"/>
      <c r="C519" s="98"/>
      <c r="D519" s="100"/>
      <c r="E519" s="98"/>
      <c r="F519" s="99"/>
      <c r="G519" s="101"/>
      <c r="H519" s="278"/>
      <c r="I519" s="101"/>
      <c r="J519" s="101"/>
      <c r="K519" s="101"/>
      <c r="L519" s="102"/>
      <c r="M519" s="102"/>
      <c r="N519" s="101"/>
      <c r="O519" s="279"/>
      <c r="P519" s="279"/>
      <c r="Q519" s="229"/>
      <c r="R519" s="229"/>
      <c r="S519" s="229"/>
      <c r="T519" s="229"/>
      <c r="U519" s="229"/>
      <c r="V519" s="229"/>
      <c r="W519" s="229"/>
      <c r="X519" s="229"/>
      <c r="Y519" s="229"/>
      <c r="Z519" s="229"/>
      <c r="AA519" s="229"/>
      <c r="AB519" s="229"/>
    </row>
    <row r="520" ht="15.75" customHeight="1">
      <c r="A520" s="276"/>
      <c r="B520" s="101"/>
      <c r="C520" s="98"/>
      <c r="D520" s="100"/>
      <c r="E520" s="98"/>
      <c r="F520" s="99"/>
      <c r="G520" s="101"/>
      <c r="H520" s="278"/>
      <c r="I520" s="101"/>
      <c r="J520" s="101"/>
      <c r="K520" s="101"/>
      <c r="L520" s="102"/>
      <c r="M520" s="102"/>
      <c r="N520" s="101"/>
      <c r="O520" s="279"/>
      <c r="P520" s="279"/>
      <c r="Q520" s="229"/>
      <c r="R520" s="229"/>
      <c r="S520" s="229"/>
      <c r="T520" s="229"/>
      <c r="U520" s="229"/>
      <c r="V520" s="229"/>
      <c r="W520" s="229"/>
      <c r="X520" s="229"/>
      <c r="Y520" s="229"/>
      <c r="Z520" s="229"/>
      <c r="AA520" s="229"/>
      <c r="AB520" s="229"/>
    </row>
    <row r="521" ht="15.75" customHeight="1">
      <c r="A521" s="276"/>
      <c r="B521" s="101"/>
      <c r="C521" s="98"/>
      <c r="D521" s="100"/>
      <c r="E521" s="98"/>
      <c r="F521" s="99"/>
      <c r="G521" s="101"/>
      <c r="H521" s="278"/>
      <c r="I521" s="101"/>
      <c r="J521" s="101"/>
      <c r="K521" s="101"/>
      <c r="L521" s="102"/>
      <c r="M521" s="102"/>
      <c r="N521" s="101"/>
      <c r="O521" s="279"/>
      <c r="P521" s="279"/>
      <c r="Q521" s="229"/>
      <c r="R521" s="229"/>
      <c r="S521" s="229"/>
      <c r="T521" s="229"/>
      <c r="U521" s="229"/>
      <c r="V521" s="229"/>
      <c r="W521" s="229"/>
      <c r="X521" s="229"/>
      <c r="Y521" s="229"/>
      <c r="Z521" s="229"/>
      <c r="AA521" s="229"/>
      <c r="AB521" s="229"/>
    </row>
    <row r="522" ht="15.75" customHeight="1">
      <c r="A522" s="276"/>
      <c r="B522" s="101"/>
      <c r="C522" s="98"/>
      <c r="D522" s="100"/>
      <c r="E522" s="98"/>
      <c r="F522" s="99"/>
      <c r="G522" s="101"/>
      <c r="H522" s="278"/>
      <c r="I522" s="101"/>
      <c r="J522" s="101"/>
      <c r="K522" s="101"/>
      <c r="L522" s="102"/>
      <c r="M522" s="102"/>
      <c r="N522" s="101"/>
      <c r="O522" s="279"/>
      <c r="P522" s="279"/>
      <c r="Q522" s="229"/>
      <c r="R522" s="229"/>
      <c r="S522" s="229"/>
      <c r="T522" s="229"/>
      <c r="U522" s="229"/>
      <c r="V522" s="229"/>
      <c r="W522" s="229"/>
      <c r="X522" s="229"/>
      <c r="Y522" s="229"/>
      <c r="Z522" s="229"/>
      <c r="AA522" s="229"/>
      <c r="AB522" s="229"/>
    </row>
    <row r="523" ht="15.75" customHeight="1">
      <c r="A523" s="276"/>
      <c r="B523" s="101"/>
      <c r="C523" s="98"/>
      <c r="D523" s="100"/>
      <c r="E523" s="98"/>
      <c r="F523" s="99"/>
      <c r="G523" s="101"/>
      <c r="H523" s="278"/>
      <c r="I523" s="101"/>
      <c r="J523" s="101"/>
      <c r="K523" s="101"/>
      <c r="L523" s="102"/>
      <c r="M523" s="102"/>
      <c r="N523" s="101"/>
      <c r="O523" s="279"/>
      <c r="P523" s="279"/>
      <c r="Q523" s="229"/>
      <c r="R523" s="229"/>
      <c r="S523" s="229"/>
      <c r="T523" s="229"/>
      <c r="U523" s="229"/>
      <c r="V523" s="229"/>
      <c r="W523" s="229"/>
      <c r="X523" s="229"/>
      <c r="Y523" s="229"/>
      <c r="Z523" s="229"/>
      <c r="AA523" s="229"/>
      <c r="AB523" s="229"/>
    </row>
    <row r="524" ht="15.75" customHeight="1">
      <c r="A524" s="276"/>
      <c r="B524" s="101"/>
      <c r="C524" s="98"/>
      <c r="D524" s="100"/>
      <c r="E524" s="98"/>
      <c r="F524" s="99"/>
      <c r="G524" s="101"/>
      <c r="H524" s="278"/>
      <c r="I524" s="101"/>
      <c r="J524" s="101"/>
      <c r="K524" s="101"/>
      <c r="L524" s="102"/>
      <c r="M524" s="102"/>
      <c r="N524" s="101"/>
      <c r="O524" s="279"/>
      <c r="P524" s="279"/>
      <c r="Q524" s="229"/>
      <c r="R524" s="229"/>
      <c r="S524" s="229"/>
      <c r="T524" s="229"/>
      <c r="U524" s="229"/>
      <c r="V524" s="229"/>
      <c r="W524" s="229"/>
      <c r="X524" s="229"/>
      <c r="Y524" s="229"/>
      <c r="Z524" s="229"/>
      <c r="AA524" s="229"/>
      <c r="AB524" s="229"/>
    </row>
    <row r="525" ht="15.75" customHeight="1">
      <c r="A525" s="276"/>
      <c r="B525" s="101"/>
      <c r="C525" s="98"/>
      <c r="D525" s="100"/>
      <c r="E525" s="98"/>
      <c r="F525" s="99"/>
      <c r="G525" s="101"/>
      <c r="H525" s="278"/>
      <c r="I525" s="101"/>
      <c r="J525" s="101"/>
      <c r="K525" s="101"/>
      <c r="L525" s="102"/>
      <c r="M525" s="102"/>
      <c r="N525" s="101"/>
      <c r="O525" s="279"/>
      <c r="P525" s="279"/>
      <c r="Q525" s="229"/>
      <c r="R525" s="229"/>
      <c r="S525" s="229"/>
      <c r="T525" s="229"/>
      <c r="U525" s="229"/>
      <c r="V525" s="229"/>
      <c r="W525" s="229"/>
      <c r="X525" s="229"/>
      <c r="Y525" s="229"/>
      <c r="Z525" s="229"/>
      <c r="AA525" s="229"/>
      <c r="AB525" s="229"/>
    </row>
    <row r="526" ht="15.75" customHeight="1">
      <c r="A526" s="276"/>
      <c r="B526" s="101"/>
      <c r="C526" s="98"/>
      <c r="D526" s="100"/>
      <c r="E526" s="98"/>
      <c r="F526" s="99"/>
      <c r="G526" s="101"/>
      <c r="H526" s="278"/>
      <c r="I526" s="101"/>
      <c r="J526" s="101"/>
      <c r="K526" s="101"/>
      <c r="L526" s="102"/>
      <c r="M526" s="102"/>
      <c r="N526" s="101"/>
      <c r="O526" s="279"/>
      <c r="P526" s="279"/>
      <c r="Q526" s="229"/>
      <c r="R526" s="229"/>
      <c r="S526" s="229"/>
      <c r="T526" s="229"/>
      <c r="U526" s="229"/>
      <c r="V526" s="229"/>
      <c r="W526" s="229"/>
      <c r="X526" s="229"/>
      <c r="Y526" s="229"/>
      <c r="Z526" s="229"/>
      <c r="AA526" s="229"/>
      <c r="AB526" s="229"/>
    </row>
    <row r="527" ht="15.75" customHeight="1">
      <c r="A527" s="276"/>
      <c r="B527" s="101"/>
      <c r="C527" s="98"/>
      <c r="D527" s="100"/>
      <c r="E527" s="98"/>
      <c r="F527" s="99"/>
      <c r="G527" s="101"/>
      <c r="H527" s="278"/>
      <c r="I527" s="101"/>
      <c r="J527" s="101"/>
      <c r="K527" s="101"/>
      <c r="L527" s="102"/>
      <c r="M527" s="102"/>
      <c r="N527" s="101"/>
      <c r="O527" s="279"/>
      <c r="P527" s="279"/>
      <c r="Q527" s="229"/>
      <c r="R527" s="229"/>
      <c r="S527" s="229"/>
      <c r="T527" s="229"/>
      <c r="U527" s="229"/>
      <c r="V527" s="229"/>
      <c r="W527" s="229"/>
      <c r="X527" s="229"/>
      <c r="Y527" s="229"/>
      <c r="Z527" s="229"/>
      <c r="AA527" s="229"/>
      <c r="AB527" s="229"/>
    </row>
    <row r="528" ht="15.75" customHeight="1">
      <c r="A528" s="276"/>
      <c r="B528" s="101"/>
      <c r="C528" s="98"/>
      <c r="D528" s="100"/>
      <c r="E528" s="98"/>
      <c r="F528" s="99"/>
      <c r="G528" s="101"/>
      <c r="H528" s="278"/>
      <c r="I528" s="101"/>
      <c r="J528" s="101"/>
      <c r="K528" s="101"/>
      <c r="L528" s="102"/>
      <c r="M528" s="102"/>
      <c r="N528" s="101"/>
      <c r="O528" s="279"/>
      <c r="P528" s="279"/>
      <c r="Q528" s="229"/>
      <c r="R528" s="229"/>
      <c r="S528" s="229"/>
      <c r="T528" s="229"/>
      <c r="U528" s="229"/>
      <c r="V528" s="229"/>
      <c r="W528" s="229"/>
      <c r="X528" s="229"/>
      <c r="Y528" s="229"/>
      <c r="Z528" s="229"/>
      <c r="AA528" s="229"/>
      <c r="AB528" s="229"/>
    </row>
    <row r="529" ht="15.75" customHeight="1">
      <c r="A529" s="276"/>
      <c r="B529" s="101"/>
      <c r="C529" s="98"/>
      <c r="D529" s="100"/>
      <c r="E529" s="98"/>
      <c r="F529" s="99"/>
      <c r="G529" s="101"/>
      <c r="H529" s="278"/>
      <c r="I529" s="101"/>
      <c r="J529" s="101"/>
      <c r="K529" s="101"/>
      <c r="L529" s="102"/>
      <c r="M529" s="102"/>
      <c r="N529" s="101"/>
      <c r="O529" s="279"/>
      <c r="P529" s="279"/>
      <c r="Q529" s="229"/>
      <c r="R529" s="229"/>
      <c r="S529" s="229"/>
      <c r="T529" s="229"/>
      <c r="U529" s="229"/>
      <c r="V529" s="229"/>
      <c r="W529" s="229"/>
      <c r="X529" s="229"/>
      <c r="Y529" s="229"/>
      <c r="Z529" s="229"/>
      <c r="AA529" s="229"/>
      <c r="AB529" s="229"/>
    </row>
    <row r="530" ht="15.75" customHeight="1">
      <c r="A530" s="276"/>
      <c r="B530" s="101"/>
      <c r="C530" s="98"/>
      <c r="D530" s="100"/>
      <c r="E530" s="98"/>
      <c r="F530" s="99"/>
      <c r="G530" s="101"/>
      <c r="H530" s="278"/>
      <c r="I530" s="101"/>
      <c r="J530" s="101"/>
      <c r="K530" s="101"/>
      <c r="L530" s="102"/>
      <c r="M530" s="102"/>
      <c r="N530" s="101"/>
      <c r="O530" s="279"/>
      <c r="P530" s="279"/>
      <c r="Q530" s="229"/>
      <c r="R530" s="229"/>
      <c r="S530" s="229"/>
      <c r="T530" s="229"/>
      <c r="U530" s="229"/>
      <c r="V530" s="229"/>
      <c r="W530" s="229"/>
      <c r="X530" s="229"/>
      <c r="Y530" s="229"/>
      <c r="Z530" s="229"/>
      <c r="AA530" s="229"/>
      <c r="AB530" s="229"/>
    </row>
    <row r="531" ht="15.75" customHeight="1">
      <c r="A531" s="276"/>
      <c r="B531" s="101"/>
      <c r="C531" s="98"/>
      <c r="D531" s="100"/>
      <c r="E531" s="98"/>
      <c r="F531" s="99"/>
      <c r="G531" s="101"/>
      <c r="H531" s="278"/>
      <c r="I531" s="101"/>
      <c r="J531" s="101"/>
      <c r="K531" s="101"/>
      <c r="L531" s="102"/>
      <c r="M531" s="102"/>
      <c r="N531" s="101"/>
      <c r="O531" s="279"/>
      <c r="P531" s="279"/>
      <c r="Q531" s="229"/>
      <c r="R531" s="229"/>
      <c r="S531" s="229"/>
      <c r="T531" s="229"/>
      <c r="U531" s="229"/>
      <c r="V531" s="229"/>
      <c r="W531" s="229"/>
      <c r="X531" s="229"/>
      <c r="Y531" s="229"/>
      <c r="Z531" s="229"/>
      <c r="AA531" s="229"/>
      <c r="AB531" s="229"/>
    </row>
    <row r="532" ht="15.75" customHeight="1">
      <c r="A532" s="276"/>
      <c r="B532" s="101"/>
      <c r="C532" s="98"/>
      <c r="D532" s="100"/>
      <c r="E532" s="98"/>
      <c r="F532" s="99"/>
      <c r="G532" s="101"/>
      <c r="H532" s="278"/>
      <c r="I532" s="101"/>
      <c r="J532" s="101"/>
      <c r="K532" s="101"/>
      <c r="L532" s="102"/>
      <c r="M532" s="102"/>
      <c r="N532" s="101"/>
      <c r="O532" s="279"/>
      <c r="P532" s="279"/>
      <c r="Q532" s="229"/>
      <c r="R532" s="229"/>
      <c r="S532" s="229"/>
      <c r="T532" s="229"/>
      <c r="U532" s="229"/>
      <c r="V532" s="229"/>
      <c r="W532" s="229"/>
      <c r="X532" s="229"/>
      <c r="Y532" s="229"/>
      <c r="Z532" s="229"/>
      <c r="AA532" s="229"/>
      <c r="AB532" s="229"/>
    </row>
    <row r="533" ht="15.75" customHeight="1">
      <c r="A533" s="276"/>
      <c r="B533" s="101"/>
      <c r="C533" s="98"/>
      <c r="D533" s="100"/>
      <c r="E533" s="98"/>
      <c r="F533" s="99"/>
      <c r="G533" s="101"/>
      <c r="H533" s="278"/>
      <c r="I533" s="101"/>
      <c r="J533" s="101"/>
      <c r="K533" s="101"/>
      <c r="L533" s="102"/>
      <c r="M533" s="102"/>
      <c r="N533" s="101"/>
      <c r="O533" s="279"/>
      <c r="P533" s="279"/>
      <c r="Q533" s="229"/>
      <c r="R533" s="229"/>
      <c r="S533" s="229"/>
      <c r="T533" s="229"/>
      <c r="U533" s="229"/>
      <c r="V533" s="229"/>
      <c r="W533" s="229"/>
      <c r="X533" s="229"/>
      <c r="Y533" s="229"/>
      <c r="Z533" s="229"/>
      <c r="AA533" s="229"/>
      <c r="AB533" s="229"/>
    </row>
    <row r="534" ht="15.75" customHeight="1">
      <c r="A534" s="276"/>
      <c r="B534" s="101"/>
      <c r="C534" s="98"/>
      <c r="D534" s="100"/>
      <c r="E534" s="98"/>
      <c r="F534" s="99"/>
      <c r="G534" s="101"/>
      <c r="H534" s="278"/>
      <c r="I534" s="101"/>
      <c r="J534" s="101"/>
      <c r="K534" s="101"/>
      <c r="L534" s="102"/>
      <c r="M534" s="102"/>
      <c r="N534" s="101"/>
      <c r="O534" s="279"/>
      <c r="P534" s="27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</row>
    <row r="535" ht="15.75" customHeight="1">
      <c r="A535" s="276"/>
      <c r="B535" s="101"/>
      <c r="C535" s="98"/>
      <c r="D535" s="100"/>
      <c r="E535" s="98"/>
      <c r="F535" s="99"/>
      <c r="G535" s="101"/>
      <c r="H535" s="278"/>
      <c r="I535" s="101"/>
      <c r="J535" s="101"/>
      <c r="K535" s="101"/>
      <c r="L535" s="102"/>
      <c r="M535" s="102"/>
      <c r="N535" s="101"/>
      <c r="O535" s="279"/>
      <c r="P535" s="27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</row>
    <row r="536" ht="15.75" customHeight="1">
      <c r="A536" s="276"/>
      <c r="B536" s="101"/>
      <c r="C536" s="98"/>
      <c r="D536" s="100"/>
      <c r="E536" s="98"/>
      <c r="F536" s="99"/>
      <c r="G536" s="101"/>
      <c r="H536" s="278"/>
      <c r="I536" s="101"/>
      <c r="J536" s="101"/>
      <c r="K536" s="101"/>
      <c r="L536" s="102"/>
      <c r="M536" s="102"/>
      <c r="N536" s="101"/>
      <c r="O536" s="279"/>
      <c r="P536" s="27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</row>
    <row r="537" ht="15.75" customHeight="1">
      <c r="A537" s="276"/>
      <c r="B537" s="101"/>
      <c r="C537" s="98"/>
      <c r="D537" s="100"/>
      <c r="E537" s="98"/>
      <c r="F537" s="99"/>
      <c r="G537" s="101"/>
      <c r="H537" s="278"/>
      <c r="I537" s="101"/>
      <c r="J537" s="101"/>
      <c r="K537" s="101"/>
      <c r="L537" s="102"/>
      <c r="M537" s="102"/>
      <c r="N537" s="101"/>
      <c r="O537" s="279"/>
      <c r="P537" s="27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</row>
    <row r="538" ht="15.75" customHeight="1">
      <c r="A538" s="276"/>
      <c r="B538" s="101"/>
      <c r="C538" s="98"/>
      <c r="D538" s="100"/>
      <c r="E538" s="98"/>
      <c r="F538" s="99"/>
      <c r="G538" s="101"/>
      <c r="H538" s="278"/>
      <c r="I538" s="101"/>
      <c r="J538" s="101"/>
      <c r="K538" s="101"/>
      <c r="L538" s="102"/>
      <c r="M538" s="102"/>
      <c r="N538" s="101"/>
      <c r="O538" s="279"/>
      <c r="P538" s="279"/>
      <c r="Q538" s="229"/>
      <c r="R538" s="229"/>
      <c r="S538" s="229"/>
      <c r="T538" s="229"/>
      <c r="U538" s="229"/>
      <c r="V538" s="229"/>
      <c r="W538" s="229"/>
      <c r="X538" s="229"/>
      <c r="Y538" s="229"/>
      <c r="Z538" s="229"/>
      <c r="AA538" s="229"/>
      <c r="AB538" s="229"/>
    </row>
    <row r="539" ht="15.75" customHeight="1">
      <c r="A539" s="276"/>
      <c r="B539" s="101"/>
      <c r="C539" s="98"/>
      <c r="D539" s="100"/>
      <c r="E539" s="98"/>
      <c r="F539" s="99"/>
      <c r="G539" s="101"/>
      <c r="H539" s="278"/>
      <c r="I539" s="101"/>
      <c r="J539" s="101"/>
      <c r="K539" s="101"/>
      <c r="L539" s="102"/>
      <c r="M539" s="102"/>
      <c r="N539" s="101"/>
      <c r="O539" s="279"/>
      <c r="P539" s="279"/>
      <c r="Q539" s="229"/>
      <c r="R539" s="229"/>
      <c r="S539" s="229"/>
      <c r="T539" s="229"/>
      <c r="U539" s="229"/>
      <c r="V539" s="229"/>
      <c r="W539" s="229"/>
      <c r="X539" s="229"/>
      <c r="Y539" s="229"/>
      <c r="Z539" s="229"/>
      <c r="AA539" s="229"/>
      <c r="AB539" s="229"/>
    </row>
    <row r="540" ht="15.75" customHeight="1">
      <c r="A540" s="276"/>
      <c r="B540" s="101"/>
      <c r="C540" s="98"/>
      <c r="D540" s="100"/>
      <c r="E540" s="98"/>
      <c r="F540" s="99"/>
      <c r="G540" s="101"/>
      <c r="H540" s="278"/>
      <c r="I540" s="101"/>
      <c r="J540" s="101"/>
      <c r="K540" s="101"/>
      <c r="L540" s="102"/>
      <c r="M540" s="102"/>
      <c r="N540" s="101"/>
      <c r="O540" s="279"/>
      <c r="P540" s="279"/>
      <c r="Q540" s="229"/>
      <c r="R540" s="229"/>
      <c r="S540" s="229"/>
      <c r="T540" s="229"/>
      <c r="U540" s="229"/>
      <c r="V540" s="229"/>
      <c r="W540" s="229"/>
      <c r="X540" s="229"/>
      <c r="Y540" s="229"/>
      <c r="Z540" s="229"/>
      <c r="AA540" s="229"/>
      <c r="AB540" s="229"/>
    </row>
    <row r="541" ht="15.75" customHeight="1">
      <c r="A541" s="276"/>
      <c r="B541" s="101"/>
      <c r="C541" s="98"/>
      <c r="D541" s="100"/>
      <c r="E541" s="98"/>
      <c r="F541" s="99"/>
      <c r="G541" s="101"/>
      <c r="H541" s="278"/>
      <c r="I541" s="101"/>
      <c r="J541" s="101"/>
      <c r="K541" s="101"/>
      <c r="L541" s="102"/>
      <c r="M541" s="102"/>
      <c r="N541" s="101"/>
      <c r="O541" s="279"/>
      <c r="P541" s="279"/>
      <c r="Q541" s="229"/>
      <c r="R541" s="229"/>
      <c r="S541" s="229"/>
      <c r="T541" s="229"/>
      <c r="U541" s="229"/>
      <c r="V541" s="229"/>
      <c r="W541" s="229"/>
      <c r="X541" s="229"/>
      <c r="Y541" s="229"/>
      <c r="Z541" s="229"/>
      <c r="AA541" s="229"/>
      <c r="AB541" s="229"/>
    </row>
    <row r="542" ht="15.75" customHeight="1">
      <c r="A542" s="276"/>
      <c r="B542" s="101"/>
      <c r="C542" s="98"/>
      <c r="D542" s="100"/>
      <c r="E542" s="98"/>
      <c r="F542" s="99"/>
      <c r="G542" s="101"/>
      <c r="H542" s="278"/>
      <c r="I542" s="101"/>
      <c r="J542" s="101"/>
      <c r="K542" s="101"/>
      <c r="L542" s="102"/>
      <c r="M542" s="102"/>
      <c r="N542" s="101"/>
      <c r="O542" s="279"/>
      <c r="P542" s="279"/>
      <c r="Q542" s="229"/>
      <c r="R542" s="229"/>
      <c r="S542" s="229"/>
      <c r="T542" s="229"/>
      <c r="U542" s="229"/>
      <c r="V542" s="229"/>
      <c r="W542" s="229"/>
      <c r="X542" s="229"/>
      <c r="Y542" s="229"/>
      <c r="Z542" s="229"/>
      <c r="AA542" s="229"/>
      <c r="AB542" s="229"/>
    </row>
    <row r="543" ht="15.75" customHeight="1">
      <c r="A543" s="276"/>
      <c r="B543" s="101"/>
      <c r="C543" s="98"/>
      <c r="D543" s="100"/>
      <c r="E543" s="98"/>
      <c r="F543" s="99"/>
      <c r="G543" s="101"/>
      <c r="H543" s="278"/>
      <c r="I543" s="101"/>
      <c r="J543" s="101"/>
      <c r="K543" s="101"/>
      <c r="L543" s="102"/>
      <c r="M543" s="102"/>
      <c r="N543" s="101"/>
      <c r="O543" s="279"/>
      <c r="P543" s="279"/>
      <c r="Q543" s="229"/>
      <c r="R543" s="229"/>
      <c r="S543" s="229"/>
      <c r="T543" s="229"/>
      <c r="U543" s="229"/>
      <c r="V543" s="229"/>
      <c r="W543" s="229"/>
      <c r="X543" s="229"/>
      <c r="Y543" s="229"/>
      <c r="Z543" s="229"/>
      <c r="AA543" s="229"/>
      <c r="AB543" s="229"/>
    </row>
    <row r="544" ht="15.75" customHeight="1">
      <c r="A544" s="276"/>
      <c r="B544" s="101"/>
      <c r="C544" s="98"/>
      <c r="D544" s="100"/>
      <c r="E544" s="98"/>
      <c r="F544" s="99"/>
      <c r="G544" s="101"/>
      <c r="H544" s="278"/>
      <c r="I544" s="101"/>
      <c r="J544" s="101"/>
      <c r="K544" s="101"/>
      <c r="L544" s="102"/>
      <c r="M544" s="102"/>
      <c r="N544" s="101"/>
      <c r="O544" s="279"/>
      <c r="P544" s="279"/>
      <c r="Q544" s="229"/>
      <c r="R544" s="229"/>
      <c r="S544" s="229"/>
      <c r="T544" s="229"/>
      <c r="U544" s="229"/>
      <c r="V544" s="229"/>
      <c r="W544" s="229"/>
      <c r="X544" s="229"/>
      <c r="Y544" s="229"/>
      <c r="Z544" s="229"/>
      <c r="AA544" s="229"/>
      <c r="AB544" s="229"/>
    </row>
    <row r="545" ht="15.75" customHeight="1">
      <c r="A545" s="276"/>
      <c r="B545" s="101"/>
      <c r="C545" s="98"/>
      <c r="D545" s="100"/>
      <c r="E545" s="98"/>
      <c r="F545" s="99"/>
      <c r="G545" s="101"/>
      <c r="H545" s="278"/>
      <c r="I545" s="101"/>
      <c r="J545" s="101"/>
      <c r="K545" s="101"/>
      <c r="L545" s="102"/>
      <c r="M545" s="102"/>
      <c r="N545" s="101"/>
      <c r="O545" s="279"/>
      <c r="P545" s="279"/>
      <c r="Q545" s="229"/>
      <c r="R545" s="229"/>
      <c r="S545" s="229"/>
      <c r="T545" s="229"/>
      <c r="U545" s="229"/>
      <c r="V545" s="229"/>
      <c r="W545" s="229"/>
      <c r="X545" s="229"/>
      <c r="Y545" s="229"/>
      <c r="Z545" s="229"/>
      <c r="AA545" s="229"/>
      <c r="AB545" s="229"/>
    </row>
    <row r="546" ht="15.75" customHeight="1">
      <c r="A546" s="276"/>
      <c r="B546" s="101"/>
      <c r="C546" s="98"/>
      <c r="D546" s="100"/>
      <c r="E546" s="98"/>
      <c r="F546" s="99"/>
      <c r="G546" s="101"/>
      <c r="H546" s="278"/>
      <c r="I546" s="101"/>
      <c r="J546" s="101"/>
      <c r="K546" s="101"/>
      <c r="L546" s="102"/>
      <c r="M546" s="102"/>
      <c r="N546" s="101"/>
      <c r="O546" s="279"/>
      <c r="P546" s="279"/>
      <c r="Q546" s="229"/>
      <c r="R546" s="229"/>
      <c r="S546" s="229"/>
      <c r="T546" s="229"/>
      <c r="U546" s="229"/>
      <c r="V546" s="229"/>
      <c r="W546" s="229"/>
      <c r="X546" s="229"/>
      <c r="Y546" s="229"/>
      <c r="Z546" s="229"/>
      <c r="AA546" s="229"/>
      <c r="AB546" s="229"/>
    </row>
    <row r="547" ht="15.75" customHeight="1">
      <c r="A547" s="276"/>
      <c r="B547" s="101"/>
      <c r="C547" s="98"/>
      <c r="D547" s="100"/>
      <c r="E547" s="98"/>
      <c r="F547" s="99"/>
      <c r="G547" s="101"/>
      <c r="H547" s="278"/>
      <c r="I547" s="101"/>
      <c r="J547" s="101"/>
      <c r="K547" s="101"/>
      <c r="L547" s="102"/>
      <c r="M547" s="102"/>
      <c r="N547" s="101"/>
      <c r="O547" s="279"/>
      <c r="P547" s="279"/>
      <c r="Q547" s="229"/>
      <c r="R547" s="229"/>
      <c r="S547" s="229"/>
      <c r="T547" s="229"/>
      <c r="U547" s="229"/>
      <c r="V547" s="229"/>
      <c r="W547" s="229"/>
      <c r="X547" s="229"/>
      <c r="Y547" s="229"/>
      <c r="Z547" s="229"/>
      <c r="AA547" s="229"/>
      <c r="AB547" s="229"/>
    </row>
    <row r="548" ht="15.75" customHeight="1">
      <c r="A548" s="276"/>
      <c r="B548" s="101"/>
      <c r="C548" s="98"/>
      <c r="D548" s="100"/>
      <c r="E548" s="98"/>
      <c r="F548" s="99"/>
      <c r="G548" s="101"/>
      <c r="H548" s="278"/>
      <c r="I548" s="101"/>
      <c r="J548" s="101"/>
      <c r="K548" s="101"/>
      <c r="L548" s="102"/>
      <c r="M548" s="102"/>
      <c r="N548" s="101"/>
      <c r="O548" s="279"/>
      <c r="P548" s="279"/>
      <c r="Q548" s="229"/>
      <c r="R548" s="229"/>
      <c r="S548" s="229"/>
      <c r="T548" s="229"/>
      <c r="U548" s="229"/>
      <c r="V548" s="229"/>
      <c r="W548" s="229"/>
      <c r="X548" s="229"/>
      <c r="Y548" s="229"/>
      <c r="Z548" s="229"/>
      <c r="AA548" s="229"/>
      <c r="AB548" s="229"/>
    </row>
    <row r="549" ht="15.75" customHeight="1">
      <c r="A549" s="276"/>
      <c r="B549" s="101"/>
      <c r="C549" s="98"/>
      <c r="D549" s="100"/>
      <c r="E549" s="98"/>
      <c r="F549" s="99"/>
      <c r="G549" s="101"/>
      <c r="H549" s="278"/>
      <c r="I549" s="101"/>
      <c r="J549" s="101"/>
      <c r="K549" s="101"/>
      <c r="L549" s="102"/>
      <c r="M549" s="102"/>
      <c r="N549" s="101"/>
      <c r="O549" s="279"/>
      <c r="P549" s="279"/>
      <c r="Q549" s="229"/>
      <c r="R549" s="229"/>
      <c r="S549" s="229"/>
      <c r="T549" s="229"/>
      <c r="U549" s="229"/>
      <c r="V549" s="229"/>
      <c r="W549" s="229"/>
      <c r="X549" s="229"/>
      <c r="Y549" s="229"/>
      <c r="Z549" s="229"/>
      <c r="AA549" s="229"/>
      <c r="AB549" s="229"/>
    </row>
    <row r="550" ht="15.75" customHeight="1">
      <c r="A550" s="276"/>
      <c r="B550" s="101"/>
      <c r="C550" s="98"/>
      <c r="D550" s="100"/>
      <c r="E550" s="98"/>
      <c r="F550" s="99"/>
      <c r="G550" s="101"/>
      <c r="H550" s="278"/>
      <c r="I550" s="101"/>
      <c r="J550" s="101"/>
      <c r="K550" s="101"/>
      <c r="L550" s="102"/>
      <c r="M550" s="102"/>
      <c r="N550" s="101"/>
      <c r="O550" s="279"/>
      <c r="P550" s="279"/>
      <c r="Q550" s="229"/>
      <c r="R550" s="229"/>
      <c r="S550" s="229"/>
      <c r="T550" s="229"/>
      <c r="U550" s="229"/>
      <c r="V550" s="229"/>
      <c r="W550" s="229"/>
      <c r="X550" s="229"/>
      <c r="Y550" s="229"/>
      <c r="Z550" s="229"/>
      <c r="AA550" s="229"/>
      <c r="AB550" s="229"/>
    </row>
    <row r="551" ht="15.75" customHeight="1">
      <c r="A551" s="276"/>
      <c r="B551" s="101"/>
      <c r="C551" s="98"/>
      <c r="D551" s="100"/>
      <c r="E551" s="98"/>
      <c r="F551" s="99"/>
      <c r="G551" s="101"/>
      <c r="H551" s="278"/>
      <c r="I551" s="101"/>
      <c r="J551" s="101"/>
      <c r="K551" s="101"/>
      <c r="L551" s="102"/>
      <c r="M551" s="102"/>
      <c r="N551" s="101"/>
      <c r="O551" s="279"/>
      <c r="P551" s="279"/>
      <c r="Q551" s="229"/>
      <c r="R551" s="229"/>
      <c r="S551" s="229"/>
      <c r="T551" s="229"/>
      <c r="U551" s="229"/>
      <c r="V551" s="229"/>
      <c r="W551" s="229"/>
      <c r="X551" s="229"/>
      <c r="Y551" s="229"/>
      <c r="Z551" s="229"/>
      <c r="AA551" s="229"/>
      <c r="AB551" s="229"/>
    </row>
    <row r="552" ht="15.75" customHeight="1">
      <c r="A552" s="276"/>
      <c r="B552" s="101"/>
      <c r="C552" s="98"/>
      <c r="D552" s="100"/>
      <c r="E552" s="98"/>
      <c r="F552" s="99"/>
      <c r="G552" s="101"/>
      <c r="H552" s="278"/>
      <c r="I552" s="101"/>
      <c r="J552" s="101"/>
      <c r="K552" s="101"/>
      <c r="L552" s="102"/>
      <c r="M552" s="102"/>
      <c r="N552" s="101"/>
      <c r="O552" s="279"/>
      <c r="P552" s="279"/>
      <c r="Q552" s="229"/>
      <c r="R552" s="229"/>
      <c r="S552" s="229"/>
      <c r="T552" s="229"/>
      <c r="U552" s="229"/>
      <c r="V552" s="229"/>
      <c r="W552" s="229"/>
      <c r="X552" s="229"/>
      <c r="Y552" s="229"/>
      <c r="Z552" s="229"/>
      <c r="AA552" s="229"/>
      <c r="AB552" s="229"/>
    </row>
    <row r="553" ht="15.75" customHeight="1">
      <c r="A553" s="276"/>
      <c r="B553" s="101"/>
      <c r="C553" s="98"/>
      <c r="D553" s="100"/>
      <c r="E553" s="98"/>
      <c r="F553" s="99"/>
      <c r="G553" s="101"/>
      <c r="H553" s="278"/>
      <c r="I553" s="101"/>
      <c r="J553" s="101"/>
      <c r="K553" s="101"/>
      <c r="L553" s="102"/>
      <c r="M553" s="102"/>
      <c r="N553" s="101"/>
      <c r="O553" s="279"/>
      <c r="P553" s="279"/>
      <c r="Q553" s="229"/>
      <c r="R553" s="229"/>
      <c r="S553" s="229"/>
      <c r="T553" s="229"/>
      <c r="U553" s="229"/>
      <c r="V553" s="229"/>
      <c r="W553" s="229"/>
      <c r="X553" s="229"/>
      <c r="Y553" s="229"/>
      <c r="Z553" s="229"/>
      <c r="AA553" s="229"/>
      <c r="AB553" s="229"/>
    </row>
    <row r="554" ht="15.75" customHeight="1">
      <c r="A554" s="276"/>
      <c r="B554" s="101"/>
      <c r="C554" s="98"/>
      <c r="D554" s="100"/>
      <c r="E554" s="98"/>
      <c r="F554" s="99"/>
      <c r="G554" s="101"/>
      <c r="H554" s="278"/>
      <c r="I554" s="101"/>
      <c r="J554" s="101"/>
      <c r="K554" s="101"/>
      <c r="L554" s="102"/>
      <c r="M554" s="102"/>
      <c r="N554" s="101"/>
      <c r="O554" s="279"/>
      <c r="P554" s="279"/>
      <c r="Q554" s="229"/>
      <c r="R554" s="229"/>
      <c r="S554" s="229"/>
      <c r="T554" s="229"/>
      <c r="U554" s="229"/>
      <c r="V554" s="229"/>
      <c r="W554" s="229"/>
      <c r="X554" s="229"/>
      <c r="Y554" s="229"/>
      <c r="Z554" s="229"/>
      <c r="AA554" s="229"/>
      <c r="AB554" s="229"/>
    </row>
    <row r="555" ht="15.75" customHeight="1">
      <c r="A555" s="276"/>
      <c r="B555" s="101"/>
      <c r="C555" s="98"/>
      <c r="D555" s="100"/>
      <c r="E555" s="98"/>
      <c r="F555" s="99"/>
      <c r="G555" s="101"/>
      <c r="H555" s="278"/>
      <c r="I555" s="101"/>
      <c r="J555" s="101"/>
      <c r="K555" s="101"/>
      <c r="L555" s="102"/>
      <c r="M555" s="102"/>
      <c r="N555" s="101"/>
      <c r="O555" s="279"/>
      <c r="P555" s="279"/>
      <c r="Q555" s="229"/>
      <c r="R555" s="229"/>
      <c r="S555" s="229"/>
      <c r="T555" s="229"/>
      <c r="U555" s="229"/>
      <c r="V555" s="229"/>
      <c r="W555" s="229"/>
      <c r="X555" s="229"/>
      <c r="Y555" s="229"/>
      <c r="Z555" s="229"/>
      <c r="AA555" s="229"/>
      <c r="AB555" s="229"/>
    </row>
    <row r="556" ht="15.75" customHeight="1">
      <c r="A556" s="276"/>
      <c r="B556" s="101"/>
      <c r="C556" s="98"/>
      <c r="D556" s="100"/>
      <c r="E556" s="98"/>
      <c r="F556" s="99"/>
      <c r="G556" s="101"/>
      <c r="H556" s="278"/>
      <c r="I556" s="101"/>
      <c r="J556" s="101"/>
      <c r="K556" s="101"/>
      <c r="L556" s="102"/>
      <c r="M556" s="102"/>
      <c r="N556" s="101"/>
      <c r="O556" s="279"/>
      <c r="P556" s="279"/>
      <c r="Q556" s="229"/>
      <c r="R556" s="229"/>
      <c r="S556" s="229"/>
      <c r="T556" s="229"/>
      <c r="U556" s="229"/>
      <c r="V556" s="229"/>
      <c r="W556" s="229"/>
      <c r="X556" s="229"/>
      <c r="Y556" s="229"/>
      <c r="Z556" s="229"/>
      <c r="AA556" s="229"/>
      <c r="AB556" s="229"/>
    </row>
    <row r="557" ht="15.75" customHeight="1">
      <c r="A557" s="276"/>
      <c r="B557" s="101"/>
      <c r="C557" s="98"/>
      <c r="D557" s="100"/>
      <c r="E557" s="98"/>
      <c r="F557" s="99"/>
      <c r="G557" s="101"/>
      <c r="H557" s="278"/>
      <c r="I557" s="101"/>
      <c r="J557" s="101"/>
      <c r="K557" s="101"/>
      <c r="L557" s="102"/>
      <c r="M557" s="102"/>
      <c r="N557" s="101"/>
      <c r="O557" s="279"/>
      <c r="P557" s="279"/>
      <c r="Q557" s="229"/>
      <c r="R557" s="229"/>
      <c r="S557" s="229"/>
      <c r="T557" s="229"/>
      <c r="U557" s="229"/>
      <c r="V557" s="229"/>
      <c r="W557" s="229"/>
      <c r="X557" s="229"/>
      <c r="Y557" s="229"/>
      <c r="Z557" s="229"/>
      <c r="AA557" s="229"/>
      <c r="AB557" s="229"/>
    </row>
    <row r="558" ht="15.75" customHeight="1">
      <c r="A558" s="276"/>
      <c r="B558" s="101"/>
      <c r="C558" s="98"/>
      <c r="D558" s="100"/>
      <c r="E558" s="98"/>
      <c r="F558" s="99"/>
      <c r="G558" s="101"/>
      <c r="H558" s="278"/>
      <c r="I558" s="101"/>
      <c r="J558" s="101"/>
      <c r="K558" s="101"/>
      <c r="L558" s="102"/>
      <c r="M558" s="102"/>
      <c r="N558" s="101"/>
      <c r="O558" s="279"/>
      <c r="P558" s="279"/>
      <c r="Q558" s="229"/>
      <c r="R558" s="229"/>
      <c r="S558" s="229"/>
      <c r="T558" s="229"/>
      <c r="U558" s="229"/>
      <c r="V558" s="229"/>
      <c r="W558" s="229"/>
      <c r="X558" s="229"/>
      <c r="Y558" s="229"/>
      <c r="Z558" s="229"/>
      <c r="AA558" s="229"/>
      <c r="AB558" s="229"/>
    </row>
    <row r="559" ht="15.75" customHeight="1">
      <c r="A559" s="276"/>
      <c r="B559" s="101"/>
      <c r="C559" s="98"/>
      <c r="D559" s="100"/>
      <c r="E559" s="98"/>
      <c r="F559" s="99"/>
      <c r="G559" s="101"/>
      <c r="H559" s="278"/>
      <c r="I559" s="101"/>
      <c r="J559" s="101"/>
      <c r="K559" s="101"/>
      <c r="L559" s="102"/>
      <c r="M559" s="102"/>
      <c r="N559" s="101"/>
      <c r="O559" s="279"/>
      <c r="P559" s="279"/>
      <c r="Q559" s="229"/>
      <c r="R559" s="229"/>
      <c r="S559" s="229"/>
      <c r="T559" s="229"/>
      <c r="U559" s="229"/>
      <c r="V559" s="229"/>
      <c r="W559" s="229"/>
      <c r="X559" s="229"/>
      <c r="Y559" s="229"/>
      <c r="Z559" s="229"/>
      <c r="AA559" s="229"/>
      <c r="AB559" s="229"/>
    </row>
    <row r="560" ht="15.75" customHeight="1">
      <c r="A560" s="276"/>
      <c r="B560" s="101"/>
      <c r="C560" s="98"/>
      <c r="D560" s="100"/>
      <c r="E560" s="98"/>
      <c r="F560" s="99"/>
      <c r="G560" s="101"/>
      <c r="H560" s="278"/>
      <c r="I560" s="101"/>
      <c r="J560" s="101"/>
      <c r="K560" s="101"/>
      <c r="L560" s="102"/>
      <c r="M560" s="102"/>
      <c r="N560" s="101"/>
      <c r="O560" s="279"/>
      <c r="P560" s="279"/>
      <c r="Q560" s="229"/>
      <c r="R560" s="229"/>
      <c r="S560" s="229"/>
      <c r="T560" s="229"/>
      <c r="U560" s="229"/>
      <c r="V560" s="229"/>
      <c r="W560" s="229"/>
      <c r="X560" s="229"/>
      <c r="Y560" s="229"/>
      <c r="Z560" s="229"/>
      <c r="AA560" s="229"/>
      <c r="AB560" s="229"/>
    </row>
    <row r="561" ht="15.75" customHeight="1">
      <c r="A561" s="276"/>
      <c r="B561" s="101"/>
      <c r="C561" s="98"/>
      <c r="D561" s="100"/>
      <c r="E561" s="98"/>
      <c r="F561" s="99"/>
      <c r="G561" s="101"/>
      <c r="H561" s="278"/>
      <c r="I561" s="101"/>
      <c r="J561" s="101"/>
      <c r="K561" s="101"/>
      <c r="L561" s="102"/>
      <c r="M561" s="102"/>
      <c r="N561" s="101"/>
      <c r="O561" s="279"/>
      <c r="P561" s="279"/>
      <c r="Q561" s="229"/>
      <c r="R561" s="229"/>
      <c r="S561" s="229"/>
      <c r="T561" s="229"/>
      <c r="U561" s="229"/>
      <c r="V561" s="229"/>
      <c r="W561" s="229"/>
      <c r="X561" s="229"/>
      <c r="Y561" s="229"/>
      <c r="Z561" s="229"/>
      <c r="AA561" s="229"/>
      <c r="AB561" s="229"/>
    </row>
    <row r="562" ht="15.75" customHeight="1">
      <c r="A562" s="276"/>
      <c r="B562" s="101"/>
      <c r="C562" s="98"/>
      <c r="D562" s="100"/>
      <c r="E562" s="98"/>
      <c r="F562" s="99"/>
      <c r="G562" s="101"/>
      <c r="H562" s="278"/>
      <c r="I562" s="101"/>
      <c r="J562" s="101"/>
      <c r="K562" s="101"/>
      <c r="L562" s="102"/>
      <c r="M562" s="102"/>
      <c r="N562" s="101"/>
      <c r="O562" s="279"/>
      <c r="P562" s="279"/>
      <c r="Q562" s="229"/>
      <c r="R562" s="229"/>
      <c r="S562" s="229"/>
      <c r="T562" s="229"/>
      <c r="U562" s="229"/>
      <c r="V562" s="229"/>
      <c r="W562" s="229"/>
      <c r="X562" s="229"/>
      <c r="Y562" s="229"/>
      <c r="Z562" s="229"/>
      <c r="AA562" s="229"/>
      <c r="AB562" s="229"/>
    </row>
    <row r="563" ht="15.75" customHeight="1">
      <c r="A563" s="276"/>
      <c r="B563" s="101"/>
      <c r="C563" s="98"/>
      <c r="D563" s="100"/>
      <c r="E563" s="98"/>
      <c r="F563" s="99"/>
      <c r="G563" s="101"/>
      <c r="H563" s="278"/>
      <c r="I563" s="101"/>
      <c r="J563" s="101"/>
      <c r="K563" s="101"/>
      <c r="L563" s="102"/>
      <c r="M563" s="102"/>
      <c r="N563" s="101"/>
      <c r="O563" s="279"/>
      <c r="P563" s="279"/>
      <c r="Q563" s="229"/>
      <c r="R563" s="229"/>
      <c r="S563" s="229"/>
      <c r="T563" s="229"/>
      <c r="U563" s="229"/>
      <c r="V563" s="229"/>
      <c r="W563" s="229"/>
      <c r="X563" s="229"/>
      <c r="Y563" s="229"/>
      <c r="Z563" s="229"/>
      <c r="AA563" s="229"/>
      <c r="AB563" s="229"/>
    </row>
    <row r="564" ht="15.75" customHeight="1">
      <c r="A564" s="276"/>
      <c r="B564" s="101"/>
      <c r="C564" s="98"/>
      <c r="D564" s="100"/>
      <c r="E564" s="98"/>
      <c r="F564" s="99"/>
      <c r="G564" s="101"/>
      <c r="H564" s="278"/>
      <c r="I564" s="101"/>
      <c r="J564" s="101"/>
      <c r="K564" s="101"/>
      <c r="L564" s="102"/>
      <c r="M564" s="102"/>
      <c r="N564" s="101"/>
      <c r="O564" s="279"/>
      <c r="P564" s="279"/>
      <c r="Q564" s="229"/>
      <c r="R564" s="229"/>
      <c r="S564" s="229"/>
      <c r="T564" s="229"/>
      <c r="U564" s="229"/>
      <c r="V564" s="229"/>
      <c r="W564" s="229"/>
      <c r="X564" s="229"/>
      <c r="Y564" s="229"/>
      <c r="Z564" s="229"/>
      <c r="AA564" s="229"/>
      <c r="AB564" s="229"/>
    </row>
    <row r="565" ht="15.75" customHeight="1">
      <c r="A565" s="276"/>
      <c r="B565" s="101"/>
      <c r="C565" s="98"/>
      <c r="D565" s="100"/>
      <c r="E565" s="98"/>
      <c r="F565" s="99"/>
      <c r="G565" s="101"/>
      <c r="H565" s="278"/>
      <c r="I565" s="101"/>
      <c r="J565" s="101"/>
      <c r="K565" s="101"/>
      <c r="L565" s="102"/>
      <c r="M565" s="102"/>
      <c r="N565" s="101"/>
      <c r="O565" s="279"/>
      <c r="P565" s="279"/>
      <c r="Q565" s="229"/>
      <c r="R565" s="229"/>
      <c r="S565" s="229"/>
      <c r="T565" s="229"/>
      <c r="U565" s="229"/>
      <c r="V565" s="229"/>
      <c r="W565" s="229"/>
      <c r="X565" s="229"/>
      <c r="Y565" s="229"/>
      <c r="Z565" s="229"/>
      <c r="AA565" s="229"/>
      <c r="AB565" s="229"/>
    </row>
    <row r="566" ht="15.75" customHeight="1">
      <c r="A566" s="276"/>
      <c r="B566" s="101"/>
      <c r="C566" s="98"/>
      <c r="D566" s="100"/>
      <c r="E566" s="98"/>
      <c r="F566" s="99"/>
      <c r="G566" s="101"/>
      <c r="H566" s="278"/>
      <c r="I566" s="101"/>
      <c r="J566" s="101"/>
      <c r="K566" s="101"/>
      <c r="L566" s="102"/>
      <c r="M566" s="102"/>
      <c r="N566" s="101"/>
      <c r="O566" s="279"/>
      <c r="P566" s="279"/>
      <c r="Q566" s="229"/>
      <c r="R566" s="229"/>
      <c r="S566" s="229"/>
      <c r="T566" s="229"/>
      <c r="U566" s="229"/>
      <c r="V566" s="229"/>
      <c r="W566" s="229"/>
      <c r="X566" s="229"/>
      <c r="Y566" s="229"/>
      <c r="Z566" s="229"/>
      <c r="AA566" s="229"/>
      <c r="AB566" s="229"/>
    </row>
    <row r="567" ht="15.75" customHeight="1">
      <c r="A567" s="276"/>
      <c r="B567" s="101"/>
      <c r="C567" s="98"/>
      <c r="D567" s="100"/>
      <c r="E567" s="98"/>
      <c r="F567" s="99"/>
      <c r="G567" s="101"/>
      <c r="H567" s="278"/>
      <c r="I567" s="101"/>
      <c r="J567" s="101"/>
      <c r="K567" s="101"/>
      <c r="L567" s="102"/>
      <c r="M567" s="102"/>
      <c r="N567" s="101"/>
      <c r="O567" s="279"/>
      <c r="P567" s="279"/>
      <c r="Q567" s="229"/>
      <c r="R567" s="229"/>
      <c r="S567" s="229"/>
      <c r="T567" s="229"/>
      <c r="U567" s="229"/>
      <c r="V567" s="229"/>
      <c r="W567" s="229"/>
      <c r="X567" s="229"/>
      <c r="Y567" s="229"/>
      <c r="Z567" s="229"/>
      <c r="AA567" s="229"/>
      <c r="AB567" s="229"/>
    </row>
    <row r="568" ht="15.75" customHeight="1">
      <c r="A568" s="276"/>
      <c r="B568" s="101"/>
      <c r="C568" s="98"/>
      <c r="D568" s="100"/>
      <c r="E568" s="98"/>
      <c r="F568" s="99"/>
      <c r="G568" s="101"/>
      <c r="H568" s="278"/>
      <c r="I568" s="101"/>
      <c r="J568" s="101"/>
      <c r="K568" s="101"/>
      <c r="L568" s="102"/>
      <c r="M568" s="102"/>
      <c r="N568" s="101"/>
      <c r="O568" s="279"/>
      <c r="P568" s="279"/>
      <c r="Q568" s="229"/>
      <c r="R568" s="229"/>
      <c r="S568" s="229"/>
      <c r="T568" s="229"/>
      <c r="U568" s="229"/>
      <c r="V568" s="229"/>
      <c r="W568" s="229"/>
      <c r="X568" s="229"/>
      <c r="Y568" s="229"/>
      <c r="Z568" s="229"/>
      <c r="AA568" s="229"/>
      <c r="AB568" s="229"/>
    </row>
    <row r="569" ht="15.75" customHeight="1">
      <c r="A569" s="276"/>
      <c r="B569" s="101"/>
      <c r="C569" s="98"/>
      <c r="D569" s="100"/>
      <c r="E569" s="98"/>
      <c r="F569" s="99"/>
      <c r="G569" s="101"/>
      <c r="H569" s="278"/>
      <c r="I569" s="101"/>
      <c r="J569" s="101"/>
      <c r="K569" s="101"/>
      <c r="L569" s="102"/>
      <c r="M569" s="102"/>
      <c r="N569" s="101"/>
      <c r="O569" s="279"/>
      <c r="P569" s="279"/>
      <c r="Q569" s="229"/>
      <c r="R569" s="229"/>
      <c r="S569" s="229"/>
      <c r="T569" s="229"/>
      <c r="U569" s="229"/>
      <c r="V569" s="229"/>
      <c r="W569" s="229"/>
      <c r="X569" s="229"/>
      <c r="Y569" s="229"/>
      <c r="Z569" s="229"/>
      <c r="AA569" s="229"/>
      <c r="AB569" s="229"/>
    </row>
    <row r="570" ht="15.75" customHeight="1">
      <c r="A570" s="276"/>
      <c r="B570" s="101"/>
      <c r="C570" s="98"/>
      <c r="D570" s="100"/>
      <c r="E570" s="98"/>
      <c r="F570" s="99"/>
      <c r="G570" s="101"/>
      <c r="H570" s="278"/>
      <c r="I570" s="101"/>
      <c r="J570" s="101"/>
      <c r="K570" s="101"/>
      <c r="L570" s="102"/>
      <c r="M570" s="102"/>
      <c r="N570" s="101"/>
      <c r="O570" s="279"/>
      <c r="P570" s="279"/>
      <c r="Q570" s="229"/>
      <c r="R570" s="229"/>
      <c r="S570" s="229"/>
      <c r="T570" s="229"/>
      <c r="U570" s="229"/>
      <c r="V570" s="229"/>
      <c r="W570" s="229"/>
      <c r="X570" s="229"/>
      <c r="Y570" s="229"/>
      <c r="Z570" s="229"/>
      <c r="AA570" s="229"/>
      <c r="AB570" s="229"/>
    </row>
    <row r="571" ht="15.75" customHeight="1">
      <c r="A571" s="276"/>
      <c r="B571" s="101"/>
      <c r="C571" s="98"/>
      <c r="D571" s="100"/>
      <c r="E571" s="98"/>
      <c r="F571" s="99"/>
      <c r="G571" s="101"/>
      <c r="H571" s="278"/>
      <c r="I571" s="101"/>
      <c r="J571" s="101"/>
      <c r="K571" s="101"/>
      <c r="L571" s="102"/>
      <c r="M571" s="102"/>
      <c r="N571" s="101"/>
      <c r="O571" s="279"/>
      <c r="P571" s="279"/>
      <c r="Q571" s="229"/>
      <c r="R571" s="229"/>
      <c r="S571" s="229"/>
      <c r="T571" s="229"/>
      <c r="U571" s="229"/>
      <c r="V571" s="229"/>
      <c r="W571" s="229"/>
      <c r="X571" s="229"/>
      <c r="Y571" s="229"/>
      <c r="Z571" s="229"/>
      <c r="AA571" s="229"/>
      <c r="AB571" s="229"/>
    </row>
    <row r="572" ht="15.75" customHeight="1">
      <c r="A572" s="276"/>
      <c r="B572" s="101"/>
      <c r="C572" s="98"/>
      <c r="D572" s="100"/>
      <c r="E572" s="98"/>
      <c r="F572" s="99"/>
      <c r="G572" s="101"/>
      <c r="H572" s="278"/>
      <c r="I572" s="101"/>
      <c r="J572" s="101"/>
      <c r="K572" s="101"/>
      <c r="L572" s="102"/>
      <c r="M572" s="102"/>
      <c r="N572" s="101"/>
      <c r="O572" s="279"/>
      <c r="P572" s="279"/>
      <c r="Q572" s="229"/>
      <c r="R572" s="229"/>
      <c r="S572" s="229"/>
      <c r="T572" s="229"/>
      <c r="U572" s="229"/>
      <c r="V572" s="229"/>
      <c r="W572" s="229"/>
      <c r="X572" s="229"/>
      <c r="Y572" s="229"/>
      <c r="Z572" s="229"/>
      <c r="AA572" s="229"/>
      <c r="AB572" s="229"/>
    </row>
    <row r="573" ht="15.75" customHeight="1">
      <c r="A573" s="276"/>
      <c r="B573" s="101"/>
      <c r="C573" s="98"/>
      <c r="D573" s="100"/>
      <c r="E573" s="98"/>
      <c r="F573" s="99"/>
      <c r="G573" s="101"/>
      <c r="H573" s="278"/>
      <c r="I573" s="101"/>
      <c r="J573" s="101"/>
      <c r="K573" s="101"/>
      <c r="L573" s="102"/>
      <c r="M573" s="102"/>
      <c r="N573" s="101"/>
      <c r="O573" s="279"/>
      <c r="P573" s="279"/>
      <c r="Q573" s="229"/>
      <c r="R573" s="229"/>
      <c r="S573" s="229"/>
      <c r="T573" s="229"/>
      <c r="U573" s="229"/>
      <c r="V573" s="229"/>
      <c r="W573" s="229"/>
      <c r="X573" s="229"/>
      <c r="Y573" s="229"/>
      <c r="Z573" s="229"/>
      <c r="AA573" s="229"/>
      <c r="AB573" s="229"/>
    </row>
    <row r="574" ht="15.75" customHeight="1">
      <c r="A574" s="276"/>
      <c r="B574" s="101"/>
      <c r="C574" s="98"/>
      <c r="D574" s="100"/>
      <c r="E574" s="98"/>
      <c r="F574" s="99"/>
      <c r="G574" s="101"/>
      <c r="H574" s="278"/>
      <c r="I574" s="101"/>
      <c r="J574" s="101"/>
      <c r="K574" s="101"/>
      <c r="L574" s="102"/>
      <c r="M574" s="102"/>
      <c r="N574" s="101"/>
      <c r="O574" s="279"/>
      <c r="P574" s="279"/>
      <c r="Q574" s="229"/>
      <c r="R574" s="229"/>
      <c r="S574" s="229"/>
      <c r="T574" s="229"/>
      <c r="U574" s="229"/>
      <c r="V574" s="229"/>
      <c r="W574" s="229"/>
      <c r="X574" s="229"/>
      <c r="Y574" s="229"/>
      <c r="Z574" s="229"/>
      <c r="AA574" s="229"/>
      <c r="AB574" s="229"/>
    </row>
    <row r="575" ht="15.75" customHeight="1">
      <c r="A575" s="276"/>
      <c r="B575" s="101"/>
      <c r="C575" s="98"/>
      <c r="D575" s="100"/>
      <c r="E575" s="98"/>
      <c r="F575" s="99"/>
      <c r="G575" s="101"/>
      <c r="H575" s="278"/>
      <c r="I575" s="101"/>
      <c r="J575" s="101"/>
      <c r="K575" s="101"/>
      <c r="L575" s="102"/>
      <c r="M575" s="102"/>
      <c r="N575" s="101"/>
      <c r="O575" s="279"/>
      <c r="P575" s="279"/>
      <c r="Q575" s="229"/>
      <c r="R575" s="229"/>
      <c r="S575" s="229"/>
      <c r="T575" s="229"/>
      <c r="U575" s="229"/>
      <c r="V575" s="229"/>
      <c r="W575" s="229"/>
      <c r="X575" s="229"/>
      <c r="Y575" s="229"/>
      <c r="Z575" s="229"/>
      <c r="AA575" s="229"/>
      <c r="AB575" s="229"/>
    </row>
    <row r="576" ht="15.75" customHeight="1">
      <c r="A576" s="276"/>
      <c r="B576" s="101"/>
      <c r="C576" s="98"/>
      <c r="D576" s="100"/>
      <c r="E576" s="98"/>
      <c r="F576" s="99"/>
      <c r="G576" s="101"/>
      <c r="H576" s="278"/>
      <c r="I576" s="101"/>
      <c r="J576" s="101"/>
      <c r="K576" s="101"/>
      <c r="L576" s="102"/>
      <c r="M576" s="102"/>
      <c r="N576" s="101"/>
      <c r="O576" s="279"/>
      <c r="P576" s="279"/>
      <c r="Q576" s="229"/>
      <c r="R576" s="229"/>
      <c r="S576" s="229"/>
      <c r="T576" s="229"/>
      <c r="U576" s="229"/>
      <c r="V576" s="229"/>
      <c r="W576" s="229"/>
      <c r="X576" s="229"/>
      <c r="Y576" s="229"/>
      <c r="Z576" s="229"/>
      <c r="AA576" s="229"/>
      <c r="AB576" s="229"/>
    </row>
    <row r="577" ht="15.75" customHeight="1">
      <c r="A577" s="276"/>
      <c r="B577" s="101"/>
      <c r="C577" s="98"/>
      <c r="D577" s="100"/>
      <c r="E577" s="98"/>
      <c r="F577" s="99"/>
      <c r="G577" s="101"/>
      <c r="H577" s="278"/>
      <c r="I577" s="101"/>
      <c r="J577" s="101"/>
      <c r="K577" s="101"/>
      <c r="L577" s="102"/>
      <c r="M577" s="102"/>
      <c r="N577" s="101"/>
      <c r="O577" s="279"/>
      <c r="P577" s="279"/>
      <c r="Q577" s="229"/>
      <c r="R577" s="229"/>
      <c r="S577" s="229"/>
      <c r="T577" s="229"/>
      <c r="U577" s="229"/>
      <c r="V577" s="229"/>
      <c r="W577" s="229"/>
      <c r="X577" s="229"/>
      <c r="Y577" s="229"/>
      <c r="Z577" s="229"/>
      <c r="AA577" s="229"/>
      <c r="AB577" s="229"/>
    </row>
    <row r="578" ht="15.75" customHeight="1">
      <c r="A578" s="276"/>
      <c r="B578" s="101"/>
      <c r="C578" s="98"/>
      <c r="D578" s="100"/>
      <c r="E578" s="98"/>
      <c r="F578" s="99"/>
      <c r="G578" s="101"/>
      <c r="H578" s="278"/>
      <c r="I578" s="101"/>
      <c r="J578" s="101"/>
      <c r="K578" s="101"/>
      <c r="L578" s="102"/>
      <c r="M578" s="102"/>
      <c r="N578" s="101"/>
      <c r="O578" s="279"/>
      <c r="P578" s="279"/>
      <c r="Q578" s="229"/>
      <c r="R578" s="229"/>
      <c r="S578" s="229"/>
      <c r="T578" s="229"/>
      <c r="U578" s="229"/>
      <c r="V578" s="229"/>
      <c r="W578" s="229"/>
      <c r="X578" s="229"/>
      <c r="Y578" s="229"/>
      <c r="Z578" s="229"/>
      <c r="AA578" s="229"/>
      <c r="AB578" s="229"/>
    </row>
    <row r="579" ht="15.75" customHeight="1">
      <c r="A579" s="276"/>
      <c r="B579" s="101"/>
      <c r="C579" s="98"/>
      <c r="D579" s="100"/>
      <c r="E579" s="98"/>
      <c r="F579" s="99"/>
      <c r="G579" s="101"/>
      <c r="H579" s="278"/>
      <c r="I579" s="101"/>
      <c r="J579" s="101"/>
      <c r="K579" s="101"/>
      <c r="L579" s="102"/>
      <c r="M579" s="102"/>
      <c r="N579" s="101"/>
      <c r="O579" s="279"/>
      <c r="P579" s="279"/>
      <c r="Q579" s="229"/>
      <c r="R579" s="229"/>
      <c r="S579" s="229"/>
      <c r="T579" s="229"/>
      <c r="U579" s="229"/>
      <c r="V579" s="229"/>
      <c r="W579" s="229"/>
      <c r="X579" s="229"/>
      <c r="Y579" s="229"/>
      <c r="Z579" s="229"/>
      <c r="AA579" s="229"/>
      <c r="AB579" s="229"/>
    </row>
    <row r="580" ht="15.75" customHeight="1">
      <c r="A580" s="276"/>
      <c r="B580" s="101"/>
      <c r="C580" s="98"/>
      <c r="D580" s="100"/>
      <c r="E580" s="98"/>
      <c r="F580" s="99"/>
      <c r="G580" s="101"/>
      <c r="H580" s="278"/>
      <c r="I580" s="101"/>
      <c r="J580" s="101"/>
      <c r="K580" s="101"/>
      <c r="L580" s="102"/>
      <c r="M580" s="102"/>
      <c r="N580" s="101"/>
      <c r="O580" s="279"/>
      <c r="P580" s="279"/>
      <c r="Q580" s="229"/>
      <c r="R580" s="229"/>
      <c r="S580" s="229"/>
      <c r="T580" s="229"/>
      <c r="U580" s="229"/>
      <c r="V580" s="229"/>
      <c r="W580" s="229"/>
      <c r="X580" s="229"/>
      <c r="Y580" s="229"/>
      <c r="Z580" s="229"/>
      <c r="AA580" s="229"/>
      <c r="AB580" s="229"/>
    </row>
    <row r="581" ht="15.75" customHeight="1">
      <c r="A581" s="276"/>
      <c r="B581" s="101"/>
      <c r="C581" s="98"/>
      <c r="D581" s="100"/>
      <c r="E581" s="98"/>
      <c r="F581" s="99"/>
      <c r="G581" s="101"/>
      <c r="H581" s="278"/>
      <c r="I581" s="101"/>
      <c r="J581" s="101"/>
      <c r="K581" s="101"/>
      <c r="L581" s="102"/>
      <c r="M581" s="102"/>
      <c r="N581" s="101"/>
      <c r="O581" s="279"/>
      <c r="P581" s="279"/>
      <c r="Q581" s="229"/>
      <c r="R581" s="229"/>
      <c r="S581" s="229"/>
      <c r="T581" s="229"/>
      <c r="U581" s="229"/>
      <c r="V581" s="229"/>
      <c r="W581" s="229"/>
      <c r="X581" s="229"/>
      <c r="Y581" s="229"/>
      <c r="Z581" s="229"/>
      <c r="AA581" s="229"/>
      <c r="AB581" s="229"/>
    </row>
    <row r="582" ht="15.75" customHeight="1">
      <c r="A582" s="276"/>
      <c r="B582" s="101"/>
      <c r="C582" s="98"/>
      <c r="D582" s="100"/>
      <c r="E582" s="98"/>
      <c r="F582" s="99"/>
      <c r="G582" s="101"/>
      <c r="H582" s="278"/>
      <c r="I582" s="101"/>
      <c r="J582" s="101"/>
      <c r="K582" s="101"/>
      <c r="L582" s="102"/>
      <c r="M582" s="102"/>
      <c r="N582" s="101"/>
      <c r="O582" s="279"/>
      <c r="P582" s="279"/>
      <c r="Q582" s="229"/>
      <c r="R582" s="229"/>
      <c r="S582" s="229"/>
      <c r="T582" s="229"/>
      <c r="U582" s="229"/>
      <c r="V582" s="229"/>
      <c r="W582" s="229"/>
      <c r="X582" s="229"/>
      <c r="Y582" s="229"/>
      <c r="Z582" s="229"/>
      <c r="AA582" s="229"/>
      <c r="AB582" s="229"/>
    </row>
    <row r="583" ht="15.75" customHeight="1">
      <c r="A583" s="276"/>
      <c r="B583" s="101"/>
      <c r="C583" s="98"/>
      <c r="D583" s="100"/>
      <c r="E583" s="98"/>
      <c r="F583" s="99"/>
      <c r="G583" s="101"/>
      <c r="H583" s="278"/>
      <c r="I583" s="101"/>
      <c r="J583" s="101"/>
      <c r="K583" s="101"/>
      <c r="L583" s="102"/>
      <c r="M583" s="102"/>
      <c r="N583" s="101"/>
      <c r="O583" s="279"/>
      <c r="P583" s="279"/>
      <c r="Q583" s="229"/>
      <c r="R583" s="229"/>
      <c r="S583" s="229"/>
      <c r="T583" s="229"/>
      <c r="U583" s="229"/>
      <c r="V583" s="229"/>
      <c r="W583" s="229"/>
      <c r="X583" s="229"/>
      <c r="Y583" s="229"/>
      <c r="Z583" s="229"/>
      <c r="AA583" s="229"/>
      <c r="AB583" s="229"/>
    </row>
    <row r="584" ht="15.75" customHeight="1">
      <c r="A584" s="276"/>
      <c r="B584" s="101"/>
      <c r="C584" s="98"/>
      <c r="D584" s="100"/>
      <c r="E584" s="98"/>
      <c r="F584" s="99"/>
      <c r="G584" s="101"/>
      <c r="H584" s="278"/>
      <c r="I584" s="101"/>
      <c r="J584" s="101"/>
      <c r="K584" s="101"/>
      <c r="L584" s="102"/>
      <c r="M584" s="102"/>
      <c r="N584" s="101"/>
      <c r="O584" s="279"/>
      <c r="P584" s="279"/>
      <c r="Q584" s="229"/>
      <c r="R584" s="229"/>
      <c r="S584" s="229"/>
      <c r="T584" s="229"/>
      <c r="U584" s="229"/>
      <c r="V584" s="229"/>
      <c r="W584" s="229"/>
      <c r="X584" s="229"/>
      <c r="Y584" s="229"/>
      <c r="Z584" s="229"/>
      <c r="AA584" s="229"/>
      <c r="AB584" s="229"/>
    </row>
    <row r="585" ht="15.75" customHeight="1">
      <c r="A585" s="276"/>
      <c r="B585" s="101"/>
      <c r="C585" s="98"/>
      <c r="D585" s="100"/>
      <c r="E585" s="98"/>
      <c r="F585" s="99"/>
      <c r="G585" s="101"/>
      <c r="H585" s="278"/>
      <c r="I585" s="101"/>
      <c r="J585" s="101"/>
      <c r="K585" s="101"/>
      <c r="L585" s="102"/>
      <c r="M585" s="102"/>
      <c r="N585" s="101"/>
      <c r="O585" s="279"/>
      <c r="P585" s="279"/>
      <c r="Q585" s="229"/>
      <c r="R585" s="229"/>
      <c r="S585" s="229"/>
      <c r="T585" s="229"/>
      <c r="U585" s="229"/>
      <c r="V585" s="229"/>
      <c r="W585" s="229"/>
      <c r="X585" s="229"/>
      <c r="Y585" s="229"/>
      <c r="Z585" s="229"/>
      <c r="AA585" s="229"/>
      <c r="AB585" s="229"/>
    </row>
    <row r="586" ht="15.75" customHeight="1">
      <c r="A586" s="276"/>
      <c r="B586" s="101"/>
      <c r="C586" s="98"/>
      <c r="D586" s="100"/>
      <c r="E586" s="98"/>
      <c r="F586" s="99"/>
      <c r="G586" s="101"/>
      <c r="H586" s="278"/>
      <c r="I586" s="101"/>
      <c r="J586" s="101"/>
      <c r="K586" s="101"/>
      <c r="L586" s="102"/>
      <c r="M586" s="102"/>
      <c r="N586" s="101"/>
      <c r="O586" s="279"/>
      <c r="P586" s="279"/>
      <c r="Q586" s="229"/>
      <c r="R586" s="229"/>
      <c r="S586" s="229"/>
      <c r="T586" s="229"/>
      <c r="U586" s="229"/>
      <c r="V586" s="229"/>
      <c r="W586" s="229"/>
      <c r="X586" s="229"/>
      <c r="Y586" s="229"/>
      <c r="Z586" s="229"/>
      <c r="AA586" s="229"/>
      <c r="AB586" s="229"/>
    </row>
    <row r="587" ht="15.75" customHeight="1">
      <c r="A587" s="276"/>
      <c r="B587" s="101"/>
      <c r="C587" s="98"/>
      <c r="D587" s="100"/>
      <c r="E587" s="98"/>
      <c r="F587" s="99"/>
      <c r="G587" s="101"/>
      <c r="H587" s="278"/>
      <c r="I587" s="101"/>
      <c r="J587" s="101"/>
      <c r="K587" s="101"/>
      <c r="L587" s="102"/>
      <c r="M587" s="102"/>
      <c r="N587" s="101"/>
      <c r="O587" s="279"/>
      <c r="P587" s="279"/>
      <c r="Q587" s="229"/>
      <c r="R587" s="229"/>
      <c r="S587" s="229"/>
      <c r="T587" s="229"/>
      <c r="U587" s="229"/>
      <c r="V587" s="229"/>
      <c r="W587" s="229"/>
      <c r="X587" s="229"/>
      <c r="Y587" s="229"/>
      <c r="Z587" s="229"/>
      <c r="AA587" s="229"/>
      <c r="AB587" s="229"/>
    </row>
    <row r="588" ht="15.75" customHeight="1">
      <c r="A588" s="276"/>
      <c r="B588" s="101"/>
      <c r="C588" s="98"/>
      <c r="D588" s="100"/>
      <c r="E588" s="98"/>
      <c r="F588" s="99"/>
      <c r="G588" s="101"/>
      <c r="H588" s="278"/>
      <c r="I588" s="101"/>
      <c r="J588" s="101"/>
      <c r="K588" s="101"/>
      <c r="L588" s="102"/>
      <c r="M588" s="102"/>
      <c r="N588" s="101"/>
      <c r="O588" s="279"/>
      <c r="P588" s="279"/>
      <c r="Q588" s="229"/>
      <c r="R588" s="229"/>
      <c r="S588" s="229"/>
      <c r="T588" s="229"/>
      <c r="U588" s="229"/>
      <c r="V588" s="229"/>
      <c r="W588" s="229"/>
      <c r="X588" s="229"/>
      <c r="Y588" s="229"/>
      <c r="Z588" s="229"/>
      <c r="AA588" s="229"/>
      <c r="AB588" s="229"/>
    </row>
    <row r="589" ht="15.75" customHeight="1">
      <c r="A589" s="276"/>
      <c r="B589" s="101"/>
      <c r="C589" s="98"/>
      <c r="D589" s="100"/>
      <c r="E589" s="98"/>
      <c r="F589" s="99"/>
      <c r="G589" s="101"/>
      <c r="H589" s="278"/>
      <c r="I589" s="101"/>
      <c r="J589" s="101"/>
      <c r="K589" s="101"/>
      <c r="L589" s="102"/>
      <c r="M589" s="102"/>
      <c r="N589" s="101"/>
      <c r="O589" s="279"/>
      <c r="P589" s="279"/>
      <c r="Q589" s="229"/>
      <c r="R589" s="229"/>
      <c r="S589" s="229"/>
      <c r="T589" s="229"/>
      <c r="U589" s="229"/>
      <c r="V589" s="229"/>
      <c r="W589" s="229"/>
      <c r="X589" s="229"/>
      <c r="Y589" s="229"/>
      <c r="Z589" s="229"/>
      <c r="AA589" s="229"/>
      <c r="AB589" s="229"/>
    </row>
    <row r="590" ht="15.75" customHeight="1">
      <c r="A590" s="276"/>
      <c r="B590" s="101"/>
      <c r="C590" s="98"/>
      <c r="D590" s="100"/>
      <c r="E590" s="98"/>
      <c r="F590" s="99"/>
      <c r="G590" s="101"/>
      <c r="H590" s="278"/>
      <c r="I590" s="101"/>
      <c r="J590" s="101"/>
      <c r="K590" s="101"/>
      <c r="L590" s="102"/>
      <c r="M590" s="102"/>
      <c r="N590" s="101"/>
      <c r="O590" s="279"/>
      <c r="P590" s="279"/>
      <c r="Q590" s="229"/>
      <c r="R590" s="229"/>
      <c r="S590" s="229"/>
      <c r="T590" s="229"/>
      <c r="U590" s="229"/>
      <c r="V590" s="229"/>
      <c r="W590" s="229"/>
      <c r="X590" s="229"/>
      <c r="Y590" s="229"/>
      <c r="Z590" s="229"/>
      <c r="AA590" s="229"/>
      <c r="AB590" s="229"/>
    </row>
    <row r="591" ht="15.75" customHeight="1">
      <c r="A591" s="276"/>
      <c r="B591" s="101"/>
      <c r="C591" s="98"/>
      <c r="D591" s="100"/>
      <c r="E591" s="98"/>
      <c r="F591" s="99"/>
      <c r="G591" s="101"/>
      <c r="H591" s="278"/>
      <c r="I591" s="101"/>
      <c r="J591" s="101"/>
      <c r="K591" s="101"/>
      <c r="L591" s="102"/>
      <c r="M591" s="102"/>
      <c r="N591" s="101"/>
      <c r="O591" s="279"/>
      <c r="P591" s="279"/>
      <c r="Q591" s="229"/>
      <c r="R591" s="229"/>
      <c r="S591" s="229"/>
      <c r="T591" s="229"/>
      <c r="U591" s="229"/>
      <c r="V591" s="229"/>
      <c r="W591" s="229"/>
      <c r="X591" s="229"/>
      <c r="Y591" s="229"/>
      <c r="Z591" s="229"/>
      <c r="AA591" s="229"/>
      <c r="AB591" s="229"/>
    </row>
    <row r="592" ht="15.75" customHeight="1">
      <c r="A592" s="276"/>
      <c r="B592" s="101"/>
      <c r="C592" s="98"/>
      <c r="D592" s="100"/>
      <c r="E592" s="98"/>
      <c r="F592" s="99"/>
      <c r="G592" s="101"/>
      <c r="H592" s="278"/>
      <c r="I592" s="101"/>
      <c r="J592" s="101"/>
      <c r="K592" s="101"/>
      <c r="L592" s="102"/>
      <c r="M592" s="102"/>
      <c r="N592" s="101"/>
      <c r="O592" s="279"/>
      <c r="P592" s="279"/>
      <c r="Q592" s="229"/>
      <c r="R592" s="229"/>
      <c r="S592" s="229"/>
      <c r="T592" s="229"/>
      <c r="U592" s="229"/>
      <c r="V592" s="229"/>
      <c r="W592" s="229"/>
      <c r="X592" s="229"/>
      <c r="Y592" s="229"/>
      <c r="Z592" s="229"/>
      <c r="AA592" s="229"/>
      <c r="AB592" s="229"/>
    </row>
    <row r="593" ht="15.75" customHeight="1">
      <c r="A593" s="276"/>
      <c r="B593" s="101"/>
      <c r="C593" s="98"/>
      <c r="D593" s="100"/>
      <c r="E593" s="98"/>
      <c r="F593" s="99"/>
      <c r="G593" s="101"/>
      <c r="H593" s="278"/>
      <c r="I593" s="101"/>
      <c r="J593" s="101"/>
      <c r="K593" s="101"/>
      <c r="L593" s="102"/>
      <c r="M593" s="102"/>
      <c r="N593" s="101"/>
      <c r="O593" s="279"/>
      <c r="P593" s="279"/>
      <c r="Q593" s="229"/>
      <c r="R593" s="229"/>
      <c r="S593" s="229"/>
      <c r="T593" s="229"/>
      <c r="U593" s="229"/>
      <c r="V593" s="229"/>
      <c r="W593" s="229"/>
      <c r="X593" s="229"/>
      <c r="Y593" s="229"/>
      <c r="Z593" s="229"/>
      <c r="AA593" s="229"/>
      <c r="AB593" s="229"/>
    </row>
    <row r="594" ht="15.75" customHeight="1">
      <c r="A594" s="276"/>
      <c r="B594" s="101"/>
      <c r="C594" s="98"/>
      <c r="D594" s="100"/>
      <c r="E594" s="98"/>
      <c r="F594" s="99"/>
      <c r="G594" s="101"/>
      <c r="H594" s="278"/>
      <c r="I594" s="101"/>
      <c r="J594" s="101"/>
      <c r="K594" s="101"/>
      <c r="L594" s="102"/>
      <c r="M594" s="102"/>
      <c r="N594" s="101"/>
      <c r="O594" s="279"/>
      <c r="P594" s="279"/>
      <c r="Q594" s="229"/>
      <c r="R594" s="229"/>
      <c r="S594" s="229"/>
      <c r="T594" s="229"/>
      <c r="U594" s="229"/>
      <c r="V594" s="229"/>
      <c r="W594" s="229"/>
      <c r="X594" s="229"/>
      <c r="Y594" s="229"/>
      <c r="Z594" s="229"/>
      <c r="AA594" s="229"/>
      <c r="AB594" s="229"/>
    </row>
    <row r="595" ht="15.75" customHeight="1">
      <c r="A595" s="276"/>
      <c r="B595" s="101"/>
      <c r="C595" s="98"/>
      <c r="D595" s="100"/>
      <c r="E595" s="98"/>
      <c r="F595" s="99"/>
      <c r="G595" s="101"/>
      <c r="H595" s="278"/>
      <c r="I595" s="101"/>
      <c r="J595" s="101"/>
      <c r="K595" s="101"/>
      <c r="L595" s="102"/>
      <c r="M595" s="102"/>
      <c r="N595" s="101"/>
      <c r="O595" s="279"/>
      <c r="P595" s="279"/>
      <c r="Q595" s="229"/>
      <c r="R595" s="229"/>
      <c r="S595" s="229"/>
      <c r="T595" s="229"/>
      <c r="U595" s="229"/>
      <c r="V595" s="229"/>
      <c r="W595" s="229"/>
      <c r="X595" s="229"/>
      <c r="Y595" s="229"/>
      <c r="Z595" s="229"/>
      <c r="AA595" s="229"/>
      <c r="AB595" s="229"/>
    </row>
    <row r="596" ht="15.75" customHeight="1">
      <c r="A596" s="276"/>
      <c r="B596" s="101"/>
      <c r="C596" s="98"/>
      <c r="D596" s="100"/>
      <c r="E596" s="98"/>
      <c r="F596" s="99"/>
      <c r="G596" s="101"/>
      <c r="H596" s="278"/>
      <c r="I596" s="101"/>
      <c r="J596" s="101"/>
      <c r="K596" s="101"/>
      <c r="L596" s="102"/>
      <c r="M596" s="102"/>
      <c r="N596" s="101"/>
      <c r="O596" s="279"/>
      <c r="P596" s="279"/>
      <c r="Q596" s="229"/>
      <c r="R596" s="229"/>
      <c r="S596" s="229"/>
      <c r="T596" s="229"/>
      <c r="U596" s="229"/>
      <c r="V596" s="229"/>
      <c r="W596" s="229"/>
      <c r="X596" s="229"/>
      <c r="Y596" s="229"/>
      <c r="Z596" s="229"/>
      <c r="AA596" s="229"/>
      <c r="AB596" s="229"/>
    </row>
    <row r="597" ht="15.75" customHeight="1">
      <c r="A597" s="276"/>
      <c r="B597" s="101"/>
      <c r="C597" s="98"/>
      <c r="D597" s="100"/>
      <c r="E597" s="98"/>
      <c r="F597" s="99"/>
      <c r="G597" s="101"/>
      <c r="H597" s="278"/>
      <c r="I597" s="101"/>
      <c r="J597" s="101"/>
      <c r="K597" s="101"/>
      <c r="L597" s="102"/>
      <c r="M597" s="102"/>
      <c r="N597" s="101"/>
      <c r="O597" s="279"/>
      <c r="P597" s="279"/>
      <c r="Q597" s="229"/>
      <c r="R597" s="229"/>
      <c r="S597" s="229"/>
      <c r="T597" s="229"/>
      <c r="U597" s="229"/>
      <c r="V597" s="229"/>
      <c r="W597" s="229"/>
      <c r="X597" s="229"/>
      <c r="Y597" s="229"/>
      <c r="Z597" s="229"/>
      <c r="AA597" s="229"/>
      <c r="AB597" s="229"/>
    </row>
    <row r="598" ht="15.75" customHeight="1">
      <c r="A598" s="276"/>
      <c r="B598" s="101"/>
      <c r="C598" s="98"/>
      <c r="D598" s="100"/>
      <c r="E598" s="98"/>
      <c r="F598" s="99"/>
      <c r="G598" s="101"/>
      <c r="H598" s="278"/>
      <c r="I598" s="101"/>
      <c r="J598" s="101"/>
      <c r="K598" s="101"/>
      <c r="L598" s="102"/>
      <c r="M598" s="102"/>
      <c r="N598" s="101"/>
      <c r="O598" s="279"/>
      <c r="P598" s="279"/>
      <c r="Q598" s="229"/>
      <c r="R598" s="229"/>
      <c r="S598" s="229"/>
      <c r="T598" s="229"/>
      <c r="U598" s="229"/>
      <c r="V598" s="229"/>
      <c r="W598" s="229"/>
      <c r="X598" s="229"/>
      <c r="Y598" s="229"/>
      <c r="Z598" s="229"/>
      <c r="AA598" s="229"/>
      <c r="AB598" s="229"/>
    </row>
    <row r="599" ht="15.75" customHeight="1">
      <c r="A599" s="276"/>
      <c r="B599" s="101"/>
      <c r="C599" s="98"/>
      <c r="D599" s="100"/>
      <c r="E599" s="98"/>
      <c r="F599" s="99"/>
      <c r="G599" s="101"/>
      <c r="H599" s="278"/>
      <c r="I599" s="101"/>
      <c r="J599" s="101"/>
      <c r="K599" s="101"/>
      <c r="L599" s="102"/>
      <c r="M599" s="102"/>
      <c r="N599" s="101"/>
      <c r="O599" s="279"/>
      <c r="P599" s="279"/>
      <c r="Q599" s="229"/>
      <c r="R599" s="229"/>
      <c r="S599" s="229"/>
      <c r="T599" s="229"/>
      <c r="U599" s="229"/>
      <c r="V599" s="229"/>
      <c r="W599" s="229"/>
      <c r="X599" s="229"/>
      <c r="Y599" s="229"/>
      <c r="Z599" s="229"/>
      <c r="AA599" s="229"/>
      <c r="AB599" s="229"/>
    </row>
    <row r="600" ht="15.75" customHeight="1">
      <c r="A600" s="276"/>
      <c r="B600" s="101"/>
      <c r="C600" s="98"/>
      <c r="D600" s="100"/>
      <c r="E600" s="98"/>
      <c r="F600" s="99"/>
      <c r="G600" s="101"/>
      <c r="H600" s="278"/>
      <c r="I600" s="101"/>
      <c r="J600" s="101"/>
      <c r="K600" s="101"/>
      <c r="L600" s="102"/>
      <c r="M600" s="102"/>
      <c r="N600" s="101"/>
      <c r="O600" s="279"/>
      <c r="P600" s="279"/>
      <c r="Q600" s="229"/>
      <c r="R600" s="229"/>
      <c r="S600" s="229"/>
      <c r="T600" s="229"/>
      <c r="U600" s="229"/>
      <c r="V600" s="229"/>
      <c r="W600" s="229"/>
      <c r="X600" s="229"/>
      <c r="Y600" s="229"/>
      <c r="Z600" s="229"/>
      <c r="AA600" s="229"/>
      <c r="AB600" s="229"/>
    </row>
    <row r="601" ht="15.75" customHeight="1">
      <c r="A601" s="276"/>
      <c r="B601" s="101"/>
      <c r="C601" s="98"/>
      <c r="D601" s="100"/>
      <c r="E601" s="98"/>
      <c r="F601" s="99"/>
      <c r="G601" s="101"/>
      <c r="H601" s="278"/>
      <c r="I601" s="101"/>
      <c r="J601" s="101"/>
      <c r="K601" s="101"/>
      <c r="L601" s="102"/>
      <c r="M601" s="102"/>
      <c r="N601" s="101"/>
      <c r="O601" s="279"/>
      <c r="P601" s="279"/>
      <c r="Q601" s="229"/>
      <c r="R601" s="229"/>
      <c r="S601" s="229"/>
      <c r="T601" s="229"/>
      <c r="U601" s="229"/>
      <c r="V601" s="229"/>
      <c r="W601" s="229"/>
      <c r="X601" s="229"/>
      <c r="Y601" s="229"/>
      <c r="Z601" s="229"/>
      <c r="AA601" s="229"/>
      <c r="AB601" s="229"/>
    </row>
    <row r="602" ht="15.75" customHeight="1">
      <c r="A602" s="276"/>
      <c r="B602" s="101"/>
      <c r="C602" s="98"/>
      <c r="D602" s="100"/>
      <c r="E602" s="98"/>
      <c r="F602" s="99"/>
      <c r="G602" s="101"/>
      <c r="H602" s="278"/>
      <c r="I602" s="101"/>
      <c r="J602" s="101"/>
      <c r="K602" s="101"/>
      <c r="L602" s="102"/>
      <c r="M602" s="102"/>
      <c r="N602" s="101"/>
      <c r="O602" s="279"/>
      <c r="P602" s="279"/>
      <c r="Q602" s="229"/>
      <c r="R602" s="229"/>
      <c r="S602" s="229"/>
      <c r="T602" s="229"/>
      <c r="U602" s="229"/>
      <c r="V602" s="229"/>
      <c r="W602" s="229"/>
      <c r="X602" s="229"/>
      <c r="Y602" s="229"/>
      <c r="Z602" s="229"/>
      <c r="AA602" s="229"/>
      <c r="AB602" s="229"/>
    </row>
    <row r="603" ht="15.75" customHeight="1">
      <c r="A603" s="276"/>
      <c r="B603" s="101"/>
      <c r="C603" s="98"/>
      <c r="D603" s="100"/>
      <c r="E603" s="98"/>
      <c r="F603" s="99"/>
      <c r="G603" s="101"/>
      <c r="H603" s="278"/>
      <c r="I603" s="101"/>
      <c r="J603" s="101"/>
      <c r="K603" s="101"/>
      <c r="L603" s="102"/>
      <c r="M603" s="102"/>
      <c r="N603" s="101"/>
      <c r="O603" s="279"/>
      <c r="P603" s="279"/>
      <c r="Q603" s="229"/>
      <c r="R603" s="229"/>
      <c r="S603" s="229"/>
      <c r="T603" s="229"/>
      <c r="U603" s="229"/>
      <c r="V603" s="229"/>
      <c r="W603" s="229"/>
      <c r="X603" s="229"/>
      <c r="Y603" s="229"/>
      <c r="Z603" s="229"/>
      <c r="AA603" s="229"/>
      <c r="AB603" s="229"/>
    </row>
    <row r="604" ht="15.75" customHeight="1">
      <c r="A604" s="276"/>
      <c r="B604" s="101"/>
      <c r="C604" s="98"/>
      <c r="D604" s="100"/>
      <c r="E604" s="98"/>
      <c r="F604" s="99"/>
      <c r="G604" s="101"/>
      <c r="H604" s="278"/>
      <c r="I604" s="101"/>
      <c r="J604" s="101"/>
      <c r="K604" s="101"/>
      <c r="L604" s="102"/>
      <c r="M604" s="102"/>
      <c r="N604" s="101"/>
      <c r="O604" s="279"/>
      <c r="P604" s="279"/>
      <c r="Q604" s="229"/>
      <c r="R604" s="229"/>
      <c r="S604" s="229"/>
      <c r="T604" s="229"/>
      <c r="U604" s="229"/>
      <c r="V604" s="229"/>
      <c r="W604" s="229"/>
      <c r="X604" s="229"/>
      <c r="Y604" s="229"/>
      <c r="Z604" s="229"/>
      <c r="AA604" s="229"/>
      <c r="AB604" s="229"/>
    </row>
    <row r="605" ht="15.75" customHeight="1">
      <c r="A605" s="276"/>
      <c r="B605" s="101"/>
      <c r="C605" s="98"/>
      <c r="D605" s="100"/>
      <c r="E605" s="98"/>
      <c r="F605" s="99"/>
      <c r="G605" s="101"/>
      <c r="H605" s="278"/>
      <c r="I605" s="101"/>
      <c r="J605" s="101"/>
      <c r="K605" s="101"/>
      <c r="L605" s="102"/>
      <c r="M605" s="102"/>
      <c r="N605" s="101"/>
      <c r="O605" s="279"/>
      <c r="P605" s="279"/>
      <c r="Q605" s="229"/>
      <c r="R605" s="229"/>
      <c r="S605" s="229"/>
      <c r="T605" s="229"/>
      <c r="U605" s="229"/>
      <c r="V605" s="229"/>
      <c r="W605" s="229"/>
      <c r="X605" s="229"/>
      <c r="Y605" s="229"/>
      <c r="Z605" s="229"/>
      <c r="AA605" s="229"/>
      <c r="AB605" s="229"/>
    </row>
    <row r="606" ht="15.75" customHeight="1">
      <c r="A606" s="276"/>
      <c r="B606" s="101"/>
      <c r="C606" s="98"/>
      <c r="D606" s="100"/>
      <c r="E606" s="98"/>
      <c r="F606" s="99"/>
      <c r="G606" s="101"/>
      <c r="H606" s="278"/>
      <c r="I606" s="101"/>
      <c r="J606" s="101"/>
      <c r="K606" s="101"/>
      <c r="L606" s="102"/>
      <c r="M606" s="102"/>
      <c r="N606" s="101"/>
      <c r="O606" s="279"/>
      <c r="P606" s="279"/>
      <c r="Q606" s="229"/>
      <c r="R606" s="229"/>
      <c r="S606" s="229"/>
      <c r="T606" s="229"/>
      <c r="U606" s="229"/>
      <c r="V606" s="229"/>
      <c r="W606" s="229"/>
      <c r="X606" s="229"/>
      <c r="Y606" s="229"/>
      <c r="Z606" s="229"/>
      <c r="AA606" s="229"/>
      <c r="AB606" s="229"/>
    </row>
    <row r="607" ht="15.75" customHeight="1">
      <c r="A607" s="276"/>
      <c r="B607" s="101"/>
      <c r="C607" s="98"/>
      <c r="D607" s="100"/>
      <c r="E607" s="98"/>
      <c r="F607" s="99"/>
      <c r="G607" s="101"/>
      <c r="H607" s="278"/>
      <c r="I607" s="101"/>
      <c r="J607" s="101"/>
      <c r="K607" s="101"/>
      <c r="L607" s="102"/>
      <c r="M607" s="102"/>
      <c r="N607" s="101"/>
      <c r="O607" s="279"/>
      <c r="P607" s="279"/>
      <c r="Q607" s="229"/>
      <c r="R607" s="229"/>
      <c r="S607" s="229"/>
      <c r="T607" s="229"/>
      <c r="U607" s="229"/>
      <c r="V607" s="229"/>
      <c r="W607" s="229"/>
      <c r="X607" s="229"/>
      <c r="Y607" s="229"/>
      <c r="Z607" s="229"/>
      <c r="AA607" s="229"/>
      <c r="AB607" s="229"/>
    </row>
    <row r="608" ht="15.75" customHeight="1">
      <c r="A608" s="276"/>
      <c r="B608" s="101"/>
      <c r="C608" s="98"/>
      <c r="D608" s="100"/>
      <c r="E608" s="98"/>
      <c r="F608" s="99"/>
      <c r="G608" s="101"/>
      <c r="H608" s="278"/>
      <c r="I608" s="101"/>
      <c r="J608" s="101"/>
      <c r="K608" s="101"/>
      <c r="L608" s="102"/>
      <c r="M608" s="102"/>
      <c r="N608" s="101"/>
      <c r="O608" s="279"/>
      <c r="P608" s="279"/>
      <c r="Q608" s="229"/>
      <c r="R608" s="229"/>
      <c r="S608" s="229"/>
      <c r="T608" s="229"/>
      <c r="U608" s="229"/>
      <c r="V608" s="229"/>
      <c r="W608" s="229"/>
      <c r="X608" s="229"/>
      <c r="Y608" s="229"/>
      <c r="Z608" s="229"/>
      <c r="AA608" s="229"/>
      <c r="AB608" s="229"/>
    </row>
    <row r="609" ht="15.75" customHeight="1">
      <c r="A609" s="276"/>
      <c r="B609" s="101"/>
      <c r="C609" s="98"/>
      <c r="D609" s="100"/>
      <c r="E609" s="98"/>
      <c r="F609" s="99"/>
      <c r="G609" s="101"/>
      <c r="H609" s="278"/>
      <c r="I609" s="101"/>
      <c r="J609" s="101"/>
      <c r="K609" s="101"/>
      <c r="L609" s="102"/>
      <c r="M609" s="102"/>
      <c r="N609" s="101"/>
      <c r="O609" s="279"/>
      <c r="P609" s="279"/>
      <c r="Q609" s="229"/>
      <c r="R609" s="229"/>
      <c r="S609" s="229"/>
      <c r="T609" s="229"/>
      <c r="U609" s="229"/>
      <c r="V609" s="229"/>
      <c r="W609" s="229"/>
      <c r="X609" s="229"/>
      <c r="Y609" s="229"/>
      <c r="Z609" s="229"/>
      <c r="AA609" s="229"/>
      <c r="AB609" s="229"/>
    </row>
    <row r="610" ht="15.75" customHeight="1">
      <c r="A610" s="276"/>
      <c r="B610" s="101"/>
      <c r="C610" s="98"/>
      <c r="D610" s="100"/>
      <c r="E610" s="98"/>
      <c r="F610" s="99"/>
      <c r="G610" s="101"/>
      <c r="H610" s="278"/>
      <c r="I610" s="101"/>
      <c r="J610" s="101"/>
      <c r="K610" s="101"/>
      <c r="L610" s="102"/>
      <c r="M610" s="102"/>
      <c r="N610" s="101"/>
      <c r="O610" s="279"/>
      <c r="P610" s="279"/>
      <c r="Q610" s="229"/>
      <c r="R610" s="229"/>
      <c r="S610" s="229"/>
      <c r="T610" s="229"/>
      <c r="U610" s="229"/>
      <c r="V610" s="229"/>
      <c r="W610" s="229"/>
      <c r="X610" s="229"/>
      <c r="Y610" s="229"/>
      <c r="Z610" s="229"/>
      <c r="AA610" s="229"/>
      <c r="AB610" s="229"/>
    </row>
    <row r="611" ht="15.75" customHeight="1">
      <c r="A611" s="276"/>
      <c r="B611" s="101"/>
      <c r="C611" s="98"/>
      <c r="D611" s="100"/>
      <c r="E611" s="98"/>
      <c r="F611" s="99"/>
      <c r="G611" s="101"/>
      <c r="H611" s="278"/>
      <c r="I611" s="101"/>
      <c r="J611" s="101"/>
      <c r="K611" s="101"/>
      <c r="L611" s="102"/>
      <c r="M611" s="102"/>
      <c r="N611" s="101"/>
      <c r="O611" s="279"/>
      <c r="P611" s="279"/>
      <c r="Q611" s="229"/>
      <c r="R611" s="229"/>
      <c r="S611" s="229"/>
      <c r="T611" s="229"/>
      <c r="U611" s="229"/>
      <c r="V611" s="229"/>
      <c r="W611" s="229"/>
      <c r="X611" s="229"/>
      <c r="Y611" s="229"/>
      <c r="Z611" s="229"/>
      <c r="AA611" s="229"/>
      <c r="AB611" s="229"/>
    </row>
    <row r="612" ht="15.75" customHeight="1">
      <c r="A612" s="276"/>
      <c r="B612" s="101"/>
      <c r="C612" s="98"/>
      <c r="D612" s="100"/>
      <c r="E612" s="98"/>
      <c r="F612" s="99"/>
      <c r="G612" s="101"/>
      <c r="H612" s="278"/>
      <c r="I612" s="101"/>
      <c r="J612" s="101"/>
      <c r="K612" s="101"/>
      <c r="L612" s="102"/>
      <c r="M612" s="102"/>
      <c r="N612" s="101"/>
      <c r="O612" s="279"/>
      <c r="P612" s="279"/>
      <c r="Q612" s="229"/>
      <c r="R612" s="229"/>
      <c r="S612" s="229"/>
      <c r="T612" s="229"/>
      <c r="U612" s="229"/>
      <c r="V612" s="229"/>
      <c r="W612" s="229"/>
      <c r="X612" s="229"/>
      <c r="Y612" s="229"/>
      <c r="Z612" s="229"/>
      <c r="AA612" s="229"/>
      <c r="AB612" s="229"/>
    </row>
    <row r="613" ht="15.75" customHeight="1">
      <c r="A613" s="276"/>
      <c r="B613" s="101"/>
      <c r="C613" s="98"/>
      <c r="D613" s="100"/>
      <c r="E613" s="98"/>
      <c r="F613" s="99"/>
      <c r="G613" s="101"/>
      <c r="H613" s="278"/>
      <c r="I613" s="101"/>
      <c r="J613" s="101"/>
      <c r="K613" s="101"/>
      <c r="L613" s="102"/>
      <c r="M613" s="102"/>
      <c r="N613" s="101"/>
      <c r="O613" s="279"/>
      <c r="P613" s="279"/>
      <c r="Q613" s="229"/>
      <c r="R613" s="229"/>
      <c r="S613" s="229"/>
      <c r="T613" s="229"/>
      <c r="U613" s="229"/>
      <c r="V613" s="229"/>
      <c r="W613" s="229"/>
      <c r="X613" s="229"/>
      <c r="Y613" s="229"/>
      <c r="Z613" s="229"/>
      <c r="AA613" s="229"/>
      <c r="AB613" s="229"/>
    </row>
    <row r="614" ht="15.75" customHeight="1">
      <c r="A614" s="276"/>
      <c r="B614" s="101"/>
      <c r="C614" s="98"/>
      <c r="D614" s="100"/>
      <c r="E614" s="98"/>
      <c r="F614" s="99"/>
      <c r="G614" s="101"/>
      <c r="H614" s="278"/>
      <c r="I614" s="101"/>
      <c r="J614" s="101"/>
      <c r="K614" s="101"/>
      <c r="L614" s="102"/>
      <c r="M614" s="102"/>
      <c r="N614" s="101"/>
      <c r="O614" s="279"/>
      <c r="P614" s="279"/>
      <c r="Q614" s="229"/>
      <c r="R614" s="229"/>
      <c r="S614" s="229"/>
      <c r="T614" s="229"/>
      <c r="U614" s="229"/>
      <c r="V614" s="229"/>
      <c r="W614" s="229"/>
      <c r="X614" s="229"/>
      <c r="Y614" s="229"/>
      <c r="Z614" s="229"/>
      <c r="AA614" s="229"/>
      <c r="AB614" s="229"/>
    </row>
    <row r="615" ht="15.75" customHeight="1">
      <c r="A615" s="276"/>
      <c r="B615" s="101"/>
      <c r="C615" s="98"/>
      <c r="D615" s="100"/>
      <c r="E615" s="98"/>
      <c r="F615" s="99"/>
      <c r="G615" s="101"/>
      <c r="H615" s="278"/>
      <c r="I615" s="101"/>
      <c r="J615" s="101"/>
      <c r="K615" s="101"/>
      <c r="L615" s="102"/>
      <c r="M615" s="102"/>
      <c r="N615" s="101"/>
      <c r="O615" s="279"/>
      <c r="P615" s="279"/>
      <c r="Q615" s="229"/>
      <c r="R615" s="229"/>
      <c r="S615" s="229"/>
      <c r="T615" s="229"/>
      <c r="U615" s="229"/>
      <c r="V615" s="229"/>
      <c r="W615" s="229"/>
      <c r="X615" s="229"/>
      <c r="Y615" s="229"/>
      <c r="Z615" s="229"/>
      <c r="AA615" s="229"/>
      <c r="AB615" s="229"/>
    </row>
    <row r="616" ht="15.75" customHeight="1">
      <c r="A616" s="276"/>
      <c r="B616" s="101"/>
      <c r="C616" s="98"/>
      <c r="D616" s="100"/>
      <c r="E616" s="98"/>
      <c r="F616" s="99"/>
      <c r="G616" s="101"/>
      <c r="H616" s="278"/>
      <c r="I616" s="101"/>
      <c r="J616" s="101"/>
      <c r="K616" s="101"/>
      <c r="L616" s="102"/>
      <c r="M616" s="102"/>
      <c r="N616" s="101"/>
      <c r="O616" s="279"/>
      <c r="P616" s="279"/>
      <c r="Q616" s="229"/>
      <c r="R616" s="229"/>
      <c r="S616" s="229"/>
      <c r="T616" s="229"/>
      <c r="U616" s="229"/>
      <c r="V616" s="229"/>
      <c r="W616" s="229"/>
      <c r="X616" s="229"/>
      <c r="Y616" s="229"/>
      <c r="Z616" s="229"/>
      <c r="AA616" s="229"/>
      <c r="AB616" s="229"/>
    </row>
    <row r="617" ht="15.75" customHeight="1">
      <c r="A617" s="276"/>
      <c r="B617" s="101"/>
      <c r="C617" s="98"/>
      <c r="D617" s="100"/>
      <c r="E617" s="98"/>
      <c r="F617" s="99"/>
      <c r="G617" s="101"/>
      <c r="H617" s="278"/>
      <c r="I617" s="101"/>
      <c r="J617" s="101"/>
      <c r="K617" s="101"/>
      <c r="L617" s="102"/>
      <c r="M617" s="102"/>
      <c r="N617" s="101"/>
      <c r="O617" s="279"/>
      <c r="P617" s="279"/>
      <c r="Q617" s="229"/>
      <c r="R617" s="229"/>
      <c r="S617" s="229"/>
      <c r="T617" s="229"/>
      <c r="U617" s="229"/>
      <c r="V617" s="229"/>
      <c r="W617" s="229"/>
      <c r="X617" s="229"/>
      <c r="Y617" s="229"/>
      <c r="Z617" s="229"/>
      <c r="AA617" s="229"/>
      <c r="AB617" s="229"/>
    </row>
    <row r="618" ht="15.75" customHeight="1">
      <c r="A618" s="276"/>
      <c r="B618" s="101"/>
      <c r="C618" s="98"/>
      <c r="D618" s="100"/>
      <c r="E618" s="98"/>
      <c r="F618" s="99"/>
      <c r="G618" s="101"/>
      <c r="H618" s="278"/>
      <c r="I618" s="101"/>
      <c r="J618" s="101"/>
      <c r="K618" s="101"/>
      <c r="L618" s="102"/>
      <c r="M618" s="102"/>
      <c r="N618" s="101"/>
      <c r="O618" s="279"/>
      <c r="P618" s="279"/>
      <c r="Q618" s="229"/>
      <c r="R618" s="229"/>
      <c r="S618" s="229"/>
      <c r="T618" s="229"/>
      <c r="U618" s="229"/>
      <c r="V618" s="229"/>
      <c r="W618" s="229"/>
      <c r="X618" s="229"/>
      <c r="Y618" s="229"/>
      <c r="Z618" s="229"/>
      <c r="AA618" s="229"/>
      <c r="AB618" s="229"/>
    </row>
    <row r="619" ht="15.75" customHeight="1">
      <c r="A619" s="276"/>
      <c r="B619" s="101"/>
      <c r="C619" s="98"/>
      <c r="D619" s="100"/>
      <c r="E619" s="98"/>
      <c r="F619" s="99"/>
      <c r="G619" s="101"/>
      <c r="H619" s="278"/>
      <c r="I619" s="101"/>
      <c r="J619" s="101"/>
      <c r="K619" s="101"/>
      <c r="L619" s="102"/>
      <c r="M619" s="102"/>
      <c r="N619" s="101"/>
      <c r="O619" s="279"/>
      <c r="P619" s="279"/>
      <c r="Q619" s="229"/>
      <c r="R619" s="229"/>
      <c r="S619" s="229"/>
      <c r="T619" s="229"/>
      <c r="U619" s="229"/>
      <c r="V619" s="229"/>
      <c r="W619" s="229"/>
      <c r="X619" s="229"/>
      <c r="Y619" s="229"/>
      <c r="Z619" s="229"/>
      <c r="AA619" s="229"/>
      <c r="AB619" s="229"/>
    </row>
    <row r="620" ht="15.75" customHeight="1">
      <c r="A620" s="276"/>
      <c r="B620" s="101"/>
      <c r="C620" s="98"/>
      <c r="D620" s="100"/>
      <c r="E620" s="98"/>
      <c r="F620" s="99"/>
      <c r="G620" s="101"/>
      <c r="H620" s="278"/>
      <c r="I620" s="101"/>
      <c r="J620" s="101"/>
      <c r="K620" s="101"/>
      <c r="L620" s="102"/>
      <c r="M620" s="102"/>
      <c r="N620" s="101"/>
      <c r="O620" s="279"/>
      <c r="P620" s="279"/>
      <c r="Q620" s="229"/>
      <c r="R620" s="229"/>
      <c r="S620" s="229"/>
      <c r="T620" s="229"/>
      <c r="U620" s="229"/>
      <c r="V620" s="229"/>
      <c r="W620" s="229"/>
      <c r="X620" s="229"/>
      <c r="Y620" s="229"/>
      <c r="Z620" s="229"/>
      <c r="AA620" s="229"/>
      <c r="AB620" s="229"/>
    </row>
    <row r="621" ht="15.75" customHeight="1">
      <c r="A621" s="276"/>
      <c r="B621" s="101"/>
      <c r="C621" s="98"/>
      <c r="D621" s="100"/>
      <c r="E621" s="98"/>
      <c r="F621" s="99"/>
      <c r="G621" s="101"/>
      <c r="H621" s="278"/>
      <c r="I621" s="101"/>
      <c r="J621" s="101"/>
      <c r="K621" s="101"/>
      <c r="L621" s="102"/>
      <c r="M621" s="102"/>
      <c r="N621" s="101"/>
      <c r="O621" s="279"/>
      <c r="P621" s="279"/>
      <c r="Q621" s="229"/>
      <c r="R621" s="229"/>
      <c r="S621" s="229"/>
      <c r="T621" s="229"/>
      <c r="U621" s="229"/>
      <c r="V621" s="229"/>
      <c r="W621" s="229"/>
      <c r="X621" s="229"/>
      <c r="Y621" s="229"/>
      <c r="Z621" s="229"/>
      <c r="AA621" s="229"/>
      <c r="AB621" s="229"/>
    </row>
    <row r="622" ht="15.75" customHeight="1">
      <c r="A622" s="276"/>
      <c r="B622" s="101"/>
      <c r="C622" s="98"/>
      <c r="D622" s="100"/>
      <c r="E622" s="98"/>
      <c r="F622" s="99"/>
      <c r="G622" s="101"/>
      <c r="H622" s="278"/>
      <c r="I622" s="101"/>
      <c r="J622" s="101"/>
      <c r="K622" s="101"/>
      <c r="L622" s="102"/>
      <c r="M622" s="102"/>
      <c r="N622" s="101"/>
      <c r="O622" s="279"/>
      <c r="P622" s="279"/>
      <c r="Q622" s="229"/>
      <c r="R622" s="229"/>
      <c r="S622" s="229"/>
      <c r="T622" s="229"/>
      <c r="U622" s="229"/>
      <c r="V622" s="229"/>
      <c r="W622" s="229"/>
      <c r="X622" s="229"/>
      <c r="Y622" s="229"/>
      <c r="Z622" s="229"/>
      <c r="AA622" s="229"/>
      <c r="AB622" s="229"/>
    </row>
    <row r="623" ht="15.75" customHeight="1">
      <c r="A623" s="276"/>
      <c r="B623" s="101"/>
      <c r="C623" s="98"/>
      <c r="D623" s="100"/>
      <c r="E623" s="98"/>
      <c r="F623" s="99"/>
      <c r="G623" s="101"/>
      <c r="H623" s="278"/>
      <c r="I623" s="101"/>
      <c r="J623" s="101"/>
      <c r="K623" s="101"/>
      <c r="L623" s="102"/>
      <c r="M623" s="102"/>
      <c r="N623" s="101"/>
      <c r="O623" s="279"/>
      <c r="P623" s="279"/>
      <c r="Q623" s="229"/>
      <c r="R623" s="229"/>
      <c r="S623" s="229"/>
      <c r="T623" s="229"/>
      <c r="U623" s="229"/>
      <c r="V623" s="229"/>
      <c r="W623" s="229"/>
      <c r="X623" s="229"/>
      <c r="Y623" s="229"/>
      <c r="Z623" s="229"/>
      <c r="AA623" s="229"/>
      <c r="AB623" s="229"/>
    </row>
    <row r="624" ht="15.75" customHeight="1">
      <c r="A624" s="276"/>
      <c r="B624" s="101"/>
      <c r="C624" s="98"/>
      <c r="D624" s="100"/>
      <c r="E624" s="98"/>
      <c r="F624" s="99"/>
      <c r="G624" s="101"/>
      <c r="H624" s="278"/>
      <c r="I624" s="101"/>
      <c r="J624" s="101"/>
      <c r="K624" s="101"/>
      <c r="L624" s="102"/>
      <c r="M624" s="102"/>
      <c r="N624" s="101"/>
      <c r="O624" s="279"/>
      <c r="P624" s="279"/>
      <c r="Q624" s="229"/>
      <c r="R624" s="229"/>
      <c r="S624" s="229"/>
      <c r="T624" s="229"/>
      <c r="U624" s="229"/>
      <c r="V624" s="229"/>
      <c r="W624" s="229"/>
      <c r="X624" s="229"/>
      <c r="Y624" s="229"/>
      <c r="Z624" s="229"/>
      <c r="AA624" s="229"/>
      <c r="AB624" s="229"/>
    </row>
    <row r="625" ht="15.75" customHeight="1">
      <c r="A625" s="276"/>
      <c r="B625" s="101"/>
      <c r="C625" s="98"/>
      <c r="D625" s="100"/>
      <c r="E625" s="98"/>
      <c r="F625" s="99"/>
      <c r="G625" s="101"/>
      <c r="H625" s="278"/>
      <c r="I625" s="101"/>
      <c r="J625" s="101"/>
      <c r="K625" s="101"/>
      <c r="L625" s="102"/>
      <c r="M625" s="102"/>
      <c r="N625" s="101"/>
      <c r="O625" s="279"/>
      <c r="P625" s="279"/>
      <c r="Q625" s="229"/>
      <c r="R625" s="229"/>
      <c r="S625" s="229"/>
      <c r="T625" s="229"/>
      <c r="U625" s="229"/>
      <c r="V625" s="229"/>
      <c r="W625" s="229"/>
      <c r="X625" s="229"/>
      <c r="Y625" s="229"/>
      <c r="Z625" s="229"/>
      <c r="AA625" s="229"/>
      <c r="AB625" s="229"/>
    </row>
    <row r="626" ht="15.75" customHeight="1">
      <c r="A626" s="276"/>
      <c r="B626" s="101"/>
      <c r="C626" s="98"/>
      <c r="D626" s="100"/>
      <c r="E626" s="98"/>
      <c r="F626" s="99"/>
      <c r="G626" s="101"/>
      <c r="H626" s="278"/>
      <c r="I626" s="101"/>
      <c r="J626" s="101"/>
      <c r="K626" s="101"/>
      <c r="L626" s="102"/>
      <c r="M626" s="102"/>
      <c r="N626" s="101"/>
      <c r="O626" s="279"/>
      <c r="P626" s="279"/>
      <c r="Q626" s="229"/>
      <c r="R626" s="229"/>
      <c r="S626" s="229"/>
      <c r="T626" s="229"/>
      <c r="U626" s="229"/>
      <c r="V626" s="229"/>
      <c r="W626" s="229"/>
      <c r="X626" s="229"/>
      <c r="Y626" s="229"/>
      <c r="Z626" s="229"/>
      <c r="AA626" s="229"/>
      <c r="AB626" s="229"/>
    </row>
    <row r="627" ht="15.75" customHeight="1">
      <c r="A627" s="276"/>
      <c r="B627" s="101"/>
      <c r="C627" s="98"/>
      <c r="D627" s="100"/>
      <c r="E627" s="98"/>
      <c r="F627" s="99"/>
      <c r="G627" s="101"/>
      <c r="H627" s="278"/>
      <c r="I627" s="101"/>
      <c r="J627" s="101"/>
      <c r="K627" s="101"/>
      <c r="L627" s="102"/>
      <c r="M627" s="102"/>
      <c r="N627" s="101"/>
      <c r="O627" s="279"/>
      <c r="P627" s="279"/>
      <c r="Q627" s="229"/>
      <c r="R627" s="229"/>
      <c r="S627" s="229"/>
      <c r="T627" s="229"/>
      <c r="U627" s="229"/>
      <c r="V627" s="229"/>
      <c r="W627" s="229"/>
      <c r="X627" s="229"/>
      <c r="Y627" s="229"/>
      <c r="Z627" s="229"/>
      <c r="AA627" s="229"/>
      <c r="AB627" s="229"/>
    </row>
    <row r="628" ht="15.75" customHeight="1">
      <c r="A628" s="276"/>
      <c r="B628" s="101"/>
      <c r="C628" s="98"/>
      <c r="D628" s="100"/>
      <c r="E628" s="98"/>
      <c r="F628" s="99"/>
      <c r="G628" s="101"/>
      <c r="H628" s="278"/>
      <c r="I628" s="101"/>
      <c r="J628" s="101"/>
      <c r="K628" s="101"/>
      <c r="L628" s="102"/>
      <c r="M628" s="102"/>
      <c r="N628" s="101"/>
      <c r="O628" s="279"/>
      <c r="P628" s="279"/>
      <c r="Q628" s="229"/>
      <c r="R628" s="229"/>
      <c r="S628" s="229"/>
      <c r="T628" s="229"/>
      <c r="U628" s="229"/>
      <c r="V628" s="229"/>
      <c r="W628" s="229"/>
      <c r="X628" s="229"/>
      <c r="Y628" s="229"/>
      <c r="Z628" s="229"/>
      <c r="AA628" s="229"/>
      <c r="AB628" s="229"/>
    </row>
    <row r="629" ht="15.75" customHeight="1">
      <c r="A629" s="276"/>
      <c r="B629" s="101"/>
      <c r="C629" s="98"/>
      <c r="D629" s="100"/>
      <c r="E629" s="98"/>
      <c r="F629" s="99"/>
      <c r="G629" s="101"/>
      <c r="H629" s="278"/>
      <c r="I629" s="101"/>
      <c r="J629" s="101"/>
      <c r="K629" s="101"/>
      <c r="L629" s="102"/>
      <c r="M629" s="102"/>
      <c r="N629" s="101"/>
      <c r="O629" s="279"/>
      <c r="P629" s="279"/>
      <c r="Q629" s="229"/>
      <c r="R629" s="229"/>
      <c r="S629" s="229"/>
      <c r="T629" s="229"/>
      <c r="U629" s="229"/>
      <c r="V629" s="229"/>
      <c r="W629" s="229"/>
      <c r="X629" s="229"/>
      <c r="Y629" s="229"/>
      <c r="Z629" s="229"/>
      <c r="AA629" s="229"/>
      <c r="AB629" s="229"/>
    </row>
    <row r="630" ht="15.75" customHeight="1">
      <c r="A630" s="276"/>
      <c r="B630" s="101"/>
      <c r="C630" s="98"/>
      <c r="D630" s="100"/>
      <c r="E630" s="98"/>
      <c r="F630" s="99"/>
      <c r="G630" s="101"/>
      <c r="H630" s="278"/>
      <c r="I630" s="101"/>
      <c r="J630" s="101"/>
      <c r="K630" s="101"/>
      <c r="L630" s="102"/>
      <c r="M630" s="102"/>
      <c r="N630" s="101"/>
      <c r="O630" s="279"/>
      <c r="P630" s="279"/>
      <c r="Q630" s="229"/>
      <c r="R630" s="229"/>
      <c r="S630" s="229"/>
      <c r="T630" s="229"/>
      <c r="U630" s="229"/>
      <c r="V630" s="229"/>
      <c r="W630" s="229"/>
      <c r="X630" s="229"/>
      <c r="Y630" s="229"/>
      <c r="Z630" s="229"/>
      <c r="AA630" s="229"/>
      <c r="AB630" s="229"/>
    </row>
    <row r="631" ht="15.75" customHeight="1">
      <c r="A631" s="276"/>
      <c r="B631" s="101"/>
      <c r="C631" s="98"/>
      <c r="D631" s="100"/>
      <c r="E631" s="98"/>
      <c r="F631" s="99"/>
      <c r="G631" s="101"/>
      <c r="H631" s="278"/>
      <c r="I631" s="101"/>
      <c r="J631" s="101"/>
      <c r="K631" s="101"/>
      <c r="L631" s="102"/>
      <c r="M631" s="102"/>
      <c r="N631" s="101"/>
      <c r="O631" s="279"/>
      <c r="P631" s="279"/>
      <c r="Q631" s="229"/>
      <c r="R631" s="229"/>
      <c r="S631" s="229"/>
      <c r="T631" s="229"/>
      <c r="U631" s="229"/>
      <c r="V631" s="229"/>
      <c r="W631" s="229"/>
      <c r="X631" s="229"/>
      <c r="Y631" s="229"/>
      <c r="Z631" s="229"/>
      <c r="AA631" s="229"/>
      <c r="AB631" s="229"/>
    </row>
    <row r="632" ht="15.75" customHeight="1">
      <c r="A632" s="276"/>
      <c r="B632" s="101"/>
      <c r="C632" s="98"/>
      <c r="D632" s="100"/>
      <c r="E632" s="98"/>
      <c r="F632" s="99"/>
      <c r="G632" s="101"/>
      <c r="H632" s="278"/>
      <c r="I632" s="101"/>
      <c r="J632" s="101"/>
      <c r="K632" s="101"/>
      <c r="L632" s="102"/>
      <c r="M632" s="102"/>
      <c r="N632" s="101"/>
      <c r="O632" s="279"/>
      <c r="P632" s="279"/>
      <c r="Q632" s="229"/>
      <c r="R632" s="229"/>
      <c r="S632" s="229"/>
      <c r="T632" s="229"/>
      <c r="U632" s="229"/>
      <c r="V632" s="229"/>
      <c r="W632" s="229"/>
      <c r="X632" s="229"/>
      <c r="Y632" s="229"/>
      <c r="Z632" s="229"/>
      <c r="AA632" s="229"/>
      <c r="AB632" s="229"/>
    </row>
    <row r="633" ht="15.75" customHeight="1">
      <c r="A633" s="276"/>
      <c r="B633" s="101"/>
      <c r="C633" s="98"/>
      <c r="D633" s="100"/>
      <c r="E633" s="98"/>
      <c r="F633" s="99"/>
      <c r="G633" s="101"/>
      <c r="H633" s="278"/>
      <c r="I633" s="101"/>
      <c r="J633" s="101"/>
      <c r="K633" s="101"/>
      <c r="L633" s="102"/>
      <c r="M633" s="102"/>
      <c r="N633" s="101"/>
      <c r="O633" s="279"/>
      <c r="P633" s="279"/>
      <c r="Q633" s="229"/>
      <c r="R633" s="229"/>
      <c r="S633" s="229"/>
      <c r="T633" s="229"/>
      <c r="U633" s="229"/>
      <c r="V633" s="229"/>
      <c r="W633" s="229"/>
      <c r="X633" s="229"/>
      <c r="Y633" s="229"/>
      <c r="Z633" s="229"/>
      <c r="AA633" s="229"/>
      <c r="AB633" s="229"/>
    </row>
    <row r="634" ht="15.75" customHeight="1">
      <c r="A634" s="276"/>
      <c r="B634" s="101"/>
      <c r="C634" s="98"/>
      <c r="D634" s="100"/>
      <c r="E634" s="98"/>
      <c r="F634" s="99"/>
      <c r="G634" s="101"/>
      <c r="H634" s="278"/>
      <c r="I634" s="101"/>
      <c r="J634" s="101"/>
      <c r="K634" s="101"/>
      <c r="L634" s="102"/>
      <c r="M634" s="102"/>
      <c r="N634" s="101"/>
      <c r="O634" s="279"/>
      <c r="P634" s="279"/>
      <c r="Q634" s="229"/>
      <c r="R634" s="229"/>
      <c r="S634" s="229"/>
      <c r="T634" s="229"/>
      <c r="U634" s="229"/>
      <c r="V634" s="229"/>
      <c r="W634" s="229"/>
      <c r="X634" s="229"/>
      <c r="Y634" s="229"/>
      <c r="Z634" s="229"/>
      <c r="AA634" s="229"/>
      <c r="AB634" s="229"/>
    </row>
    <row r="635" ht="15.75" customHeight="1">
      <c r="A635" s="276"/>
      <c r="B635" s="101"/>
      <c r="C635" s="98"/>
      <c r="D635" s="100"/>
      <c r="E635" s="98"/>
      <c r="F635" s="99"/>
      <c r="G635" s="101"/>
      <c r="H635" s="278"/>
      <c r="I635" s="101"/>
      <c r="J635" s="101"/>
      <c r="K635" s="101"/>
      <c r="L635" s="102"/>
      <c r="M635" s="102"/>
      <c r="N635" s="101"/>
      <c r="O635" s="279"/>
      <c r="P635" s="279"/>
      <c r="Q635" s="229"/>
      <c r="R635" s="229"/>
      <c r="S635" s="229"/>
      <c r="T635" s="229"/>
      <c r="U635" s="229"/>
      <c r="V635" s="229"/>
      <c r="W635" s="229"/>
      <c r="X635" s="229"/>
      <c r="Y635" s="229"/>
      <c r="Z635" s="229"/>
      <c r="AA635" s="229"/>
      <c r="AB635" s="229"/>
    </row>
    <row r="636" ht="15.75" customHeight="1">
      <c r="A636" s="276"/>
      <c r="B636" s="101"/>
      <c r="C636" s="98"/>
      <c r="D636" s="100"/>
      <c r="E636" s="98"/>
      <c r="F636" s="99"/>
      <c r="G636" s="101"/>
      <c r="H636" s="278"/>
      <c r="I636" s="101"/>
      <c r="J636" s="101"/>
      <c r="K636" s="101"/>
      <c r="L636" s="102"/>
      <c r="M636" s="102"/>
      <c r="N636" s="101"/>
      <c r="O636" s="279"/>
      <c r="P636" s="279"/>
      <c r="Q636" s="229"/>
      <c r="R636" s="229"/>
      <c r="S636" s="229"/>
      <c r="T636" s="229"/>
      <c r="U636" s="229"/>
      <c r="V636" s="229"/>
      <c r="W636" s="229"/>
      <c r="X636" s="229"/>
      <c r="Y636" s="229"/>
      <c r="Z636" s="229"/>
      <c r="AA636" s="229"/>
      <c r="AB636" s="229"/>
    </row>
    <row r="637" ht="15.75" customHeight="1">
      <c r="A637" s="276"/>
      <c r="B637" s="101"/>
      <c r="C637" s="98"/>
      <c r="D637" s="100"/>
      <c r="E637" s="98"/>
      <c r="F637" s="99"/>
      <c r="G637" s="101"/>
      <c r="H637" s="278"/>
      <c r="I637" s="101"/>
      <c r="J637" s="101"/>
      <c r="K637" s="101"/>
      <c r="L637" s="102"/>
      <c r="M637" s="102"/>
      <c r="N637" s="101"/>
      <c r="O637" s="279"/>
      <c r="P637" s="279"/>
      <c r="Q637" s="229"/>
      <c r="R637" s="229"/>
      <c r="S637" s="229"/>
      <c r="T637" s="229"/>
      <c r="U637" s="229"/>
      <c r="V637" s="229"/>
      <c r="W637" s="229"/>
      <c r="X637" s="229"/>
      <c r="Y637" s="229"/>
      <c r="Z637" s="229"/>
      <c r="AA637" s="229"/>
      <c r="AB637" s="229"/>
    </row>
    <row r="638" ht="15.75" customHeight="1">
      <c r="A638" s="276"/>
      <c r="B638" s="101"/>
      <c r="C638" s="98"/>
      <c r="D638" s="100"/>
      <c r="E638" s="98"/>
      <c r="F638" s="99"/>
      <c r="G638" s="101"/>
      <c r="H638" s="278"/>
      <c r="I638" s="101"/>
      <c r="J638" s="101"/>
      <c r="K638" s="101"/>
      <c r="L638" s="102"/>
      <c r="M638" s="102"/>
      <c r="N638" s="101"/>
      <c r="O638" s="279"/>
      <c r="P638" s="279"/>
      <c r="Q638" s="229"/>
      <c r="R638" s="229"/>
      <c r="S638" s="229"/>
      <c r="T638" s="229"/>
      <c r="U638" s="229"/>
      <c r="V638" s="229"/>
      <c r="W638" s="229"/>
      <c r="X638" s="229"/>
      <c r="Y638" s="229"/>
      <c r="Z638" s="229"/>
      <c r="AA638" s="229"/>
      <c r="AB638" s="229"/>
    </row>
    <row r="639" ht="15.75" customHeight="1">
      <c r="A639" s="276"/>
      <c r="B639" s="101"/>
      <c r="C639" s="98"/>
      <c r="D639" s="100"/>
      <c r="E639" s="98"/>
      <c r="F639" s="99"/>
      <c r="G639" s="101"/>
      <c r="H639" s="278"/>
      <c r="I639" s="101"/>
      <c r="J639" s="101"/>
      <c r="K639" s="101"/>
      <c r="L639" s="102"/>
      <c r="M639" s="102"/>
      <c r="N639" s="101"/>
      <c r="O639" s="279"/>
      <c r="P639" s="279"/>
      <c r="Q639" s="229"/>
      <c r="R639" s="229"/>
      <c r="S639" s="229"/>
      <c r="T639" s="229"/>
      <c r="U639" s="229"/>
      <c r="V639" s="229"/>
      <c r="W639" s="229"/>
      <c r="X639" s="229"/>
      <c r="Y639" s="229"/>
      <c r="Z639" s="229"/>
      <c r="AA639" s="229"/>
      <c r="AB639" s="229"/>
    </row>
    <row r="640" ht="15.75" customHeight="1">
      <c r="A640" s="276"/>
      <c r="B640" s="101"/>
      <c r="C640" s="98"/>
      <c r="D640" s="100"/>
      <c r="E640" s="98"/>
      <c r="F640" s="99"/>
      <c r="G640" s="101"/>
      <c r="H640" s="278"/>
      <c r="I640" s="101"/>
      <c r="J640" s="101"/>
      <c r="K640" s="101"/>
      <c r="L640" s="102"/>
      <c r="M640" s="102"/>
      <c r="N640" s="101"/>
      <c r="O640" s="279"/>
      <c r="P640" s="279"/>
      <c r="Q640" s="229"/>
      <c r="R640" s="229"/>
      <c r="S640" s="229"/>
      <c r="T640" s="229"/>
      <c r="U640" s="229"/>
      <c r="V640" s="229"/>
      <c r="W640" s="229"/>
      <c r="X640" s="229"/>
      <c r="Y640" s="229"/>
      <c r="Z640" s="229"/>
      <c r="AA640" s="229"/>
      <c r="AB640" s="229"/>
    </row>
    <row r="641" ht="15.75" customHeight="1">
      <c r="A641" s="276"/>
      <c r="B641" s="101"/>
      <c r="C641" s="98"/>
      <c r="D641" s="100"/>
      <c r="E641" s="98"/>
      <c r="F641" s="99"/>
      <c r="G641" s="101"/>
      <c r="H641" s="278"/>
      <c r="I641" s="101"/>
      <c r="J641" s="101"/>
      <c r="K641" s="101"/>
      <c r="L641" s="102"/>
      <c r="M641" s="102"/>
      <c r="N641" s="101"/>
      <c r="O641" s="279"/>
      <c r="P641" s="279"/>
      <c r="Q641" s="229"/>
      <c r="R641" s="229"/>
      <c r="S641" s="229"/>
      <c r="T641" s="229"/>
      <c r="U641" s="229"/>
      <c r="V641" s="229"/>
      <c r="W641" s="229"/>
      <c r="X641" s="229"/>
      <c r="Y641" s="229"/>
      <c r="Z641" s="229"/>
      <c r="AA641" s="229"/>
      <c r="AB641" s="229"/>
    </row>
    <row r="642" ht="15.75" customHeight="1">
      <c r="A642" s="276"/>
      <c r="B642" s="101"/>
      <c r="C642" s="98"/>
      <c r="D642" s="100"/>
      <c r="E642" s="98"/>
      <c r="F642" s="99"/>
      <c r="G642" s="101"/>
      <c r="H642" s="278"/>
      <c r="I642" s="101"/>
      <c r="J642" s="101"/>
      <c r="K642" s="101"/>
      <c r="L642" s="102"/>
      <c r="M642" s="102"/>
      <c r="N642" s="101"/>
      <c r="O642" s="279"/>
      <c r="P642" s="279"/>
      <c r="Q642" s="229"/>
      <c r="R642" s="229"/>
      <c r="S642" s="229"/>
      <c r="T642" s="229"/>
      <c r="U642" s="229"/>
      <c r="V642" s="229"/>
      <c r="W642" s="229"/>
      <c r="X642" s="229"/>
      <c r="Y642" s="229"/>
      <c r="Z642" s="229"/>
      <c r="AA642" s="229"/>
      <c r="AB642" s="229"/>
    </row>
    <row r="643" ht="15.75" customHeight="1">
      <c r="A643" s="276"/>
      <c r="B643" s="101"/>
      <c r="C643" s="98"/>
      <c r="D643" s="100"/>
      <c r="E643" s="98"/>
      <c r="F643" s="99"/>
      <c r="G643" s="101"/>
      <c r="H643" s="278"/>
      <c r="I643" s="101"/>
      <c r="J643" s="101"/>
      <c r="K643" s="101"/>
      <c r="L643" s="102"/>
      <c r="M643" s="102"/>
      <c r="N643" s="101"/>
      <c r="O643" s="279"/>
      <c r="P643" s="279"/>
      <c r="Q643" s="229"/>
      <c r="R643" s="229"/>
      <c r="S643" s="229"/>
      <c r="T643" s="229"/>
      <c r="U643" s="229"/>
      <c r="V643" s="229"/>
      <c r="W643" s="229"/>
      <c r="X643" s="229"/>
      <c r="Y643" s="229"/>
      <c r="Z643" s="229"/>
      <c r="AA643" s="229"/>
      <c r="AB643" s="229"/>
    </row>
    <row r="644" ht="15.75" customHeight="1">
      <c r="A644" s="276"/>
      <c r="B644" s="101"/>
      <c r="C644" s="98"/>
      <c r="D644" s="100"/>
      <c r="E644" s="98"/>
      <c r="F644" s="99"/>
      <c r="G644" s="101"/>
      <c r="H644" s="278"/>
      <c r="I644" s="101"/>
      <c r="J644" s="101"/>
      <c r="K644" s="101"/>
      <c r="L644" s="102"/>
      <c r="M644" s="102"/>
      <c r="N644" s="101"/>
      <c r="O644" s="279"/>
      <c r="P644" s="279"/>
      <c r="Q644" s="229"/>
      <c r="R644" s="229"/>
      <c r="S644" s="229"/>
      <c r="T644" s="229"/>
      <c r="U644" s="229"/>
      <c r="V644" s="229"/>
      <c r="W644" s="229"/>
      <c r="X644" s="229"/>
      <c r="Y644" s="229"/>
      <c r="Z644" s="229"/>
      <c r="AA644" s="229"/>
      <c r="AB644" s="229"/>
    </row>
    <row r="645" ht="15.75" customHeight="1">
      <c r="A645" s="276"/>
      <c r="B645" s="101"/>
      <c r="C645" s="98"/>
      <c r="D645" s="100"/>
      <c r="E645" s="98"/>
      <c r="F645" s="99"/>
      <c r="G645" s="101"/>
      <c r="H645" s="278"/>
      <c r="I645" s="101"/>
      <c r="J645" s="101"/>
      <c r="K645" s="101"/>
      <c r="L645" s="102"/>
      <c r="M645" s="102"/>
      <c r="N645" s="101"/>
      <c r="O645" s="279"/>
      <c r="P645" s="279"/>
      <c r="Q645" s="229"/>
      <c r="R645" s="229"/>
      <c r="S645" s="229"/>
      <c r="T645" s="229"/>
      <c r="U645" s="229"/>
      <c r="V645" s="229"/>
      <c r="W645" s="229"/>
      <c r="X645" s="229"/>
      <c r="Y645" s="229"/>
      <c r="Z645" s="229"/>
      <c r="AA645" s="229"/>
      <c r="AB645" s="229"/>
    </row>
    <row r="646" ht="15.75" customHeight="1">
      <c r="A646" s="276"/>
      <c r="B646" s="101"/>
      <c r="C646" s="98"/>
      <c r="D646" s="100"/>
      <c r="E646" s="98"/>
      <c r="F646" s="99"/>
      <c r="G646" s="101"/>
      <c r="H646" s="278"/>
      <c r="I646" s="101"/>
      <c r="J646" s="101"/>
      <c r="K646" s="101"/>
      <c r="L646" s="102"/>
      <c r="M646" s="102"/>
      <c r="N646" s="101"/>
      <c r="O646" s="279"/>
      <c r="P646" s="279"/>
      <c r="Q646" s="229"/>
      <c r="R646" s="229"/>
      <c r="S646" s="229"/>
      <c r="T646" s="229"/>
      <c r="U646" s="229"/>
      <c r="V646" s="229"/>
      <c r="W646" s="229"/>
      <c r="X646" s="229"/>
      <c r="Y646" s="229"/>
      <c r="Z646" s="229"/>
      <c r="AA646" s="229"/>
      <c r="AB646" s="229"/>
    </row>
    <row r="647" ht="15.75" customHeight="1">
      <c r="A647" s="276"/>
      <c r="B647" s="101"/>
      <c r="C647" s="98"/>
      <c r="D647" s="100"/>
      <c r="E647" s="98"/>
      <c r="F647" s="99"/>
      <c r="G647" s="101"/>
      <c r="H647" s="278"/>
      <c r="I647" s="101"/>
      <c r="J647" s="101"/>
      <c r="K647" s="101"/>
      <c r="L647" s="102"/>
      <c r="M647" s="102"/>
      <c r="N647" s="101"/>
      <c r="O647" s="279"/>
      <c r="P647" s="279"/>
      <c r="Q647" s="229"/>
      <c r="R647" s="229"/>
      <c r="S647" s="229"/>
      <c r="T647" s="229"/>
      <c r="U647" s="229"/>
      <c r="V647" s="229"/>
      <c r="W647" s="229"/>
      <c r="X647" s="229"/>
      <c r="Y647" s="229"/>
      <c r="Z647" s="229"/>
      <c r="AA647" s="229"/>
      <c r="AB647" s="229"/>
    </row>
    <row r="648" ht="15.75" customHeight="1">
      <c r="A648" s="276"/>
      <c r="B648" s="101"/>
      <c r="C648" s="98"/>
      <c r="D648" s="100"/>
      <c r="E648" s="98"/>
      <c r="F648" s="99"/>
      <c r="G648" s="101"/>
      <c r="H648" s="278"/>
      <c r="I648" s="101"/>
      <c r="J648" s="101"/>
      <c r="K648" s="101"/>
      <c r="L648" s="102"/>
      <c r="M648" s="102"/>
      <c r="N648" s="101"/>
      <c r="O648" s="279"/>
      <c r="P648" s="279"/>
      <c r="Q648" s="229"/>
      <c r="R648" s="229"/>
      <c r="S648" s="229"/>
      <c r="T648" s="229"/>
      <c r="U648" s="229"/>
      <c r="V648" s="229"/>
      <c r="W648" s="229"/>
      <c r="X648" s="229"/>
      <c r="Y648" s="229"/>
      <c r="Z648" s="229"/>
      <c r="AA648" s="229"/>
      <c r="AB648" s="229"/>
    </row>
    <row r="649" ht="15.75" customHeight="1">
      <c r="A649" s="276"/>
      <c r="B649" s="101"/>
      <c r="C649" s="98"/>
      <c r="D649" s="100"/>
      <c r="E649" s="98"/>
      <c r="F649" s="99"/>
      <c r="G649" s="101"/>
      <c r="H649" s="278"/>
      <c r="I649" s="101"/>
      <c r="J649" s="101"/>
      <c r="K649" s="101"/>
      <c r="L649" s="102"/>
      <c r="M649" s="102"/>
      <c r="N649" s="101"/>
      <c r="O649" s="279"/>
      <c r="P649" s="279"/>
      <c r="Q649" s="229"/>
      <c r="R649" s="229"/>
      <c r="S649" s="229"/>
      <c r="T649" s="229"/>
      <c r="U649" s="229"/>
      <c r="V649" s="229"/>
      <c r="W649" s="229"/>
      <c r="X649" s="229"/>
      <c r="Y649" s="229"/>
      <c r="Z649" s="229"/>
      <c r="AA649" s="229"/>
      <c r="AB649" s="229"/>
    </row>
    <row r="650" ht="15.75" customHeight="1">
      <c r="A650" s="276"/>
      <c r="B650" s="101"/>
      <c r="C650" s="98"/>
      <c r="D650" s="100"/>
      <c r="E650" s="98"/>
      <c r="F650" s="99"/>
      <c r="G650" s="101"/>
      <c r="H650" s="278"/>
      <c r="I650" s="101"/>
      <c r="J650" s="101"/>
      <c r="K650" s="101"/>
      <c r="L650" s="102"/>
      <c r="M650" s="102"/>
      <c r="N650" s="101"/>
      <c r="O650" s="279"/>
      <c r="P650" s="279"/>
      <c r="Q650" s="229"/>
      <c r="R650" s="229"/>
      <c r="S650" s="229"/>
      <c r="T650" s="229"/>
      <c r="U650" s="229"/>
      <c r="V650" s="229"/>
      <c r="W650" s="229"/>
      <c r="X650" s="229"/>
      <c r="Y650" s="229"/>
      <c r="Z650" s="229"/>
      <c r="AA650" s="229"/>
      <c r="AB650" s="229"/>
    </row>
    <row r="651" ht="15.75" customHeight="1">
      <c r="A651" s="276"/>
      <c r="B651" s="101"/>
      <c r="C651" s="98"/>
      <c r="D651" s="100"/>
      <c r="E651" s="98"/>
      <c r="F651" s="99"/>
      <c r="G651" s="101"/>
      <c r="H651" s="278"/>
      <c r="I651" s="101"/>
      <c r="J651" s="101"/>
      <c r="K651" s="101"/>
      <c r="L651" s="102"/>
      <c r="M651" s="102"/>
      <c r="N651" s="101"/>
      <c r="O651" s="279"/>
      <c r="P651" s="279"/>
      <c r="Q651" s="229"/>
      <c r="R651" s="229"/>
      <c r="S651" s="229"/>
      <c r="T651" s="229"/>
      <c r="U651" s="229"/>
      <c r="V651" s="229"/>
      <c r="W651" s="229"/>
      <c r="X651" s="229"/>
      <c r="Y651" s="229"/>
      <c r="Z651" s="229"/>
      <c r="AA651" s="229"/>
      <c r="AB651" s="229"/>
    </row>
    <row r="652" ht="15.75" customHeight="1">
      <c r="A652" s="276"/>
      <c r="B652" s="101"/>
      <c r="C652" s="98"/>
      <c r="D652" s="100"/>
      <c r="E652" s="98"/>
      <c r="F652" s="99"/>
      <c r="G652" s="101"/>
      <c r="H652" s="278"/>
      <c r="I652" s="101"/>
      <c r="J652" s="101"/>
      <c r="K652" s="101"/>
      <c r="L652" s="102"/>
      <c r="M652" s="102"/>
      <c r="N652" s="101"/>
      <c r="O652" s="279"/>
      <c r="P652" s="279"/>
      <c r="Q652" s="229"/>
      <c r="R652" s="229"/>
      <c r="S652" s="229"/>
      <c r="T652" s="229"/>
      <c r="U652" s="229"/>
      <c r="V652" s="229"/>
      <c r="W652" s="229"/>
      <c r="X652" s="229"/>
      <c r="Y652" s="229"/>
      <c r="Z652" s="229"/>
      <c r="AA652" s="229"/>
      <c r="AB652" s="229"/>
    </row>
    <row r="653" ht="15.75" customHeight="1">
      <c r="A653" s="276"/>
      <c r="B653" s="101"/>
      <c r="C653" s="98"/>
      <c r="D653" s="100"/>
      <c r="E653" s="98"/>
      <c r="F653" s="99"/>
      <c r="G653" s="101"/>
      <c r="H653" s="278"/>
      <c r="I653" s="101"/>
      <c r="J653" s="101"/>
      <c r="K653" s="101"/>
      <c r="L653" s="102"/>
      <c r="M653" s="102"/>
      <c r="N653" s="101"/>
      <c r="O653" s="279"/>
      <c r="P653" s="279"/>
      <c r="Q653" s="229"/>
      <c r="R653" s="229"/>
      <c r="S653" s="229"/>
      <c r="T653" s="229"/>
      <c r="U653" s="229"/>
      <c r="V653" s="229"/>
      <c r="W653" s="229"/>
      <c r="X653" s="229"/>
      <c r="Y653" s="229"/>
      <c r="Z653" s="229"/>
      <c r="AA653" s="229"/>
      <c r="AB653" s="229"/>
    </row>
    <row r="654" ht="15.75" customHeight="1">
      <c r="A654" s="276"/>
      <c r="B654" s="101"/>
      <c r="C654" s="98"/>
      <c r="D654" s="100"/>
      <c r="E654" s="98"/>
      <c r="F654" s="99"/>
      <c r="G654" s="101"/>
      <c r="H654" s="278"/>
      <c r="I654" s="101"/>
      <c r="J654" s="101"/>
      <c r="K654" s="101"/>
      <c r="L654" s="102"/>
      <c r="M654" s="102"/>
      <c r="N654" s="101"/>
      <c r="O654" s="279"/>
      <c r="P654" s="279"/>
      <c r="Q654" s="229"/>
      <c r="R654" s="229"/>
      <c r="S654" s="229"/>
      <c r="T654" s="229"/>
      <c r="U654" s="229"/>
      <c r="V654" s="229"/>
      <c r="W654" s="229"/>
      <c r="X654" s="229"/>
      <c r="Y654" s="229"/>
      <c r="Z654" s="229"/>
      <c r="AA654" s="229"/>
      <c r="AB654" s="229"/>
    </row>
    <row r="655" ht="15.75" customHeight="1">
      <c r="A655" s="276"/>
      <c r="B655" s="101"/>
      <c r="C655" s="98"/>
      <c r="D655" s="100"/>
      <c r="E655" s="98"/>
      <c r="F655" s="99"/>
      <c r="G655" s="101"/>
      <c r="H655" s="278"/>
      <c r="I655" s="101"/>
      <c r="J655" s="101"/>
      <c r="K655" s="101"/>
      <c r="L655" s="102"/>
      <c r="M655" s="102"/>
      <c r="N655" s="101"/>
      <c r="O655" s="279"/>
      <c r="P655" s="279"/>
      <c r="Q655" s="229"/>
      <c r="R655" s="229"/>
      <c r="S655" s="229"/>
      <c r="T655" s="229"/>
      <c r="U655" s="229"/>
      <c r="V655" s="229"/>
      <c r="W655" s="229"/>
      <c r="X655" s="229"/>
      <c r="Y655" s="229"/>
      <c r="Z655" s="229"/>
      <c r="AA655" s="229"/>
      <c r="AB655" s="229"/>
    </row>
    <row r="656" ht="15.75" customHeight="1">
      <c r="A656" s="276"/>
      <c r="B656" s="101"/>
      <c r="C656" s="98"/>
      <c r="D656" s="100"/>
      <c r="E656" s="98"/>
      <c r="F656" s="99"/>
      <c r="G656" s="101"/>
      <c r="H656" s="278"/>
      <c r="I656" s="101"/>
      <c r="J656" s="101"/>
      <c r="K656" s="101"/>
      <c r="L656" s="102"/>
      <c r="M656" s="102"/>
      <c r="N656" s="101"/>
      <c r="O656" s="279"/>
      <c r="P656" s="279"/>
      <c r="Q656" s="229"/>
      <c r="R656" s="229"/>
      <c r="S656" s="229"/>
      <c r="T656" s="229"/>
      <c r="U656" s="229"/>
      <c r="V656" s="229"/>
      <c r="W656" s="229"/>
      <c r="X656" s="229"/>
      <c r="Y656" s="229"/>
      <c r="Z656" s="229"/>
      <c r="AA656" s="229"/>
      <c r="AB656" s="229"/>
    </row>
    <row r="657" ht="15.75" customHeight="1">
      <c r="A657" s="276"/>
      <c r="B657" s="101"/>
      <c r="C657" s="98"/>
      <c r="D657" s="100"/>
      <c r="E657" s="98"/>
      <c r="F657" s="99"/>
      <c r="G657" s="101"/>
      <c r="H657" s="278"/>
      <c r="I657" s="101"/>
      <c r="J657" s="101"/>
      <c r="K657" s="101"/>
      <c r="L657" s="102"/>
      <c r="M657" s="102"/>
      <c r="N657" s="101"/>
      <c r="O657" s="279"/>
      <c r="P657" s="279"/>
      <c r="Q657" s="229"/>
      <c r="R657" s="229"/>
      <c r="S657" s="229"/>
      <c r="T657" s="229"/>
      <c r="U657" s="229"/>
      <c r="V657" s="229"/>
      <c r="W657" s="229"/>
      <c r="X657" s="229"/>
      <c r="Y657" s="229"/>
      <c r="Z657" s="229"/>
      <c r="AA657" s="229"/>
      <c r="AB657" s="229"/>
    </row>
    <row r="658" ht="15.75" customHeight="1">
      <c r="A658" s="276"/>
      <c r="B658" s="101"/>
      <c r="C658" s="98"/>
      <c r="D658" s="100"/>
      <c r="E658" s="98"/>
      <c r="F658" s="99"/>
      <c r="G658" s="101"/>
      <c r="H658" s="278"/>
      <c r="I658" s="101"/>
      <c r="J658" s="101"/>
      <c r="K658" s="101"/>
      <c r="L658" s="102"/>
      <c r="M658" s="102"/>
      <c r="N658" s="101"/>
      <c r="O658" s="279"/>
      <c r="P658" s="279"/>
      <c r="Q658" s="229"/>
      <c r="R658" s="229"/>
      <c r="S658" s="229"/>
      <c r="T658" s="229"/>
      <c r="U658" s="229"/>
      <c r="V658" s="229"/>
      <c r="W658" s="229"/>
      <c r="X658" s="229"/>
      <c r="Y658" s="229"/>
      <c r="Z658" s="229"/>
      <c r="AA658" s="229"/>
      <c r="AB658" s="229"/>
    </row>
    <row r="659" ht="15.75" customHeight="1">
      <c r="A659" s="276"/>
      <c r="B659" s="101"/>
      <c r="C659" s="98"/>
      <c r="D659" s="100"/>
      <c r="E659" s="98"/>
      <c r="F659" s="99"/>
      <c r="G659" s="101"/>
      <c r="H659" s="278"/>
      <c r="I659" s="101"/>
      <c r="J659" s="101"/>
      <c r="K659" s="101"/>
      <c r="L659" s="102"/>
      <c r="M659" s="102"/>
      <c r="N659" s="101"/>
      <c r="O659" s="279"/>
      <c r="P659" s="279"/>
      <c r="Q659" s="229"/>
      <c r="R659" s="229"/>
      <c r="S659" s="229"/>
      <c r="T659" s="229"/>
      <c r="U659" s="229"/>
      <c r="V659" s="229"/>
      <c r="W659" s="229"/>
      <c r="X659" s="229"/>
      <c r="Y659" s="229"/>
      <c r="Z659" s="229"/>
      <c r="AA659" s="229"/>
      <c r="AB659" s="229"/>
    </row>
    <row r="660" ht="15.75" customHeight="1">
      <c r="A660" s="276"/>
      <c r="B660" s="101"/>
      <c r="C660" s="98"/>
      <c r="D660" s="100"/>
      <c r="E660" s="98"/>
      <c r="F660" s="99"/>
      <c r="G660" s="101"/>
      <c r="H660" s="278"/>
      <c r="I660" s="101"/>
      <c r="J660" s="101"/>
      <c r="K660" s="101"/>
      <c r="L660" s="102"/>
      <c r="M660" s="102"/>
      <c r="N660" s="101"/>
      <c r="O660" s="279"/>
      <c r="P660" s="279"/>
      <c r="Q660" s="229"/>
      <c r="R660" s="229"/>
      <c r="S660" s="229"/>
      <c r="T660" s="229"/>
      <c r="U660" s="229"/>
      <c r="V660" s="229"/>
      <c r="W660" s="229"/>
      <c r="X660" s="229"/>
      <c r="Y660" s="229"/>
      <c r="Z660" s="229"/>
      <c r="AA660" s="229"/>
      <c r="AB660" s="229"/>
    </row>
    <row r="661" ht="15.75" customHeight="1">
      <c r="A661" s="276"/>
      <c r="B661" s="101"/>
      <c r="C661" s="98"/>
      <c r="D661" s="100"/>
      <c r="E661" s="98"/>
      <c r="F661" s="99"/>
      <c r="G661" s="101"/>
      <c r="H661" s="278"/>
      <c r="I661" s="101"/>
      <c r="J661" s="101"/>
      <c r="K661" s="101"/>
      <c r="L661" s="102"/>
      <c r="M661" s="102"/>
      <c r="N661" s="101"/>
      <c r="O661" s="279"/>
      <c r="P661" s="279"/>
      <c r="Q661" s="229"/>
      <c r="R661" s="229"/>
      <c r="S661" s="229"/>
      <c r="T661" s="229"/>
      <c r="U661" s="229"/>
      <c r="V661" s="229"/>
      <c r="W661" s="229"/>
      <c r="X661" s="229"/>
      <c r="Y661" s="229"/>
      <c r="Z661" s="229"/>
      <c r="AA661" s="229"/>
      <c r="AB661" s="229"/>
    </row>
    <row r="662" ht="15.75" customHeight="1">
      <c r="A662" s="276"/>
      <c r="B662" s="101"/>
      <c r="C662" s="98"/>
      <c r="D662" s="100"/>
      <c r="E662" s="98"/>
      <c r="F662" s="99"/>
      <c r="G662" s="101"/>
      <c r="H662" s="278"/>
      <c r="I662" s="101"/>
      <c r="J662" s="101"/>
      <c r="K662" s="101"/>
      <c r="L662" s="102"/>
      <c r="M662" s="102"/>
      <c r="N662" s="101"/>
      <c r="O662" s="279"/>
      <c r="P662" s="279"/>
      <c r="Q662" s="229"/>
      <c r="R662" s="229"/>
      <c r="S662" s="229"/>
      <c r="T662" s="229"/>
      <c r="U662" s="229"/>
      <c r="V662" s="229"/>
      <c r="W662" s="229"/>
      <c r="X662" s="229"/>
      <c r="Y662" s="229"/>
      <c r="Z662" s="229"/>
      <c r="AA662" s="229"/>
      <c r="AB662" s="229"/>
    </row>
    <row r="663" ht="15.75" customHeight="1">
      <c r="A663" s="276"/>
      <c r="B663" s="101"/>
      <c r="C663" s="98"/>
      <c r="D663" s="100"/>
      <c r="E663" s="98"/>
      <c r="F663" s="99"/>
      <c r="G663" s="101"/>
      <c r="H663" s="278"/>
      <c r="I663" s="101"/>
      <c r="J663" s="101"/>
      <c r="K663" s="101"/>
      <c r="L663" s="102"/>
      <c r="M663" s="102"/>
      <c r="N663" s="101"/>
      <c r="O663" s="279"/>
      <c r="P663" s="279"/>
      <c r="Q663" s="229"/>
      <c r="R663" s="229"/>
      <c r="S663" s="229"/>
      <c r="T663" s="229"/>
      <c r="U663" s="229"/>
      <c r="V663" s="229"/>
      <c r="W663" s="229"/>
      <c r="X663" s="229"/>
      <c r="Y663" s="229"/>
      <c r="Z663" s="229"/>
      <c r="AA663" s="229"/>
      <c r="AB663" s="229"/>
    </row>
    <row r="664" ht="15.75" customHeight="1">
      <c r="A664" s="276"/>
      <c r="B664" s="101"/>
      <c r="C664" s="98"/>
      <c r="D664" s="100"/>
      <c r="E664" s="98"/>
      <c r="F664" s="99"/>
      <c r="G664" s="101"/>
      <c r="H664" s="278"/>
      <c r="I664" s="101"/>
      <c r="J664" s="101"/>
      <c r="K664" s="101"/>
      <c r="L664" s="102"/>
      <c r="M664" s="102"/>
      <c r="N664" s="101"/>
      <c r="O664" s="279"/>
      <c r="P664" s="279"/>
      <c r="Q664" s="229"/>
      <c r="R664" s="229"/>
      <c r="S664" s="229"/>
      <c r="T664" s="229"/>
      <c r="U664" s="229"/>
      <c r="V664" s="229"/>
      <c r="W664" s="229"/>
      <c r="X664" s="229"/>
      <c r="Y664" s="229"/>
      <c r="Z664" s="229"/>
      <c r="AA664" s="229"/>
      <c r="AB664" s="229"/>
    </row>
    <row r="665" ht="15.75" customHeight="1">
      <c r="A665" s="276"/>
      <c r="B665" s="101"/>
      <c r="C665" s="98"/>
      <c r="D665" s="100"/>
      <c r="E665" s="98"/>
      <c r="F665" s="99"/>
      <c r="G665" s="101"/>
      <c r="H665" s="278"/>
      <c r="I665" s="101"/>
      <c r="J665" s="101"/>
      <c r="K665" s="101"/>
      <c r="L665" s="102"/>
      <c r="M665" s="102"/>
      <c r="N665" s="101"/>
      <c r="O665" s="279"/>
      <c r="P665" s="279"/>
      <c r="Q665" s="229"/>
      <c r="R665" s="229"/>
      <c r="S665" s="229"/>
      <c r="T665" s="229"/>
      <c r="U665" s="229"/>
      <c r="V665" s="229"/>
      <c r="W665" s="229"/>
      <c r="X665" s="229"/>
      <c r="Y665" s="229"/>
      <c r="Z665" s="229"/>
      <c r="AA665" s="229"/>
      <c r="AB665" s="229"/>
    </row>
    <row r="666" ht="15.75" customHeight="1">
      <c r="A666" s="276"/>
      <c r="B666" s="101"/>
      <c r="C666" s="98"/>
      <c r="D666" s="100"/>
      <c r="E666" s="98"/>
      <c r="F666" s="99"/>
      <c r="G666" s="101"/>
      <c r="H666" s="278"/>
      <c r="I666" s="101"/>
      <c r="J666" s="101"/>
      <c r="K666" s="101"/>
      <c r="L666" s="102"/>
      <c r="M666" s="102"/>
      <c r="N666" s="101"/>
      <c r="O666" s="279"/>
      <c r="P666" s="279"/>
      <c r="Q666" s="229"/>
      <c r="R666" s="229"/>
      <c r="S666" s="229"/>
      <c r="T666" s="229"/>
      <c r="U666" s="229"/>
      <c r="V666" s="229"/>
      <c r="W666" s="229"/>
      <c r="X666" s="229"/>
      <c r="Y666" s="229"/>
      <c r="Z666" s="229"/>
      <c r="AA666" s="229"/>
      <c r="AB666" s="229"/>
    </row>
    <row r="667" ht="15.75" customHeight="1">
      <c r="A667" s="276"/>
      <c r="B667" s="101"/>
      <c r="C667" s="98"/>
      <c r="D667" s="100"/>
      <c r="E667" s="98"/>
      <c r="F667" s="99"/>
      <c r="G667" s="101"/>
      <c r="H667" s="278"/>
      <c r="I667" s="101"/>
      <c r="J667" s="101"/>
      <c r="K667" s="101"/>
      <c r="L667" s="102"/>
      <c r="M667" s="102"/>
      <c r="N667" s="101"/>
      <c r="O667" s="279"/>
      <c r="P667" s="279"/>
      <c r="Q667" s="229"/>
      <c r="R667" s="229"/>
      <c r="S667" s="229"/>
      <c r="T667" s="229"/>
      <c r="U667" s="229"/>
      <c r="V667" s="229"/>
      <c r="W667" s="229"/>
      <c r="X667" s="229"/>
      <c r="Y667" s="229"/>
      <c r="Z667" s="229"/>
      <c r="AA667" s="229"/>
      <c r="AB667" s="229"/>
    </row>
    <row r="668" ht="15.75" customHeight="1">
      <c r="A668" s="276"/>
      <c r="B668" s="101"/>
      <c r="C668" s="98"/>
      <c r="D668" s="100"/>
      <c r="E668" s="98"/>
      <c r="F668" s="99"/>
      <c r="G668" s="101"/>
      <c r="H668" s="278"/>
      <c r="I668" s="101"/>
      <c r="J668" s="101"/>
      <c r="K668" s="101"/>
      <c r="L668" s="102"/>
      <c r="M668" s="102"/>
      <c r="N668" s="101"/>
      <c r="O668" s="279"/>
      <c r="P668" s="279"/>
      <c r="Q668" s="229"/>
      <c r="R668" s="229"/>
      <c r="S668" s="229"/>
      <c r="T668" s="229"/>
      <c r="U668" s="229"/>
      <c r="V668" s="229"/>
      <c r="W668" s="229"/>
      <c r="X668" s="229"/>
      <c r="Y668" s="229"/>
      <c r="Z668" s="229"/>
      <c r="AA668" s="229"/>
      <c r="AB668" s="229"/>
    </row>
    <row r="669" ht="15.75" customHeight="1">
      <c r="A669" s="276"/>
      <c r="B669" s="101"/>
      <c r="C669" s="98"/>
      <c r="D669" s="100"/>
      <c r="E669" s="98"/>
      <c r="F669" s="99"/>
      <c r="G669" s="101"/>
      <c r="H669" s="278"/>
      <c r="I669" s="101"/>
      <c r="J669" s="101"/>
      <c r="K669" s="101"/>
      <c r="L669" s="102"/>
      <c r="M669" s="102"/>
      <c r="N669" s="101"/>
      <c r="O669" s="279"/>
      <c r="P669" s="279"/>
      <c r="Q669" s="229"/>
      <c r="R669" s="229"/>
      <c r="S669" s="229"/>
      <c r="T669" s="229"/>
      <c r="U669" s="229"/>
      <c r="V669" s="229"/>
      <c r="W669" s="229"/>
      <c r="X669" s="229"/>
      <c r="Y669" s="229"/>
      <c r="Z669" s="229"/>
      <c r="AA669" s="229"/>
      <c r="AB669" s="229"/>
    </row>
    <row r="670" ht="15.75" customHeight="1">
      <c r="A670" s="276"/>
      <c r="B670" s="101"/>
      <c r="C670" s="98"/>
      <c r="D670" s="100"/>
      <c r="E670" s="98"/>
      <c r="F670" s="99"/>
      <c r="G670" s="101"/>
      <c r="H670" s="278"/>
      <c r="I670" s="101"/>
      <c r="J670" s="101"/>
      <c r="K670" s="101"/>
      <c r="L670" s="102"/>
      <c r="M670" s="102"/>
      <c r="N670" s="101"/>
      <c r="O670" s="279"/>
      <c r="P670" s="279"/>
      <c r="Q670" s="229"/>
      <c r="R670" s="229"/>
      <c r="S670" s="229"/>
      <c r="T670" s="229"/>
      <c r="U670" s="229"/>
      <c r="V670" s="229"/>
      <c r="W670" s="229"/>
      <c r="X670" s="229"/>
      <c r="Y670" s="229"/>
      <c r="Z670" s="229"/>
      <c r="AA670" s="229"/>
      <c r="AB670" s="229"/>
    </row>
    <row r="671" ht="15.75" customHeight="1">
      <c r="A671" s="276"/>
      <c r="B671" s="101"/>
      <c r="C671" s="98"/>
      <c r="D671" s="100"/>
      <c r="E671" s="98"/>
      <c r="F671" s="99"/>
      <c r="G671" s="101"/>
      <c r="H671" s="278"/>
      <c r="I671" s="101"/>
      <c r="J671" s="101"/>
      <c r="K671" s="101"/>
      <c r="L671" s="102"/>
      <c r="M671" s="102"/>
      <c r="N671" s="101"/>
      <c r="O671" s="279"/>
      <c r="P671" s="279"/>
      <c r="Q671" s="229"/>
      <c r="R671" s="229"/>
      <c r="S671" s="229"/>
      <c r="T671" s="229"/>
      <c r="U671" s="229"/>
      <c r="V671" s="229"/>
      <c r="W671" s="229"/>
      <c r="X671" s="229"/>
      <c r="Y671" s="229"/>
      <c r="Z671" s="229"/>
      <c r="AA671" s="229"/>
      <c r="AB671" s="229"/>
    </row>
    <row r="672" ht="15.75" customHeight="1">
      <c r="A672" s="276"/>
      <c r="B672" s="101"/>
      <c r="C672" s="98"/>
      <c r="D672" s="100"/>
      <c r="E672" s="98"/>
      <c r="F672" s="99"/>
      <c r="G672" s="101"/>
      <c r="H672" s="278"/>
      <c r="I672" s="101"/>
      <c r="J672" s="101"/>
      <c r="K672" s="101"/>
      <c r="L672" s="102"/>
      <c r="M672" s="102"/>
      <c r="N672" s="101"/>
      <c r="O672" s="279"/>
      <c r="P672" s="279"/>
      <c r="Q672" s="229"/>
      <c r="R672" s="229"/>
      <c r="S672" s="229"/>
      <c r="T672" s="229"/>
      <c r="U672" s="229"/>
      <c r="V672" s="229"/>
      <c r="W672" s="229"/>
      <c r="X672" s="229"/>
      <c r="Y672" s="229"/>
      <c r="Z672" s="229"/>
      <c r="AA672" s="229"/>
      <c r="AB672" s="229"/>
    </row>
    <row r="673" ht="15.75" customHeight="1">
      <c r="A673" s="276"/>
      <c r="B673" s="101"/>
      <c r="C673" s="98"/>
      <c r="D673" s="100"/>
      <c r="E673" s="98"/>
      <c r="F673" s="99"/>
      <c r="G673" s="101"/>
      <c r="H673" s="278"/>
      <c r="I673" s="101"/>
      <c r="J673" s="101"/>
      <c r="K673" s="101"/>
      <c r="L673" s="102"/>
      <c r="M673" s="102"/>
      <c r="N673" s="101"/>
      <c r="O673" s="279"/>
      <c r="P673" s="279"/>
      <c r="Q673" s="229"/>
      <c r="R673" s="229"/>
      <c r="S673" s="229"/>
      <c r="T673" s="229"/>
      <c r="U673" s="229"/>
      <c r="V673" s="229"/>
      <c r="W673" s="229"/>
      <c r="X673" s="229"/>
      <c r="Y673" s="229"/>
      <c r="Z673" s="229"/>
      <c r="AA673" s="229"/>
      <c r="AB673" s="229"/>
    </row>
    <row r="674" ht="15.75" customHeight="1">
      <c r="A674" s="276"/>
      <c r="B674" s="101"/>
      <c r="C674" s="98"/>
      <c r="D674" s="100"/>
      <c r="E674" s="98"/>
      <c r="F674" s="99"/>
      <c r="G674" s="101"/>
      <c r="H674" s="278"/>
      <c r="I674" s="101"/>
      <c r="J674" s="101"/>
      <c r="K674" s="101"/>
      <c r="L674" s="102"/>
      <c r="M674" s="102"/>
      <c r="N674" s="101"/>
      <c r="O674" s="279"/>
      <c r="P674" s="279"/>
      <c r="Q674" s="229"/>
      <c r="R674" s="229"/>
      <c r="S674" s="229"/>
      <c r="T674" s="229"/>
      <c r="U674" s="229"/>
      <c r="V674" s="229"/>
      <c r="W674" s="229"/>
      <c r="X674" s="229"/>
      <c r="Y674" s="229"/>
      <c r="Z674" s="229"/>
      <c r="AA674" s="229"/>
      <c r="AB674" s="229"/>
    </row>
    <row r="675" ht="15.75" customHeight="1">
      <c r="A675" s="276"/>
      <c r="B675" s="101"/>
      <c r="C675" s="98"/>
      <c r="D675" s="100"/>
      <c r="E675" s="98"/>
      <c r="F675" s="99"/>
      <c r="G675" s="101"/>
      <c r="H675" s="278"/>
      <c r="I675" s="101"/>
      <c r="J675" s="101"/>
      <c r="K675" s="101"/>
      <c r="L675" s="102"/>
      <c r="M675" s="102"/>
      <c r="N675" s="101"/>
      <c r="O675" s="279"/>
      <c r="P675" s="279"/>
      <c r="Q675" s="229"/>
      <c r="R675" s="229"/>
      <c r="S675" s="229"/>
      <c r="T675" s="229"/>
      <c r="U675" s="229"/>
      <c r="V675" s="229"/>
      <c r="W675" s="229"/>
      <c r="X675" s="229"/>
      <c r="Y675" s="229"/>
      <c r="Z675" s="229"/>
      <c r="AA675" s="229"/>
      <c r="AB675" s="229"/>
    </row>
    <row r="676" ht="15.75" customHeight="1">
      <c r="A676" s="276"/>
      <c r="B676" s="101"/>
      <c r="C676" s="98"/>
      <c r="D676" s="100"/>
      <c r="E676" s="98"/>
      <c r="F676" s="99"/>
      <c r="G676" s="101"/>
      <c r="H676" s="278"/>
      <c r="I676" s="101"/>
      <c r="J676" s="101"/>
      <c r="K676" s="101"/>
      <c r="L676" s="102"/>
      <c r="M676" s="102"/>
      <c r="N676" s="101"/>
      <c r="O676" s="279"/>
      <c r="P676" s="279"/>
      <c r="Q676" s="229"/>
      <c r="R676" s="229"/>
      <c r="S676" s="229"/>
      <c r="T676" s="229"/>
      <c r="U676" s="229"/>
      <c r="V676" s="229"/>
      <c r="W676" s="229"/>
      <c r="X676" s="229"/>
      <c r="Y676" s="229"/>
      <c r="Z676" s="229"/>
      <c r="AA676" s="229"/>
      <c r="AB676" s="229"/>
    </row>
    <row r="677" ht="15.75" customHeight="1">
      <c r="A677" s="276"/>
      <c r="B677" s="101"/>
      <c r="C677" s="98"/>
      <c r="D677" s="100"/>
      <c r="E677" s="98"/>
      <c r="F677" s="99"/>
      <c r="G677" s="101"/>
      <c r="H677" s="278"/>
      <c r="I677" s="101"/>
      <c r="J677" s="101"/>
      <c r="K677" s="101"/>
      <c r="L677" s="102"/>
      <c r="M677" s="102"/>
      <c r="N677" s="101"/>
      <c r="O677" s="279"/>
      <c r="P677" s="279"/>
      <c r="Q677" s="229"/>
      <c r="R677" s="229"/>
      <c r="S677" s="229"/>
      <c r="T677" s="229"/>
      <c r="U677" s="229"/>
      <c r="V677" s="229"/>
      <c r="W677" s="229"/>
      <c r="X677" s="229"/>
      <c r="Y677" s="229"/>
      <c r="Z677" s="229"/>
      <c r="AA677" s="229"/>
      <c r="AB677" s="229"/>
    </row>
    <row r="678" ht="15.75" customHeight="1">
      <c r="A678" s="276"/>
      <c r="B678" s="101"/>
      <c r="C678" s="98"/>
      <c r="D678" s="100"/>
      <c r="E678" s="98"/>
      <c r="F678" s="99"/>
      <c r="G678" s="101"/>
      <c r="H678" s="278"/>
      <c r="I678" s="101"/>
      <c r="J678" s="101"/>
      <c r="K678" s="101"/>
      <c r="L678" s="102"/>
      <c r="M678" s="102"/>
      <c r="N678" s="101"/>
      <c r="O678" s="279"/>
      <c r="P678" s="279"/>
      <c r="Q678" s="229"/>
      <c r="R678" s="229"/>
      <c r="S678" s="229"/>
      <c r="T678" s="229"/>
      <c r="U678" s="229"/>
      <c r="V678" s="229"/>
      <c r="W678" s="229"/>
      <c r="X678" s="229"/>
      <c r="Y678" s="229"/>
      <c r="Z678" s="229"/>
      <c r="AA678" s="229"/>
      <c r="AB678" s="229"/>
    </row>
    <row r="679" ht="15.75" customHeight="1">
      <c r="A679" s="276"/>
      <c r="B679" s="101"/>
      <c r="C679" s="98"/>
      <c r="D679" s="100"/>
      <c r="E679" s="98"/>
      <c r="F679" s="99"/>
      <c r="G679" s="101"/>
      <c r="H679" s="278"/>
      <c r="I679" s="101"/>
      <c r="J679" s="101"/>
      <c r="K679" s="101"/>
      <c r="L679" s="102"/>
      <c r="M679" s="102"/>
      <c r="N679" s="101"/>
      <c r="O679" s="279"/>
      <c r="P679" s="279"/>
      <c r="Q679" s="229"/>
      <c r="R679" s="229"/>
      <c r="S679" s="229"/>
      <c r="T679" s="229"/>
      <c r="U679" s="229"/>
      <c r="V679" s="229"/>
      <c r="W679" s="229"/>
      <c r="X679" s="229"/>
      <c r="Y679" s="229"/>
      <c r="Z679" s="229"/>
      <c r="AA679" s="229"/>
      <c r="AB679" s="229"/>
    </row>
    <row r="680" ht="15.75" customHeight="1">
      <c r="A680" s="276"/>
      <c r="B680" s="101"/>
      <c r="C680" s="98"/>
      <c r="D680" s="100"/>
      <c r="E680" s="98"/>
      <c r="F680" s="99"/>
      <c r="G680" s="101"/>
      <c r="H680" s="278"/>
      <c r="I680" s="101"/>
      <c r="J680" s="101"/>
      <c r="K680" s="101"/>
      <c r="L680" s="102"/>
      <c r="M680" s="102"/>
      <c r="N680" s="101"/>
      <c r="O680" s="279"/>
      <c r="P680" s="279"/>
      <c r="Q680" s="229"/>
      <c r="R680" s="229"/>
      <c r="S680" s="229"/>
      <c r="T680" s="229"/>
      <c r="U680" s="229"/>
      <c r="V680" s="229"/>
      <c r="W680" s="229"/>
      <c r="X680" s="229"/>
      <c r="Y680" s="229"/>
      <c r="Z680" s="229"/>
      <c r="AA680" s="229"/>
      <c r="AB680" s="229"/>
    </row>
    <row r="681" ht="15.75" customHeight="1">
      <c r="A681" s="276"/>
      <c r="B681" s="101"/>
      <c r="C681" s="98"/>
      <c r="D681" s="100"/>
      <c r="E681" s="98"/>
      <c r="F681" s="99"/>
      <c r="G681" s="101"/>
      <c r="H681" s="278"/>
      <c r="I681" s="101"/>
      <c r="J681" s="101"/>
      <c r="K681" s="101"/>
      <c r="L681" s="102"/>
      <c r="M681" s="102"/>
      <c r="N681" s="101"/>
      <c r="O681" s="279"/>
      <c r="P681" s="279"/>
      <c r="Q681" s="229"/>
      <c r="R681" s="229"/>
      <c r="S681" s="229"/>
      <c r="T681" s="229"/>
      <c r="U681" s="229"/>
      <c r="V681" s="229"/>
      <c r="W681" s="229"/>
      <c r="X681" s="229"/>
      <c r="Y681" s="229"/>
      <c r="Z681" s="229"/>
      <c r="AA681" s="229"/>
      <c r="AB681" s="229"/>
    </row>
    <row r="682" ht="15.75" customHeight="1">
      <c r="A682" s="276"/>
      <c r="B682" s="101"/>
      <c r="C682" s="98"/>
      <c r="D682" s="100"/>
      <c r="E682" s="98"/>
      <c r="F682" s="99"/>
      <c r="G682" s="101"/>
      <c r="H682" s="278"/>
      <c r="I682" s="101"/>
      <c r="J682" s="101"/>
      <c r="K682" s="101"/>
      <c r="L682" s="102"/>
      <c r="M682" s="102"/>
      <c r="N682" s="101"/>
      <c r="O682" s="279"/>
      <c r="P682" s="279"/>
      <c r="Q682" s="229"/>
      <c r="R682" s="229"/>
      <c r="S682" s="229"/>
      <c r="T682" s="229"/>
      <c r="U682" s="229"/>
      <c r="V682" s="229"/>
      <c r="W682" s="229"/>
      <c r="X682" s="229"/>
      <c r="Y682" s="229"/>
      <c r="Z682" s="229"/>
      <c r="AA682" s="229"/>
      <c r="AB682" s="229"/>
    </row>
    <row r="683" ht="15.75" customHeight="1">
      <c r="A683" s="276"/>
      <c r="B683" s="101"/>
      <c r="C683" s="98"/>
      <c r="D683" s="100"/>
      <c r="E683" s="98"/>
      <c r="F683" s="99"/>
      <c r="G683" s="101"/>
      <c r="H683" s="278"/>
      <c r="I683" s="101"/>
      <c r="J683" s="101"/>
      <c r="K683" s="101"/>
      <c r="L683" s="102"/>
      <c r="M683" s="102"/>
      <c r="N683" s="101"/>
      <c r="O683" s="279"/>
      <c r="P683" s="279"/>
      <c r="Q683" s="229"/>
      <c r="R683" s="229"/>
      <c r="S683" s="229"/>
      <c r="T683" s="229"/>
      <c r="U683" s="229"/>
      <c r="V683" s="229"/>
      <c r="W683" s="229"/>
      <c r="X683" s="229"/>
      <c r="Y683" s="229"/>
      <c r="Z683" s="229"/>
      <c r="AA683" s="229"/>
      <c r="AB683" s="229"/>
    </row>
    <row r="684" ht="15.75" customHeight="1">
      <c r="A684" s="276"/>
      <c r="B684" s="101"/>
      <c r="C684" s="98"/>
      <c r="D684" s="100"/>
      <c r="E684" s="98"/>
      <c r="F684" s="99"/>
      <c r="G684" s="101"/>
      <c r="H684" s="278"/>
      <c r="I684" s="101"/>
      <c r="J684" s="101"/>
      <c r="K684" s="101"/>
      <c r="L684" s="102"/>
      <c r="M684" s="102"/>
      <c r="N684" s="101"/>
      <c r="O684" s="279"/>
      <c r="P684" s="279"/>
      <c r="Q684" s="229"/>
      <c r="R684" s="229"/>
      <c r="S684" s="229"/>
      <c r="T684" s="229"/>
      <c r="U684" s="229"/>
      <c r="V684" s="229"/>
      <c r="W684" s="229"/>
      <c r="X684" s="229"/>
      <c r="Y684" s="229"/>
      <c r="Z684" s="229"/>
      <c r="AA684" s="229"/>
      <c r="AB684" s="229"/>
    </row>
    <row r="685" ht="15.75" customHeight="1">
      <c r="A685" s="276"/>
      <c r="B685" s="101"/>
      <c r="C685" s="98"/>
      <c r="D685" s="100"/>
      <c r="E685" s="98"/>
      <c r="F685" s="99"/>
      <c r="G685" s="101"/>
      <c r="H685" s="278"/>
      <c r="I685" s="101"/>
      <c r="J685" s="101"/>
      <c r="K685" s="101"/>
      <c r="L685" s="102"/>
      <c r="M685" s="102"/>
      <c r="N685" s="101"/>
      <c r="O685" s="279"/>
      <c r="P685" s="279"/>
      <c r="Q685" s="229"/>
      <c r="R685" s="229"/>
      <c r="S685" s="229"/>
      <c r="T685" s="229"/>
      <c r="U685" s="229"/>
      <c r="V685" s="229"/>
      <c r="W685" s="229"/>
      <c r="X685" s="229"/>
      <c r="Y685" s="229"/>
      <c r="Z685" s="229"/>
      <c r="AA685" s="229"/>
      <c r="AB685" s="229"/>
    </row>
    <row r="686" ht="15.75" customHeight="1">
      <c r="A686" s="276"/>
      <c r="B686" s="101"/>
      <c r="C686" s="98"/>
      <c r="D686" s="100"/>
      <c r="E686" s="98"/>
      <c r="F686" s="99"/>
      <c r="G686" s="101"/>
      <c r="H686" s="278"/>
      <c r="I686" s="101"/>
      <c r="J686" s="101"/>
      <c r="K686" s="101"/>
      <c r="L686" s="102"/>
      <c r="M686" s="102"/>
      <c r="N686" s="101"/>
      <c r="O686" s="279"/>
      <c r="P686" s="279"/>
      <c r="Q686" s="229"/>
      <c r="R686" s="229"/>
      <c r="S686" s="229"/>
      <c r="T686" s="229"/>
      <c r="U686" s="229"/>
      <c r="V686" s="229"/>
      <c r="W686" s="229"/>
      <c r="X686" s="229"/>
      <c r="Y686" s="229"/>
      <c r="Z686" s="229"/>
      <c r="AA686" s="229"/>
      <c r="AB686" s="229"/>
    </row>
    <row r="687" ht="15.75" customHeight="1">
      <c r="A687" s="276"/>
      <c r="B687" s="101"/>
      <c r="C687" s="98"/>
      <c r="D687" s="100"/>
      <c r="E687" s="98"/>
      <c r="F687" s="99"/>
      <c r="G687" s="101"/>
      <c r="H687" s="278"/>
      <c r="I687" s="101"/>
      <c r="J687" s="101"/>
      <c r="K687" s="101"/>
      <c r="L687" s="102"/>
      <c r="M687" s="102"/>
      <c r="N687" s="101"/>
      <c r="O687" s="279"/>
      <c r="P687" s="279"/>
      <c r="Q687" s="229"/>
      <c r="R687" s="229"/>
      <c r="S687" s="229"/>
      <c r="T687" s="229"/>
      <c r="U687" s="229"/>
      <c r="V687" s="229"/>
      <c r="W687" s="229"/>
      <c r="X687" s="229"/>
      <c r="Y687" s="229"/>
      <c r="Z687" s="229"/>
      <c r="AA687" s="229"/>
      <c r="AB687" s="229"/>
    </row>
    <row r="688" ht="15.75" customHeight="1">
      <c r="A688" s="276"/>
      <c r="B688" s="101"/>
      <c r="C688" s="98"/>
      <c r="D688" s="100"/>
      <c r="E688" s="98"/>
      <c r="F688" s="99"/>
      <c r="G688" s="101"/>
      <c r="H688" s="278"/>
      <c r="I688" s="101"/>
      <c r="J688" s="101"/>
      <c r="K688" s="101"/>
      <c r="L688" s="102"/>
      <c r="M688" s="102"/>
      <c r="N688" s="101"/>
      <c r="O688" s="279"/>
      <c r="P688" s="279"/>
      <c r="Q688" s="229"/>
      <c r="R688" s="229"/>
      <c r="S688" s="229"/>
      <c r="T688" s="229"/>
      <c r="U688" s="229"/>
      <c r="V688" s="229"/>
      <c r="W688" s="229"/>
      <c r="X688" s="229"/>
      <c r="Y688" s="229"/>
      <c r="Z688" s="229"/>
      <c r="AA688" s="229"/>
      <c r="AB688" s="229"/>
    </row>
    <row r="689" ht="15.75" customHeight="1">
      <c r="A689" s="276"/>
      <c r="B689" s="101"/>
      <c r="C689" s="98"/>
      <c r="D689" s="100"/>
      <c r="E689" s="98"/>
      <c r="F689" s="99"/>
      <c r="G689" s="101"/>
      <c r="H689" s="278"/>
      <c r="I689" s="101"/>
      <c r="J689" s="101"/>
      <c r="K689" s="101"/>
      <c r="L689" s="102"/>
      <c r="M689" s="102"/>
      <c r="N689" s="101"/>
      <c r="O689" s="279"/>
      <c r="P689" s="279"/>
      <c r="Q689" s="229"/>
      <c r="R689" s="229"/>
      <c r="S689" s="229"/>
      <c r="T689" s="229"/>
      <c r="U689" s="229"/>
      <c r="V689" s="229"/>
      <c r="W689" s="229"/>
      <c r="X689" s="229"/>
      <c r="Y689" s="229"/>
      <c r="Z689" s="229"/>
      <c r="AA689" s="229"/>
      <c r="AB689" s="229"/>
    </row>
    <row r="690" ht="15.75" customHeight="1">
      <c r="A690" s="276"/>
      <c r="B690" s="101"/>
      <c r="C690" s="98"/>
      <c r="D690" s="100"/>
      <c r="E690" s="98"/>
      <c r="F690" s="99"/>
      <c r="G690" s="101"/>
      <c r="H690" s="278"/>
      <c r="I690" s="101"/>
      <c r="J690" s="101"/>
      <c r="K690" s="101"/>
      <c r="L690" s="102"/>
      <c r="M690" s="102"/>
      <c r="N690" s="101"/>
      <c r="O690" s="279"/>
      <c r="P690" s="279"/>
      <c r="Q690" s="229"/>
      <c r="R690" s="229"/>
      <c r="S690" s="229"/>
      <c r="T690" s="229"/>
      <c r="U690" s="229"/>
      <c r="V690" s="229"/>
      <c r="W690" s="229"/>
      <c r="X690" s="229"/>
      <c r="Y690" s="229"/>
      <c r="Z690" s="229"/>
      <c r="AA690" s="229"/>
      <c r="AB690" s="229"/>
    </row>
    <row r="691" ht="15.75" customHeight="1">
      <c r="A691" s="276"/>
      <c r="B691" s="101"/>
      <c r="C691" s="98"/>
      <c r="D691" s="100"/>
      <c r="E691" s="98"/>
      <c r="F691" s="99"/>
      <c r="G691" s="101"/>
      <c r="H691" s="278"/>
      <c r="I691" s="101"/>
      <c r="J691" s="101"/>
      <c r="K691" s="101"/>
      <c r="L691" s="102"/>
      <c r="M691" s="102"/>
      <c r="N691" s="101"/>
      <c r="O691" s="279"/>
      <c r="P691" s="279"/>
      <c r="Q691" s="229"/>
      <c r="R691" s="229"/>
      <c r="S691" s="229"/>
      <c r="T691" s="229"/>
      <c r="U691" s="229"/>
      <c r="V691" s="229"/>
      <c r="W691" s="229"/>
      <c r="X691" s="229"/>
      <c r="Y691" s="229"/>
      <c r="Z691" s="229"/>
      <c r="AA691" s="229"/>
      <c r="AB691" s="229"/>
    </row>
    <row r="692" ht="15.75" customHeight="1">
      <c r="A692" s="276"/>
      <c r="B692" s="101"/>
      <c r="C692" s="98"/>
      <c r="D692" s="100"/>
      <c r="E692" s="98"/>
      <c r="F692" s="99"/>
      <c r="G692" s="101"/>
      <c r="H692" s="278"/>
      <c r="I692" s="101"/>
      <c r="J692" s="101"/>
      <c r="K692" s="101"/>
      <c r="L692" s="102"/>
      <c r="M692" s="102"/>
      <c r="N692" s="101"/>
      <c r="O692" s="279"/>
      <c r="P692" s="279"/>
      <c r="Q692" s="229"/>
      <c r="R692" s="229"/>
      <c r="S692" s="229"/>
      <c r="T692" s="229"/>
      <c r="U692" s="229"/>
      <c r="V692" s="229"/>
      <c r="W692" s="229"/>
      <c r="X692" s="229"/>
      <c r="Y692" s="229"/>
      <c r="Z692" s="229"/>
      <c r="AA692" s="229"/>
      <c r="AB692" s="229"/>
    </row>
    <row r="693" ht="15.75" customHeight="1">
      <c r="A693" s="276"/>
      <c r="B693" s="101"/>
      <c r="C693" s="98"/>
      <c r="D693" s="100"/>
      <c r="E693" s="98"/>
      <c r="F693" s="99"/>
      <c r="G693" s="101"/>
      <c r="H693" s="278"/>
      <c r="I693" s="101"/>
      <c r="J693" s="101"/>
      <c r="K693" s="101"/>
      <c r="L693" s="102"/>
      <c r="M693" s="102"/>
      <c r="N693" s="101"/>
      <c r="O693" s="279"/>
      <c r="P693" s="279"/>
      <c r="Q693" s="229"/>
      <c r="R693" s="229"/>
      <c r="S693" s="229"/>
      <c r="T693" s="229"/>
      <c r="U693" s="229"/>
      <c r="V693" s="229"/>
      <c r="W693" s="229"/>
      <c r="X693" s="229"/>
      <c r="Y693" s="229"/>
      <c r="Z693" s="229"/>
      <c r="AA693" s="229"/>
      <c r="AB693" s="229"/>
    </row>
    <row r="694" ht="15.75" customHeight="1">
      <c r="A694" s="276"/>
      <c r="B694" s="101"/>
      <c r="C694" s="98"/>
      <c r="D694" s="100"/>
      <c r="E694" s="98"/>
      <c r="F694" s="99"/>
      <c r="G694" s="101"/>
      <c r="H694" s="278"/>
      <c r="I694" s="101"/>
      <c r="J694" s="101"/>
      <c r="K694" s="101"/>
      <c r="L694" s="102"/>
      <c r="M694" s="102"/>
      <c r="N694" s="101"/>
      <c r="O694" s="279"/>
      <c r="P694" s="279"/>
      <c r="Q694" s="229"/>
      <c r="R694" s="229"/>
      <c r="S694" s="229"/>
      <c r="T694" s="229"/>
      <c r="U694" s="229"/>
      <c r="V694" s="229"/>
      <c r="W694" s="229"/>
      <c r="X694" s="229"/>
      <c r="Y694" s="229"/>
      <c r="Z694" s="229"/>
      <c r="AA694" s="229"/>
      <c r="AB694" s="229"/>
    </row>
    <row r="695" ht="15.75" customHeight="1">
      <c r="A695" s="276"/>
      <c r="B695" s="101"/>
      <c r="C695" s="98"/>
      <c r="D695" s="100"/>
      <c r="E695" s="98"/>
      <c r="F695" s="99"/>
      <c r="G695" s="101"/>
      <c r="H695" s="278"/>
      <c r="I695" s="101"/>
      <c r="J695" s="101"/>
      <c r="K695" s="101"/>
      <c r="L695" s="102"/>
      <c r="M695" s="102"/>
      <c r="N695" s="101"/>
      <c r="O695" s="279"/>
      <c r="P695" s="279"/>
      <c r="Q695" s="229"/>
      <c r="R695" s="229"/>
      <c r="S695" s="229"/>
      <c r="T695" s="229"/>
      <c r="U695" s="229"/>
      <c r="V695" s="229"/>
      <c r="W695" s="229"/>
      <c r="X695" s="229"/>
      <c r="Y695" s="229"/>
      <c r="Z695" s="229"/>
      <c r="AA695" s="229"/>
      <c r="AB695" s="229"/>
    </row>
    <row r="696" ht="15.75" customHeight="1">
      <c r="A696" s="276"/>
      <c r="B696" s="101"/>
      <c r="C696" s="98"/>
      <c r="D696" s="100"/>
      <c r="E696" s="98"/>
      <c r="F696" s="99"/>
      <c r="G696" s="101"/>
      <c r="H696" s="278"/>
      <c r="I696" s="101"/>
      <c r="J696" s="101"/>
      <c r="K696" s="101"/>
      <c r="L696" s="102"/>
      <c r="M696" s="102"/>
      <c r="N696" s="101"/>
      <c r="O696" s="279"/>
      <c r="P696" s="279"/>
      <c r="Q696" s="229"/>
      <c r="R696" s="229"/>
      <c r="S696" s="229"/>
      <c r="T696" s="229"/>
      <c r="U696" s="229"/>
      <c r="V696" s="229"/>
      <c r="W696" s="229"/>
      <c r="X696" s="229"/>
      <c r="Y696" s="229"/>
      <c r="Z696" s="229"/>
      <c r="AA696" s="229"/>
      <c r="AB696" s="229"/>
    </row>
    <row r="697" ht="15.75" customHeight="1">
      <c r="A697" s="276"/>
      <c r="B697" s="101"/>
      <c r="C697" s="98"/>
      <c r="D697" s="100"/>
      <c r="E697" s="98"/>
      <c r="F697" s="99"/>
      <c r="G697" s="101"/>
      <c r="H697" s="278"/>
      <c r="I697" s="101"/>
      <c r="J697" s="101"/>
      <c r="K697" s="101"/>
      <c r="L697" s="102"/>
      <c r="M697" s="102"/>
      <c r="N697" s="101"/>
      <c r="O697" s="279"/>
      <c r="P697" s="279"/>
      <c r="Q697" s="229"/>
      <c r="R697" s="229"/>
      <c r="S697" s="229"/>
      <c r="T697" s="229"/>
      <c r="U697" s="229"/>
      <c r="V697" s="229"/>
      <c r="W697" s="229"/>
      <c r="X697" s="229"/>
      <c r="Y697" s="229"/>
      <c r="Z697" s="229"/>
      <c r="AA697" s="229"/>
      <c r="AB697" s="229"/>
    </row>
    <row r="698" ht="15.75" customHeight="1">
      <c r="A698" s="276"/>
      <c r="B698" s="101"/>
      <c r="C698" s="98"/>
      <c r="D698" s="100"/>
      <c r="E698" s="98"/>
      <c r="F698" s="99"/>
      <c r="G698" s="101"/>
      <c r="H698" s="278"/>
      <c r="I698" s="101"/>
      <c r="J698" s="101"/>
      <c r="K698" s="101"/>
      <c r="L698" s="102"/>
      <c r="M698" s="102"/>
      <c r="N698" s="101"/>
      <c r="O698" s="279"/>
      <c r="P698" s="279"/>
      <c r="Q698" s="229"/>
      <c r="R698" s="229"/>
      <c r="S698" s="229"/>
      <c r="T698" s="229"/>
      <c r="U698" s="229"/>
      <c r="V698" s="229"/>
      <c r="W698" s="229"/>
      <c r="X698" s="229"/>
      <c r="Y698" s="229"/>
      <c r="Z698" s="229"/>
      <c r="AA698" s="229"/>
      <c r="AB698" s="229"/>
    </row>
    <row r="699" ht="15.75" customHeight="1">
      <c r="A699" s="276"/>
      <c r="B699" s="101"/>
      <c r="C699" s="98"/>
      <c r="D699" s="100"/>
      <c r="E699" s="98"/>
      <c r="F699" s="99"/>
      <c r="G699" s="101"/>
      <c r="H699" s="278"/>
      <c r="I699" s="101"/>
      <c r="J699" s="101"/>
      <c r="K699" s="101"/>
      <c r="L699" s="102"/>
      <c r="M699" s="102"/>
      <c r="N699" s="101"/>
      <c r="O699" s="279"/>
      <c r="P699" s="279"/>
      <c r="Q699" s="229"/>
      <c r="R699" s="229"/>
      <c r="S699" s="229"/>
      <c r="T699" s="229"/>
      <c r="U699" s="229"/>
      <c r="V699" s="229"/>
      <c r="W699" s="229"/>
      <c r="X699" s="229"/>
      <c r="Y699" s="229"/>
      <c r="Z699" s="229"/>
      <c r="AA699" s="229"/>
      <c r="AB699" s="229"/>
    </row>
    <row r="700" ht="15.75" customHeight="1">
      <c r="A700" s="276"/>
      <c r="B700" s="101"/>
      <c r="C700" s="98"/>
      <c r="D700" s="100"/>
      <c r="E700" s="98"/>
      <c r="F700" s="99"/>
      <c r="G700" s="101"/>
      <c r="H700" s="278"/>
      <c r="I700" s="101"/>
      <c r="J700" s="101"/>
      <c r="K700" s="101"/>
      <c r="L700" s="102"/>
      <c r="M700" s="102"/>
      <c r="N700" s="101"/>
      <c r="O700" s="279"/>
      <c r="P700" s="279"/>
      <c r="Q700" s="229"/>
      <c r="R700" s="229"/>
      <c r="S700" s="229"/>
      <c r="T700" s="229"/>
      <c r="U700" s="229"/>
      <c r="V700" s="229"/>
      <c r="W700" s="229"/>
      <c r="X700" s="229"/>
      <c r="Y700" s="229"/>
      <c r="Z700" s="229"/>
      <c r="AA700" s="229"/>
      <c r="AB700" s="229"/>
    </row>
    <row r="701" ht="15.75" customHeight="1">
      <c r="A701" s="276"/>
      <c r="B701" s="101"/>
      <c r="C701" s="98"/>
      <c r="D701" s="100"/>
      <c r="E701" s="98"/>
      <c r="F701" s="99"/>
      <c r="G701" s="101"/>
      <c r="H701" s="278"/>
      <c r="I701" s="101"/>
      <c r="J701" s="101"/>
      <c r="K701" s="101"/>
      <c r="L701" s="102"/>
      <c r="M701" s="102"/>
      <c r="N701" s="101"/>
      <c r="O701" s="279"/>
      <c r="P701" s="279"/>
      <c r="Q701" s="229"/>
      <c r="R701" s="229"/>
      <c r="S701" s="229"/>
      <c r="T701" s="229"/>
      <c r="U701" s="229"/>
      <c r="V701" s="229"/>
      <c r="W701" s="229"/>
      <c r="X701" s="229"/>
      <c r="Y701" s="229"/>
      <c r="Z701" s="229"/>
      <c r="AA701" s="229"/>
      <c r="AB701" s="229"/>
    </row>
    <row r="702" ht="15.75" customHeight="1">
      <c r="A702" s="276"/>
      <c r="B702" s="101"/>
      <c r="C702" s="98"/>
      <c r="D702" s="100"/>
      <c r="E702" s="98"/>
      <c r="F702" s="99"/>
      <c r="G702" s="101"/>
      <c r="H702" s="278"/>
      <c r="I702" s="101"/>
      <c r="J702" s="101"/>
      <c r="K702" s="101"/>
      <c r="L702" s="102"/>
      <c r="M702" s="102"/>
      <c r="N702" s="101"/>
      <c r="O702" s="279"/>
      <c r="P702" s="279"/>
      <c r="Q702" s="229"/>
      <c r="R702" s="229"/>
      <c r="S702" s="229"/>
      <c r="T702" s="229"/>
      <c r="U702" s="229"/>
      <c r="V702" s="229"/>
      <c r="W702" s="229"/>
      <c r="X702" s="229"/>
      <c r="Y702" s="229"/>
      <c r="Z702" s="229"/>
      <c r="AA702" s="229"/>
      <c r="AB702" s="229"/>
    </row>
    <row r="703" ht="15.75" customHeight="1">
      <c r="A703" s="276"/>
      <c r="B703" s="101"/>
      <c r="C703" s="98"/>
      <c r="D703" s="100"/>
      <c r="E703" s="98"/>
      <c r="F703" s="99"/>
      <c r="G703" s="101"/>
      <c r="H703" s="278"/>
      <c r="I703" s="101"/>
      <c r="J703" s="101"/>
      <c r="K703" s="101"/>
      <c r="L703" s="102"/>
      <c r="M703" s="102"/>
      <c r="N703" s="101"/>
      <c r="O703" s="279"/>
      <c r="P703" s="279"/>
      <c r="Q703" s="229"/>
      <c r="R703" s="229"/>
      <c r="S703" s="229"/>
      <c r="T703" s="229"/>
      <c r="U703" s="229"/>
      <c r="V703" s="229"/>
      <c r="W703" s="229"/>
      <c r="X703" s="229"/>
      <c r="Y703" s="229"/>
      <c r="Z703" s="229"/>
      <c r="AA703" s="229"/>
      <c r="AB703" s="229"/>
    </row>
    <row r="704" ht="15.75" customHeight="1">
      <c r="A704" s="276"/>
      <c r="B704" s="101"/>
      <c r="C704" s="98"/>
      <c r="D704" s="100"/>
      <c r="E704" s="98"/>
      <c r="F704" s="99"/>
      <c r="G704" s="101"/>
      <c r="H704" s="278"/>
      <c r="I704" s="101"/>
      <c r="J704" s="101"/>
      <c r="K704" s="101"/>
      <c r="L704" s="102"/>
      <c r="M704" s="102"/>
      <c r="N704" s="101"/>
      <c r="O704" s="279"/>
      <c r="P704" s="279"/>
      <c r="Q704" s="229"/>
      <c r="R704" s="229"/>
      <c r="S704" s="229"/>
      <c r="T704" s="229"/>
      <c r="U704" s="229"/>
      <c r="V704" s="229"/>
      <c r="W704" s="229"/>
      <c r="X704" s="229"/>
      <c r="Y704" s="229"/>
      <c r="Z704" s="229"/>
      <c r="AA704" s="229"/>
      <c r="AB704" s="229"/>
    </row>
    <row r="705" ht="15.75" customHeight="1">
      <c r="A705" s="276"/>
      <c r="B705" s="101"/>
      <c r="C705" s="98"/>
      <c r="D705" s="100"/>
      <c r="E705" s="98"/>
      <c r="F705" s="99"/>
      <c r="G705" s="101"/>
      <c r="H705" s="278"/>
      <c r="I705" s="101"/>
      <c r="J705" s="101"/>
      <c r="K705" s="101"/>
      <c r="L705" s="102"/>
      <c r="M705" s="102"/>
      <c r="N705" s="101"/>
      <c r="O705" s="279"/>
      <c r="P705" s="279"/>
      <c r="Q705" s="229"/>
      <c r="R705" s="229"/>
      <c r="S705" s="229"/>
      <c r="T705" s="229"/>
      <c r="U705" s="229"/>
      <c r="V705" s="229"/>
      <c r="W705" s="229"/>
      <c r="X705" s="229"/>
      <c r="Y705" s="229"/>
      <c r="Z705" s="229"/>
      <c r="AA705" s="229"/>
      <c r="AB705" s="229"/>
    </row>
    <row r="706" ht="15.75" customHeight="1">
      <c r="A706" s="276"/>
      <c r="B706" s="101"/>
      <c r="C706" s="98"/>
      <c r="D706" s="100"/>
      <c r="E706" s="98"/>
      <c r="F706" s="99"/>
      <c r="G706" s="101"/>
      <c r="H706" s="278"/>
      <c r="I706" s="101"/>
      <c r="J706" s="101"/>
      <c r="K706" s="101"/>
      <c r="L706" s="102"/>
      <c r="M706" s="102"/>
      <c r="N706" s="101"/>
      <c r="O706" s="279"/>
      <c r="P706" s="279"/>
      <c r="Q706" s="229"/>
      <c r="R706" s="229"/>
      <c r="S706" s="229"/>
      <c r="T706" s="229"/>
      <c r="U706" s="229"/>
      <c r="V706" s="229"/>
      <c r="W706" s="229"/>
      <c r="X706" s="229"/>
      <c r="Y706" s="229"/>
      <c r="Z706" s="229"/>
      <c r="AA706" s="229"/>
      <c r="AB706" s="229"/>
    </row>
    <row r="707" ht="15.75" customHeight="1">
      <c r="A707" s="276"/>
      <c r="B707" s="101"/>
      <c r="C707" s="98"/>
      <c r="D707" s="100"/>
      <c r="E707" s="98"/>
      <c r="F707" s="99"/>
      <c r="G707" s="101"/>
      <c r="H707" s="278"/>
      <c r="I707" s="101"/>
      <c r="J707" s="101"/>
      <c r="K707" s="101"/>
      <c r="L707" s="102"/>
      <c r="M707" s="102"/>
      <c r="N707" s="101"/>
      <c r="O707" s="279"/>
      <c r="P707" s="279"/>
      <c r="Q707" s="229"/>
      <c r="R707" s="229"/>
      <c r="S707" s="229"/>
      <c r="T707" s="229"/>
      <c r="U707" s="229"/>
      <c r="V707" s="229"/>
      <c r="W707" s="229"/>
      <c r="X707" s="229"/>
      <c r="Y707" s="229"/>
      <c r="Z707" s="229"/>
      <c r="AA707" s="229"/>
      <c r="AB707" s="229"/>
    </row>
    <row r="708" ht="15.75" customHeight="1">
      <c r="A708" s="276"/>
      <c r="B708" s="101"/>
      <c r="C708" s="98"/>
      <c r="D708" s="100"/>
      <c r="E708" s="98"/>
      <c r="F708" s="99"/>
      <c r="G708" s="101"/>
      <c r="H708" s="278"/>
      <c r="I708" s="101"/>
      <c r="J708" s="101"/>
      <c r="K708" s="101"/>
      <c r="L708" s="102"/>
      <c r="M708" s="102"/>
      <c r="N708" s="101"/>
      <c r="O708" s="279"/>
      <c r="P708" s="279"/>
      <c r="Q708" s="229"/>
      <c r="R708" s="229"/>
      <c r="S708" s="229"/>
      <c r="T708" s="229"/>
      <c r="U708" s="229"/>
      <c r="V708" s="229"/>
      <c r="W708" s="229"/>
      <c r="X708" s="229"/>
      <c r="Y708" s="229"/>
      <c r="Z708" s="229"/>
      <c r="AA708" s="229"/>
      <c r="AB708" s="229"/>
    </row>
    <row r="709" ht="15.75" customHeight="1">
      <c r="A709" s="276"/>
      <c r="B709" s="101"/>
      <c r="C709" s="98"/>
      <c r="D709" s="100"/>
      <c r="E709" s="98"/>
      <c r="F709" s="99"/>
      <c r="G709" s="101"/>
      <c r="H709" s="278"/>
      <c r="I709" s="101"/>
      <c r="J709" s="101"/>
      <c r="K709" s="101"/>
      <c r="L709" s="102"/>
      <c r="M709" s="102"/>
      <c r="N709" s="101"/>
      <c r="O709" s="279"/>
      <c r="P709" s="279"/>
      <c r="Q709" s="229"/>
      <c r="R709" s="229"/>
      <c r="S709" s="229"/>
      <c r="T709" s="229"/>
      <c r="U709" s="229"/>
      <c r="V709" s="229"/>
      <c r="W709" s="229"/>
      <c r="X709" s="229"/>
      <c r="Y709" s="229"/>
      <c r="Z709" s="229"/>
      <c r="AA709" s="229"/>
      <c r="AB709" s="229"/>
    </row>
    <row r="710" ht="15.75" customHeight="1">
      <c r="A710" s="276"/>
      <c r="B710" s="101"/>
      <c r="C710" s="98"/>
      <c r="D710" s="100"/>
      <c r="E710" s="98"/>
      <c r="F710" s="99"/>
      <c r="G710" s="101"/>
      <c r="H710" s="278"/>
      <c r="I710" s="101"/>
      <c r="J710" s="101"/>
      <c r="K710" s="101"/>
      <c r="L710" s="102"/>
      <c r="M710" s="102"/>
      <c r="N710" s="101"/>
      <c r="O710" s="279"/>
      <c r="P710" s="279"/>
      <c r="Q710" s="229"/>
      <c r="R710" s="229"/>
      <c r="S710" s="229"/>
      <c r="T710" s="229"/>
      <c r="U710" s="229"/>
      <c r="V710" s="229"/>
      <c r="W710" s="229"/>
      <c r="X710" s="229"/>
      <c r="Y710" s="229"/>
      <c r="Z710" s="229"/>
      <c r="AA710" s="229"/>
      <c r="AB710" s="229"/>
    </row>
    <row r="711" ht="15.75" customHeight="1">
      <c r="A711" s="276"/>
      <c r="B711" s="101"/>
      <c r="C711" s="98"/>
      <c r="D711" s="100"/>
      <c r="E711" s="98"/>
      <c r="F711" s="99"/>
      <c r="G711" s="101"/>
      <c r="H711" s="278"/>
      <c r="I711" s="101"/>
      <c r="J711" s="101"/>
      <c r="K711" s="101"/>
      <c r="L711" s="102"/>
      <c r="M711" s="102"/>
      <c r="N711" s="101"/>
      <c r="O711" s="279"/>
      <c r="P711" s="279"/>
      <c r="Q711" s="229"/>
      <c r="R711" s="229"/>
      <c r="S711" s="229"/>
      <c r="T711" s="229"/>
      <c r="U711" s="229"/>
      <c r="V711" s="229"/>
      <c r="W711" s="229"/>
      <c r="X711" s="229"/>
      <c r="Y711" s="229"/>
      <c r="Z711" s="229"/>
      <c r="AA711" s="229"/>
      <c r="AB711" s="229"/>
    </row>
    <row r="712" ht="15.75" customHeight="1">
      <c r="A712" s="276"/>
      <c r="B712" s="101"/>
      <c r="C712" s="98"/>
      <c r="D712" s="100"/>
      <c r="E712" s="98"/>
      <c r="F712" s="99"/>
      <c r="G712" s="101"/>
      <c r="H712" s="278"/>
      <c r="I712" s="101"/>
      <c r="J712" s="101"/>
      <c r="K712" s="101"/>
      <c r="L712" s="102"/>
      <c r="M712" s="102"/>
      <c r="N712" s="101"/>
      <c r="O712" s="279"/>
      <c r="P712" s="279"/>
      <c r="Q712" s="229"/>
      <c r="R712" s="229"/>
      <c r="S712" s="229"/>
      <c r="T712" s="229"/>
      <c r="U712" s="229"/>
      <c r="V712" s="229"/>
      <c r="W712" s="229"/>
      <c r="X712" s="229"/>
      <c r="Y712" s="229"/>
      <c r="Z712" s="229"/>
      <c r="AA712" s="229"/>
      <c r="AB712" s="229"/>
    </row>
    <row r="713" ht="15.75" customHeight="1">
      <c r="A713" s="276"/>
      <c r="B713" s="101"/>
      <c r="C713" s="98"/>
      <c r="D713" s="100"/>
      <c r="E713" s="98"/>
      <c r="F713" s="99"/>
      <c r="G713" s="101"/>
      <c r="H713" s="278"/>
      <c r="I713" s="101"/>
      <c r="J713" s="101"/>
      <c r="K713" s="101"/>
      <c r="L713" s="102"/>
      <c r="M713" s="102"/>
      <c r="N713" s="101"/>
      <c r="O713" s="279"/>
      <c r="P713" s="279"/>
      <c r="Q713" s="229"/>
      <c r="R713" s="229"/>
      <c r="S713" s="229"/>
      <c r="T713" s="229"/>
      <c r="U713" s="229"/>
      <c r="V713" s="229"/>
      <c r="W713" s="229"/>
      <c r="X713" s="229"/>
      <c r="Y713" s="229"/>
      <c r="Z713" s="229"/>
      <c r="AA713" s="229"/>
      <c r="AB713" s="229"/>
    </row>
    <row r="714" ht="15.75" customHeight="1">
      <c r="A714" s="276"/>
      <c r="B714" s="101"/>
      <c r="C714" s="98"/>
      <c r="D714" s="100"/>
      <c r="E714" s="98"/>
      <c r="F714" s="99"/>
      <c r="G714" s="101"/>
      <c r="H714" s="278"/>
      <c r="I714" s="101"/>
      <c r="J714" s="101"/>
      <c r="K714" s="101"/>
      <c r="L714" s="102"/>
      <c r="M714" s="102"/>
      <c r="N714" s="101"/>
      <c r="O714" s="279"/>
      <c r="P714" s="279"/>
      <c r="Q714" s="229"/>
      <c r="R714" s="229"/>
      <c r="S714" s="229"/>
      <c r="T714" s="229"/>
      <c r="U714" s="229"/>
      <c r="V714" s="229"/>
      <c r="W714" s="229"/>
      <c r="X714" s="229"/>
      <c r="Y714" s="229"/>
      <c r="Z714" s="229"/>
      <c r="AA714" s="229"/>
      <c r="AB714" s="229"/>
    </row>
    <row r="715" ht="15.75" customHeight="1">
      <c r="A715" s="276"/>
      <c r="B715" s="101"/>
      <c r="C715" s="98"/>
      <c r="D715" s="100"/>
      <c r="E715" s="98"/>
      <c r="F715" s="99"/>
      <c r="G715" s="101"/>
      <c r="H715" s="278"/>
      <c r="I715" s="101"/>
      <c r="J715" s="101"/>
      <c r="K715" s="101"/>
      <c r="L715" s="102"/>
      <c r="M715" s="102"/>
      <c r="N715" s="101"/>
      <c r="O715" s="279"/>
      <c r="P715" s="279"/>
      <c r="Q715" s="229"/>
      <c r="R715" s="229"/>
      <c r="S715" s="229"/>
      <c r="T715" s="229"/>
      <c r="U715" s="229"/>
      <c r="V715" s="229"/>
      <c r="W715" s="229"/>
      <c r="X715" s="229"/>
      <c r="Y715" s="229"/>
      <c r="Z715" s="229"/>
      <c r="AA715" s="229"/>
      <c r="AB715" s="229"/>
    </row>
    <row r="716" ht="15.75" customHeight="1">
      <c r="A716" s="276"/>
      <c r="B716" s="101"/>
      <c r="C716" s="98"/>
      <c r="D716" s="100"/>
      <c r="E716" s="98"/>
      <c r="F716" s="99"/>
      <c r="G716" s="101"/>
      <c r="H716" s="278"/>
      <c r="I716" s="101"/>
      <c r="J716" s="101"/>
      <c r="K716" s="101"/>
      <c r="L716" s="102"/>
      <c r="M716" s="102"/>
      <c r="N716" s="101"/>
      <c r="O716" s="279"/>
      <c r="P716" s="279"/>
      <c r="Q716" s="229"/>
      <c r="R716" s="229"/>
      <c r="S716" s="229"/>
      <c r="T716" s="229"/>
      <c r="U716" s="229"/>
      <c r="V716" s="229"/>
      <c r="W716" s="229"/>
      <c r="X716" s="229"/>
      <c r="Y716" s="229"/>
      <c r="Z716" s="229"/>
      <c r="AA716" s="229"/>
      <c r="AB716" s="229"/>
    </row>
    <row r="717" ht="15.75" customHeight="1">
      <c r="A717" s="276"/>
      <c r="B717" s="101"/>
      <c r="C717" s="98"/>
      <c r="D717" s="100"/>
      <c r="E717" s="98"/>
      <c r="F717" s="99"/>
      <c r="G717" s="101"/>
      <c r="H717" s="278"/>
      <c r="I717" s="101"/>
      <c r="J717" s="101"/>
      <c r="K717" s="101"/>
      <c r="L717" s="102"/>
      <c r="M717" s="102"/>
      <c r="N717" s="101"/>
      <c r="O717" s="279"/>
      <c r="P717" s="279"/>
      <c r="Q717" s="229"/>
      <c r="R717" s="229"/>
      <c r="S717" s="229"/>
      <c r="T717" s="229"/>
      <c r="U717" s="229"/>
      <c r="V717" s="229"/>
      <c r="W717" s="229"/>
      <c r="X717" s="229"/>
      <c r="Y717" s="229"/>
      <c r="Z717" s="229"/>
      <c r="AA717" s="229"/>
      <c r="AB717" s="229"/>
    </row>
    <row r="718" ht="15.75" customHeight="1">
      <c r="A718" s="276"/>
      <c r="B718" s="101"/>
      <c r="C718" s="98"/>
      <c r="D718" s="100"/>
      <c r="E718" s="98"/>
      <c r="F718" s="99"/>
      <c r="G718" s="101"/>
      <c r="H718" s="278"/>
      <c r="I718" s="101"/>
      <c r="J718" s="101"/>
      <c r="K718" s="101"/>
      <c r="L718" s="102"/>
      <c r="M718" s="102"/>
      <c r="N718" s="101"/>
      <c r="O718" s="279"/>
      <c r="P718" s="279"/>
      <c r="Q718" s="229"/>
      <c r="R718" s="229"/>
      <c r="S718" s="229"/>
      <c r="T718" s="229"/>
      <c r="U718" s="229"/>
      <c r="V718" s="229"/>
      <c r="W718" s="229"/>
      <c r="X718" s="229"/>
      <c r="Y718" s="229"/>
      <c r="Z718" s="229"/>
      <c r="AA718" s="229"/>
      <c r="AB718" s="229"/>
    </row>
    <row r="719" ht="15.75" customHeight="1">
      <c r="A719" s="276"/>
      <c r="B719" s="101"/>
      <c r="C719" s="98"/>
      <c r="D719" s="100"/>
      <c r="E719" s="98"/>
      <c r="F719" s="99"/>
      <c r="G719" s="101"/>
      <c r="H719" s="278"/>
      <c r="I719" s="101"/>
      <c r="J719" s="101"/>
      <c r="K719" s="101"/>
      <c r="L719" s="102"/>
      <c r="M719" s="102"/>
      <c r="N719" s="101"/>
      <c r="O719" s="279"/>
      <c r="P719" s="279"/>
      <c r="Q719" s="229"/>
      <c r="R719" s="229"/>
      <c r="S719" s="229"/>
      <c r="T719" s="229"/>
      <c r="U719" s="229"/>
      <c r="V719" s="229"/>
      <c r="W719" s="229"/>
      <c r="X719" s="229"/>
      <c r="Y719" s="229"/>
      <c r="Z719" s="229"/>
      <c r="AA719" s="229"/>
      <c r="AB719" s="229"/>
    </row>
    <row r="720" ht="15.75" customHeight="1">
      <c r="A720" s="276"/>
      <c r="B720" s="101"/>
      <c r="C720" s="98"/>
      <c r="D720" s="100"/>
      <c r="E720" s="98"/>
      <c r="F720" s="99"/>
      <c r="G720" s="101"/>
      <c r="H720" s="278"/>
      <c r="I720" s="101"/>
      <c r="J720" s="101"/>
      <c r="K720" s="101"/>
      <c r="L720" s="102"/>
      <c r="M720" s="102"/>
      <c r="N720" s="101"/>
      <c r="O720" s="279"/>
      <c r="P720" s="279"/>
      <c r="Q720" s="229"/>
      <c r="R720" s="229"/>
      <c r="S720" s="229"/>
      <c r="T720" s="229"/>
      <c r="U720" s="229"/>
      <c r="V720" s="229"/>
      <c r="W720" s="229"/>
      <c r="X720" s="229"/>
      <c r="Y720" s="229"/>
      <c r="Z720" s="229"/>
      <c r="AA720" s="229"/>
      <c r="AB720" s="229"/>
    </row>
    <row r="721" ht="15.75" customHeight="1">
      <c r="A721" s="276"/>
      <c r="B721" s="101"/>
      <c r="C721" s="98"/>
      <c r="D721" s="100"/>
      <c r="E721" s="98"/>
      <c r="F721" s="99"/>
      <c r="G721" s="101"/>
      <c r="H721" s="278"/>
      <c r="I721" s="101"/>
      <c r="J721" s="101"/>
      <c r="K721" s="101"/>
      <c r="L721" s="102"/>
      <c r="M721" s="102"/>
      <c r="N721" s="101"/>
      <c r="O721" s="279"/>
      <c r="P721" s="279"/>
      <c r="Q721" s="229"/>
      <c r="R721" s="229"/>
      <c r="S721" s="229"/>
      <c r="T721" s="229"/>
      <c r="U721" s="229"/>
      <c r="V721" s="229"/>
      <c r="W721" s="229"/>
      <c r="X721" s="229"/>
      <c r="Y721" s="229"/>
      <c r="Z721" s="229"/>
      <c r="AA721" s="229"/>
      <c r="AB721" s="229"/>
    </row>
    <row r="722" ht="15.75" customHeight="1">
      <c r="A722" s="276"/>
      <c r="B722" s="101"/>
      <c r="C722" s="98"/>
      <c r="D722" s="100"/>
      <c r="E722" s="98"/>
      <c r="F722" s="99"/>
      <c r="G722" s="101"/>
      <c r="H722" s="278"/>
      <c r="I722" s="101"/>
      <c r="J722" s="101"/>
      <c r="K722" s="101"/>
      <c r="L722" s="102"/>
      <c r="M722" s="102"/>
      <c r="N722" s="101"/>
      <c r="O722" s="279"/>
      <c r="P722" s="279"/>
      <c r="Q722" s="229"/>
      <c r="R722" s="229"/>
      <c r="S722" s="229"/>
      <c r="T722" s="229"/>
      <c r="U722" s="229"/>
      <c r="V722" s="229"/>
      <c r="W722" s="229"/>
      <c r="X722" s="229"/>
      <c r="Y722" s="229"/>
      <c r="Z722" s="229"/>
      <c r="AA722" s="229"/>
      <c r="AB722" s="229"/>
    </row>
    <row r="723" ht="15.75" customHeight="1">
      <c r="A723" s="276"/>
      <c r="B723" s="101"/>
      <c r="C723" s="98"/>
      <c r="D723" s="100"/>
      <c r="E723" s="98"/>
      <c r="F723" s="99"/>
      <c r="G723" s="101"/>
      <c r="H723" s="278"/>
      <c r="I723" s="101"/>
      <c r="J723" s="101"/>
      <c r="K723" s="101"/>
      <c r="L723" s="102"/>
      <c r="M723" s="102"/>
      <c r="N723" s="101"/>
      <c r="O723" s="279"/>
      <c r="P723" s="279"/>
      <c r="Q723" s="229"/>
      <c r="R723" s="229"/>
      <c r="S723" s="229"/>
      <c r="T723" s="229"/>
      <c r="U723" s="229"/>
      <c r="V723" s="229"/>
      <c r="W723" s="229"/>
      <c r="X723" s="229"/>
      <c r="Y723" s="229"/>
      <c r="Z723" s="229"/>
      <c r="AA723" s="229"/>
      <c r="AB723" s="229"/>
    </row>
    <row r="724" ht="15.75" customHeight="1">
      <c r="A724" s="276"/>
      <c r="B724" s="101"/>
      <c r="C724" s="98"/>
      <c r="D724" s="100"/>
      <c r="E724" s="98"/>
      <c r="F724" s="99"/>
      <c r="G724" s="101"/>
      <c r="H724" s="278"/>
      <c r="I724" s="101"/>
      <c r="J724" s="101"/>
      <c r="K724" s="101"/>
      <c r="L724" s="102"/>
      <c r="M724" s="102"/>
      <c r="N724" s="101"/>
      <c r="O724" s="279"/>
      <c r="P724" s="279"/>
      <c r="Q724" s="229"/>
      <c r="R724" s="229"/>
      <c r="S724" s="229"/>
      <c r="T724" s="229"/>
      <c r="U724" s="229"/>
      <c r="V724" s="229"/>
      <c r="W724" s="229"/>
      <c r="X724" s="229"/>
      <c r="Y724" s="229"/>
      <c r="Z724" s="229"/>
      <c r="AA724" s="229"/>
      <c r="AB724" s="229"/>
    </row>
    <row r="725" ht="15.75" customHeight="1">
      <c r="A725" s="276"/>
      <c r="B725" s="101"/>
      <c r="C725" s="98"/>
      <c r="D725" s="100"/>
      <c r="E725" s="98"/>
      <c r="F725" s="99"/>
      <c r="G725" s="101"/>
      <c r="H725" s="278"/>
      <c r="I725" s="101"/>
      <c r="J725" s="101"/>
      <c r="K725" s="101"/>
      <c r="L725" s="102"/>
      <c r="M725" s="102"/>
      <c r="N725" s="101"/>
      <c r="O725" s="279"/>
      <c r="P725" s="279"/>
      <c r="Q725" s="229"/>
      <c r="R725" s="229"/>
      <c r="S725" s="229"/>
      <c r="T725" s="229"/>
      <c r="U725" s="229"/>
      <c r="V725" s="229"/>
      <c r="W725" s="229"/>
      <c r="X725" s="229"/>
      <c r="Y725" s="229"/>
      <c r="Z725" s="229"/>
      <c r="AA725" s="229"/>
      <c r="AB725" s="229"/>
    </row>
    <row r="726" ht="15.75" customHeight="1">
      <c r="A726" s="276"/>
      <c r="B726" s="101"/>
      <c r="C726" s="98"/>
      <c r="D726" s="100"/>
      <c r="E726" s="98"/>
      <c r="F726" s="99"/>
      <c r="G726" s="101"/>
      <c r="H726" s="278"/>
      <c r="I726" s="101"/>
      <c r="J726" s="101"/>
      <c r="K726" s="101"/>
      <c r="L726" s="102"/>
      <c r="M726" s="102"/>
      <c r="N726" s="101"/>
      <c r="O726" s="279"/>
      <c r="P726" s="279"/>
      <c r="Q726" s="229"/>
      <c r="R726" s="229"/>
      <c r="S726" s="229"/>
      <c r="T726" s="229"/>
      <c r="U726" s="229"/>
      <c r="V726" s="229"/>
      <c r="W726" s="229"/>
      <c r="X726" s="229"/>
      <c r="Y726" s="229"/>
      <c r="Z726" s="229"/>
      <c r="AA726" s="229"/>
      <c r="AB726" s="229"/>
    </row>
    <row r="727" ht="15.75" customHeight="1">
      <c r="A727" s="276"/>
      <c r="B727" s="101"/>
      <c r="C727" s="98"/>
      <c r="D727" s="100"/>
      <c r="E727" s="98"/>
      <c r="F727" s="99"/>
      <c r="G727" s="101"/>
      <c r="H727" s="278"/>
      <c r="I727" s="101"/>
      <c r="J727" s="101"/>
      <c r="K727" s="101"/>
      <c r="L727" s="102"/>
      <c r="M727" s="102"/>
      <c r="N727" s="101"/>
      <c r="O727" s="279"/>
      <c r="P727" s="279"/>
      <c r="Q727" s="229"/>
      <c r="R727" s="229"/>
      <c r="S727" s="229"/>
      <c r="T727" s="229"/>
      <c r="U727" s="229"/>
      <c r="V727" s="229"/>
      <c r="W727" s="229"/>
      <c r="X727" s="229"/>
      <c r="Y727" s="229"/>
      <c r="Z727" s="229"/>
      <c r="AA727" s="229"/>
      <c r="AB727" s="229"/>
    </row>
    <row r="728" ht="15.75" customHeight="1">
      <c r="A728" s="276"/>
      <c r="B728" s="101"/>
      <c r="C728" s="98"/>
      <c r="D728" s="100"/>
      <c r="E728" s="98"/>
      <c r="F728" s="99"/>
      <c r="G728" s="101"/>
      <c r="H728" s="278"/>
      <c r="I728" s="101"/>
      <c r="J728" s="101"/>
      <c r="K728" s="101"/>
      <c r="L728" s="102"/>
      <c r="M728" s="102"/>
      <c r="N728" s="101"/>
      <c r="O728" s="279"/>
      <c r="P728" s="279"/>
      <c r="Q728" s="229"/>
      <c r="R728" s="229"/>
      <c r="S728" s="229"/>
      <c r="T728" s="229"/>
      <c r="U728" s="229"/>
      <c r="V728" s="229"/>
      <c r="W728" s="229"/>
      <c r="X728" s="229"/>
      <c r="Y728" s="229"/>
      <c r="Z728" s="229"/>
      <c r="AA728" s="229"/>
      <c r="AB728" s="229"/>
    </row>
    <row r="729" ht="15.75" customHeight="1">
      <c r="A729" s="276"/>
      <c r="B729" s="101"/>
      <c r="C729" s="98"/>
      <c r="D729" s="100"/>
      <c r="E729" s="98"/>
      <c r="F729" s="99"/>
      <c r="G729" s="101"/>
      <c r="H729" s="278"/>
      <c r="I729" s="101"/>
      <c r="J729" s="101"/>
      <c r="K729" s="101"/>
      <c r="L729" s="102"/>
      <c r="M729" s="102"/>
      <c r="N729" s="101"/>
      <c r="O729" s="279"/>
      <c r="P729" s="279"/>
      <c r="Q729" s="229"/>
      <c r="R729" s="229"/>
      <c r="S729" s="229"/>
      <c r="T729" s="229"/>
      <c r="U729" s="229"/>
      <c r="V729" s="229"/>
      <c r="W729" s="229"/>
      <c r="X729" s="229"/>
      <c r="Y729" s="229"/>
      <c r="Z729" s="229"/>
      <c r="AA729" s="229"/>
      <c r="AB729" s="229"/>
    </row>
    <row r="730" ht="15.75" customHeight="1">
      <c r="A730" s="276"/>
      <c r="B730" s="101"/>
      <c r="C730" s="98"/>
      <c r="D730" s="100"/>
      <c r="E730" s="98"/>
      <c r="F730" s="99"/>
      <c r="G730" s="101"/>
      <c r="H730" s="278"/>
      <c r="I730" s="101"/>
      <c r="J730" s="101"/>
      <c r="K730" s="101"/>
      <c r="L730" s="102"/>
      <c r="M730" s="102"/>
      <c r="N730" s="101"/>
      <c r="O730" s="279"/>
      <c r="P730" s="279"/>
      <c r="Q730" s="229"/>
      <c r="R730" s="229"/>
      <c r="S730" s="229"/>
      <c r="T730" s="229"/>
      <c r="U730" s="229"/>
      <c r="V730" s="229"/>
      <c r="W730" s="229"/>
      <c r="X730" s="229"/>
      <c r="Y730" s="229"/>
      <c r="Z730" s="229"/>
      <c r="AA730" s="229"/>
      <c r="AB730" s="229"/>
    </row>
    <row r="731" ht="15.75" customHeight="1">
      <c r="A731" s="276"/>
      <c r="B731" s="101"/>
      <c r="C731" s="98"/>
      <c r="D731" s="100"/>
      <c r="E731" s="98"/>
      <c r="F731" s="99"/>
      <c r="G731" s="101"/>
      <c r="H731" s="278"/>
      <c r="I731" s="101"/>
      <c r="J731" s="101"/>
      <c r="K731" s="101"/>
      <c r="L731" s="102"/>
      <c r="M731" s="102"/>
      <c r="N731" s="101"/>
      <c r="O731" s="279"/>
      <c r="P731" s="279"/>
      <c r="Q731" s="229"/>
      <c r="R731" s="229"/>
      <c r="S731" s="229"/>
      <c r="T731" s="229"/>
      <c r="U731" s="229"/>
      <c r="V731" s="229"/>
      <c r="W731" s="229"/>
      <c r="X731" s="229"/>
      <c r="Y731" s="229"/>
      <c r="Z731" s="229"/>
      <c r="AA731" s="229"/>
      <c r="AB731" s="229"/>
    </row>
    <row r="732" ht="15.75" customHeight="1">
      <c r="A732" s="276"/>
      <c r="B732" s="101"/>
      <c r="C732" s="98"/>
      <c r="D732" s="100"/>
      <c r="E732" s="98"/>
      <c r="F732" s="99"/>
      <c r="G732" s="101"/>
      <c r="H732" s="278"/>
      <c r="I732" s="101"/>
      <c r="J732" s="101"/>
      <c r="K732" s="101"/>
      <c r="L732" s="102"/>
      <c r="M732" s="102"/>
      <c r="N732" s="101"/>
      <c r="O732" s="279"/>
      <c r="P732" s="279"/>
      <c r="Q732" s="229"/>
      <c r="R732" s="229"/>
      <c r="S732" s="229"/>
      <c r="T732" s="229"/>
      <c r="U732" s="229"/>
      <c r="V732" s="229"/>
      <c r="W732" s="229"/>
      <c r="X732" s="229"/>
      <c r="Y732" s="229"/>
      <c r="Z732" s="229"/>
      <c r="AA732" s="229"/>
      <c r="AB732" s="229"/>
    </row>
    <row r="733" ht="15.75" customHeight="1">
      <c r="A733" s="276"/>
      <c r="B733" s="101"/>
      <c r="C733" s="98"/>
      <c r="D733" s="100"/>
      <c r="E733" s="98"/>
      <c r="F733" s="99"/>
      <c r="G733" s="101"/>
      <c r="H733" s="278"/>
      <c r="I733" s="101"/>
      <c r="J733" s="101"/>
      <c r="K733" s="101"/>
      <c r="L733" s="102"/>
      <c r="M733" s="102"/>
      <c r="N733" s="101"/>
      <c r="O733" s="279"/>
      <c r="P733" s="279"/>
      <c r="Q733" s="229"/>
      <c r="R733" s="229"/>
      <c r="S733" s="229"/>
      <c r="T733" s="229"/>
      <c r="U733" s="229"/>
      <c r="V733" s="229"/>
      <c r="W733" s="229"/>
      <c r="X733" s="229"/>
      <c r="Y733" s="229"/>
      <c r="Z733" s="229"/>
      <c r="AA733" s="229"/>
      <c r="AB733" s="229"/>
    </row>
    <row r="734" ht="15.75" customHeight="1">
      <c r="A734" s="276"/>
      <c r="B734" s="101"/>
      <c r="C734" s="98"/>
      <c r="D734" s="100"/>
      <c r="E734" s="98"/>
      <c r="F734" s="99"/>
      <c r="G734" s="101"/>
      <c r="H734" s="278"/>
      <c r="I734" s="101"/>
      <c r="J734" s="101"/>
      <c r="K734" s="101"/>
      <c r="L734" s="102"/>
      <c r="M734" s="102"/>
      <c r="N734" s="101"/>
      <c r="O734" s="279"/>
      <c r="P734" s="279"/>
      <c r="Q734" s="229"/>
      <c r="R734" s="229"/>
      <c r="S734" s="229"/>
      <c r="T734" s="229"/>
      <c r="U734" s="229"/>
      <c r="V734" s="229"/>
      <c r="W734" s="229"/>
      <c r="X734" s="229"/>
      <c r="Y734" s="229"/>
      <c r="Z734" s="229"/>
      <c r="AA734" s="229"/>
      <c r="AB734" s="229"/>
    </row>
    <row r="735" ht="15.75" customHeight="1">
      <c r="A735" s="276"/>
      <c r="B735" s="101"/>
      <c r="C735" s="98"/>
      <c r="D735" s="100"/>
      <c r="E735" s="98"/>
      <c r="F735" s="99"/>
      <c r="G735" s="101"/>
      <c r="H735" s="278"/>
      <c r="I735" s="101"/>
      <c r="J735" s="101"/>
      <c r="K735" s="101"/>
      <c r="L735" s="102"/>
      <c r="M735" s="102"/>
      <c r="N735" s="101"/>
      <c r="O735" s="279"/>
      <c r="P735" s="279"/>
      <c r="Q735" s="229"/>
      <c r="R735" s="229"/>
      <c r="S735" s="229"/>
      <c r="T735" s="229"/>
      <c r="U735" s="229"/>
      <c r="V735" s="229"/>
      <c r="W735" s="229"/>
      <c r="X735" s="229"/>
      <c r="Y735" s="229"/>
      <c r="Z735" s="229"/>
      <c r="AA735" s="229"/>
      <c r="AB735" s="229"/>
    </row>
    <row r="736" ht="15.75" customHeight="1">
      <c r="A736" s="276"/>
      <c r="B736" s="101"/>
      <c r="C736" s="98"/>
      <c r="D736" s="100"/>
      <c r="E736" s="98"/>
      <c r="F736" s="99"/>
      <c r="G736" s="101"/>
      <c r="H736" s="278"/>
      <c r="I736" s="101"/>
      <c r="J736" s="101"/>
      <c r="K736" s="101"/>
      <c r="L736" s="102"/>
      <c r="M736" s="102"/>
      <c r="N736" s="101"/>
      <c r="O736" s="279"/>
      <c r="P736" s="279"/>
      <c r="Q736" s="229"/>
      <c r="R736" s="229"/>
      <c r="S736" s="229"/>
      <c r="T736" s="229"/>
      <c r="U736" s="229"/>
      <c r="V736" s="229"/>
      <c r="W736" s="229"/>
      <c r="X736" s="229"/>
      <c r="Y736" s="229"/>
      <c r="Z736" s="229"/>
      <c r="AA736" s="229"/>
      <c r="AB736" s="229"/>
    </row>
    <row r="737" ht="15.75" customHeight="1">
      <c r="A737" s="276"/>
      <c r="B737" s="101"/>
      <c r="C737" s="98"/>
      <c r="D737" s="100"/>
      <c r="E737" s="98"/>
      <c r="F737" s="99"/>
      <c r="G737" s="101"/>
      <c r="H737" s="278"/>
      <c r="I737" s="101"/>
      <c r="J737" s="101"/>
      <c r="K737" s="101"/>
      <c r="L737" s="102"/>
      <c r="M737" s="102"/>
      <c r="N737" s="101"/>
      <c r="O737" s="279"/>
      <c r="P737" s="279"/>
      <c r="Q737" s="229"/>
      <c r="R737" s="229"/>
      <c r="S737" s="229"/>
      <c r="T737" s="229"/>
      <c r="U737" s="229"/>
      <c r="V737" s="229"/>
      <c r="W737" s="229"/>
      <c r="X737" s="229"/>
      <c r="Y737" s="229"/>
      <c r="Z737" s="229"/>
      <c r="AA737" s="229"/>
      <c r="AB737" s="229"/>
    </row>
    <row r="738" ht="15.75" customHeight="1">
      <c r="A738" s="276"/>
      <c r="B738" s="101"/>
      <c r="C738" s="98"/>
      <c r="D738" s="100"/>
      <c r="E738" s="98"/>
      <c r="F738" s="99"/>
      <c r="G738" s="101"/>
      <c r="H738" s="278"/>
      <c r="I738" s="101"/>
      <c r="J738" s="101"/>
      <c r="K738" s="101"/>
      <c r="L738" s="102"/>
      <c r="M738" s="102"/>
      <c r="N738" s="101"/>
      <c r="O738" s="279"/>
      <c r="P738" s="279"/>
      <c r="Q738" s="229"/>
      <c r="R738" s="229"/>
      <c r="S738" s="229"/>
      <c r="T738" s="229"/>
      <c r="U738" s="229"/>
      <c r="V738" s="229"/>
      <c r="W738" s="229"/>
      <c r="X738" s="229"/>
      <c r="Y738" s="229"/>
      <c r="Z738" s="229"/>
      <c r="AA738" s="229"/>
      <c r="AB738" s="229"/>
    </row>
    <row r="739" ht="15.75" customHeight="1">
      <c r="A739" s="276"/>
      <c r="B739" s="101"/>
      <c r="C739" s="98"/>
      <c r="D739" s="100"/>
      <c r="E739" s="98"/>
      <c r="F739" s="99"/>
      <c r="G739" s="101"/>
      <c r="H739" s="278"/>
      <c r="I739" s="101"/>
      <c r="J739" s="101"/>
      <c r="K739" s="101"/>
      <c r="L739" s="102"/>
      <c r="M739" s="102"/>
      <c r="N739" s="101"/>
      <c r="O739" s="279"/>
      <c r="P739" s="279"/>
      <c r="Q739" s="229"/>
      <c r="R739" s="229"/>
      <c r="S739" s="229"/>
      <c r="T739" s="229"/>
      <c r="U739" s="229"/>
      <c r="V739" s="229"/>
      <c r="W739" s="229"/>
      <c r="X739" s="229"/>
      <c r="Y739" s="229"/>
      <c r="Z739" s="229"/>
      <c r="AA739" s="229"/>
      <c r="AB739" s="229"/>
    </row>
    <row r="740" ht="15.75" customHeight="1">
      <c r="A740" s="276"/>
      <c r="B740" s="101"/>
      <c r="C740" s="98"/>
      <c r="D740" s="100"/>
      <c r="E740" s="98"/>
      <c r="F740" s="99"/>
      <c r="G740" s="101"/>
      <c r="H740" s="278"/>
      <c r="I740" s="101"/>
      <c r="J740" s="101"/>
      <c r="K740" s="101"/>
      <c r="L740" s="102"/>
      <c r="M740" s="102"/>
      <c r="N740" s="101"/>
      <c r="O740" s="279"/>
      <c r="P740" s="279"/>
      <c r="Q740" s="229"/>
      <c r="R740" s="229"/>
      <c r="S740" s="229"/>
      <c r="T740" s="229"/>
      <c r="U740" s="229"/>
      <c r="V740" s="229"/>
      <c r="W740" s="229"/>
      <c r="X740" s="229"/>
      <c r="Y740" s="229"/>
      <c r="Z740" s="229"/>
      <c r="AA740" s="229"/>
      <c r="AB740" s="229"/>
    </row>
    <row r="741" ht="15.75" customHeight="1">
      <c r="A741" s="276"/>
      <c r="B741" s="101"/>
      <c r="C741" s="98"/>
      <c r="D741" s="100"/>
      <c r="E741" s="98"/>
      <c r="F741" s="99"/>
      <c r="G741" s="101"/>
      <c r="H741" s="278"/>
      <c r="I741" s="101"/>
      <c r="J741" s="101"/>
      <c r="K741" s="101"/>
      <c r="L741" s="102"/>
      <c r="M741" s="102"/>
      <c r="N741" s="101"/>
      <c r="O741" s="279"/>
      <c r="P741" s="279"/>
      <c r="Q741" s="229"/>
      <c r="R741" s="229"/>
      <c r="S741" s="229"/>
      <c r="T741" s="229"/>
      <c r="U741" s="229"/>
      <c r="V741" s="229"/>
      <c r="W741" s="229"/>
      <c r="X741" s="229"/>
      <c r="Y741" s="229"/>
      <c r="Z741" s="229"/>
      <c r="AA741" s="229"/>
      <c r="AB741" s="229"/>
    </row>
    <row r="742" ht="15.75" customHeight="1">
      <c r="A742" s="276"/>
      <c r="B742" s="101"/>
      <c r="C742" s="98"/>
      <c r="D742" s="100"/>
      <c r="E742" s="98"/>
      <c r="F742" s="99"/>
      <c r="G742" s="101"/>
      <c r="H742" s="278"/>
      <c r="I742" s="101"/>
      <c r="J742" s="101"/>
      <c r="K742" s="101"/>
      <c r="L742" s="102"/>
      <c r="M742" s="102"/>
      <c r="N742" s="101"/>
      <c r="O742" s="279"/>
      <c r="P742" s="279"/>
      <c r="Q742" s="229"/>
      <c r="R742" s="229"/>
      <c r="S742" s="229"/>
      <c r="T742" s="229"/>
      <c r="U742" s="229"/>
      <c r="V742" s="229"/>
      <c r="W742" s="229"/>
      <c r="X742" s="229"/>
      <c r="Y742" s="229"/>
      <c r="Z742" s="229"/>
      <c r="AA742" s="229"/>
      <c r="AB742" s="229"/>
    </row>
    <row r="743" ht="15.75" customHeight="1">
      <c r="A743" s="276"/>
      <c r="B743" s="101"/>
      <c r="C743" s="98"/>
      <c r="D743" s="100"/>
      <c r="E743" s="98"/>
      <c r="F743" s="99"/>
      <c r="G743" s="101"/>
      <c r="H743" s="278"/>
      <c r="I743" s="101"/>
      <c r="J743" s="101"/>
      <c r="K743" s="101"/>
      <c r="L743" s="102"/>
      <c r="M743" s="102"/>
      <c r="N743" s="101"/>
      <c r="O743" s="279"/>
      <c r="P743" s="279"/>
      <c r="Q743" s="229"/>
      <c r="R743" s="229"/>
      <c r="S743" s="229"/>
      <c r="T743" s="229"/>
      <c r="U743" s="229"/>
      <c r="V743" s="229"/>
      <c r="W743" s="229"/>
      <c r="X743" s="229"/>
      <c r="Y743" s="229"/>
      <c r="Z743" s="229"/>
      <c r="AA743" s="229"/>
      <c r="AB743" s="229"/>
    </row>
    <row r="744" ht="15.75" customHeight="1">
      <c r="A744" s="276"/>
      <c r="B744" s="101"/>
      <c r="C744" s="98"/>
      <c r="D744" s="100"/>
      <c r="E744" s="98"/>
      <c r="F744" s="99"/>
      <c r="G744" s="101"/>
      <c r="H744" s="278"/>
      <c r="I744" s="101"/>
      <c r="J744" s="101"/>
      <c r="K744" s="101"/>
      <c r="L744" s="102"/>
      <c r="M744" s="102"/>
      <c r="N744" s="101"/>
      <c r="O744" s="279"/>
      <c r="P744" s="279"/>
      <c r="Q744" s="229"/>
      <c r="R744" s="229"/>
      <c r="S744" s="229"/>
      <c r="T744" s="229"/>
      <c r="U744" s="229"/>
      <c r="V744" s="229"/>
      <c r="W744" s="229"/>
      <c r="X744" s="229"/>
      <c r="Y744" s="229"/>
      <c r="Z744" s="229"/>
      <c r="AA744" s="229"/>
      <c r="AB744" s="229"/>
    </row>
    <row r="745" ht="15.75" customHeight="1">
      <c r="A745" s="276"/>
      <c r="B745" s="101"/>
      <c r="C745" s="98"/>
      <c r="D745" s="100"/>
      <c r="E745" s="98"/>
      <c r="F745" s="99"/>
      <c r="G745" s="101"/>
      <c r="H745" s="278"/>
      <c r="I745" s="101"/>
      <c r="J745" s="101"/>
      <c r="K745" s="101"/>
      <c r="L745" s="102"/>
      <c r="M745" s="102"/>
      <c r="N745" s="101"/>
      <c r="O745" s="279"/>
      <c r="P745" s="279"/>
      <c r="Q745" s="229"/>
      <c r="R745" s="229"/>
      <c r="S745" s="229"/>
      <c r="T745" s="229"/>
      <c r="U745" s="229"/>
      <c r="V745" s="229"/>
      <c r="W745" s="229"/>
      <c r="X745" s="229"/>
      <c r="Y745" s="229"/>
      <c r="Z745" s="229"/>
      <c r="AA745" s="229"/>
      <c r="AB745" s="229"/>
    </row>
    <row r="746" ht="15.75" customHeight="1">
      <c r="A746" s="276"/>
      <c r="B746" s="101"/>
      <c r="C746" s="98"/>
      <c r="D746" s="100"/>
      <c r="E746" s="98"/>
      <c r="F746" s="99"/>
      <c r="G746" s="101"/>
      <c r="H746" s="278"/>
      <c r="I746" s="101"/>
      <c r="J746" s="101"/>
      <c r="K746" s="101"/>
      <c r="L746" s="102"/>
      <c r="M746" s="102"/>
      <c r="N746" s="101"/>
      <c r="O746" s="279"/>
      <c r="P746" s="279"/>
      <c r="Q746" s="229"/>
      <c r="R746" s="229"/>
      <c r="S746" s="229"/>
      <c r="T746" s="229"/>
      <c r="U746" s="229"/>
      <c r="V746" s="229"/>
      <c r="W746" s="229"/>
      <c r="X746" s="229"/>
      <c r="Y746" s="229"/>
      <c r="Z746" s="229"/>
      <c r="AA746" s="229"/>
      <c r="AB746" s="229"/>
    </row>
    <row r="747" ht="15.75" customHeight="1">
      <c r="A747" s="276"/>
      <c r="B747" s="101"/>
      <c r="C747" s="98"/>
      <c r="D747" s="100"/>
      <c r="E747" s="98"/>
      <c r="F747" s="99"/>
      <c r="G747" s="101"/>
      <c r="H747" s="278"/>
      <c r="I747" s="101"/>
      <c r="J747" s="101"/>
      <c r="K747" s="101"/>
      <c r="L747" s="102"/>
      <c r="M747" s="102"/>
      <c r="N747" s="101"/>
      <c r="O747" s="279"/>
      <c r="P747" s="279"/>
      <c r="Q747" s="229"/>
      <c r="R747" s="229"/>
      <c r="S747" s="229"/>
      <c r="T747" s="229"/>
      <c r="U747" s="229"/>
      <c r="V747" s="229"/>
      <c r="W747" s="229"/>
      <c r="X747" s="229"/>
      <c r="Y747" s="229"/>
      <c r="Z747" s="229"/>
      <c r="AA747" s="229"/>
      <c r="AB747" s="229"/>
    </row>
    <row r="748" ht="15.75" customHeight="1">
      <c r="A748" s="276"/>
      <c r="B748" s="101"/>
      <c r="C748" s="98"/>
      <c r="D748" s="100"/>
      <c r="E748" s="98"/>
      <c r="F748" s="99"/>
      <c r="G748" s="101"/>
      <c r="H748" s="278"/>
      <c r="I748" s="101"/>
      <c r="J748" s="101"/>
      <c r="K748" s="101"/>
      <c r="L748" s="102"/>
      <c r="M748" s="102"/>
      <c r="N748" s="101"/>
      <c r="O748" s="279"/>
      <c r="P748" s="279"/>
      <c r="Q748" s="229"/>
      <c r="R748" s="229"/>
      <c r="S748" s="229"/>
      <c r="T748" s="229"/>
      <c r="U748" s="229"/>
      <c r="V748" s="229"/>
      <c r="W748" s="229"/>
      <c r="X748" s="229"/>
      <c r="Y748" s="229"/>
      <c r="Z748" s="229"/>
      <c r="AA748" s="229"/>
      <c r="AB748" s="229"/>
    </row>
    <row r="749" ht="15.75" customHeight="1">
      <c r="A749" s="276"/>
      <c r="B749" s="101"/>
      <c r="C749" s="98"/>
      <c r="D749" s="100"/>
      <c r="E749" s="98"/>
      <c r="F749" s="99"/>
      <c r="G749" s="101"/>
      <c r="H749" s="278"/>
      <c r="I749" s="101"/>
      <c r="J749" s="101"/>
      <c r="K749" s="101"/>
      <c r="L749" s="102"/>
      <c r="M749" s="102"/>
      <c r="N749" s="101"/>
      <c r="O749" s="279"/>
      <c r="P749" s="279"/>
      <c r="Q749" s="229"/>
      <c r="R749" s="229"/>
      <c r="S749" s="229"/>
      <c r="T749" s="229"/>
      <c r="U749" s="229"/>
      <c r="V749" s="229"/>
      <c r="W749" s="229"/>
      <c r="X749" s="229"/>
      <c r="Y749" s="229"/>
      <c r="Z749" s="229"/>
      <c r="AA749" s="229"/>
      <c r="AB749" s="229"/>
    </row>
    <row r="750" ht="15.75" customHeight="1">
      <c r="A750" s="276"/>
      <c r="B750" s="101"/>
      <c r="C750" s="98"/>
      <c r="D750" s="100"/>
      <c r="E750" s="98"/>
      <c r="F750" s="99"/>
      <c r="G750" s="101"/>
      <c r="H750" s="278"/>
      <c r="I750" s="101"/>
      <c r="J750" s="101"/>
      <c r="K750" s="101"/>
      <c r="L750" s="102"/>
      <c r="M750" s="102"/>
      <c r="N750" s="101"/>
      <c r="O750" s="279"/>
      <c r="P750" s="279"/>
      <c r="Q750" s="229"/>
      <c r="R750" s="229"/>
      <c r="S750" s="229"/>
      <c r="T750" s="229"/>
      <c r="U750" s="229"/>
      <c r="V750" s="229"/>
      <c r="W750" s="229"/>
      <c r="X750" s="229"/>
      <c r="Y750" s="229"/>
      <c r="Z750" s="229"/>
      <c r="AA750" s="229"/>
      <c r="AB750" s="229"/>
    </row>
    <row r="751" ht="15.75" customHeight="1">
      <c r="A751" s="276"/>
      <c r="B751" s="101"/>
      <c r="C751" s="98"/>
      <c r="D751" s="100"/>
      <c r="E751" s="98"/>
      <c r="F751" s="99"/>
      <c r="G751" s="101"/>
      <c r="H751" s="278"/>
      <c r="I751" s="101"/>
      <c r="J751" s="101"/>
      <c r="K751" s="101"/>
      <c r="L751" s="102"/>
      <c r="M751" s="102"/>
      <c r="N751" s="101"/>
      <c r="O751" s="279"/>
      <c r="P751" s="279"/>
      <c r="Q751" s="229"/>
      <c r="R751" s="229"/>
      <c r="S751" s="229"/>
      <c r="T751" s="229"/>
      <c r="U751" s="229"/>
      <c r="V751" s="229"/>
      <c r="W751" s="229"/>
      <c r="X751" s="229"/>
      <c r="Y751" s="229"/>
      <c r="Z751" s="229"/>
      <c r="AA751" s="229"/>
      <c r="AB751" s="229"/>
    </row>
    <row r="752" ht="15.75" customHeight="1">
      <c r="A752" s="276"/>
      <c r="B752" s="101"/>
      <c r="C752" s="98"/>
      <c r="D752" s="100"/>
      <c r="E752" s="98"/>
      <c r="F752" s="99"/>
      <c r="G752" s="101"/>
      <c r="H752" s="278"/>
      <c r="I752" s="101"/>
      <c r="J752" s="101"/>
      <c r="K752" s="101"/>
      <c r="L752" s="102"/>
      <c r="M752" s="102"/>
      <c r="N752" s="101"/>
      <c r="O752" s="279"/>
      <c r="P752" s="279"/>
      <c r="Q752" s="229"/>
      <c r="R752" s="229"/>
      <c r="S752" s="229"/>
      <c r="T752" s="229"/>
      <c r="U752" s="229"/>
      <c r="V752" s="229"/>
      <c r="W752" s="229"/>
      <c r="X752" s="229"/>
      <c r="Y752" s="229"/>
      <c r="Z752" s="229"/>
      <c r="AA752" s="229"/>
      <c r="AB752" s="229"/>
    </row>
    <row r="753" ht="15.75" customHeight="1">
      <c r="A753" s="276"/>
      <c r="B753" s="101"/>
      <c r="C753" s="98"/>
      <c r="D753" s="100"/>
      <c r="E753" s="98"/>
      <c r="F753" s="99"/>
      <c r="G753" s="101"/>
      <c r="H753" s="278"/>
      <c r="I753" s="101"/>
      <c r="J753" s="101"/>
      <c r="K753" s="101"/>
      <c r="L753" s="102"/>
      <c r="M753" s="102"/>
      <c r="N753" s="101"/>
      <c r="O753" s="279"/>
      <c r="P753" s="279"/>
      <c r="Q753" s="229"/>
      <c r="R753" s="229"/>
      <c r="S753" s="229"/>
      <c r="T753" s="229"/>
      <c r="U753" s="229"/>
      <c r="V753" s="229"/>
      <c r="W753" s="229"/>
      <c r="X753" s="229"/>
      <c r="Y753" s="229"/>
      <c r="Z753" s="229"/>
      <c r="AA753" s="229"/>
      <c r="AB753" s="229"/>
    </row>
    <row r="754" ht="15.75" customHeight="1">
      <c r="A754" s="276"/>
      <c r="B754" s="101"/>
      <c r="C754" s="98"/>
      <c r="D754" s="100"/>
      <c r="E754" s="98"/>
      <c r="F754" s="99"/>
      <c r="G754" s="101"/>
      <c r="H754" s="278"/>
      <c r="I754" s="101"/>
      <c r="J754" s="101"/>
      <c r="K754" s="101"/>
      <c r="L754" s="102"/>
      <c r="M754" s="102"/>
      <c r="N754" s="101"/>
      <c r="O754" s="279"/>
      <c r="P754" s="279"/>
      <c r="Q754" s="229"/>
      <c r="R754" s="229"/>
      <c r="S754" s="229"/>
      <c r="T754" s="229"/>
      <c r="U754" s="229"/>
      <c r="V754" s="229"/>
      <c r="W754" s="229"/>
      <c r="X754" s="229"/>
      <c r="Y754" s="229"/>
      <c r="Z754" s="229"/>
      <c r="AA754" s="229"/>
      <c r="AB754" s="229"/>
    </row>
    <row r="755" ht="15.75" customHeight="1">
      <c r="A755" s="276"/>
      <c r="B755" s="101"/>
      <c r="C755" s="98"/>
      <c r="D755" s="100"/>
      <c r="E755" s="98"/>
      <c r="F755" s="99"/>
      <c r="G755" s="101"/>
      <c r="H755" s="278"/>
      <c r="I755" s="101"/>
      <c r="J755" s="101"/>
      <c r="K755" s="101"/>
      <c r="L755" s="102"/>
      <c r="M755" s="102"/>
      <c r="N755" s="101"/>
      <c r="O755" s="279"/>
      <c r="P755" s="279"/>
      <c r="Q755" s="229"/>
      <c r="R755" s="229"/>
      <c r="S755" s="229"/>
      <c r="T755" s="229"/>
      <c r="U755" s="229"/>
      <c r="V755" s="229"/>
      <c r="W755" s="229"/>
      <c r="X755" s="229"/>
      <c r="Y755" s="229"/>
      <c r="Z755" s="229"/>
      <c r="AA755" s="229"/>
      <c r="AB755" s="229"/>
    </row>
    <row r="756" ht="15.75" customHeight="1">
      <c r="A756" s="276"/>
      <c r="B756" s="101"/>
      <c r="C756" s="98"/>
      <c r="D756" s="100"/>
      <c r="E756" s="98"/>
      <c r="F756" s="99"/>
      <c r="G756" s="101"/>
      <c r="H756" s="278"/>
      <c r="I756" s="101"/>
      <c r="J756" s="101"/>
      <c r="K756" s="101"/>
      <c r="L756" s="102"/>
      <c r="M756" s="102"/>
      <c r="N756" s="101"/>
      <c r="O756" s="279"/>
      <c r="P756" s="279"/>
      <c r="Q756" s="229"/>
      <c r="R756" s="229"/>
      <c r="S756" s="229"/>
      <c r="T756" s="229"/>
      <c r="U756" s="229"/>
      <c r="V756" s="229"/>
      <c r="W756" s="229"/>
      <c r="X756" s="229"/>
      <c r="Y756" s="229"/>
      <c r="Z756" s="229"/>
      <c r="AA756" s="229"/>
      <c r="AB756" s="229"/>
    </row>
    <row r="757" ht="15.75" customHeight="1">
      <c r="A757" s="276"/>
      <c r="B757" s="101"/>
      <c r="C757" s="98"/>
      <c r="D757" s="100"/>
      <c r="E757" s="98"/>
      <c r="F757" s="99"/>
      <c r="G757" s="101"/>
      <c r="H757" s="278"/>
      <c r="I757" s="101"/>
      <c r="J757" s="101"/>
      <c r="K757" s="101"/>
      <c r="L757" s="102"/>
      <c r="M757" s="102"/>
      <c r="N757" s="101"/>
      <c r="O757" s="279"/>
      <c r="P757" s="279"/>
      <c r="Q757" s="229"/>
      <c r="R757" s="229"/>
      <c r="S757" s="229"/>
      <c r="T757" s="229"/>
      <c r="U757" s="229"/>
      <c r="V757" s="229"/>
      <c r="W757" s="229"/>
      <c r="X757" s="229"/>
      <c r="Y757" s="229"/>
      <c r="Z757" s="229"/>
      <c r="AA757" s="229"/>
      <c r="AB757" s="229"/>
    </row>
    <row r="758" ht="15.75" customHeight="1">
      <c r="A758" s="276"/>
      <c r="B758" s="101"/>
      <c r="C758" s="98"/>
      <c r="D758" s="100"/>
      <c r="E758" s="98"/>
      <c r="F758" s="99"/>
      <c r="G758" s="101"/>
      <c r="H758" s="278"/>
      <c r="I758" s="101"/>
      <c r="J758" s="101"/>
      <c r="K758" s="101"/>
      <c r="L758" s="102"/>
      <c r="M758" s="102"/>
      <c r="N758" s="101"/>
      <c r="O758" s="279"/>
      <c r="P758" s="279"/>
      <c r="Q758" s="229"/>
      <c r="R758" s="229"/>
      <c r="S758" s="229"/>
      <c r="T758" s="229"/>
      <c r="U758" s="229"/>
      <c r="V758" s="229"/>
      <c r="W758" s="229"/>
      <c r="X758" s="229"/>
      <c r="Y758" s="229"/>
      <c r="Z758" s="229"/>
      <c r="AA758" s="229"/>
      <c r="AB758" s="229"/>
    </row>
    <row r="759" ht="15.75" customHeight="1">
      <c r="A759" s="276"/>
      <c r="B759" s="101"/>
      <c r="C759" s="98"/>
      <c r="D759" s="100"/>
      <c r="E759" s="98"/>
      <c r="F759" s="99"/>
      <c r="G759" s="101"/>
      <c r="H759" s="278"/>
      <c r="I759" s="101"/>
      <c r="J759" s="101"/>
      <c r="K759" s="101"/>
      <c r="L759" s="102"/>
      <c r="M759" s="102"/>
      <c r="N759" s="101"/>
      <c r="O759" s="279"/>
      <c r="P759" s="279"/>
      <c r="Q759" s="229"/>
      <c r="R759" s="229"/>
      <c r="S759" s="229"/>
      <c r="T759" s="229"/>
      <c r="U759" s="229"/>
      <c r="V759" s="229"/>
      <c r="W759" s="229"/>
      <c r="X759" s="229"/>
      <c r="Y759" s="229"/>
      <c r="Z759" s="229"/>
      <c r="AA759" s="229"/>
      <c r="AB759" s="229"/>
    </row>
    <row r="760" ht="15.75" customHeight="1">
      <c r="A760" s="276"/>
      <c r="B760" s="101"/>
      <c r="C760" s="98"/>
      <c r="D760" s="100"/>
      <c r="E760" s="98"/>
      <c r="F760" s="99"/>
      <c r="G760" s="101"/>
      <c r="H760" s="278"/>
      <c r="I760" s="101"/>
      <c r="J760" s="101"/>
      <c r="K760" s="101"/>
      <c r="L760" s="102"/>
      <c r="M760" s="102"/>
      <c r="N760" s="101"/>
      <c r="O760" s="279"/>
      <c r="P760" s="279"/>
      <c r="Q760" s="229"/>
      <c r="R760" s="229"/>
      <c r="S760" s="229"/>
      <c r="T760" s="229"/>
      <c r="U760" s="229"/>
      <c r="V760" s="229"/>
      <c r="W760" s="229"/>
      <c r="X760" s="229"/>
      <c r="Y760" s="229"/>
      <c r="Z760" s="229"/>
      <c r="AA760" s="229"/>
      <c r="AB760" s="229"/>
    </row>
    <row r="761" ht="15.75" customHeight="1">
      <c r="A761" s="276"/>
      <c r="B761" s="101"/>
      <c r="C761" s="98"/>
      <c r="D761" s="100"/>
      <c r="E761" s="98"/>
      <c r="F761" s="99"/>
      <c r="G761" s="101"/>
      <c r="H761" s="278"/>
      <c r="I761" s="101"/>
      <c r="J761" s="101"/>
      <c r="K761" s="101"/>
      <c r="L761" s="102"/>
      <c r="M761" s="102"/>
      <c r="N761" s="101"/>
      <c r="O761" s="279"/>
      <c r="P761" s="279"/>
      <c r="Q761" s="229"/>
      <c r="R761" s="229"/>
      <c r="S761" s="229"/>
      <c r="T761" s="229"/>
      <c r="U761" s="229"/>
      <c r="V761" s="229"/>
      <c r="W761" s="229"/>
      <c r="X761" s="229"/>
      <c r="Y761" s="229"/>
      <c r="Z761" s="229"/>
      <c r="AA761" s="229"/>
      <c r="AB761" s="229"/>
    </row>
    <row r="762" ht="15.75" customHeight="1">
      <c r="A762" s="276"/>
      <c r="B762" s="101"/>
      <c r="C762" s="98"/>
      <c r="D762" s="100"/>
      <c r="E762" s="98"/>
      <c r="F762" s="99"/>
      <c r="G762" s="101"/>
      <c r="H762" s="278"/>
      <c r="I762" s="101"/>
      <c r="J762" s="101"/>
      <c r="K762" s="101"/>
      <c r="L762" s="102"/>
      <c r="M762" s="102"/>
      <c r="N762" s="101"/>
      <c r="O762" s="279"/>
      <c r="P762" s="279"/>
      <c r="Q762" s="229"/>
      <c r="R762" s="229"/>
      <c r="S762" s="229"/>
      <c r="T762" s="229"/>
      <c r="U762" s="229"/>
      <c r="V762" s="229"/>
      <c r="W762" s="229"/>
      <c r="X762" s="229"/>
      <c r="Y762" s="229"/>
      <c r="Z762" s="229"/>
      <c r="AA762" s="229"/>
      <c r="AB762" s="229"/>
    </row>
    <row r="763" ht="15.75" customHeight="1">
      <c r="A763" s="276"/>
      <c r="B763" s="101"/>
      <c r="C763" s="98"/>
      <c r="D763" s="100"/>
      <c r="E763" s="98"/>
      <c r="F763" s="99"/>
      <c r="G763" s="101"/>
      <c r="H763" s="278"/>
      <c r="I763" s="101"/>
      <c r="J763" s="101"/>
      <c r="K763" s="101"/>
      <c r="L763" s="102"/>
      <c r="M763" s="102"/>
      <c r="N763" s="101"/>
      <c r="O763" s="279"/>
      <c r="P763" s="279"/>
      <c r="Q763" s="229"/>
      <c r="R763" s="229"/>
      <c r="S763" s="229"/>
      <c r="T763" s="229"/>
      <c r="U763" s="229"/>
      <c r="V763" s="229"/>
      <c r="W763" s="229"/>
      <c r="X763" s="229"/>
      <c r="Y763" s="229"/>
      <c r="Z763" s="229"/>
      <c r="AA763" s="229"/>
      <c r="AB763" s="229"/>
    </row>
    <row r="764" ht="15.75" customHeight="1">
      <c r="A764" s="276"/>
      <c r="B764" s="101"/>
      <c r="C764" s="98"/>
      <c r="D764" s="100"/>
      <c r="E764" s="98"/>
      <c r="F764" s="99"/>
      <c r="G764" s="101"/>
      <c r="H764" s="278"/>
      <c r="I764" s="101"/>
      <c r="J764" s="101"/>
      <c r="K764" s="101"/>
      <c r="L764" s="102"/>
      <c r="M764" s="102"/>
      <c r="N764" s="101"/>
      <c r="O764" s="279"/>
      <c r="P764" s="279"/>
      <c r="Q764" s="229"/>
      <c r="R764" s="229"/>
      <c r="S764" s="229"/>
      <c r="T764" s="229"/>
      <c r="U764" s="229"/>
      <c r="V764" s="229"/>
      <c r="W764" s="229"/>
      <c r="X764" s="229"/>
      <c r="Y764" s="229"/>
      <c r="Z764" s="229"/>
      <c r="AA764" s="229"/>
      <c r="AB764" s="229"/>
    </row>
    <row r="765" ht="15.75" customHeight="1">
      <c r="A765" s="276"/>
      <c r="B765" s="101"/>
      <c r="C765" s="98"/>
      <c r="D765" s="100"/>
      <c r="E765" s="98"/>
      <c r="F765" s="99"/>
      <c r="G765" s="101"/>
      <c r="H765" s="278"/>
      <c r="I765" s="101"/>
      <c r="J765" s="101"/>
      <c r="K765" s="101"/>
      <c r="L765" s="102"/>
      <c r="M765" s="102"/>
      <c r="N765" s="101"/>
      <c r="O765" s="279"/>
      <c r="P765" s="279"/>
      <c r="Q765" s="229"/>
      <c r="R765" s="229"/>
      <c r="S765" s="229"/>
      <c r="T765" s="229"/>
      <c r="U765" s="229"/>
      <c r="V765" s="229"/>
      <c r="W765" s="229"/>
      <c r="X765" s="229"/>
      <c r="Y765" s="229"/>
      <c r="Z765" s="229"/>
      <c r="AA765" s="229"/>
      <c r="AB765" s="229"/>
    </row>
    <row r="766" ht="15.75" customHeight="1">
      <c r="A766" s="276"/>
      <c r="B766" s="101"/>
      <c r="C766" s="98"/>
      <c r="D766" s="100"/>
      <c r="E766" s="98"/>
      <c r="F766" s="99"/>
      <c r="G766" s="101"/>
      <c r="H766" s="278"/>
      <c r="I766" s="101"/>
      <c r="J766" s="101"/>
      <c r="K766" s="101"/>
      <c r="L766" s="102"/>
      <c r="M766" s="102"/>
      <c r="N766" s="101"/>
      <c r="O766" s="279"/>
      <c r="P766" s="279"/>
      <c r="Q766" s="229"/>
      <c r="R766" s="229"/>
      <c r="S766" s="229"/>
      <c r="T766" s="229"/>
      <c r="U766" s="229"/>
      <c r="V766" s="229"/>
      <c r="W766" s="229"/>
      <c r="X766" s="229"/>
      <c r="Y766" s="229"/>
      <c r="Z766" s="229"/>
      <c r="AA766" s="229"/>
      <c r="AB766" s="229"/>
    </row>
    <row r="767" ht="15.75" customHeight="1">
      <c r="A767" s="276"/>
      <c r="B767" s="101"/>
      <c r="C767" s="98"/>
      <c r="D767" s="100"/>
      <c r="E767" s="98"/>
      <c r="F767" s="99"/>
      <c r="G767" s="101"/>
      <c r="H767" s="278"/>
      <c r="I767" s="101"/>
      <c r="J767" s="101"/>
      <c r="K767" s="101"/>
      <c r="L767" s="102"/>
      <c r="M767" s="102"/>
      <c r="N767" s="101"/>
      <c r="O767" s="279"/>
      <c r="P767" s="279"/>
      <c r="Q767" s="229"/>
      <c r="R767" s="229"/>
      <c r="S767" s="229"/>
      <c r="T767" s="229"/>
      <c r="U767" s="229"/>
      <c r="V767" s="229"/>
      <c r="W767" s="229"/>
      <c r="X767" s="229"/>
      <c r="Y767" s="229"/>
      <c r="Z767" s="229"/>
      <c r="AA767" s="229"/>
      <c r="AB767" s="229"/>
    </row>
    <row r="768" ht="15.75" customHeight="1">
      <c r="A768" s="276"/>
      <c r="B768" s="101"/>
      <c r="C768" s="98"/>
      <c r="D768" s="100"/>
      <c r="E768" s="98"/>
      <c r="F768" s="99"/>
      <c r="G768" s="101"/>
      <c r="H768" s="278"/>
      <c r="I768" s="101"/>
      <c r="J768" s="101"/>
      <c r="K768" s="101"/>
      <c r="L768" s="102"/>
      <c r="M768" s="102"/>
      <c r="N768" s="101"/>
      <c r="O768" s="279"/>
      <c r="P768" s="279"/>
      <c r="Q768" s="229"/>
      <c r="R768" s="229"/>
      <c r="S768" s="229"/>
      <c r="T768" s="229"/>
      <c r="U768" s="229"/>
      <c r="V768" s="229"/>
      <c r="W768" s="229"/>
      <c r="X768" s="229"/>
      <c r="Y768" s="229"/>
      <c r="Z768" s="229"/>
      <c r="AA768" s="229"/>
      <c r="AB768" s="229"/>
    </row>
    <row r="769" ht="15.75" customHeight="1">
      <c r="A769" s="276"/>
      <c r="B769" s="101"/>
      <c r="C769" s="98"/>
      <c r="D769" s="100"/>
      <c r="E769" s="98"/>
      <c r="F769" s="99"/>
      <c r="G769" s="101"/>
      <c r="H769" s="278"/>
      <c r="I769" s="101"/>
      <c r="J769" s="101"/>
      <c r="K769" s="101"/>
      <c r="L769" s="102"/>
      <c r="M769" s="102"/>
      <c r="N769" s="101"/>
      <c r="O769" s="279"/>
      <c r="P769" s="279"/>
      <c r="Q769" s="229"/>
      <c r="R769" s="229"/>
      <c r="S769" s="229"/>
      <c r="T769" s="229"/>
      <c r="U769" s="229"/>
      <c r="V769" s="229"/>
      <c r="W769" s="229"/>
      <c r="X769" s="229"/>
      <c r="Y769" s="229"/>
      <c r="Z769" s="229"/>
      <c r="AA769" s="229"/>
      <c r="AB769" s="229"/>
    </row>
    <row r="770" ht="15.75" customHeight="1">
      <c r="A770" s="276"/>
      <c r="B770" s="101"/>
      <c r="C770" s="98"/>
      <c r="D770" s="100"/>
      <c r="E770" s="98"/>
      <c r="F770" s="99"/>
      <c r="G770" s="101"/>
      <c r="H770" s="278"/>
      <c r="I770" s="101"/>
      <c r="J770" s="101"/>
      <c r="K770" s="101"/>
      <c r="L770" s="102"/>
      <c r="M770" s="102"/>
      <c r="N770" s="101"/>
      <c r="O770" s="279"/>
      <c r="P770" s="279"/>
      <c r="Q770" s="229"/>
      <c r="R770" s="229"/>
      <c r="S770" s="229"/>
      <c r="T770" s="229"/>
      <c r="U770" s="229"/>
      <c r="V770" s="229"/>
      <c r="W770" s="229"/>
      <c r="X770" s="229"/>
      <c r="Y770" s="229"/>
      <c r="Z770" s="229"/>
      <c r="AA770" s="229"/>
      <c r="AB770" s="229"/>
    </row>
    <row r="771" ht="15.75" customHeight="1">
      <c r="A771" s="276"/>
      <c r="B771" s="101"/>
      <c r="C771" s="98"/>
      <c r="D771" s="100"/>
      <c r="E771" s="98"/>
      <c r="F771" s="99"/>
      <c r="G771" s="101"/>
      <c r="H771" s="278"/>
      <c r="I771" s="101"/>
      <c r="J771" s="101"/>
      <c r="K771" s="101"/>
      <c r="L771" s="102"/>
      <c r="M771" s="102"/>
      <c r="N771" s="101"/>
      <c r="O771" s="279"/>
      <c r="P771" s="279"/>
      <c r="Q771" s="229"/>
      <c r="R771" s="229"/>
      <c r="S771" s="229"/>
      <c r="T771" s="229"/>
      <c r="U771" s="229"/>
      <c r="V771" s="229"/>
      <c r="W771" s="229"/>
      <c r="X771" s="229"/>
      <c r="Y771" s="229"/>
      <c r="Z771" s="229"/>
      <c r="AA771" s="229"/>
      <c r="AB771" s="229"/>
    </row>
    <row r="772" ht="15.75" customHeight="1">
      <c r="A772" s="276"/>
      <c r="B772" s="101"/>
      <c r="C772" s="98"/>
      <c r="D772" s="100"/>
      <c r="E772" s="98"/>
      <c r="F772" s="99"/>
      <c r="G772" s="101"/>
      <c r="H772" s="278"/>
      <c r="I772" s="101"/>
      <c r="J772" s="101"/>
      <c r="K772" s="101"/>
      <c r="L772" s="102"/>
      <c r="M772" s="102"/>
      <c r="N772" s="101"/>
      <c r="O772" s="279"/>
      <c r="P772" s="279"/>
      <c r="Q772" s="229"/>
      <c r="R772" s="229"/>
      <c r="S772" s="229"/>
      <c r="T772" s="229"/>
      <c r="U772" s="229"/>
      <c r="V772" s="229"/>
      <c r="W772" s="229"/>
      <c r="X772" s="229"/>
      <c r="Y772" s="229"/>
      <c r="Z772" s="229"/>
      <c r="AA772" s="229"/>
      <c r="AB772" s="229"/>
    </row>
    <row r="773" ht="15.75" customHeight="1">
      <c r="A773" s="276"/>
      <c r="B773" s="101"/>
      <c r="C773" s="98"/>
      <c r="D773" s="100"/>
      <c r="E773" s="98"/>
      <c r="F773" s="99"/>
      <c r="G773" s="101"/>
      <c r="H773" s="278"/>
      <c r="I773" s="101"/>
      <c r="J773" s="101"/>
      <c r="K773" s="101"/>
      <c r="L773" s="102"/>
      <c r="M773" s="102"/>
      <c r="N773" s="101"/>
      <c r="O773" s="279"/>
      <c r="P773" s="279"/>
      <c r="Q773" s="229"/>
      <c r="R773" s="229"/>
      <c r="S773" s="229"/>
      <c r="T773" s="229"/>
      <c r="U773" s="229"/>
      <c r="V773" s="229"/>
      <c r="W773" s="229"/>
      <c r="X773" s="229"/>
      <c r="Y773" s="229"/>
      <c r="Z773" s="229"/>
      <c r="AA773" s="229"/>
      <c r="AB773" s="229"/>
    </row>
    <row r="774" ht="15.75" customHeight="1">
      <c r="A774" s="276"/>
      <c r="B774" s="101"/>
      <c r="C774" s="98"/>
      <c r="D774" s="100"/>
      <c r="E774" s="98"/>
      <c r="F774" s="99"/>
      <c r="G774" s="101"/>
      <c r="H774" s="278"/>
      <c r="I774" s="101"/>
      <c r="J774" s="101"/>
      <c r="K774" s="101"/>
      <c r="L774" s="102"/>
      <c r="M774" s="102"/>
      <c r="N774" s="101"/>
      <c r="O774" s="279"/>
      <c r="P774" s="279"/>
      <c r="Q774" s="229"/>
      <c r="R774" s="229"/>
      <c r="S774" s="229"/>
      <c r="T774" s="229"/>
      <c r="U774" s="229"/>
      <c r="V774" s="229"/>
      <c r="W774" s="229"/>
      <c r="X774" s="229"/>
      <c r="Y774" s="229"/>
      <c r="Z774" s="229"/>
      <c r="AA774" s="229"/>
      <c r="AB774" s="229"/>
    </row>
    <row r="775" ht="15.75" customHeight="1">
      <c r="A775" s="276"/>
      <c r="B775" s="101"/>
      <c r="C775" s="98"/>
      <c r="D775" s="100"/>
      <c r="E775" s="98"/>
      <c r="F775" s="99"/>
      <c r="G775" s="101"/>
      <c r="H775" s="278"/>
      <c r="I775" s="101"/>
      <c r="J775" s="101"/>
      <c r="K775" s="101"/>
      <c r="L775" s="102"/>
      <c r="M775" s="102"/>
      <c r="N775" s="101"/>
      <c r="O775" s="279"/>
      <c r="P775" s="279"/>
      <c r="Q775" s="229"/>
      <c r="R775" s="229"/>
      <c r="S775" s="229"/>
      <c r="T775" s="229"/>
      <c r="U775" s="229"/>
      <c r="V775" s="229"/>
      <c r="W775" s="229"/>
      <c r="X775" s="229"/>
      <c r="Y775" s="229"/>
      <c r="Z775" s="229"/>
      <c r="AA775" s="229"/>
      <c r="AB775" s="229"/>
    </row>
    <row r="776" ht="15.75" customHeight="1">
      <c r="A776" s="276"/>
      <c r="B776" s="101"/>
      <c r="C776" s="98"/>
      <c r="D776" s="100"/>
      <c r="E776" s="98"/>
      <c r="F776" s="99"/>
      <c r="G776" s="101"/>
      <c r="H776" s="278"/>
      <c r="I776" s="101"/>
      <c r="J776" s="101"/>
      <c r="K776" s="101"/>
      <c r="L776" s="102"/>
      <c r="M776" s="102"/>
      <c r="N776" s="101"/>
      <c r="O776" s="279"/>
      <c r="P776" s="279"/>
      <c r="Q776" s="229"/>
      <c r="R776" s="229"/>
      <c r="S776" s="229"/>
      <c r="T776" s="229"/>
      <c r="U776" s="229"/>
      <c r="V776" s="229"/>
      <c r="W776" s="229"/>
      <c r="X776" s="229"/>
      <c r="Y776" s="229"/>
      <c r="Z776" s="229"/>
      <c r="AA776" s="229"/>
      <c r="AB776" s="229"/>
    </row>
    <row r="777" ht="15.75" customHeight="1">
      <c r="A777" s="276"/>
      <c r="B777" s="101"/>
      <c r="C777" s="98"/>
      <c r="D777" s="100"/>
      <c r="E777" s="98"/>
      <c r="F777" s="99"/>
      <c r="G777" s="101"/>
      <c r="H777" s="278"/>
      <c r="I777" s="101"/>
      <c r="J777" s="101"/>
      <c r="K777" s="101"/>
      <c r="L777" s="102"/>
      <c r="M777" s="102"/>
      <c r="N777" s="101"/>
      <c r="O777" s="279"/>
      <c r="P777" s="279"/>
      <c r="Q777" s="229"/>
      <c r="R777" s="229"/>
      <c r="S777" s="229"/>
      <c r="T777" s="229"/>
      <c r="U777" s="229"/>
      <c r="V777" s="229"/>
      <c r="W777" s="229"/>
      <c r="X777" s="229"/>
      <c r="Y777" s="229"/>
      <c r="Z777" s="229"/>
      <c r="AA777" s="229"/>
      <c r="AB777" s="229"/>
    </row>
    <row r="778" ht="15.75" customHeight="1">
      <c r="A778" s="276"/>
      <c r="B778" s="101"/>
      <c r="C778" s="98"/>
      <c r="D778" s="100"/>
      <c r="E778" s="98"/>
      <c r="F778" s="99"/>
      <c r="G778" s="101"/>
      <c r="H778" s="278"/>
      <c r="I778" s="101"/>
      <c r="J778" s="101"/>
      <c r="K778" s="101"/>
      <c r="L778" s="102"/>
      <c r="M778" s="102"/>
      <c r="N778" s="101"/>
      <c r="O778" s="279"/>
      <c r="P778" s="279"/>
      <c r="Q778" s="229"/>
      <c r="R778" s="229"/>
      <c r="S778" s="229"/>
      <c r="T778" s="229"/>
      <c r="U778" s="229"/>
      <c r="V778" s="229"/>
      <c r="W778" s="229"/>
      <c r="X778" s="229"/>
      <c r="Y778" s="229"/>
      <c r="Z778" s="229"/>
      <c r="AA778" s="229"/>
      <c r="AB778" s="229"/>
    </row>
    <row r="779" ht="15.75" customHeight="1">
      <c r="A779" s="276"/>
      <c r="B779" s="101"/>
      <c r="C779" s="98"/>
      <c r="D779" s="100"/>
      <c r="E779" s="98"/>
      <c r="F779" s="99"/>
      <c r="G779" s="101"/>
      <c r="H779" s="278"/>
      <c r="I779" s="101"/>
      <c r="J779" s="101"/>
      <c r="K779" s="101"/>
      <c r="L779" s="102"/>
      <c r="M779" s="102"/>
      <c r="N779" s="101"/>
      <c r="O779" s="279"/>
      <c r="P779" s="279"/>
      <c r="Q779" s="229"/>
      <c r="R779" s="229"/>
      <c r="S779" s="229"/>
      <c r="T779" s="229"/>
      <c r="U779" s="229"/>
      <c r="V779" s="229"/>
      <c r="W779" s="229"/>
      <c r="X779" s="229"/>
      <c r="Y779" s="229"/>
      <c r="Z779" s="229"/>
      <c r="AA779" s="229"/>
      <c r="AB779" s="229"/>
    </row>
    <row r="780" ht="15.75" customHeight="1">
      <c r="A780" s="276"/>
      <c r="B780" s="101"/>
      <c r="C780" s="98"/>
      <c r="D780" s="100"/>
      <c r="E780" s="98"/>
      <c r="F780" s="99"/>
      <c r="G780" s="101"/>
      <c r="H780" s="278"/>
      <c r="I780" s="101"/>
      <c r="J780" s="101"/>
      <c r="K780" s="101"/>
      <c r="L780" s="102"/>
      <c r="M780" s="102"/>
      <c r="N780" s="101"/>
      <c r="O780" s="279"/>
      <c r="P780" s="279"/>
      <c r="Q780" s="229"/>
      <c r="R780" s="229"/>
      <c r="S780" s="229"/>
      <c r="T780" s="229"/>
      <c r="U780" s="229"/>
      <c r="V780" s="229"/>
      <c r="W780" s="229"/>
      <c r="X780" s="229"/>
      <c r="Y780" s="229"/>
      <c r="Z780" s="229"/>
      <c r="AA780" s="229"/>
      <c r="AB780" s="229"/>
    </row>
    <row r="781" ht="15.75" customHeight="1">
      <c r="A781" s="276"/>
      <c r="B781" s="101"/>
      <c r="C781" s="98"/>
      <c r="D781" s="100"/>
      <c r="E781" s="98"/>
      <c r="F781" s="99"/>
      <c r="G781" s="101"/>
      <c r="H781" s="278"/>
      <c r="I781" s="101"/>
      <c r="J781" s="101"/>
      <c r="K781" s="101"/>
      <c r="L781" s="102"/>
      <c r="M781" s="102"/>
      <c r="N781" s="101"/>
      <c r="O781" s="279"/>
      <c r="P781" s="279"/>
      <c r="Q781" s="229"/>
      <c r="R781" s="229"/>
      <c r="S781" s="229"/>
      <c r="T781" s="229"/>
      <c r="U781" s="229"/>
      <c r="V781" s="229"/>
      <c r="W781" s="229"/>
      <c r="X781" s="229"/>
      <c r="Y781" s="229"/>
      <c r="Z781" s="229"/>
      <c r="AA781" s="229"/>
      <c r="AB781" s="229"/>
    </row>
    <row r="782" ht="15.75" customHeight="1">
      <c r="A782" s="276"/>
      <c r="B782" s="101"/>
      <c r="C782" s="98"/>
      <c r="D782" s="100"/>
      <c r="E782" s="98"/>
      <c r="F782" s="99"/>
      <c r="G782" s="101"/>
      <c r="H782" s="278"/>
      <c r="I782" s="101"/>
      <c r="J782" s="101"/>
      <c r="K782" s="101"/>
      <c r="L782" s="102"/>
      <c r="M782" s="102"/>
      <c r="N782" s="101"/>
      <c r="O782" s="279"/>
      <c r="P782" s="279"/>
      <c r="Q782" s="229"/>
      <c r="R782" s="229"/>
      <c r="S782" s="229"/>
      <c r="T782" s="229"/>
      <c r="U782" s="229"/>
      <c r="V782" s="229"/>
      <c r="W782" s="229"/>
      <c r="X782" s="229"/>
      <c r="Y782" s="229"/>
      <c r="Z782" s="229"/>
      <c r="AA782" s="229"/>
      <c r="AB782" s="229"/>
    </row>
    <row r="783" ht="15.75" customHeight="1">
      <c r="A783" s="276"/>
      <c r="B783" s="101"/>
      <c r="C783" s="98"/>
      <c r="D783" s="100"/>
      <c r="E783" s="98"/>
      <c r="F783" s="99"/>
      <c r="G783" s="101"/>
      <c r="H783" s="278"/>
      <c r="I783" s="101"/>
      <c r="J783" s="101"/>
      <c r="K783" s="101"/>
      <c r="L783" s="102"/>
      <c r="M783" s="102"/>
      <c r="N783" s="101"/>
      <c r="O783" s="279"/>
      <c r="P783" s="279"/>
      <c r="Q783" s="229"/>
      <c r="R783" s="229"/>
      <c r="S783" s="229"/>
      <c r="T783" s="229"/>
      <c r="U783" s="229"/>
      <c r="V783" s="229"/>
      <c r="W783" s="229"/>
      <c r="X783" s="229"/>
      <c r="Y783" s="229"/>
      <c r="Z783" s="229"/>
      <c r="AA783" s="229"/>
      <c r="AB783" s="229"/>
    </row>
    <row r="784" ht="15.75" customHeight="1">
      <c r="A784" s="276"/>
      <c r="B784" s="101"/>
      <c r="C784" s="98"/>
      <c r="D784" s="100"/>
      <c r="E784" s="98"/>
      <c r="F784" s="99"/>
      <c r="G784" s="101"/>
      <c r="H784" s="278"/>
      <c r="I784" s="101"/>
      <c r="J784" s="101"/>
      <c r="K784" s="101"/>
      <c r="L784" s="102"/>
      <c r="M784" s="102"/>
      <c r="N784" s="101"/>
      <c r="O784" s="279"/>
      <c r="P784" s="279"/>
      <c r="Q784" s="229"/>
      <c r="R784" s="229"/>
      <c r="S784" s="229"/>
      <c r="T784" s="229"/>
      <c r="U784" s="229"/>
      <c r="V784" s="229"/>
      <c r="W784" s="229"/>
      <c r="X784" s="229"/>
      <c r="Y784" s="229"/>
      <c r="Z784" s="229"/>
      <c r="AA784" s="229"/>
      <c r="AB784" s="229"/>
    </row>
    <row r="785" ht="15.75" customHeight="1">
      <c r="A785" s="276"/>
      <c r="B785" s="101"/>
      <c r="C785" s="98"/>
      <c r="D785" s="100"/>
      <c r="E785" s="98"/>
      <c r="F785" s="99"/>
      <c r="G785" s="101"/>
      <c r="H785" s="278"/>
      <c r="I785" s="101"/>
      <c r="J785" s="101"/>
      <c r="K785" s="101"/>
      <c r="L785" s="102"/>
      <c r="M785" s="102"/>
      <c r="N785" s="101"/>
      <c r="O785" s="279"/>
      <c r="P785" s="279"/>
      <c r="Q785" s="229"/>
      <c r="R785" s="229"/>
      <c r="S785" s="229"/>
      <c r="T785" s="229"/>
      <c r="U785" s="229"/>
      <c r="V785" s="229"/>
      <c r="W785" s="229"/>
      <c r="X785" s="229"/>
      <c r="Y785" s="229"/>
      <c r="Z785" s="229"/>
      <c r="AA785" s="229"/>
      <c r="AB785" s="229"/>
    </row>
    <row r="786" ht="15.75" customHeight="1">
      <c r="A786" s="276"/>
      <c r="B786" s="101"/>
      <c r="C786" s="98"/>
      <c r="D786" s="100"/>
      <c r="E786" s="98"/>
      <c r="F786" s="99"/>
      <c r="G786" s="101"/>
      <c r="H786" s="278"/>
      <c r="I786" s="101"/>
      <c r="J786" s="101"/>
      <c r="K786" s="101"/>
      <c r="L786" s="102"/>
      <c r="M786" s="102"/>
      <c r="N786" s="101"/>
      <c r="O786" s="279"/>
      <c r="P786" s="279"/>
      <c r="Q786" s="229"/>
      <c r="R786" s="229"/>
      <c r="S786" s="229"/>
      <c r="T786" s="229"/>
      <c r="U786" s="229"/>
      <c r="V786" s="229"/>
      <c r="W786" s="229"/>
      <c r="X786" s="229"/>
      <c r="Y786" s="229"/>
      <c r="Z786" s="229"/>
      <c r="AA786" s="229"/>
      <c r="AB786" s="229"/>
    </row>
    <row r="787" ht="15.75" customHeight="1">
      <c r="A787" s="276"/>
      <c r="B787" s="101"/>
      <c r="C787" s="98"/>
      <c r="D787" s="100"/>
      <c r="E787" s="98"/>
      <c r="F787" s="99"/>
      <c r="G787" s="101"/>
      <c r="H787" s="278"/>
      <c r="I787" s="101"/>
      <c r="J787" s="101"/>
      <c r="K787" s="101"/>
      <c r="L787" s="102"/>
      <c r="M787" s="102"/>
      <c r="N787" s="101"/>
      <c r="O787" s="279"/>
      <c r="P787" s="279"/>
      <c r="Q787" s="229"/>
      <c r="R787" s="229"/>
      <c r="S787" s="229"/>
      <c r="T787" s="229"/>
      <c r="U787" s="229"/>
      <c r="V787" s="229"/>
      <c r="W787" s="229"/>
      <c r="X787" s="229"/>
      <c r="Y787" s="229"/>
      <c r="Z787" s="229"/>
      <c r="AA787" s="229"/>
      <c r="AB787" s="229"/>
    </row>
    <row r="788" ht="15.75" customHeight="1">
      <c r="A788" s="276"/>
      <c r="B788" s="101"/>
      <c r="C788" s="98"/>
      <c r="D788" s="100"/>
      <c r="E788" s="98"/>
      <c r="F788" s="99"/>
      <c r="G788" s="101"/>
      <c r="H788" s="278"/>
      <c r="I788" s="101"/>
      <c r="J788" s="101"/>
      <c r="K788" s="101"/>
      <c r="L788" s="102"/>
      <c r="M788" s="102"/>
      <c r="N788" s="101"/>
      <c r="O788" s="279"/>
      <c r="P788" s="279"/>
      <c r="Q788" s="229"/>
      <c r="R788" s="229"/>
      <c r="S788" s="229"/>
      <c r="T788" s="229"/>
      <c r="U788" s="229"/>
      <c r="V788" s="229"/>
      <c r="W788" s="229"/>
      <c r="X788" s="229"/>
      <c r="Y788" s="229"/>
      <c r="Z788" s="229"/>
      <c r="AA788" s="229"/>
      <c r="AB788" s="229"/>
    </row>
    <row r="789" ht="15.75" customHeight="1">
      <c r="A789" s="276"/>
      <c r="B789" s="101"/>
      <c r="C789" s="98"/>
      <c r="D789" s="100"/>
      <c r="E789" s="98"/>
      <c r="F789" s="99"/>
      <c r="G789" s="101"/>
      <c r="H789" s="278"/>
      <c r="I789" s="101"/>
      <c r="J789" s="101"/>
      <c r="K789" s="101"/>
      <c r="L789" s="102"/>
      <c r="M789" s="102"/>
      <c r="N789" s="101"/>
      <c r="O789" s="279"/>
      <c r="P789" s="279"/>
      <c r="Q789" s="229"/>
      <c r="R789" s="229"/>
      <c r="S789" s="229"/>
      <c r="T789" s="229"/>
      <c r="U789" s="229"/>
      <c r="V789" s="229"/>
      <c r="W789" s="229"/>
      <c r="X789" s="229"/>
      <c r="Y789" s="229"/>
      <c r="Z789" s="229"/>
      <c r="AA789" s="229"/>
      <c r="AB789" s="229"/>
    </row>
    <row r="790" ht="15.75" customHeight="1">
      <c r="A790" s="276"/>
      <c r="B790" s="101"/>
      <c r="C790" s="98"/>
      <c r="D790" s="100"/>
      <c r="E790" s="98"/>
      <c r="F790" s="99"/>
      <c r="G790" s="101"/>
      <c r="H790" s="278"/>
      <c r="I790" s="101"/>
      <c r="J790" s="101"/>
      <c r="K790" s="101"/>
      <c r="L790" s="102"/>
      <c r="M790" s="102"/>
      <c r="N790" s="101"/>
      <c r="O790" s="279"/>
      <c r="P790" s="279"/>
      <c r="Q790" s="229"/>
      <c r="R790" s="229"/>
      <c r="S790" s="229"/>
      <c r="T790" s="229"/>
      <c r="U790" s="229"/>
      <c r="V790" s="229"/>
      <c r="W790" s="229"/>
      <c r="X790" s="229"/>
      <c r="Y790" s="229"/>
      <c r="Z790" s="229"/>
      <c r="AA790" s="229"/>
      <c r="AB790" s="229"/>
    </row>
    <row r="791" ht="15.75" customHeight="1">
      <c r="A791" s="276"/>
      <c r="B791" s="101"/>
      <c r="C791" s="98"/>
      <c r="D791" s="100"/>
      <c r="E791" s="98"/>
      <c r="F791" s="99"/>
      <c r="G791" s="101"/>
      <c r="H791" s="278"/>
      <c r="I791" s="101"/>
      <c r="J791" s="101"/>
      <c r="K791" s="101"/>
      <c r="L791" s="102"/>
      <c r="M791" s="102"/>
      <c r="N791" s="101"/>
      <c r="O791" s="279"/>
      <c r="P791" s="279"/>
      <c r="Q791" s="229"/>
      <c r="R791" s="229"/>
      <c r="S791" s="229"/>
      <c r="T791" s="229"/>
      <c r="U791" s="229"/>
      <c r="V791" s="229"/>
      <c r="W791" s="229"/>
      <c r="X791" s="229"/>
      <c r="Y791" s="229"/>
      <c r="Z791" s="229"/>
      <c r="AA791" s="229"/>
      <c r="AB791" s="229"/>
    </row>
    <row r="792" ht="15.75" customHeight="1">
      <c r="A792" s="276"/>
      <c r="B792" s="101"/>
      <c r="C792" s="98"/>
      <c r="D792" s="100"/>
      <c r="E792" s="98"/>
      <c r="F792" s="99"/>
      <c r="G792" s="101"/>
      <c r="H792" s="278"/>
      <c r="I792" s="101"/>
      <c r="J792" s="101"/>
      <c r="K792" s="101"/>
      <c r="L792" s="102"/>
      <c r="M792" s="102"/>
      <c r="N792" s="101"/>
      <c r="O792" s="279"/>
      <c r="P792" s="279"/>
      <c r="Q792" s="229"/>
      <c r="R792" s="229"/>
      <c r="S792" s="229"/>
      <c r="T792" s="229"/>
      <c r="U792" s="229"/>
      <c r="V792" s="229"/>
      <c r="W792" s="229"/>
      <c r="X792" s="229"/>
      <c r="Y792" s="229"/>
      <c r="Z792" s="229"/>
      <c r="AA792" s="229"/>
      <c r="AB792" s="229"/>
    </row>
    <row r="793" ht="15.75" customHeight="1">
      <c r="A793" s="276"/>
      <c r="B793" s="101"/>
      <c r="C793" s="98"/>
      <c r="D793" s="100"/>
      <c r="E793" s="98"/>
      <c r="F793" s="99"/>
      <c r="G793" s="101"/>
      <c r="H793" s="278"/>
      <c r="I793" s="101"/>
      <c r="J793" s="101"/>
      <c r="K793" s="101"/>
      <c r="L793" s="102"/>
      <c r="M793" s="102"/>
      <c r="N793" s="101"/>
      <c r="O793" s="279"/>
      <c r="P793" s="279"/>
      <c r="Q793" s="229"/>
      <c r="R793" s="229"/>
      <c r="S793" s="229"/>
      <c r="T793" s="229"/>
      <c r="U793" s="229"/>
      <c r="V793" s="229"/>
      <c r="W793" s="229"/>
      <c r="X793" s="229"/>
      <c r="Y793" s="229"/>
      <c r="Z793" s="229"/>
      <c r="AA793" s="229"/>
      <c r="AB793" s="229"/>
    </row>
    <row r="794" ht="15.75" customHeight="1">
      <c r="A794" s="276"/>
      <c r="B794" s="101"/>
      <c r="C794" s="98"/>
      <c r="D794" s="100"/>
      <c r="E794" s="98"/>
      <c r="F794" s="99"/>
      <c r="G794" s="101"/>
      <c r="H794" s="278"/>
      <c r="I794" s="101"/>
      <c r="J794" s="101"/>
      <c r="K794" s="101"/>
      <c r="L794" s="102"/>
      <c r="M794" s="102"/>
      <c r="N794" s="101"/>
      <c r="O794" s="279"/>
      <c r="P794" s="279"/>
      <c r="Q794" s="229"/>
      <c r="R794" s="229"/>
      <c r="S794" s="229"/>
      <c r="T794" s="229"/>
      <c r="U794" s="229"/>
      <c r="V794" s="229"/>
      <c r="W794" s="229"/>
      <c r="X794" s="229"/>
      <c r="Y794" s="229"/>
      <c r="Z794" s="229"/>
      <c r="AA794" s="229"/>
      <c r="AB794" s="229"/>
    </row>
    <row r="795" ht="15.75" customHeight="1">
      <c r="A795" s="276"/>
      <c r="B795" s="101"/>
      <c r="C795" s="98"/>
      <c r="D795" s="100"/>
      <c r="E795" s="98"/>
      <c r="F795" s="99"/>
      <c r="G795" s="101"/>
      <c r="H795" s="278"/>
      <c r="I795" s="101"/>
      <c r="J795" s="101"/>
      <c r="K795" s="101"/>
      <c r="L795" s="102"/>
      <c r="M795" s="102"/>
      <c r="N795" s="101"/>
      <c r="O795" s="279"/>
      <c r="P795" s="279"/>
      <c r="Q795" s="229"/>
      <c r="R795" s="229"/>
      <c r="S795" s="229"/>
      <c r="T795" s="229"/>
      <c r="U795" s="229"/>
      <c r="V795" s="229"/>
      <c r="W795" s="229"/>
      <c r="X795" s="229"/>
      <c r="Y795" s="229"/>
      <c r="Z795" s="229"/>
      <c r="AA795" s="229"/>
      <c r="AB795" s="229"/>
    </row>
    <row r="796" ht="15.75" customHeight="1">
      <c r="A796" s="276"/>
      <c r="B796" s="101"/>
      <c r="C796" s="98"/>
      <c r="D796" s="100"/>
      <c r="E796" s="98"/>
      <c r="F796" s="99"/>
      <c r="G796" s="101"/>
      <c r="H796" s="278"/>
      <c r="I796" s="101"/>
      <c r="J796" s="101"/>
      <c r="K796" s="101"/>
      <c r="L796" s="102"/>
      <c r="M796" s="102"/>
      <c r="N796" s="101"/>
      <c r="O796" s="279"/>
      <c r="P796" s="279"/>
      <c r="Q796" s="229"/>
      <c r="R796" s="229"/>
      <c r="S796" s="229"/>
      <c r="T796" s="229"/>
      <c r="U796" s="229"/>
      <c r="V796" s="229"/>
      <c r="W796" s="229"/>
      <c r="X796" s="229"/>
      <c r="Y796" s="229"/>
      <c r="Z796" s="229"/>
      <c r="AA796" s="229"/>
      <c r="AB796" s="229"/>
    </row>
    <row r="797" ht="15.75" customHeight="1">
      <c r="A797" s="276"/>
      <c r="B797" s="101"/>
      <c r="C797" s="98"/>
      <c r="D797" s="100"/>
      <c r="E797" s="98"/>
      <c r="F797" s="99"/>
      <c r="G797" s="101"/>
      <c r="H797" s="278"/>
      <c r="I797" s="101"/>
      <c r="J797" s="101"/>
      <c r="K797" s="101"/>
      <c r="L797" s="102"/>
      <c r="M797" s="102"/>
      <c r="N797" s="101"/>
      <c r="O797" s="279"/>
      <c r="P797" s="279"/>
      <c r="Q797" s="229"/>
      <c r="R797" s="229"/>
      <c r="S797" s="229"/>
      <c r="T797" s="229"/>
      <c r="U797" s="229"/>
      <c r="V797" s="229"/>
      <c r="W797" s="229"/>
      <c r="X797" s="229"/>
      <c r="Y797" s="229"/>
      <c r="Z797" s="229"/>
      <c r="AA797" s="229"/>
      <c r="AB797" s="229"/>
    </row>
    <row r="798" ht="15.75" customHeight="1">
      <c r="A798" s="276"/>
      <c r="B798" s="101"/>
      <c r="C798" s="98"/>
      <c r="D798" s="100"/>
      <c r="E798" s="98"/>
      <c r="F798" s="99"/>
      <c r="G798" s="101"/>
      <c r="H798" s="278"/>
      <c r="I798" s="101"/>
      <c r="J798" s="101"/>
      <c r="K798" s="101"/>
      <c r="L798" s="102"/>
      <c r="M798" s="102"/>
      <c r="N798" s="101"/>
      <c r="O798" s="279"/>
      <c r="P798" s="279"/>
      <c r="Q798" s="229"/>
      <c r="R798" s="229"/>
      <c r="S798" s="229"/>
      <c r="T798" s="229"/>
      <c r="U798" s="229"/>
      <c r="V798" s="229"/>
      <c r="W798" s="229"/>
      <c r="X798" s="229"/>
      <c r="Y798" s="229"/>
      <c r="Z798" s="229"/>
      <c r="AA798" s="229"/>
      <c r="AB798" s="229"/>
    </row>
    <row r="799" ht="15.75" customHeight="1">
      <c r="A799" s="276"/>
      <c r="B799" s="101"/>
      <c r="C799" s="98"/>
      <c r="D799" s="100"/>
      <c r="E799" s="98"/>
      <c r="F799" s="99"/>
      <c r="G799" s="101"/>
      <c r="H799" s="278"/>
      <c r="I799" s="101"/>
      <c r="J799" s="101"/>
      <c r="K799" s="101"/>
      <c r="L799" s="102"/>
      <c r="M799" s="102"/>
      <c r="N799" s="101"/>
      <c r="O799" s="279"/>
      <c r="P799" s="279"/>
      <c r="Q799" s="229"/>
      <c r="R799" s="229"/>
      <c r="S799" s="229"/>
      <c r="T799" s="229"/>
      <c r="U799" s="229"/>
      <c r="V799" s="229"/>
      <c r="W799" s="229"/>
      <c r="X799" s="229"/>
      <c r="Y799" s="229"/>
      <c r="Z799" s="229"/>
      <c r="AA799" s="229"/>
      <c r="AB799" s="229"/>
    </row>
    <row r="800" ht="15.75" customHeight="1">
      <c r="A800" s="276"/>
      <c r="B800" s="101"/>
      <c r="C800" s="98"/>
      <c r="D800" s="100"/>
      <c r="E800" s="98"/>
      <c r="F800" s="99"/>
      <c r="G800" s="101"/>
      <c r="H800" s="278"/>
      <c r="I800" s="101"/>
      <c r="J800" s="101"/>
      <c r="K800" s="101"/>
      <c r="L800" s="102"/>
      <c r="M800" s="102"/>
      <c r="N800" s="101"/>
      <c r="O800" s="279"/>
      <c r="P800" s="279"/>
      <c r="Q800" s="229"/>
      <c r="R800" s="229"/>
      <c r="S800" s="229"/>
      <c r="T800" s="229"/>
      <c r="U800" s="229"/>
      <c r="V800" s="229"/>
      <c r="W800" s="229"/>
      <c r="X800" s="229"/>
      <c r="Y800" s="229"/>
      <c r="Z800" s="229"/>
      <c r="AA800" s="229"/>
      <c r="AB800" s="229"/>
    </row>
    <row r="801" ht="15.75" customHeight="1">
      <c r="A801" s="276"/>
      <c r="B801" s="101"/>
      <c r="C801" s="98"/>
      <c r="D801" s="100"/>
      <c r="E801" s="98"/>
      <c r="F801" s="99"/>
      <c r="G801" s="101"/>
      <c r="H801" s="278"/>
      <c r="I801" s="101"/>
      <c r="J801" s="101"/>
      <c r="K801" s="101"/>
      <c r="L801" s="102"/>
      <c r="M801" s="102"/>
      <c r="N801" s="101"/>
      <c r="O801" s="279"/>
      <c r="P801" s="279"/>
      <c r="Q801" s="229"/>
      <c r="R801" s="229"/>
      <c r="S801" s="229"/>
      <c r="T801" s="229"/>
      <c r="U801" s="229"/>
      <c r="V801" s="229"/>
      <c r="W801" s="229"/>
      <c r="X801" s="229"/>
      <c r="Y801" s="229"/>
      <c r="Z801" s="229"/>
      <c r="AA801" s="229"/>
      <c r="AB801" s="229"/>
    </row>
    <row r="802" ht="15.75" customHeight="1">
      <c r="A802" s="276"/>
      <c r="B802" s="101"/>
      <c r="C802" s="98"/>
      <c r="D802" s="100"/>
      <c r="E802" s="98"/>
      <c r="F802" s="99"/>
      <c r="G802" s="101"/>
      <c r="H802" s="278"/>
      <c r="I802" s="101"/>
      <c r="J802" s="101"/>
      <c r="K802" s="101"/>
      <c r="L802" s="102"/>
      <c r="M802" s="102"/>
      <c r="N802" s="101"/>
      <c r="O802" s="279"/>
      <c r="P802" s="279"/>
      <c r="Q802" s="229"/>
      <c r="R802" s="229"/>
      <c r="S802" s="229"/>
      <c r="T802" s="229"/>
      <c r="U802" s="229"/>
      <c r="V802" s="229"/>
      <c r="W802" s="229"/>
      <c r="X802" s="229"/>
      <c r="Y802" s="229"/>
      <c r="Z802" s="229"/>
      <c r="AA802" s="229"/>
      <c r="AB802" s="229"/>
    </row>
    <row r="803" ht="15.75" customHeight="1">
      <c r="A803" s="276"/>
      <c r="B803" s="101"/>
      <c r="C803" s="98"/>
      <c r="D803" s="100"/>
      <c r="E803" s="98"/>
      <c r="F803" s="99"/>
      <c r="G803" s="101"/>
      <c r="H803" s="278"/>
      <c r="I803" s="101"/>
      <c r="J803" s="101"/>
      <c r="K803" s="101"/>
      <c r="L803" s="102"/>
      <c r="M803" s="102"/>
      <c r="N803" s="101"/>
      <c r="O803" s="279"/>
      <c r="P803" s="279"/>
      <c r="Q803" s="229"/>
      <c r="R803" s="229"/>
      <c r="S803" s="229"/>
      <c r="T803" s="229"/>
      <c r="U803" s="229"/>
      <c r="V803" s="229"/>
      <c r="W803" s="229"/>
      <c r="X803" s="229"/>
      <c r="Y803" s="229"/>
      <c r="Z803" s="229"/>
      <c r="AA803" s="229"/>
      <c r="AB803" s="229"/>
    </row>
    <row r="804" ht="15.75" customHeight="1">
      <c r="A804" s="276"/>
      <c r="B804" s="101"/>
      <c r="C804" s="98"/>
      <c r="D804" s="100"/>
      <c r="E804" s="98"/>
      <c r="F804" s="99"/>
      <c r="G804" s="101"/>
      <c r="H804" s="278"/>
      <c r="I804" s="101"/>
      <c r="J804" s="101"/>
      <c r="K804" s="101"/>
      <c r="L804" s="102"/>
      <c r="M804" s="102"/>
      <c r="N804" s="101"/>
      <c r="O804" s="279"/>
      <c r="P804" s="279"/>
      <c r="Q804" s="229"/>
      <c r="R804" s="229"/>
      <c r="S804" s="229"/>
      <c r="T804" s="229"/>
      <c r="U804" s="229"/>
      <c r="V804" s="229"/>
      <c r="W804" s="229"/>
      <c r="X804" s="229"/>
      <c r="Y804" s="229"/>
      <c r="Z804" s="229"/>
      <c r="AA804" s="229"/>
      <c r="AB804" s="229"/>
    </row>
    <row r="805" ht="15.75" customHeight="1">
      <c r="A805" s="276"/>
      <c r="B805" s="101"/>
      <c r="C805" s="98"/>
      <c r="D805" s="100"/>
      <c r="E805" s="98"/>
      <c r="F805" s="99"/>
      <c r="G805" s="101"/>
      <c r="H805" s="278"/>
      <c r="I805" s="101"/>
      <c r="J805" s="101"/>
      <c r="K805" s="101"/>
      <c r="L805" s="102"/>
      <c r="M805" s="102"/>
      <c r="N805" s="101"/>
      <c r="O805" s="279"/>
      <c r="P805" s="279"/>
      <c r="Q805" s="229"/>
      <c r="R805" s="229"/>
      <c r="S805" s="229"/>
      <c r="T805" s="229"/>
      <c r="U805" s="229"/>
      <c r="V805" s="229"/>
      <c r="W805" s="229"/>
      <c r="X805" s="229"/>
      <c r="Y805" s="229"/>
      <c r="Z805" s="229"/>
      <c r="AA805" s="229"/>
      <c r="AB805" s="229"/>
    </row>
    <row r="806" ht="15.75" customHeight="1">
      <c r="A806" s="276"/>
      <c r="B806" s="101"/>
      <c r="C806" s="98"/>
      <c r="D806" s="100"/>
      <c r="E806" s="98"/>
      <c r="F806" s="99"/>
      <c r="G806" s="101"/>
      <c r="H806" s="278"/>
      <c r="I806" s="101"/>
      <c r="J806" s="101"/>
      <c r="K806" s="101"/>
      <c r="L806" s="102"/>
      <c r="M806" s="102"/>
      <c r="N806" s="101"/>
      <c r="O806" s="279"/>
      <c r="P806" s="279"/>
      <c r="Q806" s="229"/>
      <c r="R806" s="229"/>
      <c r="S806" s="229"/>
      <c r="T806" s="229"/>
      <c r="U806" s="229"/>
      <c r="V806" s="229"/>
      <c r="W806" s="229"/>
      <c r="X806" s="229"/>
      <c r="Y806" s="229"/>
      <c r="Z806" s="229"/>
      <c r="AA806" s="229"/>
      <c r="AB806" s="229"/>
    </row>
    <row r="807" ht="15.75" customHeight="1">
      <c r="A807" s="276"/>
      <c r="B807" s="101"/>
      <c r="C807" s="98"/>
      <c r="D807" s="100"/>
      <c r="E807" s="98"/>
      <c r="F807" s="99"/>
      <c r="G807" s="101"/>
      <c r="H807" s="278"/>
      <c r="I807" s="101"/>
      <c r="J807" s="101"/>
      <c r="K807" s="101"/>
      <c r="L807" s="102"/>
      <c r="M807" s="102"/>
      <c r="N807" s="101"/>
      <c r="O807" s="279"/>
      <c r="P807" s="279"/>
      <c r="Q807" s="229"/>
      <c r="R807" s="229"/>
      <c r="S807" s="229"/>
      <c r="T807" s="229"/>
      <c r="U807" s="229"/>
      <c r="V807" s="229"/>
      <c r="W807" s="229"/>
      <c r="X807" s="229"/>
      <c r="Y807" s="229"/>
      <c r="Z807" s="229"/>
      <c r="AA807" s="229"/>
      <c r="AB807" s="229"/>
    </row>
    <row r="808" ht="15.75" customHeight="1">
      <c r="A808" s="276"/>
      <c r="B808" s="101"/>
      <c r="C808" s="98"/>
      <c r="D808" s="100"/>
      <c r="E808" s="98"/>
      <c r="F808" s="99"/>
      <c r="G808" s="101"/>
      <c r="H808" s="278"/>
      <c r="I808" s="101"/>
      <c r="J808" s="101"/>
      <c r="K808" s="101"/>
      <c r="L808" s="102"/>
      <c r="M808" s="102"/>
      <c r="N808" s="101"/>
      <c r="O808" s="279"/>
      <c r="P808" s="279"/>
      <c r="Q808" s="229"/>
      <c r="R808" s="229"/>
      <c r="S808" s="229"/>
      <c r="T808" s="229"/>
      <c r="U808" s="229"/>
      <c r="V808" s="229"/>
      <c r="W808" s="229"/>
      <c r="X808" s="229"/>
      <c r="Y808" s="229"/>
      <c r="Z808" s="229"/>
      <c r="AA808" s="229"/>
      <c r="AB808" s="229"/>
    </row>
    <row r="809" ht="15.75" customHeight="1">
      <c r="A809" s="276"/>
      <c r="B809" s="101"/>
      <c r="C809" s="98"/>
      <c r="D809" s="100"/>
      <c r="E809" s="98"/>
      <c r="F809" s="99"/>
      <c r="G809" s="101"/>
      <c r="H809" s="278"/>
      <c r="I809" s="101"/>
      <c r="J809" s="101"/>
      <c r="K809" s="101"/>
      <c r="L809" s="102"/>
      <c r="M809" s="102"/>
      <c r="N809" s="101"/>
      <c r="O809" s="279"/>
      <c r="P809" s="279"/>
      <c r="Q809" s="229"/>
      <c r="R809" s="229"/>
      <c r="S809" s="229"/>
      <c r="T809" s="229"/>
      <c r="U809" s="229"/>
      <c r="V809" s="229"/>
      <c r="W809" s="229"/>
      <c r="X809" s="229"/>
      <c r="Y809" s="229"/>
      <c r="Z809" s="229"/>
      <c r="AA809" s="229"/>
      <c r="AB809" s="229"/>
    </row>
    <row r="810" ht="15.75" customHeight="1">
      <c r="A810" s="276"/>
      <c r="B810" s="101"/>
      <c r="C810" s="98"/>
      <c r="D810" s="100"/>
      <c r="E810" s="98"/>
      <c r="F810" s="99"/>
      <c r="G810" s="101"/>
      <c r="H810" s="278"/>
      <c r="I810" s="101"/>
      <c r="J810" s="101"/>
      <c r="K810" s="101"/>
      <c r="L810" s="102"/>
      <c r="M810" s="102"/>
      <c r="N810" s="101"/>
      <c r="O810" s="279"/>
      <c r="P810" s="279"/>
      <c r="Q810" s="229"/>
      <c r="R810" s="229"/>
      <c r="S810" s="229"/>
      <c r="T810" s="229"/>
      <c r="U810" s="229"/>
      <c r="V810" s="229"/>
      <c r="W810" s="229"/>
      <c r="X810" s="229"/>
      <c r="Y810" s="229"/>
      <c r="Z810" s="229"/>
      <c r="AA810" s="229"/>
      <c r="AB810" s="229"/>
    </row>
    <row r="811" ht="15.75" customHeight="1">
      <c r="A811" s="276"/>
      <c r="B811" s="101"/>
      <c r="C811" s="98"/>
      <c r="D811" s="100"/>
      <c r="E811" s="98"/>
      <c r="F811" s="99"/>
      <c r="G811" s="101"/>
      <c r="H811" s="278"/>
      <c r="I811" s="101"/>
      <c r="J811" s="101"/>
      <c r="K811" s="101"/>
      <c r="L811" s="102"/>
      <c r="M811" s="102"/>
      <c r="N811" s="101"/>
      <c r="O811" s="279"/>
      <c r="P811" s="279"/>
      <c r="Q811" s="229"/>
      <c r="R811" s="229"/>
      <c r="S811" s="229"/>
      <c r="T811" s="229"/>
      <c r="U811" s="229"/>
      <c r="V811" s="229"/>
      <c r="W811" s="229"/>
      <c r="X811" s="229"/>
      <c r="Y811" s="229"/>
      <c r="Z811" s="229"/>
      <c r="AA811" s="229"/>
      <c r="AB811" s="229"/>
    </row>
    <row r="812" ht="15.75" customHeight="1">
      <c r="A812" s="276"/>
      <c r="B812" s="101"/>
      <c r="C812" s="98"/>
      <c r="D812" s="100"/>
      <c r="E812" s="98"/>
      <c r="F812" s="99"/>
      <c r="G812" s="101"/>
      <c r="H812" s="278"/>
      <c r="I812" s="101"/>
      <c r="J812" s="101"/>
      <c r="K812" s="101"/>
      <c r="L812" s="102"/>
      <c r="M812" s="102"/>
      <c r="N812" s="101"/>
      <c r="O812" s="279"/>
      <c r="P812" s="279"/>
      <c r="Q812" s="229"/>
      <c r="R812" s="229"/>
      <c r="S812" s="229"/>
      <c r="T812" s="229"/>
      <c r="U812" s="229"/>
      <c r="V812" s="229"/>
      <c r="W812" s="229"/>
      <c r="X812" s="229"/>
      <c r="Y812" s="229"/>
      <c r="Z812" s="229"/>
      <c r="AA812" s="229"/>
      <c r="AB812" s="229"/>
    </row>
    <row r="813" ht="15.75" customHeight="1">
      <c r="A813" s="276"/>
      <c r="B813" s="101"/>
      <c r="C813" s="98"/>
      <c r="D813" s="100"/>
      <c r="E813" s="98"/>
      <c r="F813" s="99"/>
      <c r="G813" s="101"/>
      <c r="H813" s="278"/>
      <c r="I813" s="101"/>
      <c r="J813" s="101"/>
      <c r="K813" s="101"/>
      <c r="L813" s="102"/>
      <c r="M813" s="102"/>
      <c r="N813" s="101"/>
      <c r="O813" s="279"/>
      <c r="P813" s="279"/>
      <c r="Q813" s="229"/>
      <c r="R813" s="229"/>
      <c r="S813" s="229"/>
      <c r="T813" s="229"/>
      <c r="U813" s="229"/>
      <c r="V813" s="229"/>
      <c r="W813" s="229"/>
      <c r="X813" s="229"/>
      <c r="Y813" s="229"/>
      <c r="Z813" s="229"/>
      <c r="AA813" s="229"/>
      <c r="AB813" s="229"/>
    </row>
    <row r="814" ht="15.75" customHeight="1">
      <c r="A814" s="276"/>
      <c r="B814" s="101"/>
      <c r="C814" s="98"/>
      <c r="D814" s="100"/>
      <c r="E814" s="98"/>
      <c r="F814" s="99"/>
      <c r="G814" s="101"/>
      <c r="H814" s="278"/>
      <c r="I814" s="101"/>
      <c r="J814" s="101"/>
      <c r="K814" s="101"/>
      <c r="L814" s="102"/>
      <c r="M814" s="102"/>
      <c r="N814" s="101"/>
      <c r="O814" s="279"/>
      <c r="P814" s="279"/>
      <c r="Q814" s="229"/>
      <c r="R814" s="229"/>
      <c r="S814" s="229"/>
      <c r="T814" s="229"/>
      <c r="U814" s="229"/>
      <c r="V814" s="229"/>
      <c r="W814" s="229"/>
      <c r="X814" s="229"/>
      <c r="Y814" s="229"/>
      <c r="Z814" s="229"/>
      <c r="AA814" s="229"/>
      <c r="AB814" s="229"/>
    </row>
    <row r="815" ht="15.75" customHeight="1">
      <c r="A815" s="276"/>
      <c r="B815" s="101"/>
      <c r="C815" s="98"/>
      <c r="D815" s="100"/>
      <c r="E815" s="98"/>
      <c r="F815" s="99"/>
      <c r="G815" s="101"/>
      <c r="H815" s="278"/>
      <c r="I815" s="101"/>
      <c r="J815" s="101"/>
      <c r="K815" s="101"/>
      <c r="L815" s="102"/>
      <c r="M815" s="102"/>
      <c r="N815" s="101"/>
      <c r="O815" s="279"/>
      <c r="P815" s="279"/>
      <c r="Q815" s="229"/>
      <c r="R815" s="229"/>
      <c r="S815" s="229"/>
      <c r="T815" s="229"/>
      <c r="U815" s="229"/>
      <c r="V815" s="229"/>
      <c r="W815" s="229"/>
      <c r="X815" s="229"/>
      <c r="Y815" s="229"/>
      <c r="Z815" s="229"/>
      <c r="AA815" s="229"/>
      <c r="AB815" s="229"/>
    </row>
    <row r="816" ht="15.75" customHeight="1">
      <c r="A816" s="276"/>
      <c r="B816" s="101"/>
      <c r="C816" s="98"/>
      <c r="D816" s="100"/>
      <c r="E816" s="98"/>
      <c r="F816" s="99"/>
      <c r="G816" s="101"/>
      <c r="H816" s="278"/>
      <c r="I816" s="101"/>
      <c r="J816" s="101"/>
      <c r="K816" s="101"/>
      <c r="L816" s="102"/>
      <c r="M816" s="102"/>
      <c r="N816" s="101"/>
      <c r="O816" s="279"/>
      <c r="P816" s="279"/>
      <c r="Q816" s="229"/>
      <c r="R816" s="229"/>
      <c r="S816" s="229"/>
      <c r="T816" s="229"/>
      <c r="U816" s="229"/>
      <c r="V816" s="229"/>
      <c r="W816" s="229"/>
      <c r="X816" s="229"/>
      <c r="Y816" s="229"/>
      <c r="Z816" s="229"/>
      <c r="AA816" s="229"/>
      <c r="AB816" s="229"/>
    </row>
    <row r="817" ht="15.75" customHeight="1">
      <c r="A817" s="276"/>
      <c r="B817" s="101"/>
      <c r="C817" s="98"/>
      <c r="D817" s="100"/>
      <c r="E817" s="98"/>
      <c r="F817" s="99"/>
      <c r="G817" s="101"/>
      <c r="H817" s="278"/>
      <c r="I817" s="101"/>
      <c r="J817" s="101"/>
      <c r="K817" s="101"/>
      <c r="L817" s="102"/>
      <c r="M817" s="102"/>
      <c r="N817" s="101"/>
      <c r="O817" s="279"/>
      <c r="P817" s="279"/>
      <c r="Q817" s="229"/>
      <c r="R817" s="229"/>
      <c r="S817" s="229"/>
      <c r="T817" s="229"/>
      <c r="U817" s="229"/>
      <c r="V817" s="229"/>
      <c r="W817" s="229"/>
      <c r="X817" s="229"/>
      <c r="Y817" s="229"/>
      <c r="Z817" s="229"/>
      <c r="AA817" s="229"/>
      <c r="AB817" s="229"/>
    </row>
    <row r="818" ht="15.75" customHeight="1">
      <c r="A818" s="276"/>
      <c r="B818" s="101"/>
      <c r="C818" s="98"/>
      <c r="D818" s="100"/>
      <c r="E818" s="98"/>
      <c r="F818" s="99"/>
      <c r="G818" s="101"/>
      <c r="H818" s="278"/>
      <c r="I818" s="101"/>
      <c r="J818" s="101"/>
      <c r="K818" s="101"/>
      <c r="L818" s="102"/>
      <c r="M818" s="102"/>
      <c r="N818" s="101"/>
      <c r="O818" s="279"/>
      <c r="P818" s="279"/>
      <c r="Q818" s="229"/>
      <c r="R818" s="229"/>
      <c r="S818" s="229"/>
      <c r="T818" s="229"/>
      <c r="U818" s="229"/>
      <c r="V818" s="229"/>
      <c r="W818" s="229"/>
      <c r="X818" s="229"/>
      <c r="Y818" s="229"/>
      <c r="Z818" s="229"/>
      <c r="AA818" s="229"/>
      <c r="AB818" s="229"/>
    </row>
    <row r="819" ht="15.75" customHeight="1">
      <c r="A819" s="276"/>
      <c r="B819" s="101"/>
      <c r="C819" s="98"/>
      <c r="D819" s="100"/>
      <c r="E819" s="98"/>
      <c r="F819" s="99"/>
      <c r="G819" s="101"/>
      <c r="H819" s="278"/>
      <c r="I819" s="101"/>
      <c r="J819" s="101"/>
      <c r="K819" s="101"/>
      <c r="L819" s="102"/>
      <c r="M819" s="102"/>
      <c r="N819" s="101"/>
      <c r="O819" s="279"/>
      <c r="P819" s="279"/>
      <c r="Q819" s="229"/>
      <c r="R819" s="229"/>
      <c r="S819" s="229"/>
      <c r="T819" s="229"/>
      <c r="U819" s="229"/>
      <c r="V819" s="229"/>
      <c r="W819" s="229"/>
      <c r="X819" s="229"/>
      <c r="Y819" s="229"/>
      <c r="Z819" s="229"/>
      <c r="AA819" s="229"/>
      <c r="AB819" s="229"/>
    </row>
    <row r="820" ht="15.75" customHeight="1">
      <c r="A820" s="276"/>
      <c r="B820" s="101"/>
      <c r="C820" s="98"/>
      <c r="D820" s="100"/>
      <c r="E820" s="98"/>
      <c r="F820" s="99"/>
      <c r="G820" s="101"/>
      <c r="H820" s="278"/>
      <c r="I820" s="101"/>
      <c r="J820" s="101"/>
      <c r="K820" s="101"/>
      <c r="L820" s="102"/>
      <c r="M820" s="102"/>
      <c r="N820" s="101"/>
      <c r="O820" s="279"/>
      <c r="P820" s="279"/>
      <c r="Q820" s="229"/>
      <c r="R820" s="229"/>
      <c r="S820" s="229"/>
      <c r="T820" s="229"/>
      <c r="U820" s="229"/>
      <c r="V820" s="229"/>
      <c r="W820" s="229"/>
      <c r="X820" s="229"/>
      <c r="Y820" s="229"/>
      <c r="Z820" s="229"/>
      <c r="AA820" s="229"/>
      <c r="AB820" s="229"/>
    </row>
    <row r="821" ht="15.75" customHeight="1">
      <c r="A821" s="276"/>
      <c r="B821" s="101"/>
      <c r="C821" s="98"/>
      <c r="D821" s="100"/>
      <c r="E821" s="98"/>
      <c r="F821" s="99"/>
      <c r="G821" s="101"/>
      <c r="H821" s="278"/>
      <c r="I821" s="101"/>
      <c r="J821" s="101"/>
      <c r="K821" s="101"/>
      <c r="L821" s="102"/>
      <c r="M821" s="102"/>
      <c r="N821" s="101"/>
      <c r="O821" s="279"/>
      <c r="P821" s="279"/>
      <c r="Q821" s="229"/>
      <c r="R821" s="229"/>
      <c r="S821" s="229"/>
      <c r="T821" s="229"/>
      <c r="U821" s="229"/>
      <c r="V821" s="229"/>
      <c r="W821" s="229"/>
      <c r="X821" s="229"/>
      <c r="Y821" s="229"/>
      <c r="Z821" s="229"/>
      <c r="AA821" s="229"/>
      <c r="AB821" s="229"/>
    </row>
    <row r="822" ht="15.75" customHeight="1">
      <c r="A822" s="276"/>
      <c r="B822" s="101"/>
      <c r="C822" s="98"/>
      <c r="D822" s="100"/>
      <c r="E822" s="98"/>
      <c r="F822" s="99"/>
      <c r="G822" s="101"/>
      <c r="H822" s="278"/>
      <c r="I822" s="101"/>
      <c r="J822" s="101"/>
      <c r="K822" s="101"/>
      <c r="L822" s="102"/>
      <c r="M822" s="102"/>
      <c r="N822" s="101"/>
      <c r="O822" s="279"/>
      <c r="P822" s="279"/>
      <c r="Q822" s="229"/>
      <c r="R822" s="229"/>
      <c r="S822" s="229"/>
      <c r="T822" s="229"/>
      <c r="U822" s="229"/>
      <c r="V822" s="229"/>
      <c r="W822" s="229"/>
      <c r="X822" s="229"/>
      <c r="Y822" s="229"/>
      <c r="Z822" s="229"/>
      <c r="AA822" s="229"/>
      <c r="AB822" s="229"/>
    </row>
    <row r="823" ht="15.75" customHeight="1">
      <c r="A823" s="276"/>
      <c r="B823" s="101"/>
      <c r="C823" s="98"/>
      <c r="D823" s="100"/>
      <c r="E823" s="98"/>
      <c r="F823" s="99"/>
      <c r="G823" s="101"/>
      <c r="H823" s="278"/>
      <c r="I823" s="101"/>
      <c r="J823" s="101"/>
      <c r="K823" s="101"/>
      <c r="L823" s="102"/>
      <c r="M823" s="102"/>
      <c r="N823" s="101"/>
      <c r="O823" s="279"/>
      <c r="P823" s="279"/>
      <c r="Q823" s="229"/>
      <c r="R823" s="229"/>
      <c r="S823" s="229"/>
      <c r="T823" s="229"/>
      <c r="U823" s="229"/>
      <c r="V823" s="229"/>
      <c r="W823" s="229"/>
      <c r="X823" s="229"/>
      <c r="Y823" s="229"/>
      <c r="Z823" s="229"/>
      <c r="AA823" s="229"/>
      <c r="AB823" s="229"/>
    </row>
    <row r="824" ht="15.75" customHeight="1">
      <c r="A824" s="276"/>
      <c r="B824" s="101"/>
      <c r="C824" s="98"/>
      <c r="D824" s="100"/>
      <c r="E824" s="98"/>
      <c r="F824" s="99"/>
      <c r="G824" s="101"/>
      <c r="H824" s="278"/>
      <c r="I824" s="101"/>
      <c r="J824" s="101"/>
      <c r="K824" s="101"/>
      <c r="L824" s="102"/>
      <c r="M824" s="102"/>
      <c r="N824" s="101"/>
      <c r="O824" s="279"/>
      <c r="P824" s="279"/>
      <c r="Q824" s="229"/>
      <c r="R824" s="229"/>
      <c r="S824" s="229"/>
      <c r="T824" s="229"/>
      <c r="U824" s="229"/>
      <c r="V824" s="229"/>
      <c r="W824" s="229"/>
      <c r="X824" s="229"/>
      <c r="Y824" s="229"/>
      <c r="Z824" s="229"/>
      <c r="AA824" s="229"/>
      <c r="AB824" s="229"/>
    </row>
    <row r="825" ht="15.75" customHeight="1">
      <c r="A825" s="276"/>
      <c r="B825" s="101"/>
      <c r="C825" s="98"/>
      <c r="D825" s="100"/>
      <c r="E825" s="98"/>
      <c r="F825" s="99"/>
      <c r="G825" s="101"/>
      <c r="H825" s="278"/>
      <c r="I825" s="101"/>
      <c r="J825" s="101"/>
      <c r="K825" s="101"/>
      <c r="L825" s="102"/>
      <c r="M825" s="102"/>
      <c r="N825" s="101"/>
      <c r="O825" s="279"/>
      <c r="P825" s="279"/>
      <c r="Q825" s="229"/>
      <c r="R825" s="229"/>
      <c r="S825" s="229"/>
      <c r="T825" s="229"/>
      <c r="U825" s="229"/>
      <c r="V825" s="229"/>
      <c r="W825" s="229"/>
      <c r="X825" s="229"/>
      <c r="Y825" s="229"/>
      <c r="Z825" s="229"/>
      <c r="AA825" s="229"/>
      <c r="AB825" s="229"/>
    </row>
    <row r="826" ht="15.75" customHeight="1">
      <c r="A826" s="276"/>
      <c r="B826" s="101"/>
      <c r="C826" s="98"/>
      <c r="D826" s="100"/>
      <c r="E826" s="98"/>
      <c r="F826" s="99"/>
      <c r="G826" s="101"/>
      <c r="H826" s="278"/>
      <c r="I826" s="101"/>
      <c r="J826" s="101"/>
      <c r="K826" s="101"/>
      <c r="L826" s="102"/>
      <c r="M826" s="102"/>
      <c r="N826" s="101"/>
      <c r="O826" s="279"/>
      <c r="P826" s="279"/>
      <c r="Q826" s="229"/>
      <c r="R826" s="229"/>
      <c r="S826" s="229"/>
      <c r="T826" s="229"/>
      <c r="U826" s="229"/>
      <c r="V826" s="229"/>
      <c r="W826" s="229"/>
      <c r="X826" s="229"/>
      <c r="Y826" s="229"/>
      <c r="Z826" s="229"/>
      <c r="AA826" s="229"/>
      <c r="AB826" s="229"/>
    </row>
    <row r="827" ht="15.75" customHeight="1">
      <c r="A827" s="276"/>
      <c r="B827" s="101"/>
      <c r="C827" s="98"/>
      <c r="D827" s="100"/>
      <c r="E827" s="98"/>
      <c r="F827" s="99"/>
      <c r="G827" s="101"/>
      <c r="H827" s="278"/>
      <c r="I827" s="101"/>
      <c r="J827" s="101"/>
      <c r="K827" s="101"/>
      <c r="L827" s="102"/>
      <c r="M827" s="102"/>
      <c r="N827" s="101"/>
      <c r="O827" s="279"/>
      <c r="P827" s="279"/>
      <c r="Q827" s="229"/>
      <c r="R827" s="229"/>
      <c r="S827" s="229"/>
      <c r="T827" s="229"/>
      <c r="U827" s="229"/>
      <c r="V827" s="229"/>
      <c r="W827" s="229"/>
      <c r="X827" s="229"/>
      <c r="Y827" s="229"/>
      <c r="Z827" s="229"/>
      <c r="AA827" s="229"/>
      <c r="AB827" s="229"/>
    </row>
    <row r="828" ht="15.75" customHeight="1">
      <c r="A828" s="276"/>
      <c r="B828" s="101"/>
      <c r="C828" s="98"/>
      <c r="D828" s="100"/>
      <c r="E828" s="98"/>
      <c r="F828" s="99"/>
      <c r="G828" s="101"/>
      <c r="H828" s="278"/>
      <c r="I828" s="101"/>
      <c r="J828" s="101"/>
      <c r="K828" s="101"/>
      <c r="L828" s="102"/>
      <c r="M828" s="102"/>
      <c r="N828" s="101"/>
      <c r="O828" s="279"/>
      <c r="P828" s="279"/>
      <c r="Q828" s="229"/>
      <c r="R828" s="229"/>
      <c r="S828" s="229"/>
      <c r="T828" s="229"/>
      <c r="U828" s="229"/>
      <c r="V828" s="229"/>
      <c r="W828" s="229"/>
      <c r="X828" s="229"/>
      <c r="Y828" s="229"/>
      <c r="Z828" s="229"/>
      <c r="AA828" s="229"/>
      <c r="AB828" s="229"/>
    </row>
    <row r="829" ht="15.75" customHeight="1">
      <c r="A829" s="276"/>
      <c r="B829" s="101"/>
      <c r="C829" s="98"/>
      <c r="D829" s="100"/>
      <c r="E829" s="98"/>
      <c r="F829" s="99"/>
      <c r="G829" s="101"/>
      <c r="H829" s="278"/>
      <c r="I829" s="101"/>
      <c r="J829" s="101"/>
      <c r="K829" s="101"/>
      <c r="L829" s="102"/>
      <c r="M829" s="102"/>
      <c r="N829" s="101"/>
      <c r="O829" s="279"/>
      <c r="P829" s="279"/>
      <c r="Q829" s="229"/>
      <c r="R829" s="229"/>
      <c r="S829" s="229"/>
      <c r="T829" s="229"/>
      <c r="U829" s="229"/>
      <c r="V829" s="229"/>
      <c r="W829" s="229"/>
      <c r="X829" s="229"/>
      <c r="Y829" s="229"/>
      <c r="Z829" s="229"/>
      <c r="AA829" s="229"/>
      <c r="AB829" s="229"/>
    </row>
    <row r="830" ht="15.75" customHeight="1">
      <c r="A830" s="276"/>
      <c r="B830" s="101"/>
      <c r="C830" s="98"/>
      <c r="D830" s="100"/>
      <c r="E830" s="98"/>
      <c r="F830" s="99"/>
      <c r="G830" s="101"/>
      <c r="H830" s="278"/>
      <c r="I830" s="101"/>
      <c r="J830" s="101"/>
      <c r="K830" s="101"/>
      <c r="L830" s="102"/>
      <c r="M830" s="102"/>
      <c r="N830" s="101"/>
      <c r="O830" s="279"/>
      <c r="P830" s="279"/>
      <c r="Q830" s="229"/>
      <c r="R830" s="229"/>
      <c r="S830" s="229"/>
      <c r="T830" s="229"/>
      <c r="U830" s="229"/>
      <c r="V830" s="229"/>
      <c r="W830" s="229"/>
      <c r="X830" s="229"/>
      <c r="Y830" s="229"/>
      <c r="Z830" s="229"/>
      <c r="AA830" s="229"/>
      <c r="AB830" s="229"/>
    </row>
    <row r="831" ht="15.75" customHeight="1">
      <c r="A831" s="276"/>
      <c r="B831" s="101"/>
      <c r="C831" s="98"/>
      <c r="D831" s="100"/>
      <c r="E831" s="98"/>
      <c r="F831" s="99"/>
      <c r="G831" s="101"/>
      <c r="H831" s="278"/>
      <c r="I831" s="101"/>
      <c r="J831" s="101"/>
      <c r="K831" s="101"/>
      <c r="L831" s="102"/>
      <c r="M831" s="102"/>
      <c r="N831" s="101"/>
      <c r="O831" s="279"/>
      <c r="P831" s="279"/>
      <c r="Q831" s="229"/>
      <c r="R831" s="229"/>
      <c r="S831" s="229"/>
      <c r="T831" s="229"/>
      <c r="U831" s="229"/>
      <c r="V831" s="229"/>
      <c r="W831" s="229"/>
      <c r="X831" s="229"/>
      <c r="Y831" s="229"/>
      <c r="Z831" s="229"/>
      <c r="AA831" s="229"/>
      <c r="AB831" s="229"/>
    </row>
    <row r="832" ht="15.75" customHeight="1">
      <c r="A832" s="276"/>
      <c r="B832" s="101"/>
      <c r="C832" s="98"/>
      <c r="D832" s="100"/>
      <c r="E832" s="98"/>
      <c r="F832" s="99"/>
      <c r="G832" s="101"/>
      <c r="H832" s="278"/>
      <c r="I832" s="101"/>
      <c r="J832" s="101"/>
      <c r="K832" s="101"/>
      <c r="L832" s="102"/>
      <c r="M832" s="102"/>
      <c r="N832" s="101"/>
      <c r="O832" s="279"/>
      <c r="P832" s="279"/>
      <c r="Q832" s="229"/>
      <c r="R832" s="229"/>
      <c r="S832" s="229"/>
      <c r="T832" s="229"/>
      <c r="U832" s="229"/>
      <c r="V832" s="229"/>
      <c r="W832" s="229"/>
      <c r="X832" s="229"/>
      <c r="Y832" s="229"/>
      <c r="Z832" s="229"/>
      <c r="AA832" s="229"/>
      <c r="AB832" s="229"/>
    </row>
    <row r="833" ht="15.75" customHeight="1">
      <c r="A833" s="276"/>
      <c r="B833" s="101"/>
      <c r="C833" s="98"/>
      <c r="D833" s="100"/>
      <c r="E833" s="98"/>
      <c r="F833" s="99"/>
      <c r="G833" s="101"/>
      <c r="H833" s="278"/>
      <c r="I833" s="101"/>
      <c r="J833" s="101"/>
      <c r="K833" s="101"/>
      <c r="L833" s="102"/>
      <c r="M833" s="102"/>
      <c r="N833" s="101"/>
      <c r="O833" s="279"/>
      <c r="P833" s="279"/>
      <c r="Q833" s="229"/>
      <c r="R833" s="229"/>
      <c r="S833" s="229"/>
      <c r="T833" s="229"/>
      <c r="U833" s="229"/>
      <c r="V833" s="229"/>
      <c r="W833" s="229"/>
      <c r="X833" s="229"/>
      <c r="Y833" s="229"/>
      <c r="Z833" s="229"/>
      <c r="AA833" s="229"/>
      <c r="AB833" s="229"/>
    </row>
    <row r="834" ht="15.75" customHeight="1">
      <c r="A834" s="276"/>
      <c r="B834" s="101"/>
      <c r="C834" s="98"/>
      <c r="D834" s="100"/>
      <c r="E834" s="98"/>
      <c r="F834" s="99"/>
      <c r="G834" s="101"/>
      <c r="H834" s="278"/>
      <c r="I834" s="101"/>
      <c r="J834" s="101"/>
      <c r="K834" s="101"/>
      <c r="L834" s="102"/>
      <c r="M834" s="102"/>
      <c r="N834" s="101"/>
      <c r="O834" s="279"/>
      <c r="P834" s="279"/>
      <c r="Q834" s="229"/>
      <c r="R834" s="229"/>
      <c r="S834" s="229"/>
      <c r="T834" s="229"/>
      <c r="U834" s="229"/>
      <c r="V834" s="229"/>
      <c r="W834" s="229"/>
      <c r="X834" s="229"/>
      <c r="Y834" s="229"/>
      <c r="Z834" s="229"/>
      <c r="AA834" s="229"/>
      <c r="AB834" s="229"/>
    </row>
    <row r="835" ht="15.75" customHeight="1">
      <c r="A835" s="276"/>
      <c r="B835" s="101"/>
      <c r="C835" s="98"/>
      <c r="D835" s="100"/>
      <c r="E835" s="98"/>
      <c r="F835" s="99"/>
      <c r="G835" s="101"/>
      <c r="H835" s="278"/>
      <c r="I835" s="101"/>
      <c r="J835" s="101"/>
      <c r="K835" s="101"/>
      <c r="L835" s="102"/>
      <c r="M835" s="102"/>
      <c r="N835" s="101"/>
      <c r="O835" s="279"/>
      <c r="P835" s="279"/>
      <c r="Q835" s="229"/>
      <c r="R835" s="229"/>
      <c r="S835" s="229"/>
      <c r="T835" s="229"/>
      <c r="U835" s="229"/>
      <c r="V835" s="229"/>
      <c r="W835" s="229"/>
      <c r="X835" s="229"/>
      <c r="Y835" s="229"/>
      <c r="Z835" s="229"/>
      <c r="AA835" s="229"/>
      <c r="AB835" s="229"/>
    </row>
    <row r="836" ht="15.75" customHeight="1">
      <c r="A836" s="276"/>
      <c r="B836" s="101"/>
      <c r="C836" s="98"/>
      <c r="D836" s="100"/>
      <c r="E836" s="98"/>
      <c r="F836" s="99"/>
      <c r="G836" s="101"/>
      <c r="H836" s="278"/>
      <c r="I836" s="101"/>
      <c r="J836" s="101"/>
      <c r="K836" s="101"/>
      <c r="L836" s="102"/>
      <c r="M836" s="102"/>
      <c r="N836" s="101"/>
      <c r="O836" s="279"/>
      <c r="P836" s="279"/>
      <c r="Q836" s="229"/>
      <c r="R836" s="229"/>
      <c r="S836" s="229"/>
      <c r="T836" s="229"/>
      <c r="U836" s="229"/>
      <c r="V836" s="229"/>
      <c r="W836" s="229"/>
      <c r="X836" s="229"/>
      <c r="Y836" s="229"/>
      <c r="Z836" s="229"/>
      <c r="AA836" s="229"/>
      <c r="AB836" s="229"/>
    </row>
    <row r="837" ht="15.75" customHeight="1">
      <c r="A837" s="276"/>
      <c r="B837" s="101"/>
      <c r="C837" s="98"/>
      <c r="D837" s="100"/>
      <c r="E837" s="98"/>
      <c r="F837" s="99"/>
      <c r="G837" s="101"/>
      <c r="H837" s="278"/>
      <c r="I837" s="101"/>
      <c r="J837" s="101"/>
      <c r="K837" s="101"/>
      <c r="L837" s="102"/>
      <c r="M837" s="102"/>
      <c r="N837" s="101"/>
      <c r="O837" s="279"/>
      <c r="P837" s="279"/>
      <c r="Q837" s="229"/>
      <c r="R837" s="229"/>
      <c r="S837" s="229"/>
      <c r="T837" s="229"/>
      <c r="U837" s="229"/>
      <c r="V837" s="229"/>
      <c r="W837" s="229"/>
      <c r="X837" s="229"/>
      <c r="Y837" s="229"/>
      <c r="Z837" s="229"/>
      <c r="AA837" s="229"/>
      <c r="AB837" s="229"/>
    </row>
    <row r="838" ht="15.75" customHeight="1">
      <c r="A838" s="276"/>
      <c r="B838" s="101"/>
      <c r="C838" s="98"/>
      <c r="D838" s="100"/>
      <c r="E838" s="98"/>
      <c r="F838" s="99"/>
      <c r="G838" s="101"/>
      <c r="H838" s="278"/>
      <c r="I838" s="101"/>
      <c r="J838" s="101"/>
      <c r="K838" s="101"/>
      <c r="L838" s="102"/>
      <c r="M838" s="102"/>
      <c r="N838" s="101"/>
      <c r="O838" s="279"/>
      <c r="P838" s="279"/>
      <c r="Q838" s="229"/>
      <c r="R838" s="229"/>
      <c r="S838" s="229"/>
      <c r="T838" s="229"/>
      <c r="U838" s="229"/>
      <c r="V838" s="229"/>
      <c r="W838" s="229"/>
      <c r="X838" s="229"/>
      <c r="Y838" s="229"/>
      <c r="Z838" s="229"/>
      <c r="AA838" s="229"/>
      <c r="AB838" s="229"/>
    </row>
    <row r="839" ht="15.75" customHeight="1">
      <c r="A839" s="276"/>
      <c r="B839" s="101"/>
      <c r="C839" s="98"/>
      <c r="D839" s="100"/>
      <c r="E839" s="98"/>
      <c r="F839" s="99"/>
      <c r="G839" s="101"/>
      <c r="H839" s="278"/>
      <c r="I839" s="101"/>
      <c r="J839" s="101"/>
      <c r="K839" s="101"/>
      <c r="L839" s="102"/>
      <c r="M839" s="102"/>
      <c r="N839" s="101"/>
      <c r="O839" s="279"/>
      <c r="P839" s="279"/>
      <c r="Q839" s="229"/>
      <c r="R839" s="229"/>
      <c r="S839" s="229"/>
      <c r="T839" s="229"/>
      <c r="U839" s="229"/>
      <c r="V839" s="229"/>
      <c r="W839" s="229"/>
      <c r="X839" s="229"/>
      <c r="Y839" s="229"/>
      <c r="Z839" s="229"/>
      <c r="AA839" s="229"/>
      <c r="AB839" s="229"/>
    </row>
    <row r="840" ht="15.75" customHeight="1">
      <c r="A840" s="276"/>
      <c r="B840" s="101"/>
      <c r="C840" s="98"/>
      <c r="D840" s="100"/>
      <c r="E840" s="98"/>
      <c r="F840" s="99"/>
      <c r="G840" s="101"/>
      <c r="H840" s="278"/>
      <c r="I840" s="101"/>
      <c r="J840" s="101"/>
      <c r="K840" s="101"/>
      <c r="L840" s="102"/>
      <c r="M840" s="102"/>
      <c r="N840" s="101"/>
      <c r="O840" s="279"/>
      <c r="P840" s="279"/>
      <c r="Q840" s="229"/>
      <c r="R840" s="229"/>
      <c r="S840" s="229"/>
      <c r="T840" s="229"/>
      <c r="U840" s="229"/>
      <c r="V840" s="229"/>
      <c r="W840" s="229"/>
      <c r="X840" s="229"/>
      <c r="Y840" s="229"/>
      <c r="Z840" s="229"/>
      <c r="AA840" s="229"/>
      <c r="AB840" s="229"/>
    </row>
    <row r="841" ht="15.75" customHeight="1">
      <c r="A841" s="276"/>
      <c r="B841" s="101"/>
      <c r="C841" s="98"/>
      <c r="D841" s="100"/>
      <c r="E841" s="98"/>
      <c r="F841" s="99"/>
      <c r="G841" s="101"/>
      <c r="H841" s="278"/>
      <c r="I841" s="101"/>
      <c r="J841" s="101"/>
      <c r="K841" s="101"/>
      <c r="L841" s="102"/>
      <c r="M841" s="102"/>
      <c r="N841" s="101"/>
      <c r="O841" s="279"/>
      <c r="P841" s="279"/>
      <c r="Q841" s="229"/>
      <c r="R841" s="229"/>
      <c r="S841" s="229"/>
      <c r="T841" s="229"/>
      <c r="U841" s="229"/>
      <c r="V841" s="229"/>
      <c r="W841" s="229"/>
      <c r="X841" s="229"/>
      <c r="Y841" s="229"/>
      <c r="Z841" s="229"/>
      <c r="AA841" s="229"/>
      <c r="AB841" s="229"/>
    </row>
    <row r="842" ht="15.75" customHeight="1">
      <c r="A842" s="276"/>
      <c r="B842" s="101"/>
      <c r="C842" s="98"/>
      <c r="D842" s="100"/>
      <c r="E842" s="98"/>
      <c r="F842" s="99"/>
      <c r="G842" s="101"/>
      <c r="H842" s="278"/>
      <c r="I842" s="101"/>
      <c r="J842" s="101"/>
      <c r="K842" s="101"/>
      <c r="L842" s="102"/>
      <c r="M842" s="102"/>
      <c r="N842" s="101"/>
      <c r="O842" s="279"/>
      <c r="P842" s="279"/>
      <c r="Q842" s="229"/>
      <c r="R842" s="229"/>
      <c r="S842" s="229"/>
      <c r="T842" s="229"/>
      <c r="U842" s="229"/>
      <c r="V842" s="229"/>
      <c r="W842" s="229"/>
      <c r="X842" s="229"/>
      <c r="Y842" s="229"/>
      <c r="Z842" s="229"/>
      <c r="AA842" s="229"/>
      <c r="AB842" s="229"/>
    </row>
    <row r="843" ht="15.75" customHeight="1">
      <c r="A843" s="276"/>
      <c r="B843" s="101"/>
      <c r="C843" s="98"/>
      <c r="D843" s="100"/>
      <c r="E843" s="98"/>
      <c r="F843" s="99"/>
      <c r="G843" s="101"/>
      <c r="H843" s="278"/>
      <c r="I843" s="101"/>
      <c r="J843" s="101"/>
      <c r="K843" s="101"/>
      <c r="L843" s="102"/>
      <c r="M843" s="102"/>
      <c r="N843" s="101"/>
      <c r="O843" s="279"/>
      <c r="P843" s="279"/>
      <c r="Q843" s="229"/>
      <c r="R843" s="229"/>
      <c r="S843" s="229"/>
      <c r="T843" s="229"/>
      <c r="U843" s="229"/>
      <c r="V843" s="229"/>
      <c r="W843" s="229"/>
      <c r="X843" s="229"/>
      <c r="Y843" s="229"/>
      <c r="Z843" s="229"/>
      <c r="AA843" s="229"/>
      <c r="AB843" s="229"/>
    </row>
    <row r="844" ht="15.75" customHeight="1">
      <c r="A844" s="276"/>
      <c r="B844" s="101"/>
      <c r="C844" s="98"/>
      <c r="D844" s="100"/>
      <c r="E844" s="98"/>
      <c r="F844" s="99"/>
      <c r="G844" s="101"/>
      <c r="H844" s="278"/>
      <c r="I844" s="101"/>
      <c r="J844" s="101"/>
      <c r="K844" s="101"/>
      <c r="L844" s="102"/>
      <c r="M844" s="102"/>
      <c r="N844" s="101"/>
      <c r="O844" s="279"/>
      <c r="P844" s="279"/>
      <c r="Q844" s="229"/>
      <c r="R844" s="229"/>
      <c r="S844" s="229"/>
      <c r="T844" s="229"/>
      <c r="U844" s="229"/>
      <c r="V844" s="229"/>
      <c r="W844" s="229"/>
      <c r="X844" s="229"/>
      <c r="Y844" s="229"/>
      <c r="Z844" s="229"/>
      <c r="AA844" s="229"/>
      <c r="AB844" s="229"/>
    </row>
    <row r="845" ht="15.75" customHeight="1">
      <c r="A845" s="276"/>
      <c r="B845" s="101"/>
      <c r="C845" s="98"/>
      <c r="D845" s="100"/>
      <c r="E845" s="98"/>
      <c r="F845" s="99"/>
      <c r="G845" s="101"/>
      <c r="H845" s="278"/>
      <c r="I845" s="101"/>
      <c r="J845" s="101"/>
      <c r="K845" s="101"/>
      <c r="L845" s="102"/>
      <c r="M845" s="102"/>
      <c r="N845" s="101"/>
      <c r="O845" s="279"/>
      <c r="P845" s="279"/>
      <c r="Q845" s="229"/>
      <c r="R845" s="229"/>
      <c r="S845" s="229"/>
      <c r="T845" s="229"/>
      <c r="U845" s="229"/>
      <c r="V845" s="229"/>
      <c r="W845" s="229"/>
      <c r="X845" s="229"/>
      <c r="Y845" s="229"/>
      <c r="Z845" s="229"/>
      <c r="AA845" s="229"/>
      <c r="AB845" s="229"/>
    </row>
    <row r="846" ht="15.75" customHeight="1">
      <c r="A846" s="276"/>
      <c r="B846" s="101"/>
      <c r="C846" s="98"/>
      <c r="D846" s="100"/>
      <c r="E846" s="98"/>
      <c r="F846" s="99"/>
      <c r="G846" s="101"/>
      <c r="H846" s="278"/>
      <c r="I846" s="101"/>
      <c r="J846" s="101"/>
      <c r="K846" s="101"/>
      <c r="L846" s="102"/>
      <c r="M846" s="102"/>
      <c r="N846" s="101"/>
      <c r="O846" s="279"/>
      <c r="P846" s="279"/>
      <c r="Q846" s="229"/>
      <c r="R846" s="229"/>
      <c r="S846" s="229"/>
      <c r="T846" s="229"/>
      <c r="U846" s="229"/>
      <c r="V846" s="229"/>
      <c r="W846" s="229"/>
      <c r="X846" s="229"/>
      <c r="Y846" s="229"/>
      <c r="Z846" s="229"/>
      <c r="AA846" s="229"/>
      <c r="AB846" s="229"/>
    </row>
    <row r="847" ht="15.75" customHeight="1">
      <c r="A847" s="276"/>
      <c r="B847" s="101"/>
      <c r="C847" s="98"/>
      <c r="D847" s="100"/>
      <c r="E847" s="98"/>
      <c r="F847" s="99"/>
      <c r="G847" s="101"/>
      <c r="H847" s="278"/>
      <c r="I847" s="101"/>
      <c r="J847" s="101"/>
      <c r="K847" s="101"/>
      <c r="L847" s="102"/>
      <c r="M847" s="102"/>
      <c r="N847" s="101"/>
      <c r="O847" s="279"/>
      <c r="P847" s="279"/>
      <c r="Q847" s="229"/>
      <c r="R847" s="229"/>
      <c r="S847" s="229"/>
      <c r="T847" s="229"/>
      <c r="U847" s="229"/>
      <c r="V847" s="229"/>
      <c r="W847" s="229"/>
      <c r="X847" s="229"/>
      <c r="Y847" s="229"/>
      <c r="Z847" s="229"/>
      <c r="AA847" s="229"/>
      <c r="AB847" s="229"/>
    </row>
    <row r="848" ht="15.75" customHeight="1">
      <c r="A848" s="276"/>
      <c r="B848" s="101"/>
      <c r="C848" s="98"/>
      <c r="D848" s="100"/>
      <c r="E848" s="98"/>
      <c r="F848" s="99"/>
      <c r="G848" s="101"/>
      <c r="H848" s="278"/>
      <c r="I848" s="101"/>
      <c r="J848" s="101"/>
      <c r="K848" s="101"/>
      <c r="L848" s="102"/>
      <c r="M848" s="102"/>
      <c r="N848" s="101"/>
      <c r="O848" s="279"/>
      <c r="P848" s="279"/>
      <c r="Q848" s="229"/>
      <c r="R848" s="229"/>
      <c r="S848" s="229"/>
      <c r="T848" s="229"/>
      <c r="U848" s="229"/>
      <c r="V848" s="229"/>
      <c r="W848" s="229"/>
      <c r="X848" s="229"/>
      <c r="Y848" s="229"/>
      <c r="Z848" s="229"/>
      <c r="AA848" s="229"/>
      <c r="AB848" s="229"/>
    </row>
    <row r="849" ht="15.75" customHeight="1">
      <c r="A849" s="276"/>
      <c r="B849" s="101"/>
      <c r="C849" s="98"/>
      <c r="D849" s="100"/>
      <c r="E849" s="98"/>
      <c r="F849" s="99"/>
      <c r="G849" s="101"/>
      <c r="H849" s="278"/>
      <c r="I849" s="101"/>
      <c r="J849" s="101"/>
      <c r="K849" s="101"/>
      <c r="L849" s="102"/>
      <c r="M849" s="102"/>
      <c r="N849" s="101"/>
      <c r="O849" s="279"/>
      <c r="P849" s="279"/>
      <c r="Q849" s="229"/>
      <c r="R849" s="229"/>
      <c r="S849" s="229"/>
      <c r="T849" s="229"/>
      <c r="U849" s="229"/>
      <c r="V849" s="229"/>
      <c r="W849" s="229"/>
      <c r="X849" s="229"/>
      <c r="Y849" s="229"/>
      <c r="Z849" s="229"/>
      <c r="AA849" s="229"/>
      <c r="AB849" s="229"/>
    </row>
    <row r="850" ht="15.75" customHeight="1">
      <c r="A850" s="276"/>
      <c r="B850" s="101"/>
      <c r="C850" s="98"/>
      <c r="D850" s="100"/>
      <c r="E850" s="98"/>
      <c r="F850" s="99"/>
      <c r="G850" s="101"/>
      <c r="H850" s="278"/>
      <c r="I850" s="101"/>
      <c r="J850" s="101"/>
      <c r="K850" s="101"/>
      <c r="L850" s="102"/>
      <c r="M850" s="102"/>
      <c r="N850" s="101"/>
      <c r="O850" s="279"/>
      <c r="P850" s="279"/>
      <c r="Q850" s="229"/>
      <c r="R850" s="229"/>
      <c r="S850" s="229"/>
      <c r="T850" s="229"/>
      <c r="U850" s="229"/>
      <c r="V850" s="229"/>
      <c r="W850" s="229"/>
      <c r="X850" s="229"/>
      <c r="Y850" s="229"/>
      <c r="Z850" s="229"/>
      <c r="AA850" s="229"/>
      <c r="AB850" s="229"/>
    </row>
    <row r="851" ht="15.75" customHeight="1">
      <c r="A851" s="276"/>
      <c r="B851" s="101"/>
      <c r="C851" s="98"/>
      <c r="D851" s="100"/>
      <c r="E851" s="98"/>
      <c r="F851" s="99"/>
      <c r="G851" s="101"/>
      <c r="H851" s="278"/>
      <c r="I851" s="101"/>
      <c r="J851" s="101"/>
      <c r="K851" s="101"/>
      <c r="L851" s="102"/>
      <c r="M851" s="102"/>
      <c r="N851" s="101"/>
      <c r="O851" s="279"/>
      <c r="P851" s="279"/>
      <c r="Q851" s="229"/>
      <c r="R851" s="229"/>
      <c r="S851" s="229"/>
      <c r="T851" s="229"/>
      <c r="U851" s="229"/>
      <c r="V851" s="229"/>
      <c r="W851" s="229"/>
      <c r="X851" s="229"/>
      <c r="Y851" s="229"/>
      <c r="Z851" s="229"/>
      <c r="AA851" s="229"/>
      <c r="AB851" s="229"/>
    </row>
    <row r="852" ht="15.75" customHeight="1">
      <c r="A852" s="276"/>
      <c r="B852" s="101"/>
      <c r="C852" s="98"/>
      <c r="D852" s="100"/>
      <c r="E852" s="98"/>
      <c r="F852" s="99"/>
      <c r="G852" s="101"/>
      <c r="H852" s="278"/>
      <c r="I852" s="101"/>
      <c r="J852" s="101"/>
      <c r="K852" s="101"/>
      <c r="L852" s="102"/>
      <c r="M852" s="102"/>
      <c r="N852" s="101"/>
      <c r="O852" s="279"/>
      <c r="P852" s="279"/>
      <c r="Q852" s="229"/>
      <c r="R852" s="229"/>
      <c r="S852" s="229"/>
      <c r="T852" s="229"/>
      <c r="U852" s="229"/>
      <c r="V852" s="229"/>
      <c r="W852" s="229"/>
      <c r="X852" s="229"/>
      <c r="Y852" s="229"/>
      <c r="Z852" s="229"/>
      <c r="AA852" s="229"/>
      <c r="AB852" s="229"/>
    </row>
    <row r="853" ht="15.75" customHeight="1">
      <c r="A853" s="276"/>
      <c r="B853" s="101"/>
      <c r="C853" s="98"/>
      <c r="D853" s="100"/>
      <c r="E853" s="98"/>
      <c r="F853" s="99"/>
      <c r="G853" s="101"/>
      <c r="H853" s="278"/>
      <c r="I853" s="101"/>
      <c r="J853" s="101"/>
      <c r="K853" s="101"/>
      <c r="L853" s="102"/>
      <c r="M853" s="102"/>
      <c r="N853" s="101"/>
      <c r="O853" s="279"/>
      <c r="P853" s="279"/>
      <c r="Q853" s="229"/>
      <c r="R853" s="229"/>
      <c r="S853" s="229"/>
      <c r="T853" s="229"/>
      <c r="U853" s="229"/>
      <c r="V853" s="229"/>
      <c r="W853" s="229"/>
      <c r="X853" s="229"/>
      <c r="Y853" s="229"/>
      <c r="Z853" s="229"/>
      <c r="AA853" s="229"/>
      <c r="AB853" s="229"/>
    </row>
    <row r="854" ht="15.75" customHeight="1">
      <c r="A854" s="276"/>
      <c r="B854" s="101"/>
      <c r="C854" s="98"/>
      <c r="D854" s="100"/>
      <c r="E854" s="98"/>
      <c r="F854" s="99"/>
      <c r="G854" s="101"/>
      <c r="H854" s="278"/>
      <c r="I854" s="101"/>
      <c r="J854" s="101"/>
      <c r="K854" s="101"/>
      <c r="L854" s="102"/>
      <c r="M854" s="102"/>
      <c r="N854" s="101"/>
      <c r="O854" s="279"/>
      <c r="P854" s="279"/>
      <c r="Q854" s="229"/>
      <c r="R854" s="229"/>
      <c r="S854" s="229"/>
      <c r="T854" s="229"/>
      <c r="U854" s="229"/>
      <c r="V854" s="229"/>
      <c r="W854" s="229"/>
      <c r="X854" s="229"/>
      <c r="Y854" s="229"/>
      <c r="Z854" s="229"/>
      <c r="AA854" s="229"/>
      <c r="AB854" s="229"/>
    </row>
    <row r="855" ht="15.75" customHeight="1">
      <c r="A855" s="276"/>
      <c r="B855" s="101"/>
      <c r="C855" s="98"/>
      <c r="D855" s="100"/>
      <c r="E855" s="98"/>
      <c r="F855" s="99"/>
      <c r="G855" s="101"/>
      <c r="H855" s="278"/>
      <c r="I855" s="101"/>
      <c r="J855" s="101"/>
      <c r="K855" s="101"/>
      <c r="L855" s="102"/>
      <c r="M855" s="102"/>
      <c r="N855" s="101"/>
      <c r="O855" s="279"/>
      <c r="P855" s="279"/>
      <c r="Q855" s="229"/>
      <c r="R855" s="229"/>
      <c r="S855" s="229"/>
      <c r="T855" s="229"/>
      <c r="U855" s="229"/>
      <c r="V855" s="229"/>
      <c r="W855" s="229"/>
      <c r="X855" s="229"/>
      <c r="Y855" s="229"/>
      <c r="Z855" s="229"/>
      <c r="AA855" s="229"/>
      <c r="AB855" s="229"/>
    </row>
    <row r="856" ht="15.75" customHeight="1">
      <c r="A856" s="276"/>
      <c r="B856" s="101"/>
      <c r="C856" s="98"/>
      <c r="D856" s="100"/>
      <c r="E856" s="98"/>
      <c r="F856" s="99"/>
      <c r="G856" s="101"/>
      <c r="H856" s="278"/>
      <c r="I856" s="101"/>
      <c r="J856" s="101"/>
      <c r="K856" s="101"/>
      <c r="L856" s="102"/>
      <c r="M856" s="102"/>
      <c r="N856" s="101"/>
      <c r="O856" s="279"/>
      <c r="P856" s="279"/>
      <c r="Q856" s="229"/>
      <c r="R856" s="229"/>
      <c r="S856" s="229"/>
      <c r="T856" s="229"/>
      <c r="U856" s="229"/>
      <c r="V856" s="229"/>
      <c r="W856" s="229"/>
      <c r="X856" s="229"/>
      <c r="Y856" s="229"/>
      <c r="Z856" s="229"/>
      <c r="AA856" s="229"/>
      <c r="AB856" s="229"/>
    </row>
    <row r="857" ht="15.75" customHeight="1">
      <c r="A857" s="276"/>
      <c r="B857" s="101"/>
      <c r="C857" s="98"/>
      <c r="D857" s="100"/>
      <c r="E857" s="98"/>
      <c r="F857" s="99"/>
      <c r="G857" s="101"/>
      <c r="H857" s="278"/>
      <c r="I857" s="101"/>
      <c r="J857" s="101"/>
      <c r="K857" s="101"/>
      <c r="L857" s="102"/>
      <c r="M857" s="102"/>
      <c r="N857" s="101"/>
      <c r="O857" s="279"/>
      <c r="P857" s="279"/>
      <c r="Q857" s="229"/>
      <c r="R857" s="229"/>
      <c r="S857" s="229"/>
      <c r="T857" s="229"/>
      <c r="U857" s="229"/>
      <c r="V857" s="229"/>
      <c r="W857" s="229"/>
      <c r="X857" s="229"/>
      <c r="Y857" s="229"/>
      <c r="Z857" s="229"/>
      <c r="AA857" s="229"/>
      <c r="AB857" s="229"/>
    </row>
    <row r="858" ht="15.75" customHeight="1">
      <c r="A858" s="276"/>
      <c r="B858" s="101"/>
      <c r="C858" s="98"/>
      <c r="D858" s="100"/>
      <c r="E858" s="98"/>
      <c r="F858" s="99"/>
      <c r="G858" s="101"/>
      <c r="H858" s="278"/>
      <c r="I858" s="101"/>
      <c r="J858" s="101"/>
      <c r="K858" s="101"/>
      <c r="L858" s="102"/>
      <c r="M858" s="102"/>
      <c r="N858" s="101"/>
      <c r="O858" s="279"/>
      <c r="P858" s="279"/>
      <c r="Q858" s="229"/>
      <c r="R858" s="229"/>
      <c r="S858" s="229"/>
      <c r="T858" s="229"/>
      <c r="U858" s="229"/>
      <c r="V858" s="229"/>
      <c r="W858" s="229"/>
      <c r="X858" s="229"/>
      <c r="Y858" s="229"/>
      <c r="Z858" s="229"/>
      <c r="AA858" s="229"/>
      <c r="AB858" s="229"/>
    </row>
    <row r="859" ht="15.75" customHeight="1">
      <c r="A859" s="276"/>
      <c r="B859" s="101"/>
      <c r="C859" s="98"/>
      <c r="D859" s="100"/>
      <c r="E859" s="98"/>
      <c r="F859" s="99"/>
      <c r="G859" s="101"/>
      <c r="H859" s="278"/>
      <c r="I859" s="101"/>
      <c r="J859" s="101"/>
      <c r="K859" s="101"/>
      <c r="L859" s="102"/>
      <c r="M859" s="102"/>
      <c r="N859" s="101"/>
      <c r="O859" s="279"/>
      <c r="P859" s="279"/>
      <c r="Q859" s="229"/>
      <c r="R859" s="229"/>
      <c r="S859" s="229"/>
      <c r="T859" s="229"/>
      <c r="U859" s="229"/>
      <c r="V859" s="229"/>
      <c r="W859" s="229"/>
      <c r="X859" s="229"/>
      <c r="Y859" s="229"/>
      <c r="Z859" s="229"/>
      <c r="AA859" s="229"/>
      <c r="AB859" s="229"/>
    </row>
    <row r="860" ht="15.75" customHeight="1">
      <c r="A860" s="276"/>
      <c r="B860" s="101"/>
      <c r="C860" s="98"/>
      <c r="D860" s="100"/>
      <c r="E860" s="98"/>
      <c r="F860" s="99"/>
      <c r="G860" s="101"/>
      <c r="H860" s="278"/>
      <c r="I860" s="101"/>
      <c r="J860" s="101"/>
      <c r="K860" s="101"/>
      <c r="L860" s="102"/>
      <c r="M860" s="102"/>
      <c r="N860" s="101"/>
      <c r="O860" s="279"/>
      <c r="P860" s="279"/>
      <c r="Q860" s="229"/>
      <c r="R860" s="229"/>
      <c r="S860" s="229"/>
      <c r="T860" s="229"/>
      <c r="U860" s="229"/>
      <c r="V860" s="229"/>
      <c r="W860" s="229"/>
      <c r="X860" s="229"/>
      <c r="Y860" s="229"/>
      <c r="Z860" s="229"/>
      <c r="AA860" s="229"/>
      <c r="AB860" s="229"/>
    </row>
    <row r="861" ht="15.75" customHeight="1">
      <c r="A861" s="276"/>
      <c r="B861" s="101"/>
      <c r="C861" s="98"/>
      <c r="D861" s="100"/>
      <c r="E861" s="98"/>
      <c r="F861" s="99"/>
      <c r="G861" s="101"/>
      <c r="H861" s="278"/>
      <c r="I861" s="101"/>
      <c r="J861" s="101"/>
      <c r="K861" s="101"/>
      <c r="L861" s="102"/>
      <c r="M861" s="102"/>
      <c r="N861" s="101"/>
      <c r="O861" s="279"/>
      <c r="P861" s="279"/>
      <c r="Q861" s="229"/>
      <c r="R861" s="229"/>
      <c r="S861" s="229"/>
      <c r="T861" s="229"/>
      <c r="U861" s="229"/>
      <c r="V861" s="229"/>
      <c r="W861" s="229"/>
      <c r="X861" s="229"/>
      <c r="Y861" s="229"/>
      <c r="Z861" s="229"/>
      <c r="AA861" s="229"/>
      <c r="AB861" s="229"/>
    </row>
    <row r="862" ht="15.75" customHeight="1">
      <c r="A862" s="276"/>
      <c r="B862" s="101"/>
      <c r="C862" s="98"/>
      <c r="D862" s="100"/>
      <c r="E862" s="98"/>
      <c r="F862" s="99"/>
      <c r="G862" s="101"/>
      <c r="H862" s="278"/>
      <c r="I862" s="101"/>
      <c r="J862" s="101"/>
      <c r="K862" s="101"/>
      <c r="L862" s="102"/>
      <c r="M862" s="102"/>
      <c r="N862" s="101"/>
      <c r="O862" s="279"/>
      <c r="P862" s="279"/>
      <c r="Q862" s="229"/>
      <c r="R862" s="229"/>
      <c r="S862" s="229"/>
      <c r="T862" s="229"/>
      <c r="U862" s="229"/>
      <c r="V862" s="229"/>
      <c r="W862" s="229"/>
      <c r="X862" s="229"/>
      <c r="Y862" s="229"/>
      <c r="Z862" s="229"/>
      <c r="AA862" s="229"/>
      <c r="AB862" s="229"/>
    </row>
    <row r="863" ht="15.75" customHeight="1">
      <c r="A863" s="276"/>
      <c r="B863" s="101"/>
      <c r="C863" s="98"/>
      <c r="D863" s="100"/>
      <c r="E863" s="98"/>
      <c r="F863" s="99"/>
      <c r="G863" s="101"/>
      <c r="H863" s="278"/>
      <c r="I863" s="101"/>
      <c r="J863" s="101"/>
      <c r="K863" s="101"/>
      <c r="L863" s="102"/>
      <c r="M863" s="102"/>
      <c r="N863" s="101"/>
      <c r="O863" s="279"/>
      <c r="P863" s="279"/>
      <c r="Q863" s="229"/>
      <c r="R863" s="229"/>
      <c r="S863" s="229"/>
      <c r="T863" s="229"/>
      <c r="U863" s="229"/>
      <c r="V863" s="229"/>
      <c r="W863" s="229"/>
      <c r="X863" s="229"/>
      <c r="Y863" s="229"/>
      <c r="Z863" s="229"/>
      <c r="AA863" s="229"/>
      <c r="AB863" s="229"/>
    </row>
    <row r="864" ht="15.75" customHeight="1">
      <c r="A864" s="276"/>
      <c r="B864" s="101"/>
      <c r="C864" s="98"/>
      <c r="D864" s="100"/>
      <c r="E864" s="98"/>
      <c r="F864" s="99"/>
      <c r="G864" s="101"/>
      <c r="H864" s="278"/>
      <c r="I864" s="101"/>
      <c r="J864" s="101"/>
      <c r="K864" s="101"/>
      <c r="L864" s="102"/>
      <c r="M864" s="102"/>
      <c r="N864" s="101"/>
      <c r="O864" s="279"/>
      <c r="P864" s="279"/>
      <c r="Q864" s="229"/>
      <c r="R864" s="229"/>
      <c r="S864" s="229"/>
      <c r="T864" s="229"/>
      <c r="U864" s="229"/>
      <c r="V864" s="229"/>
      <c r="W864" s="229"/>
      <c r="X864" s="229"/>
      <c r="Y864" s="229"/>
      <c r="Z864" s="229"/>
      <c r="AA864" s="229"/>
      <c r="AB864" s="229"/>
    </row>
    <row r="865" ht="15.75" customHeight="1">
      <c r="A865" s="276"/>
      <c r="B865" s="101"/>
      <c r="C865" s="98"/>
      <c r="D865" s="100"/>
      <c r="E865" s="98"/>
      <c r="F865" s="99"/>
      <c r="G865" s="101"/>
      <c r="H865" s="278"/>
      <c r="I865" s="101"/>
      <c r="J865" s="101"/>
      <c r="K865" s="101"/>
      <c r="L865" s="102"/>
      <c r="M865" s="102"/>
      <c r="N865" s="101"/>
      <c r="O865" s="279"/>
      <c r="P865" s="279"/>
      <c r="Q865" s="229"/>
      <c r="R865" s="229"/>
      <c r="S865" s="229"/>
      <c r="T865" s="229"/>
      <c r="U865" s="229"/>
      <c r="V865" s="229"/>
      <c r="W865" s="229"/>
      <c r="X865" s="229"/>
      <c r="Y865" s="229"/>
      <c r="Z865" s="229"/>
      <c r="AA865" s="229"/>
      <c r="AB865" s="229"/>
    </row>
    <row r="866" ht="15.75" customHeight="1">
      <c r="A866" s="276"/>
      <c r="B866" s="101"/>
      <c r="C866" s="98"/>
      <c r="D866" s="100"/>
      <c r="E866" s="98"/>
      <c r="F866" s="99"/>
      <c r="G866" s="101"/>
      <c r="H866" s="278"/>
      <c r="I866" s="101"/>
      <c r="J866" s="101"/>
      <c r="K866" s="101"/>
      <c r="L866" s="102"/>
      <c r="M866" s="102"/>
      <c r="N866" s="101"/>
      <c r="O866" s="279"/>
      <c r="P866" s="279"/>
      <c r="Q866" s="229"/>
      <c r="R866" s="229"/>
      <c r="S866" s="229"/>
      <c r="T866" s="229"/>
      <c r="U866" s="229"/>
      <c r="V866" s="229"/>
      <c r="W866" s="229"/>
      <c r="X866" s="229"/>
      <c r="Y866" s="229"/>
      <c r="Z866" s="229"/>
      <c r="AA866" s="229"/>
      <c r="AB866" s="229"/>
    </row>
    <row r="867" ht="15.75" customHeight="1">
      <c r="A867" s="276"/>
      <c r="B867" s="101"/>
      <c r="C867" s="98"/>
      <c r="D867" s="100"/>
      <c r="E867" s="98"/>
      <c r="F867" s="99"/>
      <c r="G867" s="101"/>
      <c r="H867" s="278"/>
      <c r="I867" s="101"/>
      <c r="J867" s="101"/>
      <c r="K867" s="101"/>
      <c r="L867" s="102"/>
      <c r="M867" s="102"/>
      <c r="N867" s="101"/>
      <c r="O867" s="279"/>
      <c r="P867" s="279"/>
      <c r="Q867" s="229"/>
      <c r="R867" s="229"/>
      <c r="S867" s="229"/>
      <c r="T867" s="229"/>
      <c r="U867" s="229"/>
      <c r="V867" s="229"/>
      <c r="W867" s="229"/>
      <c r="X867" s="229"/>
      <c r="Y867" s="229"/>
      <c r="Z867" s="229"/>
      <c r="AA867" s="229"/>
      <c r="AB867" s="229"/>
    </row>
    <row r="868" ht="15.75" customHeight="1">
      <c r="A868" s="276"/>
      <c r="B868" s="101"/>
      <c r="C868" s="98"/>
      <c r="D868" s="100"/>
      <c r="E868" s="98"/>
      <c r="F868" s="99"/>
      <c r="G868" s="101"/>
      <c r="H868" s="278"/>
      <c r="I868" s="101"/>
      <c r="J868" s="101"/>
      <c r="K868" s="101"/>
      <c r="L868" s="102"/>
      <c r="M868" s="102"/>
      <c r="N868" s="101"/>
      <c r="O868" s="279"/>
      <c r="P868" s="279"/>
      <c r="Q868" s="229"/>
      <c r="R868" s="229"/>
      <c r="S868" s="229"/>
      <c r="T868" s="229"/>
      <c r="U868" s="229"/>
      <c r="V868" s="229"/>
      <c r="W868" s="229"/>
      <c r="X868" s="229"/>
      <c r="Y868" s="229"/>
      <c r="Z868" s="229"/>
      <c r="AA868" s="229"/>
      <c r="AB868" s="229"/>
    </row>
    <row r="869" ht="15.75" customHeight="1">
      <c r="A869" s="276"/>
      <c r="B869" s="101"/>
      <c r="C869" s="98"/>
      <c r="D869" s="100"/>
      <c r="E869" s="98"/>
      <c r="F869" s="99"/>
      <c r="G869" s="101"/>
      <c r="H869" s="278"/>
      <c r="I869" s="101"/>
      <c r="J869" s="101"/>
      <c r="K869" s="101"/>
      <c r="L869" s="102"/>
      <c r="M869" s="102"/>
      <c r="N869" s="101"/>
      <c r="O869" s="279"/>
      <c r="P869" s="279"/>
      <c r="Q869" s="229"/>
      <c r="R869" s="229"/>
      <c r="S869" s="229"/>
      <c r="T869" s="229"/>
      <c r="U869" s="229"/>
      <c r="V869" s="229"/>
      <c r="W869" s="229"/>
      <c r="X869" s="229"/>
      <c r="Y869" s="229"/>
      <c r="Z869" s="229"/>
      <c r="AA869" s="229"/>
      <c r="AB869" s="229"/>
    </row>
    <row r="870" ht="15.75" customHeight="1">
      <c r="A870" s="276"/>
      <c r="B870" s="101"/>
      <c r="C870" s="98"/>
      <c r="D870" s="100"/>
      <c r="E870" s="98"/>
      <c r="F870" s="99"/>
      <c r="G870" s="101"/>
      <c r="H870" s="278"/>
      <c r="I870" s="101"/>
      <c r="J870" s="101"/>
      <c r="K870" s="101"/>
      <c r="L870" s="102"/>
      <c r="M870" s="102"/>
      <c r="N870" s="101"/>
      <c r="O870" s="279"/>
      <c r="P870" s="279"/>
      <c r="Q870" s="229"/>
      <c r="R870" s="229"/>
      <c r="S870" s="229"/>
      <c r="T870" s="229"/>
      <c r="U870" s="229"/>
      <c r="V870" s="229"/>
      <c r="W870" s="229"/>
      <c r="X870" s="229"/>
      <c r="Y870" s="229"/>
      <c r="Z870" s="229"/>
      <c r="AA870" s="229"/>
      <c r="AB870" s="229"/>
    </row>
    <row r="871" ht="15.75" customHeight="1">
      <c r="A871" s="276"/>
      <c r="B871" s="101"/>
      <c r="C871" s="98"/>
      <c r="D871" s="100"/>
      <c r="E871" s="98"/>
      <c r="F871" s="99"/>
      <c r="G871" s="101"/>
      <c r="H871" s="278"/>
      <c r="I871" s="101"/>
      <c r="J871" s="101"/>
      <c r="K871" s="101"/>
      <c r="L871" s="102"/>
      <c r="M871" s="102"/>
      <c r="N871" s="101"/>
      <c r="O871" s="279"/>
      <c r="P871" s="279"/>
      <c r="Q871" s="229"/>
      <c r="R871" s="229"/>
      <c r="S871" s="229"/>
      <c r="T871" s="229"/>
      <c r="U871" s="229"/>
      <c r="V871" s="229"/>
      <c r="W871" s="229"/>
      <c r="X871" s="229"/>
      <c r="Y871" s="229"/>
      <c r="Z871" s="229"/>
      <c r="AA871" s="229"/>
      <c r="AB871" s="229"/>
    </row>
    <row r="872" ht="15.75" customHeight="1">
      <c r="A872" s="276"/>
      <c r="B872" s="101"/>
      <c r="C872" s="98"/>
      <c r="D872" s="100"/>
      <c r="E872" s="98"/>
      <c r="F872" s="99"/>
      <c r="G872" s="101"/>
      <c r="H872" s="278"/>
      <c r="I872" s="101"/>
      <c r="J872" s="101"/>
      <c r="K872" s="101"/>
      <c r="L872" s="102"/>
      <c r="M872" s="102"/>
      <c r="N872" s="101"/>
      <c r="O872" s="279"/>
      <c r="P872" s="279"/>
      <c r="Q872" s="229"/>
      <c r="R872" s="229"/>
      <c r="S872" s="229"/>
      <c r="T872" s="229"/>
      <c r="U872" s="229"/>
      <c r="V872" s="229"/>
      <c r="W872" s="229"/>
      <c r="X872" s="229"/>
      <c r="Y872" s="229"/>
      <c r="Z872" s="229"/>
      <c r="AA872" s="229"/>
      <c r="AB872" s="229"/>
    </row>
    <row r="873" ht="15.75" customHeight="1">
      <c r="A873" s="276"/>
      <c r="B873" s="101"/>
      <c r="C873" s="98"/>
      <c r="D873" s="100"/>
      <c r="E873" s="98"/>
      <c r="F873" s="99"/>
      <c r="G873" s="101"/>
      <c r="H873" s="278"/>
      <c r="I873" s="101"/>
      <c r="J873" s="101"/>
      <c r="K873" s="101"/>
      <c r="L873" s="102"/>
      <c r="M873" s="102"/>
      <c r="N873" s="101"/>
      <c r="O873" s="279"/>
      <c r="P873" s="279"/>
      <c r="Q873" s="229"/>
      <c r="R873" s="229"/>
      <c r="S873" s="229"/>
      <c r="T873" s="229"/>
      <c r="U873" s="229"/>
      <c r="V873" s="229"/>
      <c r="W873" s="229"/>
      <c r="X873" s="229"/>
      <c r="Y873" s="229"/>
      <c r="Z873" s="229"/>
      <c r="AA873" s="229"/>
      <c r="AB873" s="229"/>
    </row>
    <row r="874" ht="15.75" customHeight="1">
      <c r="A874" s="276"/>
      <c r="B874" s="101"/>
      <c r="C874" s="98"/>
      <c r="D874" s="100"/>
      <c r="E874" s="98"/>
      <c r="F874" s="99"/>
      <c r="G874" s="101"/>
      <c r="H874" s="278"/>
      <c r="I874" s="101"/>
      <c r="J874" s="101"/>
      <c r="K874" s="101"/>
      <c r="L874" s="102"/>
      <c r="M874" s="102"/>
      <c r="N874" s="101"/>
      <c r="O874" s="279"/>
      <c r="P874" s="279"/>
      <c r="Q874" s="229"/>
      <c r="R874" s="229"/>
      <c r="S874" s="229"/>
      <c r="T874" s="229"/>
      <c r="U874" s="229"/>
      <c r="V874" s="229"/>
      <c r="W874" s="229"/>
      <c r="X874" s="229"/>
      <c r="Y874" s="229"/>
      <c r="Z874" s="229"/>
      <c r="AA874" s="229"/>
      <c r="AB874" s="229"/>
    </row>
    <row r="875" ht="15.75" customHeight="1">
      <c r="A875" s="276"/>
      <c r="B875" s="101"/>
      <c r="C875" s="98"/>
      <c r="D875" s="100"/>
      <c r="E875" s="98"/>
      <c r="F875" s="99"/>
      <c r="G875" s="101"/>
      <c r="H875" s="278"/>
      <c r="I875" s="101"/>
      <c r="J875" s="101"/>
      <c r="K875" s="101"/>
      <c r="L875" s="102"/>
      <c r="M875" s="102"/>
      <c r="N875" s="101"/>
      <c r="O875" s="279"/>
      <c r="P875" s="279"/>
      <c r="Q875" s="229"/>
      <c r="R875" s="229"/>
      <c r="S875" s="229"/>
      <c r="T875" s="229"/>
      <c r="U875" s="229"/>
      <c r="V875" s="229"/>
      <c r="W875" s="229"/>
      <c r="X875" s="229"/>
      <c r="Y875" s="229"/>
      <c r="Z875" s="229"/>
      <c r="AA875" s="229"/>
      <c r="AB875" s="229"/>
    </row>
    <row r="876" ht="15.75" customHeight="1">
      <c r="A876" s="276"/>
      <c r="B876" s="101"/>
      <c r="C876" s="98"/>
      <c r="D876" s="100"/>
      <c r="E876" s="98"/>
      <c r="F876" s="99"/>
      <c r="G876" s="101"/>
      <c r="H876" s="278"/>
      <c r="I876" s="101"/>
      <c r="J876" s="101"/>
      <c r="K876" s="101"/>
      <c r="L876" s="102"/>
      <c r="M876" s="102"/>
      <c r="N876" s="101"/>
      <c r="O876" s="279"/>
      <c r="P876" s="279"/>
      <c r="Q876" s="229"/>
      <c r="R876" s="229"/>
      <c r="S876" s="229"/>
      <c r="T876" s="229"/>
      <c r="U876" s="229"/>
      <c r="V876" s="229"/>
      <c r="W876" s="229"/>
      <c r="X876" s="229"/>
      <c r="Y876" s="229"/>
      <c r="Z876" s="229"/>
      <c r="AA876" s="229"/>
      <c r="AB876" s="229"/>
    </row>
    <row r="877" ht="15.75" customHeight="1">
      <c r="A877" s="276"/>
      <c r="B877" s="101"/>
      <c r="C877" s="98"/>
      <c r="D877" s="100"/>
      <c r="E877" s="98"/>
      <c r="F877" s="99"/>
      <c r="G877" s="101"/>
      <c r="H877" s="278"/>
      <c r="I877" s="101"/>
      <c r="J877" s="101"/>
      <c r="K877" s="101"/>
      <c r="L877" s="102"/>
      <c r="M877" s="102"/>
      <c r="N877" s="101"/>
      <c r="O877" s="279"/>
      <c r="P877" s="279"/>
      <c r="Q877" s="229"/>
      <c r="R877" s="229"/>
      <c r="S877" s="229"/>
      <c r="T877" s="229"/>
      <c r="U877" s="229"/>
      <c r="V877" s="229"/>
      <c r="W877" s="229"/>
      <c r="X877" s="229"/>
      <c r="Y877" s="229"/>
      <c r="Z877" s="229"/>
      <c r="AA877" s="229"/>
      <c r="AB877" s="229"/>
    </row>
    <row r="878" ht="15.75" customHeight="1">
      <c r="A878" s="276"/>
      <c r="B878" s="101"/>
      <c r="C878" s="98"/>
      <c r="D878" s="100"/>
      <c r="E878" s="98"/>
      <c r="F878" s="99"/>
      <c r="G878" s="101"/>
      <c r="H878" s="278"/>
      <c r="I878" s="101"/>
      <c r="J878" s="101"/>
      <c r="K878" s="101"/>
      <c r="L878" s="102"/>
      <c r="M878" s="102"/>
      <c r="N878" s="101"/>
      <c r="O878" s="279"/>
      <c r="P878" s="279"/>
      <c r="Q878" s="229"/>
      <c r="R878" s="229"/>
      <c r="S878" s="229"/>
      <c r="T878" s="229"/>
      <c r="U878" s="229"/>
      <c r="V878" s="229"/>
      <c r="W878" s="229"/>
      <c r="X878" s="229"/>
      <c r="Y878" s="229"/>
      <c r="Z878" s="229"/>
      <c r="AA878" s="229"/>
      <c r="AB878" s="229"/>
    </row>
    <row r="879" ht="15.75" customHeight="1">
      <c r="A879" s="276"/>
      <c r="B879" s="101"/>
      <c r="C879" s="98"/>
      <c r="D879" s="100"/>
      <c r="E879" s="98"/>
      <c r="F879" s="99"/>
      <c r="G879" s="101"/>
      <c r="H879" s="278"/>
      <c r="I879" s="101"/>
      <c r="J879" s="101"/>
      <c r="K879" s="101"/>
      <c r="L879" s="102"/>
      <c r="M879" s="102"/>
      <c r="N879" s="101"/>
      <c r="O879" s="279"/>
      <c r="P879" s="279"/>
      <c r="Q879" s="229"/>
      <c r="R879" s="229"/>
      <c r="S879" s="229"/>
      <c r="T879" s="229"/>
      <c r="U879" s="229"/>
      <c r="V879" s="229"/>
      <c r="W879" s="229"/>
      <c r="X879" s="229"/>
      <c r="Y879" s="229"/>
      <c r="Z879" s="229"/>
      <c r="AA879" s="229"/>
      <c r="AB879" s="229"/>
    </row>
    <row r="880" ht="15.75" customHeight="1">
      <c r="A880" s="276"/>
      <c r="B880" s="101"/>
      <c r="C880" s="98"/>
      <c r="D880" s="100"/>
      <c r="E880" s="98"/>
      <c r="F880" s="99"/>
      <c r="G880" s="101"/>
      <c r="H880" s="278"/>
      <c r="I880" s="101"/>
      <c r="J880" s="101"/>
      <c r="K880" s="101"/>
      <c r="L880" s="102"/>
      <c r="M880" s="102"/>
      <c r="N880" s="101"/>
      <c r="O880" s="279"/>
      <c r="P880" s="279"/>
      <c r="Q880" s="229"/>
      <c r="R880" s="229"/>
      <c r="S880" s="229"/>
      <c r="T880" s="229"/>
      <c r="U880" s="229"/>
      <c r="V880" s="229"/>
      <c r="W880" s="229"/>
      <c r="X880" s="229"/>
      <c r="Y880" s="229"/>
      <c r="Z880" s="229"/>
      <c r="AA880" s="229"/>
      <c r="AB880" s="229"/>
    </row>
    <row r="881" ht="15.75" customHeight="1">
      <c r="A881" s="276"/>
      <c r="B881" s="101"/>
      <c r="C881" s="98"/>
      <c r="D881" s="100"/>
      <c r="E881" s="98"/>
      <c r="F881" s="99"/>
      <c r="G881" s="101"/>
      <c r="H881" s="278"/>
      <c r="I881" s="101"/>
      <c r="J881" s="101"/>
      <c r="K881" s="101"/>
      <c r="L881" s="102"/>
      <c r="M881" s="102"/>
      <c r="N881" s="101"/>
      <c r="O881" s="279"/>
      <c r="P881" s="279"/>
      <c r="Q881" s="229"/>
      <c r="R881" s="229"/>
      <c r="S881" s="229"/>
      <c r="T881" s="229"/>
      <c r="U881" s="229"/>
      <c r="V881" s="229"/>
      <c r="W881" s="229"/>
      <c r="X881" s="229"/>
      <c r="Y881" s="229"/>
      <c r="Z881" s="229"/>
      <c r="AA881" s="229"/>
      <c r="AB881" s="229"/>
    </row>
    <row r="882" ht="15.75" customHeight="1">
      <c r="A882" s="276"/>
      <c r="B882" s="101"/>
      <c r="C882" s="98"/>
      <c r="D882" s="100"/>
      <c r="E882" s="98"/>
      <c r="F882" s="99"/>
      <c r="G882" s="101"/>
      <c r="H882" s="278"/>
      <c r="I882" s="101"/>
      <c r="J882" s="101"/>
      <c r="K882" s="101"/>
      <c r="L882" s="102"/>
      <c r="M882" s="102"/>
      <c r="N882" s="101"/>
      <c r="O882" s="279"/>
      <c r="P882" s="279"/>
      <c r="Q882" s="229"/>
      <c r="R882" s="229"/>
      <c r="S882" s="229"/>
      <c r="T882" s="229"/>
      <c r="U882" s="229"/>
      <c r="V882" s="229"/>
      <c r="W882" s="229"/>
      <c r="X882" s="229"/>
      <c r="Y882" s="229"/>
      <c r="Z882" s="229"/>
      <c r="AA882" s="229"/>
      <c r="AB882" s="229"/>
    </row>
    <row r="883" ht="15.75" customHeight="1">
      <c r="A883" s="276"/>
      <c r="B883" s="101"/>
      <c r="C883" s="98"/>
      <c r="D883" s="100"/>
      <c r="E883" s="98"/>
      <c r="F883" s="99"/>
      <c r="G883" s="101"/>
      <c r="H883" s="278"/>
      <c r="I883" s="101"/>
      <c r="J883" s="101"/>
      <c r="K883" s="101"/>
      <c r="L883" s="102"/>
      <c r="M883" s="102"/>
      <c r="N883" s="101"/>
      <c r="O883" s="279"/>
      <c r="P883" s="279"/>
      <c r="Q883" s="229"/>
      <c r="R883" s="229"/>
      <c r="S883" s="229"/>
      <c r="T883" s="229"/>
      <c r="U883" s="229"/>
      <c r="V883" s="229"/>
      <c r="W883" s="229"/>
      <c r="X883" s="229"/>
      <c r="Y883" s="229"/>
      <c r="Z883" s="229"/>
      <c r="AA883" s="229"/>
      <c r="AB883" s="229"/>
    </row>
    <row r="884" ht="15.75" customHeight="1">
      <c r="A884" s="276"/>
      <c r="B884" s="101"/>
      <c r="C884" s="98"/>
      <c r="D884" s="100"/>
      <c r="E884" s="98"/>
      <c r="F884" s="99"/>
      <c r="G884" s="101"/>
      <c r="H884" s="278"/>
      <c r="I884" s="101"/>
      <c r="J884" s="101"/>
      <c r="K884" s="101"/>
      <c r="L884" s="102"/>
      <c r="M884" s="102"/>
      <c r="N884" s="101"/>
      <c r="O884" s="279"/>
      <c r="P884" s="279"/>
      <c r="Q884" s="229"/>
      <c r="R884" s="229"/>
      <c r="S884" s="229"/>
      <c r="T884" s="229"/>
      <c r="U884" s="229"/>
      <c r="V884" s="229"/>
      <c r="W884" s="229"/>
      <c r="X884" s="229"/>
      <c r="Y884" s="229"/>
      <c r="Z884" s="229"/>
      <c r="AA884" s="229"/>
      <c r="AB884" s="229"/>
    </row>
    <row r="885" ht="15.75" customHeight="1">
      <c r="A885" s="276"/>
      <c r="B885" s="101"/>
      <c r="C885" s="98"/>
      <c r="D885" s="100"/>
      <c r="E885" s="98"/>
      <c r="F885" s="99"/>
      <c r="G885" s="101"/>
      <c r="H885" s="278"/>
      <c r="I885" s="101"/>
      <c r="J885" s="101"/>
      <c r="K885" s="101"/>
      <c r="L885" s="102"/>
      <c r="M885" s="102"/>
      <c r="N885" s="101"/>
      <c r="O885" s="279"/>
      <c r="P885" s="279"/>
      <c r="Q885" s="229"/>
      <c r="R885" s="229"/>
      <c r="S885" s="229"/>
      <c r="T885" s="229"/>
      <c r="U885" s="229"/>
      <c r="V885" s="229"/>
      <c r="W885" s="229"/>
      <c r="X885" s="229"/>
      <c r="Y885" s="229"/>
      <c r="Z885" s="229"/>
      <c r="AA885" s="229"/>
      <c r="AB885" s="229"/>
    </row>
    <row r="886" ht="15.75" customHeight="1">
      <c r="A886" s="276"/>
      <c r="B886" s="101"/>
      <c r="C886" s="98"/>
      <c r="D886" s="100"/>
      <c r="E886" s="98"/>
      <c r="F886" s="99"/>
      <c r="G886" s="101"/>
      <c r="H886" s="278"/>
      <c r="I886" s="101"/>
      <c r="J886" s="101"/>
      <c r="K886" s="101"/>
      <c r="L886" s="102"/>
      <c r="M886" s="102"/>
      <c r="N886" s="101"/>
      <c r="O886" s="279"/>
      <c r="P886" s="279"/>
      <c r="Q886" s="229"/>
      <c r="R886" s="229"/>
      <c r="S886" s="229"/>
      <c r="T886" s="229"/>
      <c r="U886" s="229"/>
      <c r="V886" s="229"/>
      <c r="W886" s="229"/>
      <c r="X886" s="229"/>
      <c r="Y886" s="229"/>
      <c r="Z886" s="229"/>
      <c r="AA886" s="229"/>
      <c r="AB886" s="229"/>
    </row>
    <row r="887" ht="15.75" customHeight="1">
      <c r="A887" s="276"/>
      <c r="B887" s="101"/>
      <c r="C887" s="98"/>
      <c r="D887" s="100"/>
      <c r="E887" s="98"/>
      <c r="F887" s="99"/>
      <c r="G887" s="101"/>
      <c r="H887" s="278"/>
      <c r="I887" s="101"/>
      <c r="J887" s="101"/>
      <c r="K887" s="101"/>
      <c r="L887" s="102"/>
      <c r="M887" s="102"/>
      <c r="N887" s="101"/>
      <c r="O887" s="279"/>
      <c r="P887" s="279"/>
      <c r="Q887" s="229"/>
      <c r="R887" s="229"/>
      <c r="S887" s="229"/>
      <c r="T887" s="229"/>
      <c r="U887" s="229"/>
      <c r="V887" s="229"/>
      <c r="W887" s="229"/>
      <c r="X887" s="229"/>
      <c r="Y887" s="229"/>
      <c r="Z887" s="229"/>
      <c r="AA887" s="229"/>
      <c r="AB887" s="229"/>
    </row>
    <row r="888" ht="15.75" customHeight="1">
      <c r="A888" s="276"/>
      <c r="B888" s="101"/>
      <c r="C888" s="98"/>
      <c r="D888" s="100"/>
      <c r="E888" s="98"/>
      <c r="F888" s="99"/>
      <c r="G888" s="101"/>
      <c r="H888" s="278"/>
      <c r="I888" s="101"/>
      <c r="J888" s="101"/>
      <c r="K888" s="101"/>
      <c r="L888" s="102"/>
      <c r="M888" s="102"/>
      <c r="N888" s="101"/>
      <c r="O888" s="279"/>
      <c r="P888" s="279"/>
      <c r="Q888" s="229"/>
      <c r="R888" s="229"/>
      <c r="S888" s="229"/>
      <c r="T888" s="229"/>
      <c r="U888" s="229"/>
      <c r="V888" s="229"/>
      <c r="W888" s="229"/>
      <c r="X888" s="229"/>
      <c r="Y888" s="229"/>
      <c r="Z888" s="229"/>
      <c r="AA888" s="229"/>
      <c r="AB888" s="229"/>
    </row>
    <row r="889" ht="15.75" customHeight="1">
      <c r="A889" s="276"/>
      <c r="B889" s="101"/>
      <c r="C889" s="98"/>
      <c r="D889" s="100"/>
      <c r="E889" s="98"/>
      <c r="F889" s="99"/>
      <c r="G889" s="101"/>
      <c r="H889" s="278"/>
      <c r="I889" s="101"/>
      <c r="J889" s="101"/>
      <c r="K889" s="101"/>
      <c r="L889" s="102"/>
      <c r="M889" s="102"/>
      <c r="N889" s="101"/>
      <c r="O889" s="279"/>
      <c r="P889" s="279"/>
      <c r="Q889" s="229"/>
      <c r="R889" s="229"/>
      <c r="S889" s="229"/>
      <c r="T889" s="229"/>
      <c r="U889" s="229"/>
      <c r="V889" s="229"/>
      <c r="W889" s="229"/>
      <c r="X889" s="229"/>
      <c r="Y889" s="229"/>
      <c r="Z889" s="229"/>
      <c r="AA889" s="229"/>
      <c r="AB889" s="229"/>
    </row>
    <row r="890" ht="15.75" customHeight="1">
      <c r="A890" s="276"/>
      <c r="B890" s="101"/>
      <c r="C890" s="98"/>
      <c r="D890" s="100"/>
      <c r="E890" s="98"/>
      <c r="F890" s="99"/>
      <c r="G890" s="101"/>
      <c r="H890" s="278"/>
      <c r="I890" s="101"/>
      <c r="J890" s="101"/>
      <c r="K890" s="101"/>
      <c r="L890" s="102"/>
      <c r="M890" s="102"/>
      <c r="N890" s="101"/>
      <c r="O890" s="279"/>
      <c r="P890" s="279"/>
      <c r="Q890" s="229"/>
      <c r="R890" s="229"/>
      <c r="S890" s="229"/>
      <c r="T890" s="229"/>
      <c r="U890" s="229"/>
      <c r="V890" s="229"/>
      <c r="W890" s="229"/>
      <c r="X890" s="229"/>
      <c r="Y890" s="229"/>
      <c r="Z890" s="229"/>
      <c r="AA890" s="229"/>
      <c r="AB890" s="229"/>
    </row>
    <row r="891" ht="15.75" customHeight="1">
      <c r="A891" s="276"/>
      <c r="B891" s="101"/>
      <c r="C891" s="98"/>
      <c r="D891" s="100"/>
      <c r="E891" s="98"/>
      <c r="F891" s="99"/>
      <c r="G891" s="101"/>
      <c r="H891" s="278"/>
      <c r="I891" s="101"/>
      <c r="J891" s="101"/>
      <c r="K891" s="101"/>
      <c r="L891" s="102"/>
      <c r="M891" s="102"/>
      <c r="N891" s="101"/>
      <c r="O891" s="279"/>
      <c r="P891" s="279"/>
      <c r="Q891" s="229"/>
      <c r="R891" s="229"/>
      <c r="S891" s="229"/>
      <c r="T891" s="229"/>
      <c r="U891" s="229"/>
      <c r="V891" s="229"/>
      <c r="W891" s="229"/>
      <c r="X891" s="229"/>
      <c r="Y891" s="229"/>
      <c r="Z891" s="229"/>
      <c r="AA891" s="229"/>
      <c r="AB891" s="229"/>
    </row>
    <row r="892" ht="15.75" customHeight="1">
      <c r="A892" s="276"/>
      <c r="B892" s="101"/>
      <c r="C892" s="98"/>
      <c r="D892" s="100"/>
      <c r="E892" s="98"/>
      <c r="F892" s="99"/>
      <c r="G892" s="101"/>
      <c r="H892" s="278"/>
      <c r="I892" s="101"/>
      <c r="J892" s="101"/>
      <c r="K892" s="101"/>
      <c r="L892" s="102"/>
      <c r="M892" s="102"/>
      <c r="N892" s="101"/>
      <c r="O892" s="279"/>
      <c r="P892" s="279"/>
      <c r="Q892" s="229"/>
      <c r="R892" s="229"/>
      <c r="S892" s="229"/>
      <c r="T892" s="229"/>
      <c r="U892" s="229"/>
      <c r="V892" s="229"/>
      <c r="W892" s="229"/>
      <c r="X892" s="229"/>
      <c r="Y892" s="229"/>
      <c r="Z892" s="229"/>
      <c r="AA892" s="229"/>
      <c r="AB892" s="229"/>
    </row>
    <row r="893" ht="15.75" customHeight="1">
      <c r="A893" s="276"/>
      <c r="B893" s="101"/>
      <c r="C893" s="98"/>
      <c r="D893" s="100"/>
      <c r="E893" s="98"/>
      <c r="F893" s="99"/>
      <c r="G893" s="101"/>
      <c r="H893" s="278"/>
      <c r="I893" s="101"/>
      <c r="J893" s="101"/>
      <c r="K893" s="101"/>
      <c r="L893" s="102"/>
      <c r="M893" s="102"/>
      <c r="N893" s="101"/>
      <c r="O893" s="279"/>
      <c r="P893" s="279"/>
      <c r="Q893" s="229"/>
      <c r="R893" s="229"/>
      <c r="S893" s="229"/>
      <c r="T893" s="229"/>
      <c r="U893" s="229"/>
      <c r="V893" s="229"/>
      <c r="W893" s="229"/>
      <c r="X893" s="229"/>
      <c r="Y893" s="229"/>
      <c r="Z893" s="229"/>
      <c r="AA893" s="229"/>
      <c r="AB893" s="229"/>
    </row>
    <row r="894" ht="15.75" customHeight="1">
      <c r="A894" s="276"/>
      <c r="B894" s="101"/>
      <c r="C894" s="98"/>
      <c r="D894" s="100"/>
      <c r="E894" s="98"/>
      <c r="F894" s="99"/>
      <c r="G894" s="101"/>
      <c r="H894" s="278"/>
      <c r="I894" s="101"/>
      <c r="J894" s="101"/>
      <c r="K894" s="101"/>
      <c r="L894" s="102"/>
      <c r="M894" s="102"/>
      <c r="N894" s="101"/>
      <c r="O894" s="279"/>
      <c r="P894" s="279"/>
      <c r="Q894" s="229"/>
      <c r="R894" s="229"/>
      <c r="S894" s="229"/>
      <c r="T894" s="229"/>
      <c r="U894" s="229"/>
      <c r="V894" s="229"/>
      <c r="W894" s="229"/>
      <c r="X894" s="229"/>
      <c r="Y894" s="229"/>
      <c r="Z894" s="229"/>
      <c r="AA894" s="229"/>
      <c r="AB894" s="229"/>
    </row>
    <row r="895" ht="15.75" customHeight="1">
      <c r="A895" s="276"/>
      <c r="B895" s="101"/>
      <c r="C895" s="98"/>
      <c r="D895" s="100"/>
      <c r="E895" s="98"/>
      <c r="F895" s="99"/>
      <c r="G895" s="101"/>
      <c r="H895" s="278"/>
      <c r="I895" s="101"/>
      <c r="J895" s="101"/>
      <c r="K895" s="101"/>
      <c r="L895" s="102"/>
      <c r="M895" s="102"/>
      <c r="N895" s="101"/>
      <c r="O895" s="279"/>
      <c r="P895" s="279"/>
      <c r="Q895" s="229"/>
      <c r="R895" s="229"/>
      <c r="S895" s="229"/>
      <c r="T895" s="229"/>
      <c r="U895" s="229"/>
      <c r="V895" s="229"/>
      <c r="W895" s="229"/>
      <c r="X895" s="229"/>
      <c r="Y895" s="229"/>
      <c r="Z895" s="229"/>
      <c r="AA895" s="229"/>
      <c r="AB895" s="229"/>
    </row>
    <row r="896" ht="15.75" customHeight="1">
      <c r="A896" s="276"/>
      <c r="B896" s="101"/>
      <c r="C896" s="98"/>
      <c r="D896" s="100"/>
      <c r="E896" s="98"/>
      <c r="F896" s="99"/>
      <c r="G896" s="101"/>
      <c r="H896" s="278"/>
      <c r="I896" s="101"/>
      <c r="J896" s="101"/>
      <c r="K896" s="101"/>
      <c r="L896" s="102"/>
      <c r="M896" s="102"/>
      <c r="N896" s="101"/>
      <c r="O896" s="279"/>
      <c r="P896" s="279"/>
      <c r="Q896" s="229"/>
      <c r="R896" s="229"/>
      <c r="S896" s="229"/>
      <c r="T896" s="229"/>
      <c r="U896" s="229"/>
      <c r="V896" s="229"/>
      <c r="W896" s="229"/>
      <c r="X896" s="229"/>
      <c r="Y896" s="229"/>
      <c r="Z896" s="229"/>
      <c r="AA896" s="229"/>
      <c r="AB896" s="229"/>
    </row>
    <row r="897" ht="15.75" customHeight="1">
      <c r="A897" s="276"/>
      <c r="B897" s="101"/>
      <c r="C897" s="98"/>
      <c r="D897" s="100"/>
      <c r="E897" s="98"/>
      <c r="F897" s="99"/>
      <c r="G897" s="101"/>
      <c r="H897" s="278"/>
      <c r="I897" s="101"/>
      <c r="J897" s="101"/>
      <c r="K897" s="101"/>
      <c r="L897" s="102"/>
      <c r="M897" s="102"/>
      <c r="N897" s="101"/>
      <c r="O897" s="279"/>
      <c r="P897" s="279"/>
      <c r="Q897" s="229"/>
      <c r="R897" s="229"/>
      <c r="S897" s="229"/>
      <c r="T897" s="229"/>
      <c r="U897" s="229"/>
      <c r="V897" s="229"/>
      <c r="W897" s="229"/>
      <c r="X897" s="229"/>
      <c r="Y897" s="229"/>
      <c r="Z897" s="229"/>
      <c r="AA897" s="229"/>
      <c r="AB897" s="229"/>
    </row>
    <row r="898" ht="15.75" customHeight="1">
      <c r="A898" s="276"/>
      <c r="B898" s="101"/>
      <c r="C898" s="98"/>
      <c r="D898" s="100"/>
      <c r="E898" s="98"/>
      <c r="F898" s="99"/>
      <c r="G898" s="101"/>
      <c r="H898" s="278"/>
      <c r="I898" s="101"/>
      <c r="J898" s="101"/>
      <c r="K898" s="101"/>
      <c r="L898" s="102"/>
      <c r="M898" s="102"/>
      <c r="N898" s="101"/>
      <c r="O898" s="279"/>
      <c r="P898" s="279"/>
      <c r="Q898" s="229"/>
      <c r="R898" s="229"/>
      <c r="S898" s="229"/>
      <c r="T898" s="229"/>
      <c r="U898" s="229"/>
      <c r="V898" s="229"/>
      <c r="W898" s="229"/>
      <c r="X898" s="229"/>
      <c r="Y898" s="229"/>
      <c r="Z898" s="229"/>
      <c r="AA898" s="229"/>
      <c r="AB898" s="229"/>
    </row>
    <row r="899" ht="15.75" customHeight="1">
      <c r="A899" s="276"/>
      <c r="B899" s="101"/>
      <c r="C899" s="98"/>
      <c r="D899" s="100"/>
      <c r="E899" s="98"/>
      <c r="F899" s="99"/>
      <c r="G899" s="101"/>
      <c r="H899" s="278"/>
      <c r="I899" s="101"/>
      <c r="J899" s="101"/>
      <c r="K899" s="101"/>
      <c r="L899" s="102"/>
      <c r="M899" s="102"/>
      <c r="N899" s="101"/>
      <c r="O899" s="279"/>
      <c r="P899" s="279"/>
      <c r="Q899" s="229"/>
      <c r="R899" s="229"/>
      <c r="S899" s="229"/>
      <c r="T899" s="229"/>
      <c r="U899" s="229"/>
      <c r="V899" s="229"/>
      <c r="W899" s="229"/>
      <c r="X899" s="229"/>
      <c r="Y899" s="229"/>
      <c r="Z899" s="229"/>
      <c r="AA899" s="229"/>
      <c r="AB899" s="229"/>
    </row>
    <row r="900" ht="15.75" customHeight="1">
      <c r="A900" s="276"/>
      <c r="B900" s="101"/>
      <c r="C900" s="98"/>
      <c r="D900" s="100"/>
      <c r="E900" s="98"/>
      <c r="F900" s="99"/>
      <c r="G900" s="101"/>
      <c r="H900" s="278"/>
      <c r="I900" s="101"/>
      <c r="J900" s="101"/>
      <c r="K900" s="101"/>
      <c r="L900" s="102"/>
      <c r="M900" s="102"/>
      <c r="N900" s="101"/>
      <c r="O900" s="279"/>
      <c r="P900" s="279"/>
      <c r="Q900" s="229"/>
      <c r="R900" s="229"/>
      <c r="S900" s="229"/>
      <c r="T900" s="229"/>
      <c r="U900" s="229"/>
      <c r="V900" s="229"/>
      <c r="W900" s="229"/>
      <c r="X900" s="229"/>
      <c r="Y900" s="229"/>
      <c r="Z900" s="229"/>
      <c r="AA900" s="229"/>
      <c r="AB900" s="229"/>
    </row>
    <row r="901" ht="15.75" customHeight="1">
      <c r="A901" s="276"/>
      <c r="B901" s="101"/>
      <c r="C901" s="98"/>
      <c r="D901" s="100"/>
      <c r="E901" s="98"/>
      <c r="F901" s="99"/>
      <c r="G901" s="101"/>
      <c r="H901" s="278"/>
      <c r="I901" s="101"/>
      <c r="J901" s="101"/>
      <c r="K901" s="101"/>
      <c r="L901" s="102"/>
      <c r="M901" s="102"/>
      <c r="N901" s="101"/>
      <c r="O901" s="279"/>
      <c r="P901" s="279"/>
      <c r="Q901" s="229"/>
      <c r="R901" s="229"/>
      <c r="S901" s="229"/>
      <c r="T901" s="229"/>
      <c r="U901" s="229"/>
      <c r="V901" s="229"/>
      <c r="W901" s="229"/>
      <c r="X901" s="229"/>
      <c r="Y901" s="229"/>
      <c r="Z901" s="229"/>
      <c r="AA901" s="229"/>
      <c r="AB901" s="229"/>
    </row>
    <row r="902" ht="15.75" customHeight="1">
      <c r="A902" s="276"/>
      <c r="B902" s="101"/>
      <c r="C902" s="98"/>
      <c r="D902" s="100"/>
      <c r="E902" s="98"/>
      <c r="F902" s="99"/>
      <c r="G902" s="101"/>
      <c r="H902" s="278"/>
      <c r="I902" s="101"/>
      <c r="J902" s="101"/>
      <c r="K902" s="101"/>
      <c r="L902" s="102"/>
      <c r="M902" s="102"/>
      <c r="N902" s="101"/>
      <c r="O902" s="279"/>
      <c r="P902" s="279"/>
      <c r="Q902" s="229"/>
      <c r="R902" s="229"/>
      <c r="S902" s="229"/>
      <c r="T902" s="229"/>
      <c r="U902" s="229"/>
      <c r="V902" s="229"/>
      <c r="W902" s="229"/>
      <c r="X902" s="229"/>
      <c r="Y902" s="229"/>
      <c r="Z902" s="229"/>
      <c r="AA902" s="229"/>
      <c r="AB902" s="229"/>
    </row>
    <row r="903" ht="15.75" customHeight="1">
      <c r="A903" s="276"/>
      <c r="B903" s="101"/>
      <c r="C903" s="98"/>
      <c r="D903" s="100"/>
      <c r="E903" s="98"/>
      <c r="F903" s="99"/>
      <c r="G903" s="101"/>
      <c r="H903" s="278"/>
      <c r="I903" s="101"/>
      <c r="J903" s="101"/>
      <c r="K903" s="101"/>
      <c r="L903" s="102"/>
      <c r="M903" s="102"/>
      <c r="N903" s="101"/>
      <c r="O903" s="279"/>
      <c r="P903" s="279"/>
      <c r="Q903" s="229"/>
      <c r="R903" s="229"/>
      <c r="S903" s="229"/>
      <c r="T903" s="229"/>
      <c r="U903" s="229"/>
      <c r="V903" s="229"/>
      <c r="W903" s="229"/>
      <c r="X903" s="229"/>
      <c r="Y903" s="229"/>
      <c r="Z903" s="229"/>
      <c r="AA903" s="229"/>
      <c r="AB903" s="229"/>
    </row>
    <row r="904" ht="15.75" customHeight="1">
      <c r="A904" s="276"/>
      <c r="B904" s="101"/>
      <c r="C904" s="98"/>
      <c r="D904" s="100"/>
      <c r="E904" s="98"/>
      <c r="F904" s="99"/>
      <c r="G904" s="101"/>
      <c r="H904" s="278"/>
      <c r="I904" s="101"/>
      <c r="J904" s="101"/>
      <c r="K904" s="101"/>
      <c r="L904" s="102"/>
      <c r="M904" s="102"/>
      <c r="N904" s="101"/>
      <c r="O904" s="279"/>
      <c r="P904" s="279"/>
      <c r="Q904" s="229"/>
      <c r="R904" s="229"/>
      <c r="S904" s="229"/>
      <c r="T904" s="229"/>
      <c r="U904" s="229"/>
      <c r="V904" s="229"/>
      <c r="W904" s="229"/>
      <c r="X904" s="229"/>
      <c r="Y904" s="229"/>
      <c r="Z904" s="229"/>
      <c r="AA904" s="229"/>
      <c r="AB904" s="229"/>
    </row>
    <row r="905" ht="15.75" customHeight="1">
      <c r="A905" s="276"/>
      <c r="B905" s="101"/>
      <c r="C905" s="98"/>
      <c r="D905" s="100"/>
      <c r="E905" s="98"/>
      <c r="F905" s="99"/>
      <c r="G905" s="101"/>
      <c r="H905" s="278"/>
      <c r="I905" s="101"/>
      <c r="J905" s="101"/>
      <c r="K905" s="101"/>
      <c r="L905" s="102"/>
      <c r="M905" s="102"/>
      <c r="N905" s="101"/>
      <c r="O905" s="279"/>
      <c r="P905" s="279"/>
      <c r="Q905" s="229"/>
      <c r="R905" s="229"/>
      <c r="S905" s="229"/>
      <c r="T905" s="229"/>
      <c r="U905" s="229"/>
      <c r="V905" s="229"/>
      <c r="W905" s="229"/>
      <c r="X905" s="229"/>
      <c r="Y905" s="229"/>
      <c r="Z905" s="229"/>
      <c r="AA905" s="229"/>
      <c r="AB905" s="229"/>
    </row>
    <row r="906" ht="15.75" customHeight="1">
      <c r="A906" s="276"/>
      <c r="B906" s="101"/>
      <c r="C906" s="98"/>
      <c r="D906" s="100"/>
      <c r="E906" s="98"/>
      <c r="F906" s="99"/>
      <c r="G906" s="101"/>
      <c r="H906" s="278"/>
      <c r="I906" s="101"/>
      <c r="J906" s="101"/>
      <c r="K906" s="101"/>
      <c r="L906" s="102"/>
      <c r="M906" s="102"/>
      <c r="N906" s="101"/>
      <c r="O906" s="279"/>
      <c r="P906" s="279"/>
      <c r="Q906" s="229"/>
      <c r="R906" s="229"/>
      <c r="S906" s="229"/>
      <c r="T906" s="229"/>
      <c r="U906" s="229"/>
      <c r="V906" s="229"/>
      <c r="W906" s="229"/>
      <c r="X906" s="229"/>
      <c r="Y906" s="229"/>
      <c r="Z906" s="229"/>
      <c r="AA906" s="229"/>
      <c r="AB906" s="229"/>
    </row>
    <row r="907" ht="15.75" customHeight="1">
      <c r="A907" s="276"/>
      <c r="B907" s="101"/>
      <c r="C907" s="98"/>
      <c r="D907" s="100"/>
      <c r="E907" s="98"/>
      <c r="F907" s="99"/>
      <c r="G907" s="101"/>
      <c r="H907" s="278"/>
      <c r="I907" s="101"/>
      <c r="J907" s="101"/>
      <c r="K907" s="101"/>
      <c r="L907" s="102"/>
      <c r="M907" s="102"/>
      <c r="N907" s="101"/>
      <c r="O907" s="279"/>
      <c r="P907" s="279"/>
      <c r="Q907" s="229"/>
      <c r="R907" s="229"/>
      <c r="S907" s="229"/>
      <c r="T907" s="229"/>
      <c r="U907" s="229"/>
      <c r="V907" s="229"/>
      <c r="W907" s="229"/>
      <c r="X907" s="229"/>
      <c r="Y907" s="229"/>
      <c r="Z907" s="229"/>
      <c r="AA907" s="229"/>
      <c r="AB907" s="229"/>
    </row>
    <row r="908" ht="15.75" customHeight="1">
      <c r="A908" s="276"/>
      <c r="B908" s="101"/>
      <c r="C908" s="98"/>
      <c r="D908" s="100"/>
      <c r="E908" s="98"/>
      <c r="F908" s="99"/>
      <c r="G908" s="101"/>
      <c r="H908" s="278"/>
      <c r="I908" s="101"/>
      <c r="J908" s="101"/>
      <c r="K908" s="101"/>
      <c r="L908" s="102"/>
      <c r="M908" s="102"/>
      <c r="N908" s="101"/>
      <c r="O908" s="279"/>
      <c r="P908" s="279"/>
      <c r="Q908" s="229"/>
      <c r="R908" s="229"/>
      <c r="S908" s="229"/>
      <c r="T908" s="229"/>
      <c r="U908" s="229"/>
      <c r="V908" s="229"/>
      <c r="W908" s="229"/>
      <c r="X908" s="229"/>
      <c r="Y908" s="229"/>
      <c r="Z908" s="229"/>
      <c r="AA908" s="229"/>
      <c r="AB908" s="229"/>
    </row>
    <row r="909" ht="15.75" customHeight="1">
      <c r="A909" s="276"/>
      <c r="B909" s="101"/>
      <c r="C909" s="98"/>
      <c r="D909" s="100"/>
      <c r="E909" s="98"/>
      <c r="F909" s="99"/>
      <c r="G909" s="101"/>
      <c r="H909" s="278"/>
      <c r="I909" s="101"/>
      <c r="J909" s="101"/>
      <c r="K909" s="101"/>
      <c r="L909" s="102"/>
      <c r="M909" s="102"/>
      <c r="N909" s="101"/>
      <c r="O909" s="279"/>
      <c r="P909" s="279"/>
      <c r="Q909" s="229"/>
      <c r="R909" s="229"/>
      <c r="S909" s="229"/>
      <c r="T909" s="229"/>
      <c r="U909" s="229"/>
      <c r="V909" s="229"/>
      <c r="W909" s="229"/>
      <c r="X909" s="229"/>
      <c r="Y909" s="229"/>
      <c r="Z909" s="229"/>
      <c r="AA909" s="229"/>
      <c r="AB909" s="229"/>
    </row>
    <row r="910" ht="15.75" customHeight="1">
      <c r="A910" s="276"/>
      <c r="B910" s="101"/>
      <c r="C910" s="98"/>
      <c r="D910" s="100"/>
      <c r="E910" s="98"/>
      <c r="F910" s="99"/>
      <c r="G910" s="101"/>
      <c r="H910" s="278"/>
      <c r="I910" s="101"/>
      <c r="J910" s="101"/>
      <c r="K910" s="101"/>
      <c r="L910" s="102"/>
      <c r="M910" s="102"/>
      <c r="N910" s="101"/>
      <c r="O910" s="279"/>
      <c r="P910" s="279"/>
      <c r="Q910" s="229"/>
      <c r="R910" s="229"/>
      <c r="S910" s="229"/>
      <c r="T910" s="229"/>
      <c r="U910" s="229"/>
      <c r="V910" s="229"/>
      <c r="W910" s="229"/>
      <c r="X910" s="229"/>
      <c r="Y910" s="229"/>
      <c r="Z910" s="229"/>
      <c r="AA910" s="229"/>
      <c r="AB910" s="229"/>
    </row>
    <row r="911" ht="15.75" customHeight="1">
      <c r="A911" s="276"/>
      <c r="B911" s="101"/>
      <c r="C911" s="98"/>
      <c r="D911" s="100"/>
      <c r="E911" s="98"/>
      <c r="F911" s="99"/>
      <c r="G911" s="101"/>
      <c r="H911" s="278"/>
      <c r="I911" s="101"/>
      <c r="J911" s="101"/>
      <c r="K911" s="101"/>
      <c r="L911" s="102"/>
      <c r="M911" s="102"/>
      <c r="N911" s="101"/>
      <c r="O911" s="279"/>
      <c r="P911" s="279"/>
      <c r="Q911" s="229"/>
      <c r="R911" s="229"/>
      <c r="S911" s="229"/>
      <c r="T911" s="229"/>
      <c r="U911" s="229"/>
      <c r="V911" s="229"/>
      <c r="W911" s="229"/>
      <c r="X911" s="229"/>
      <c r="Y911" s="229"/>
      <c r="Z911" s="229"/>
      <c r="AA911" s="229"/>
      <c r="AB911" s="229"/>
    </row>
    <row r="912" ht="15.75" customHeight="1">
      <c r="A912" s="276"/>
      <c r="B912" s="101"/>
      <c r="C912" s="98"/>
      <c r="D912" s="100"/>
      <c r="E912" s="98"/>
      <c r="F912" s="99"/>
      <c r="G912" s="101"/>
      <c r="H912" s="278"/>
      <c r="I912" s="101"/>
      <c r="J912" s="101"/>
      <c r="K912" s="101"/>
      <c r="L912" s="102"/>
      <c r="M912" s="102"/>
      <c r="N912" s="101"/>
      <c r="O912" s="279"/>
      <c r="P912" s="279"/>
      <c r="Q912" s="229"/>
      <c r="R912" s="229"/>
      <c r="S912" s="229"/>
      <c r="T912" s="229"/>
      <c r="U912" s="229"/>
      <c r="V912" s="229"/>
      <c r="W912" s="229"/>
      <c r="X912" s="229"/>
      <c r="Y912" s="229"/>
      <c r="Z912" s="229"/>
      <c r="AA912" s="229"/>
      <c r="AB912" s="229"/>
    </row>
    <row r="913" ht="15.75" customHeight="1">
      <c r="A913" s="276"/>
      <c r="B913" s="101"/>
      <c r="C913" s="98"/>
      <c r="D913" s="100"/>
      <c r="E913" s="98"/>
      <c r="F913" s="99"/>
      <c r="G913" s="101"/>
      <c r="H913" s="278"/>
      <c r="I913" s="101"/>
      <c r="J913" s="101"/>
      <c r="K913" s="101"/>
      <c r="L913" s="102"/>
      <c r="M913" s="102"/>
      <c r="N913" s="101"/>
      <c r="O913" s="279"/>
      <c r="P913" s="279"/>
      <c r="Q913" s="229"/>
      <c r="R913" s="229"/>
      <c r="S913" s="229"/>
      <c r="T913" s="229"/>
      <c r="U913" s="229"/>
      <c r="V913" s="229"/>
      <c r="W913" s="229"/>
      <c r="X913" s="229"/>
      <c r="Y913" s="229"/>
      <c r="Z913" s="229"/>
      <c r="AA913" s="229"/>
      <c r="AB913" s="229"/>
    </row>
    <row r="914" ht="15.75" customHeight="1">
      <c r="A914" s="276"/>
      <c r="B914" s="101"/>
      <c r="C914" s="98"/>
      <c r="D914" s="100"/>
      <c r="E914" s="98"/>
      <c r="F914" s="99"/>
      <c r="G914" s="101"/>
      <c r="H914" s="278"/>
      <c r="I914" s="101"/>
      <c r="J914" s="101"/>
      <c r="K914" s="101"/>
      <c r="L914" s="102"/>
      <c r="M914" s="102"/>
      <c r="N914" s="101"/>
      <c r="O914" s="279"/>
      <c r="P914" s="279"/>
      <c r="Q914" s="229"/>
      <c r="R914" s="229"/>
      <c r="S914" s="229"/>
      <c r="T914" s="229"/>
      <c r="U914" s="229"/>
      <c r="V914" s="229"/>
      <c r="W914" s="229"/>
      <c r="X914" s="229"/>
      <c r="Y914" s="229"/>
      <c r="Z914" s="229"/>
      <c r="AA914" s="229"/>
      <c r="AB914" s="229"/>
    </row>
    <row r="915" ht="15.75" customHeight="1">
      <c r="A915" s="276"/>
      <c r="B915" s="101"/>
      <c r="C915" s="98"/>
      <c r="D915" s="100"/>
      <c r="E915" s="98"/>
      <c r="F915" s="99"/>
      <c r="G915" s="101"/>
      <c r="H915" s="278"/>
      <c r="I915" s="101"/>
      <c r="J915" s="101"/>
      <c r="K915" s="101"/>
      <c r="L915" s="102"/>
      <c r="M915" s="102"/>
      <c r="N915" s="101"/>
      <c r="O915" s="279"/>
      <c r="P915" s="279"/>
      <c r="Q915" s="229"/>
      <c r="R915" s="229"/>
      <c r="S915" s="229"/>
      <c r="T915" s="229"/>
      <c r="U915" s="229"/>
      <c r="V915" s="229"/>
      <c r="W915" s="229"/>
      <c r="X915" s="229"/>
      <c r="Y915" s="229"/>
      <c r="Z915" s="229"/>
      <c r="AA915" s="229"/>
      <c r="AB915" s="229"/>
    </row>
    <row r="916" ht="15.75" customHeight="1">
      <c r="A916" s="276"/>
      <c r="B916" s="101"/>
      <c r="C916" s="98"/>
      <c r="D916" s="100"/>
      <c r="E916" s="98"/>
      <c r="F916" s="99"/>
      <c r="G916" s="101"/>
      <c r="H916" s="278"/>
      <c r="I916" s="101"/>
      <c r="J916" s="101"/>
      <c r="K916" s="101"/>
      <c r="L916" s="102"/>
      <c r="M916" s="102"/>
      <c r="N916" s="101"/>
      <c r="O916" s="279"/>
      <c r="P916" s="279"/>
      <c r="Q916" s="229"/>
      <c r="R916" s="229"/>
      <c r="S916" s="229"/>
      <c r="T916" s="229"/>
      <c r="U916" s="229"/>
      <c r="V916" s="229"/>
      <c r="W916" s="229"/>
      <c r="X916" s="229"/>
      <c r="Y916" s="229"/>
      <c r="Z916" s="229"/>
      <c r="AA916" s="229"/>
      <c r="AB916" s="229"/>
    </row>
    <row r="917" ht="15.75" customHeight="1">
      <c r="A917" s="276"/>
      <c r="B917" s="101"/>
      <c r="C917" s="98"/>
      <c r="D917" s="100"/>
      <c r="E917" s="98"/>
      <c r="F917" s="99"/>
      <c r="G917" s="101"/>
      <c r="H917" s="278"/>
      <c r="I917" s="101"/>
      <c r="J917" s="101"/>
      <c r="K917" s="101"/>
      <c r="L917" s="102"/>
      <c r="M917" s="102"/>
      <c r="N917" s="101"/>
      <c r="O917" s="279"/>
      <c r="P917" s="279"/>
      <c r="Q917" s="229"/>
      <c r="R917" s="229"/>
      <c r="S917" s="229"/>
      <c r="T917" s="229"/>
      <c r="U917" s="229"/>
      <c r="V917" s="229"/>
      <c r="W917" s="229"/>
      <c r="X917" s="229"/>
      <c r="Y917" s="229"/>
      <c r="Z917" s="229"/>
      <c r="AA917" s="229"/>
      <c r="AB917" s="229"/>
    </row>
    <row r="918" ht="15.75" customHeight="1">
      <c r="A918" s="276"/>
      <c r="B918" s="101"/>
      <c r="C918" s="98"/>
      <c r="D918" s="100"/>
      <c r="E918" s="98"/>
      <c r="F918" s="99"/>
      <c r="G918" s="101"/>
      <c r="H918" s="278"/>
      <c r="I918" s="101"/>
      <c r="J918" s="101"/>
      <c r="K918" s="101"/>
      <c r="L918" s="102"/>
      <c r="M918" s="102"/>
      <c r="N918" s="101"/>
      <c r="O918" s="279"/>
      <c r="P918" s="279"/>
      <c r="Q918" s="229"/>
      <c r="R918" s="229"/>
      <c r="S918" s="229"/>
      <c r="T918" s="229"/>
      <c r="U918" s="229"/>
      <c r="V918" s="229"/>
      <c r="W918" s="229"/>
      <c r="X918" s="229"/>
      <c r="Y918" s="229"/>
      <c r="Z918" s="229"/>
      <c r="AA918" s="229"/>
      <c r="AB918" s="229"/>
    </row>
    <row r="919" ht="15.75" customHeight="1">
      <c r="A919" s="276"/>
      <c r="B919" s="101"/>
      <c r="C919" s="98"/>
      <c r="D919" s="100"/>
      <c r="E919" s="98"/>
      <c r="F919" s="99"/>
      <c r="G919" s="101"/>
      <c r="H919" s="278"/>
      <c r="I919" s="101"/>
      <c r="J919" s="101"/>
      <c r="K919" s="101"/>
      <c r="L919" s="102"/>
      <c r="M919" s="102"/>
      <c r="N919" s="101"/>
      <c r="O919" s="279"/>
      <c r="P919" s="279"/>
      <c r="Q919" s="229"/>
      <c r="R919" s="229"/>
      <c r="S919" s="229"/>
      <c r="T919" s="229"/>
      <c r="U919" s="229"/>
      <c r="V919" s="229"/>
      <c r="W919" s="229"/>
      <c r="X919" s="229"/>
      <c r="Y919" s="229"/>
      <c r="Z919" s="229"/>
      <c r="AA919" s="229"/>
      <c r="AB919" s="229"/>
    </row>
    <row r="920" ht="15.75" customHeight="1">
      <c r="A920" s="276"/>
      <c r="B920" s="101"/>
      <c r="C920" s="98"/>
      <c r="D920" s="100"/>
      <c r="E920" s="98"/>
      <c r="F920" s="99"/>
      <c r="G920" s="101"/>
      <c r="H920" s="278"/>
      <c r="I920" s="101"/>
      <c r="J920" s="101"/>
      <c r="K920" s="101"/>
      <c r="L920" s="102"/>
      <c r="M920" s="102"/>
      <c r="N920" s="101"/>
      <c r="O920" s="279"/>
      <c r="P920" s="279"/>
      <c r="Q920" s="229"/>
      <c r="R920" s="229"/>
      <c r="S920" s="229"/>
      <c r="T920" s="229"/>
      <c r="U920" s="229"/>
      <c r="V920" s="229"/>
      <c r="W920" s="229"/>
      <c r="X920" s="229"/>
      <c r="Y920" s="229"/>
      <c r="Z920" s="229"/>
      <c r="AA920" s="229"/>
      <c r="AB920" s="229"/>
    </row>
    <row r="921" ht="15.75" customHeight="1">
      <c r="A921" s="276"/>
      <c r="B921" s="101"/>
      <c r="C921" s="98"/>
      <c r="D921" s="100"/>
      <c r="E921" s="98"/>
      <c r="F921" s="99"/>
      <c r="G921" s="101"/>
      <c r="H921" s="278"/>
      <c r="I921" s="101"/>
      <c r="J921" s="101"/>
      <c r="K921" s="101"/>
      <c r="L921" s="102"/>
      <c r="M921" s="102"/>
      <c r="N921" s="101"/>
      <c r="O921" s="279"/>
      <c r="P921" s="279"/>
      <c r="Q921" s="229"/>
      <c r="R921" s="229"/>
      <c r="S921" s="229"/>
      <c r="T921" s="229"/>
      <c r="U921" s="229"/>
      <c r="V921" s="229"/>
      <c r="W921" s="229"/>
      <c r="X921" s="229"/>
      <c r="Y921" s="229"/>
      <c r="Z921" s="229"/>
      <c r="AA921" s="229"/>
      <c r="AB921" s="229"/>
    </row>
    <row r="922" ht="15.75" customHeight="1">
      <c r="A922" s="276"/>
      <c r="B922" s="101"/>
      <c r="C922" s="98"/>
      <c r="D922" s="100"/>
      <c r="E922" s="98"/>
      <c r="F922" s="99"/>
      <c r="G922" s="101"/>
      <c r="H922" s="278"/>
      <c r="I922" s="101"/>
      <c r="J922" s="101"/>
      <c r="K922" s="101"/>
      <c r="L922" s="102"/>
      <c r="M922" s="102"/>
      <c r="N922" s="101"/>
      <c r="O922" s="279"/>
      <c r="P922" s="279"/>
      <c r="Q922" s="229"/>
      <c r="R922" s="229"/>
      <c r="S922" s="229"/>
      <c r="T922" s="229"/>
      <c r="U922" s="229"/>
      <c r="V922" s="229"/>
      <c r="W922" s="229"/>
      <c r="X922" s="229"/>
      <c r="Y922" s="229"/>
      <c r="Z922" s="229"/>
      <c r="AA922" s="229"/>
      <c r="AB922" s="229"/>
    </row>
    <row r="923" ht="15.75" customHeight="1">
      <c r="A923" s="276"/>
      <c r="B923" s="101"/>
      <c r="C923" s="98"/>
      <c r="D923" s="100"/>
      <c r="E923" s="98"/>
      <c r="F923" s="99"/>
      <c r="G923" s="101"/>
      <c r="H923" s="278"/>
      <c r="I923" s="101"/>
      <c r="J923" s="101"/>
      <c r="K923" s="101"/>
      <c r="L923" s="102"/>
      <c r="M923" s="102"/>
      <c r="N923" s="101"/>
      <c r="O923" s="279"/>
      <c r="P923" s="279"/>
      <c r="Q923" s="229"/>
      <c r="R923" s="229"/>
      <c r="S923" s="229"/>
      <c r="T923" s="229"/>
      <c r="U923" s="229"/>
      <c r="V923" s="229"/>
      <c r="W923" s="229"/>
      <c r="X923" s="229"/>
      <c r="Y923" s="229"/>
      <c r="Z923" s="229"/>
      <c r="AA923" s="229"/>
      <c r="AB923" s="229"/>
    </row>
    <row r="924" ht="15.75" customHeight="1">
      <c r="A924" s="276"/>
      <c r="B924" s="101"/>
      <c r="C924" s="98"/>
      <c r="D924" s="100"/>
      <c r="E924" s="98"/>
      <c r="F924" s="99"/>
      <c r="G924" s="101"/>
      <c r="H924" s="278"/>
      <c r="I924" s="101"/>
      <c r="J924" s="101"/>
      <c r="K924" s="101"/>
      <c r="L924" s="102"/>
      <c r="M924" s="102"/>
      <c r="N924" s="101"/>
      <c r="O924" s="279"/>
      <c r="P924" s="279"/>
      <c r="Q924" s="229"/>
      <c r="R924" s="229"/>
      <c r="S924" s="229"/>
      <c r="T924" s="229"/>
      <c r="U924" s="229"/>
      <c r="V924" s="229"/>
      <c r="W924" s="229"/>
      <c r="X924" s="229"/>
      <c r="Y924" s="229"/>
      <c r="Z924" s="229"/>
      <c r="AA924" s="229"/>
      <c r="AB924" s="229"/>
    </row>
    <row r="925" ht="15.75" customHeight="1">
      <c r="A925" s="276"/>
      <c r="B925" s="101"/>
      <c r="C925" s="98"/>
      <c r="D925" s="100"/>
      <c r="E925" s="98"/>
      <c r="F925" s="99"/>
      <c r="G925" s="101"/>
      <c r="H925" s="278"/>
      <c r="I925" s="101"/>
      <c r="J925" s="101"/>
      <c r="K925" s="101"/>
      <c r="L925" s="102"/>
      <c r="M925" s="102"/>
      <c r="N925" s="101"/>
      <c r="O925" s="279"/>
      <c r="P925" s="279"/>
      <c r="Q925" s="229"/>
      <c r="R925" s="229"/>
      <c r="S925" s="229"/>
      <c r="T925" s="229"/>
      <c r="U925" s="229"/>
      <c r="V925" s="229"/>
      <c r="W925" s="229"/>
      <c r="X925" s="229"/>
      <c r="Y925" s="229"/>
      <c r="Z925" s="229"/>
      <c r="AA925" s="229"/>
      <c r="AB925" s="229"/>
    </row>
    <row r="926" ht="15.75" customHeight="1">
      <c r="A926" s="276"/>
      <c r="B926" s="101"/>
      <c r="C926" s="98"/>
      <c r="D926" s="100"/>
      <c r="E926" s="98"/>
      <c r="F926" s="99"/>
      <c r="G926" s="101"/>
      <c r="H926" s="278"/>
      <c r="I926" s="101"/>
      <c r="J926" s="101"/>
      <c r="K926" s="101"/>
      <c r="L926" s="102"/>
      <c r="M926" s="102"/>
      <c r="N926" s="101"/>
      <c r="O926" s="279"/>
      <c r="P926" s="279"/>
      <c r="Q926" s="229"/>
      <c r="R926" s="229"/>
      <c r="S926" s="229"/>
      <c r="T926" s="229"/>
      <c r="U926" s="229"/>
      <c r="V926" s="229"/>
      <c r="W926" s="229"/>
      <c r="X926" s="229"/>
      <c r="Y926" s="229"/>
      <c r="Z926" s="229"/>
      <c r="AA926" s="229"/>
      <c r="AB926" s="229"/>
    </row>
    <row r="927" ht="15.75" customHeight="1">
      <c r="A927" s="276"/>
      <c r="B927" s="101"/>
      <c r="C927" s="98"/>
      <c r="D927" s="100"/>
      <c r="E927" s="98"/>
      <c r="F927" s="99"/>
      <c r="G927" s="101"/>
      <c r="H927" s="278"/>
      <c r="I927" s="101"/>
      <c r="J927" s="101"/>
      <c r="K927" s="101"/>
      <c r="L927" s="102"/>
      <c r="M927" s="102"/>
      <c r="N927" s="101"/>
      <c r="O927" s="279"/>
      <c r="P927" s="279"/>
      <c r="Q927" s="229"/>
      <c r="R927" s="229"/>
      <c r="S927" s="229"/>
      <c r="T927" s="229"/>
      <c r="U927" s="229"/>
      <c r="V927" s="229"/>
      <c r="W927" s="229"/>
      <c r="X927" s="229"/>
      <c r="Y927" s="229"/>
      <c r="Z927" s="229"/>
      <c r="AA927" s="229"/>
      <c r="AB927" s="229"/>
    </row>
    <row r="928" ht="15.75" customHeight="1">
      <c r="A928" s="276"/>
      <c r="B928" s="101"/>
      <c r="C928" s="98"/>
      <c r="D928" s="100"/>
      <c r="E928" s="98"/>
      <c r="F928" s="99"/>
      <c r="G928" s="101"/>
      <c r="H928" s="278"/>
      <c r="I928" s="101"/>
      <c r="J928" s="101"/>
      <c r="K928" s="101"/>
      <c r="L928" s="102"/>
      <c r="M928" s="102"/>
      <c r="N928" s="101"/>
      <c r="O928" s="279"/>
      <c r="P928" s="279"/>
      <c r="Q928" s="229"/>
      <c r="R928" s="229"/>
      <c r="S928" s="229"/>
      <c r="T928" s="229"/>
      <c r="U928" s="229"/>
      <c r="V928" s="229"/>
      <c r="W928" s="229"/>
      <c r="X928" s="229"/>
      <c r="Y928" s="229"/>
      <c r="Z928" s="229"/>
      <c r="AA928" s="229"/>
      <c r="AB928" s="229"/>
    </row>
    <row r="929" ht="15.75" customHeight="1">
      <c r="A929" s="276"/>
      <c r="B929" s="101"/>
      <c r="C929" s="98"/>
      <c r="D929" s="100"/>
      <c r="E929" s="98"/>
      <c r="F929" s="99"/>
      <c r="G929" s="101"/>
      <c r="H929" s="278"/>
      <c r="I929" s="101"/>
      <c r="J929" s="101"/>
      <c r="K929" s="101"/>
      <c r="L929" s="102"/>
      <c r="M929" s="102"/>
      <c r="N929" s="101"/>
      <c r="O929" s="279"/>
      <c r="P929" s="279"/>
      <c r="Q929" s="229"/>
      <c r="R929" s="229"/>
      <c r="S929" s="229"/>
      <c r="T929" s="229"/>
      <c r="U929" s="229"/>
      <c r="V929" s="229"/>
      <c r="W929" s="229"/>
      <c r="X929" s="229"/>
      <c r="Y929" s="229"/>
      <c r="Z929" s="229"/>
      <c r="AA929" s="229"/>
      <c r="AB929" s="229"/>
    </row>
    <row r="930" ht="15.75" customHeight="1">
      <c r="A930" s="276"/>
      <c r="B930" s="101"/>
      <c r="C930" s="98"/>
      <c r="D930" s="100"/>
      <c r="E930" s="98"/>
      <c r="F930" s="99"/>
      <c r="G930" s="101"/>
      <c r="H930" s="278"/>
      <c r="I930" s="101"/>
      <c r="J930" s="101"/>
      <c r="K930" s="101"/>
      <c r="L930" s="102"/>
      <c r="M930" s="102"/>
      <c r="N930" s="101"/>
      <c r="O930" s="279"/>
      <c r="P930" s="279"/>
      <c r="Q930" s="229"/>
      <c r="R930" s="229"/>
      <c r="S930" s="229"/>
      <c r="T930" s="229"/>
      <c r="U930" s="229"/>
      <c r="V930" s="229"/>
      <c r="W930" s="229"/>
      <c r="X930" s="229"/>
      <c r="Y930" s="229"/>
      <c r="Z930" s="229"/>
      <c r="AA930" s="229"/>
      <c r="AB930" s="229"/>
    </row>
    <row r="931" ht="15.75" customHeight="1">
      <c r="A931" s="276"/>
      <c r="B931" s="101"/>
      <c r="C931" s="98"/>
      <c r="D931" s="100"/>
      <c r="E931" s="98"/>
      <c r="F931" s="99"/>
      <c r="G931" s="101"/>
      <c r="H931" s="278"/>
      <c r="I931" s="101"/>
      <c r="J931" s="101"/>
      <c r="K931" s="101"/>
      <c r="L931" s="102"/>
      <c r="M931" s="102"/>
      <c r="N931" s="101"/>
      <c r="O931" s="279"/>
      <c r="P931" s="279"/>
      <c r="Q931" s="229"/>
      <c r="R931" s="229"/>
      <c r="S931" s="229"/>
      <c r="T931" s="229"/>
      <c r="U931" s="229"/>
      <c r="V931" s="229"/>
      <c r="W931" s="229"/>
      <c r="X931" s="229"/>
      <c r="Y931" s="229"/>
      <c r="Z931" s="229"/>
      <c r="AA931" s="229"/>
      <c r="AB931" s="229"/>
    </row>
    <row r="932" ht="15.75" customHeight="1">
      <c r="A932" s="276"/>
      <c r="B932" s="101"/>
      <c r="C932" s="98"/>
      <c r="D932" s="100"/>
      <c r="E932" s="98"/>
      <c r="F932" s="99"/>
      <c r="G932" s="101"/>
      <c r="H932" s="278"/>
      <c r="I932" s="101"/>
      <c r="J932" s="101"/>
      <c r="K932" s="101"/>
      <c r="L932" s="102"/>
      <c r="M932" s="102"/>
      <c r="N932" s="101"/>
      <c r="O932" s="279"/>
      <c r="P932" s="279"/>
      <c r="Q932" s="229"/>
      <c r="R932" s="229"/>
      <c r="S932" s="229"/>
      <c r="T932" s="229"/>
      <c r="U932" s="229"/>
      <c r="V932" s="229"/>
      <c r="W932" s="229"/>
      <c r="X932" s="229"/>
      <c r="Y932" s="229"/>
      <c r="Z932" s="229"/>
      <c r="AA932" s="229"/>
      <c r="AB932" s="229"/>
    </row>
    <row r="933" ht="15.75" customHeight="1">
      <c r="A933" s="276"/>
      <c r="B933" s="101"/>
      <c r="C933" s="98"/>
      <c r="D933" s="100"/>
      <c r="E933" s="98"/>
      <c r="F933" s="99"/>
      <c r="G933" s="101"/>
      <c r="H933" s="278"/>
      <c r="I933" s="101"/>
      <c r="J933" s="101"/>
      <c r="K933" s="101"/>
      <c r="L933" s="102"/>
      <c r="M933" s="102"/>
      <c r="N933" s="101"/>
      <c r="O933" s="279"/>
      <c r="P933" s="279"/>
      <c r="Q933" s="229"/>
      <c r="R933" s="229"/>
      <c r="S933" s="229"/>
      <c r="T933" s="229"/>
      <c r="U933" s="229"/>
      <c r="V933" s="229"/>
      <c r="W933" s="229"/>
      <c r="X933" s="229"/>
      <c r="Y933" s="229"/>
      <c r="Z933" s="229"/>
      <c r="AA933" s="229"/>
      <c r="AB933" s="229"/>
    </row>
    <row r="934" ht="15.75" customHeight="1">
      <c r="A934" s="276"/>
      <c r="B934" s="101"/>
      <c r="C934" s="98"/>
      <c r="D934" s="100"/>
      <c r="E934" s="98"/>
      <c r="F934" s="99"/>
      <c r="G934" s="101"/>
      <c r="H934" s="278"/>
      <c r="I934" s="101"/>
      <c r="J934" s="101"/>
      <c r="K934" s="101"/>
      <c r="L934" s="102"/>
      <c r="M934" s="102"/>
      <c r="N934" s="101"/>
      <c r="O934" s="279"/>
      <c r="P934" s="279"/>
      <c r="Q934" s="229"/>
      <c r="R934" s="229"/>
      <c r="S934" s="229"/>
      <c r="T934" s="229"/>
      <c r="U934" s="229"/>
      <c r="V934" s="229"/>
      <c r="W934" s="229"/>
      <c r="X934" s="229"/>
      <c r="Y934" s="229"/>
      <c r="Z934" s="229"/>
      <c r="AA934" s="229"/>
      <c r="AB934" s="229"/>
    </row>
    <row r="935" ht="15.75" customHeight="1">
      <c r="A935" s="276"/>
      <c r="B935" s="101"/>
      <c r="C935" s="98"/>
      <c r="D935" s="100"/>
      <c r="E935" s="98"/>
      <c r="F935" s="99"/>
      <c r="G935" s="101"/>
      <c r="H935" s="278"/>
      <c r="I935" s="101"/>
      <c r="J935" s="101"/>
      <c r="K935" s="101"/>
      <c r="L935" s="102"/>
      <c r="M935" s="102"/>
      <c r="N935" s="101"/>
      <c r="O935" s="279"/>
      <c r="P935" s="279"/>
      <c r="Q935" s="229"/>
      <c r="R935" s="229"/>
      <c r="S935" s="229"/>
      <c r="T935" s="229"/>
      <c r="U935" s="229"/>
      <c r="V935" s="229"/>
      <c r="W935" s="229"/>
      <c r="X935" s="229"/>
      <c r="Y935" s="229"/>
      <c r="Z935" s="229"/>
      <c r="AA935" s="229"/>
      <c r="AB935" s="229"/>
    </row>
    <row r="936" ht="15.75" customHeight="1">
      <c r="A936" s="276"/>
      <c r="B936" s="101"/>
      <c r="C936" s="98"/>
      <c r="D936" s="100"/>
      <c r="E936" s="98"/>
      <c r="F936" s="99"/>
      <c r="G936" s="101"/>
      <c r="H936" s="278"/>
      <c r="I936" s="101"/>
      <c r="J936" s="101"/>
      <c r="K936" s="101"/>
      <c r="L936" s="102"/>
      <c r="M936" s="102"/>
      <c r="N936" s="101"/>
      <c r="O936" s="279"/>
      <c r="P936" s="279"/>
      <c r="Q936" s="229"/>
      <c r="R936" s="229"/>
      <c r="S936" s="229"/>
      <c r="T936" s="229"/>
      <c r="U936" s="229"/>
      <c r="V936" s="229"/>
      <c r="W936" s="229"/>
      <c r="X936" s="229"/>
      <c r="Y936" s="229"/>
      <c r="Z936" s="229"/>
      <c r="AA936" s="229"/>
      <c r="AB936" s="229"/>
    </row>
    <row r="937" ht="15.75" customHeight="1">
      <c r="A937" s="276"/>
      <c r="B937" s="101"/>
      <c r="C937" s="98"/>
      <c r="D937" s="100"/>
      <c r="E937" s="98"/>
      <c r="F937" s="99"/>
      <c r="G937" s="101"/>
      <c r="H937" s="278"/>
      <c r="I937" s="101"/>
      <c r="J937" s="101"/>
      <c r="K937" s="101"/>
      <c r="L937" s="102"/>
      <c r="M937" s="102"/>
      <c r="N937" s="101"/>
      <c r="O937" s="279"/>
      <c r="P937" s="279"/>
      <c r="Q937" s="229"/>
      <c r="R937" s="229"/>
      <c r="S937" s="229"/>
      <c r="T937" s="229"/>
      <c r="U937" s="229"/>
      <c r="V937" s="229"/>
      <c r="W937" s="229"/>
      <c r="X937" s="229"/>
      <c r="Y937" s="229"/>
      <c r="Z937" s="229"/>
      <c r="AA937" s="229"/>
      <c r="AB937" s="229"/>
    </row>
    <row r="938" ht="15.75" customHeight="1">
      <c r="A938" s="276"/>
      <c r="B938" s="101"/>
      <c r="C938" s="98"/>
      <c r="D938" s="100"/>
      <c r="E938" s="98"/>
      <c r="F938" s="99"/>
      <c r="G938" s="101"/>
      <c r="H938" s="278"/>
      <c r="I938" s="101"/>
      <c r="J938" s="101"/>
      <c r="K938" s="101"/>
      <c r="L938" s="102"/>
      <c r="M938" s="102"/>
      <c r="N938" s="101"/>
      <c r="O938" s="279"/>
      <c r="P938" s="279"/>
      <c r="Q938" s="229"/>
      <c r="R938" s="229"/>
      <c r="S938" s="229"/>
      <c r="T938" s="229"/>
      <c r="U938" s="229"/>
      <c r="V938" s="229"/>
      <c r="W938" s="229"/>
      <c r="X938" s="229"/>
      <c r="Y938" s="229"/>
      <c r="Z938" s="229"/>
      <c r="AA938" s="229"/>
      <c r="AB938" s="229"/>
    </row>
    <row r="939" ht="15.75" customHeight="1">
      <c r="A939" s="276"/>
      <c r="B939" s="101"/>
      <c r="C939" s="98"/>
      <c r="D939" s="100"/>
      <c r="E939" s="98"/>
      <c r="F939" s="99"/>
      <c r="G939" s="101"/>
      <c r="H939" s="278"/>
      <c r="I939" s="101"/>
      <c r="J939" s="101"/>
      <c r="K939" s="101"/>
      <c r="L939" s="102"/>
      <c r="M939" s="102"/>
      <c r="N939" s="101"/>
      <c r="O939" s="279"/>
      <c r="P939" s="279"/>
      <c r="Q939" s="229"/>
      <c r="R939" s="229"/>
      <c r="S939" s="229"/>
      <c r="T939" s="229"/>
      <c r="U939" s="229"/>
      <c r="V939" s="229"/>
      <c r="W939" s="229"/>
      <c r="X939" s="229"/>
      <c r="Y939" s="229"/>
      <c r="Z939" s="229"/>
      <c r="AA939" s="229"/>
      <c r="AB939" s="229"/>
    </row>
    <row r="940" ht="15.75" customHeight="1">
      <c r="A940" s="276"/>
      <c r="B940" s="101"/>
      <c r="C940" s="98"/>
      <c r="D940" s="100"/>
      <c r="E940" s="98"/>
      <c r="F940" s="99"/>
      <c r="G940" s="101"/>
      <c r="H940" s="278"/>
      <c r="I940" s="101"/>
      <c r="J940" s="101"/>
      <c r="K940" s="101"/>
      <c r="L940" s="102"/>
      <c r="M940" s="102"/>
      <c r="N940" s="101"/>
      <c r="O940" s="279"/>
      <c r="P940" s="279"/>
      <c r="Q940" s="229"/>
      <c r="R940" s="229"/>
      <c r="S940" s="229"/>
      <c r="T940" s="229"/>
      <c r="U940" s="229"/>
      <c r="V940" s="229"/>
      <c r="W940" s="229"/>
      <c r="X940" s="229"/>
      <c r="Y940" s="229"/>
      <c r="Z940" s="229"/>
      <c r="AA940" s="229"/>
      <c r="AB940" s="229"/>
    </row>
    <row r="941" ht="15.75" customHeight="1">
      <c r="A941" s="276"/>
      <c r="B941" s="101"/>
      <c r="C941" s="98"/>
      <c r="D941" s="100"/>
      <c r="E941" s="98"/>
      <c r="F941" s="99"/>
      <c r="G941" s="101"/>
      <c r="H941" s="278"/>
      <c r="I941" s="101"/>
      <c r="J941" s="101"/>
      <c r="K941" s="101"/>
      <c r="L941" s="102"/>
      <c r="M941" s="102"/>
      <c r="N941" s="101"/>
      <c r="O941" s="279"/>
      <c r="P941" s="279"/>
      <c r="Q941" s="229"/>
      <c r="R941" s="229"/>
      <c r="S941" s="229"/>
      <c r="T941" s="229"/>
      <c r="U941" s="229"/>
      <c r="V941" s="229"/>
      <c r="W941" s="229"/>
      <c r="X941" s="229"/>
      <c r="Y941" s="229"/>
      <c r="Z941" s="229"/>
      <c r="AA941" s="229"/>
      <c r="AB941" s="229"/>
    </row>
    <row r="942" ht="15.75" customHeight="1">
      <c r="A942" s="276"/>
      <c r="B942" s="101"/>
      <c r="C942" s="98"/>
      <c r="D942" s="100"/>
      <c r="E942" s="98"/>
      <c r="F942" s="99"/>
      <c r="G942" s="101"/>
      <c r="H942" s="278"/>
      <c r="I942" s="101"/>
      <c r="J942" s="101"/>
      <c r="K942" s="101"/>
      <c r="L942" s="102"/>
      <c r="M942" s="102"/>
      <c r="N942" s="101"/>
      <c r="O942" s="279"/>
      <c r="P942" s="279"/>
      <c r="Q942" s="229"/>
      <c r="R942" s="229"/>
      <c r="S942" s="229"/>
      <c r="T942" s="229"/>
      <c r="U942" s="229"/>
      <c r="V942" s="229"/>
      <c r="W942" s="229"/>
      <c r="X942" s="229"/>
      <c r="Y942" s="229"/>
      <c r="Z942" s="229"/>
      <c r="AA942" s="229"/>
      <c r="AB942" s="229"/>
    </row>
    <row r="943" ht="15.75" customHeight="1">
      <c r="A943" s="276"/>
      <c r="B943" s="101"/>
      <c r="C943" s="98"/>
      <c r="D943" s="100"/>
      <c r="E943" s="98"/>
      <c r="F943" s="99"/>
      <c r="G943" s="101"/>
      <c r="H943" s="278"/>
      <c r="I943" s="101"/>
      <c r="J943" s="101"/>
      <c r="K943" s="101"/>
      <c r="L943" s="102"/>
      <c r="M943" s="102"/>
      <c r="N943" s="101"/>
      <c r="O943" s="279"/>
      <c r="P943" s="279"/>
      <c r="Q943" s="229"/>
      <c r="R943" s="229"/>
      <c r="S943" s="229"/>
      <c r="T943" s="229"/>
      <c r="U943" s="229"/>
      <c r="V943" s="229"/>
      <c r="W943" s="229"/>
      <c r="X943" s="229"/>
      <c r="Y943" s="229"/>
      <c r="Z943" s="229"/>
      <c r="AA943" s="229"/>
      <c r="AB943" s="229"/>
    </row>
    <row r="944" ht="15.75" customHeight="1">
      <c r="A944" s="276"/>
      <c r="B944" s="101"/>
      <c r="C944" s="98"/>
      <c r="D944" s="100"/>
      <c r="E944" s="98"/>
      <c r="F944" s="99"/>
      <c r="G944" s="101"/>
      <c r="H944" s="278"/>
      <c r="I944" s="101"/>
      <c r="J944" s="101"/>
      <c r="K944" s="101"/>
      <c r="L944" s="102"/>
      <c r="M944" s="102"/>
      <c r="N944" s="101"/>
      <c r="O944" s="279"/>
      <c r="P944" s="279"/>
      <c r="Q944" s="229"/>
      <c r="R944" s="229"/>
      <c r="S944" s="229"/>
      <c r="T944" s="229"/>
      <c r="U944" s="229"/>
      <c r="V944" s="229"/>
      <c r="W944" s="229"/>
      <c r="X944" s="229"/>
      <c r="Y944" s="229"/>
      <c r="Z944" s="229"/>
      <c r="AA944" s="229"/>
      <c r="AB944" s="229"/>
    </row>
    <row r="945" ht="15.75" customHeight="1">
      <c r="A945" s="276"/>
      <c r="B945" s="101"/>
      <c r="C945" s="98"/>
      <c r="D945" s="100"/>
      <c r="E945" s="98"/>
      <c r="F945" s="99"/>
      <c r="G945" s="101"/>
      <c r="H945" s="278"/>
      <c r="I945" s="101"/>
      <c r="J945" s="101"/>
      <c r="K945" s="101"/>
      <c r="L945" s="102"/>
      <c r="M945" s="102"/>
      <c r="N945" s="101"/>
      <c r="O945" s="279"/>
      <c r="P945" s="279"/>
      <c r="Q945" s="229"/>
      <c r="R945" s="229"/>
      <c r="S945" s="229"/>
      <c r="T945" s="229"/>
      <c r="U945" s="229"/>
      <c r="V945" s="229"/>
      <c r="W945" s="229"/>
      <c r="X945" s="229"/>
      <c r="Y945" s="229"/>
      <c r="Z945" s="229"/>
      <c r="AA945" s="229"/>
      <c r="AB945" s="229"/>
    </row>
    <row r="946" ht="15.75" customHeight="1">
      <c r="A946" s="276"/>
      <c r="B946" s="101"/>
      <c r="C946" s="98"/>
      <c r="D946" s="100"/>
      <c r="E946" s="98"/>
      <c r="F946" s="99"/>
      <c r="G946" s="101"/>
      <c r="H946" s="278"/>
      <c r="I946" s="101"/>
      <c r="J946" s="101"/>
      <c r="K946" s="101"/>
      <c r="L946" s="102"/>
      <c r="M946" s="102"/>
      <c r="N946" s="101"/>
      <c r="O946" s="279"/>
      <c r="P946" s="279"/>
      <c r="Q946" s="229"/>
      <c r="R946" s="229"/>
      <c r="S946" s="229"/>
      <c r="T946" s="229"/>
      <c r="U946" s="229"/>
      <c r="V946" s="229"/>
      <c r="W946" s="229"/>
      <c r="X946" s="229"/>
      <c r="Y946" s="229"/>
      <c r="Z946" s="229"/>
      <c r="AA946" s="229"/>
      <c r="AB946" s="229"/>
    </row>
    <row r="947" ht="15.75" customHeight="1">
      <c r="A947" s="276"/>
      <c r="B947" s="101"/>
      <c r="C947" s="98"/>
      <c r="D947" s="100"/>
      <c r="E947" s="98"/>
      <c r="F947" s="99"/>
      <c r="G947" s="101"/>
      <c r="H947" s="278"/>
      <c r="I947" s="101"/>
      <c r="J947" s="101"/>
      <c r="K947" s="101"/>
      <c r="L947" s="102"/>
      <c r="M947" s="102"/>
      <c r="N947" s="101"/>
      <c r="O947" s="279"/>
      <c r="P947" s="279"/>
      <c r="Q947" s="229"/>
      <c r="R947" s="229"/>
      <c r="S947" s="229"/>
      <c r="T947" s="229"/>
      <c r="U947" s="229"/>
      <c r="V947" s="229"/>
      <c r="W947" s="229"/>
      <c r="X947" s="229"/>
      <c r="Y947" s="229"/>
      <c r="Z947" s="229"/>
      <c r="AA947" s="229"/>
      <c r="AB947" s="229"/>
    </row>
    <row r="948" ht="15.75" customHeight="1">
      <c r="A948" s="276"/>
      <c r="B948" s="101"/>
      <c r="C948" s="98"/>
      <c r="D948" s="100"/>
      <c r="E948" s="98"/>
      <c r="F948" s="99"/>
      <c r="G948" s="101"/>
      <c r="H948" s="278"/>
      <c r="I948" s="101"/>
      <c r="J948" s="101"/>
      <c r="K948" s="101"/>
      <c r="L948" s="102"/>
      <c r="M948" s="102"/>
      <c r="N948" s="101"/>
      <c r="O948" s="279"/>
      <c r="P948" s="279"/>
      <c r="Q948" s="229"/>
      <c r="R948" s="229"/>
      <c r="S948" s="229"/>
      <c r="T948" s="229"/>
      <c r="U948" s="229"/>
      <c r="V948" s="229"/>
      <c r="W948" s="229"/>
      <c r="X948" s="229"/>
      <c r="Y948" s="229"/>
      <c r="Z948" s="229"/>
      <c r="AA948" s="229"/>
      <c r="AB948" s="229"/>
    </row>
    <row r="949" ht="15.75" customHeight="1">
      <c r="A949" s="276"/>
      <c r="B949" s="101"/>
      <c r="C949" s="98"/>
      <c r="D949" s="100"/>
      <c r="E949" s="98"/>
      <c r="F949" s="99"/>
      <c r="G949" s="101"/>
      <c r="H949" s="278"/>
      <c r="I949" s="101"/>
      <c r="J949" s="101"/>
      <c r="K949" s="101"/>
      <c r="L949" s="102"/>
      <c r="M949" s="102"/>
      <c r="N949" s="101"/>
      <c r="O949" s="279"/>
      <c r="P949" s="279"/>
      <c r="Q949" s="229"/>
      <c r="R949" s="229"/>
      <c r="S949" s="229"/>
      <c r="T949" s="229"/>
      <c r="U949" s="229"/>
      <c r="V949" s="229"/>
      <c r="W949" s="229"/>
      <c r="X949" s="229"/>
      <c r="Y949" s="229"/>
      <c r="Z949" s="229"/>
      <c r="AA949" s="229"/>
      <c r="AB949" s="229"/>
    </row>
    <row r="950" ht="15.75" customHeight="1">
      <c r="A950" s="276"/>
      <c r="B950" s="101"/>
      <c r="C950" s="98"/>
      <c r="D950" s="100"/>
      <c r="E950" s="98"/>
      <c r="F950" s="99"/>
      <c r="G950" s="101"/>
      <c r="H950" s="278"/>
      <c r="I950" s="101"/>
      <c r="J950" s="101"/>
      <c r="K950" s="101"/>
      <c r="L950" s="102"/>
      <c r="M950" s="102"/>
      <c r="N950" s="101"/>
      <c r="O950" s="279"/>
      <c r="P950" s="279"/>
      <c r="Q950" s="229"/>
      <c r="R950" s="229"/>
      <c r="S950" s="229"/>
      <c r="T950" s="229"/>
      <c r="U950" s="229"/>
      <c r="V950" s="229"/>
      <c r="W950" s="229"/>
      <c r="X950" s="229"/>
      <c r="Y950" s="229"/>
      <c r="Z950" s="229"/>
      <c r="AA950" s="229"/>
      <c r="AB950" s="229"/>
    </row>
    <row r="951" ht="15.75" customHeight="1">
      <c r="A951" s="276"/>
      <c r="B951" s="101"/>
      <c r="C951" s="98"/>
      <c r="D951" s="100"/>
      <c r="E951" s="98"/>
      <c r="F951" s="99"/>
      <c r="G951" s="101"/>
      <c r="H951" s="278"/>
      <c r="I951" s="101"/>
      <c r="J951" s="101"/>
      <c r="K951" s="101"/>
      <c r="L951" s="102"/>
      <c r="M951" s="102"/>
      <c r="N951" s="101"/>
      <c r="O951" s="279"/>
      <c r="P951" s="279"/>
      <c r="Q951" s="229"/>
      <c r="R951" s="229"/>
      <c r="S951" s="229"/>
      <c r="T951" s="229"/>
      <c r="U951" s="229"/>
      <c r="V951" s="229"/>
      <c r="W951" s="229"/>
      <c r="X951" s="229"/>
      <c r="Y951" s="229"/>
      <c r="Z951" s="229"/>
      <c r="AA951" s="229"/>
      <c r="AB951" s="229"/>
    </row>
    <row r="952" ht="15.75" customHeight="1">
      <c r="A952" s="276"/>
      <c r="B952" s="101"/>
      <c r="C952" s="98"/>
      <c r="D952" s="100"/>
      <c r="E952" s="98"/>
      <c r="F952" s="99"/>
      <c r="G952" s="101"/>
      <c r="H952" s="278"/>
      <c r="I952" s="101"/>
      <c r="J952" s="101"/>
      <c r="K952" s="101"/>
      <c r="L952" s="102"/>
      <c r="M952" s="102"/>
      <c r="N952" s="101"/>
      <c r="O952" s="279"/>
      <c r="P952" s="279"/>
      <c r="Q952" s="229"/>
      <c r="R952" s="229"/>
      <c r="S952" s="229"/>
      <c r="T952" s="229"/>
      <c r="U952" s="229"/>
      <c r="V952" s="229"/>
      <c r="W952" s="229"/>
      <c r="X952" s="229"/>
      <c r="Y952" s="229"/>
      <c r="Z952" s="229"/>
      <c r="AA952" s="229"/>
      <c r="AB952" s="229"/>
    </row>
    <row r="953" ht="15.75" customHeight="1">
      <c r="A953" s="276"/>
      <c r="B953" s="101"/>
      <c r="C953" s="98"/>
      <c r="D953" s="100"/>
      <c r="E953" s="98"/>
      <c r="F953" s="99"/>
      <c r="G953" s="101"/>
      <c r="H953" s="278"/>
      <c r="I953" s="101"/>
      <c r="J953" s="101"/>
      <c r="K953" s="101"/>
      <c r="L953" s="102"/>
      <c r="M953" s="102"/>
      <c r="N953" s="101"/>
      <c r="O953" s="279"/>
      <c r="P953" s="279"/>
      <c r="Q953" s="229"/>
      <c r="R953" s="229"/>
      <c r="S953" s="229"/>
      <c r="T953" s="229"/>
      <c r="U953" s="229"/>
      <c r="V953" s="229"/>
      <c r="W953" s="229"/>
      <c r="X953" s="229"/>
      <c r="Y953" s="229"/>
      <c r="Z953" s="229"/>
      <c r="AA953" s="229"/>
      <c r="AB953" s="229"/>
    </row>
    <row r="954" ht="15.75" customHeight="1">
      <c r="A954" s="276"/>
      <c r="B954" s="101"/>
      <c r="C954" s="98"/>
      <c r="D954" s="100"/>
      <c r="E954" s="98"/>
      <c r="F954" s="99"/>
      <c r="G954" s="101"/>
      <c r="H954" s="278"/>
      <c r="I954" s="101"/>
      <c r="J954" s="101"/>
      <c r="K954" s="101"/>
      <c r="L954" s="102"/>
      <c r="M954" s="102"/>
      <c r="N954" s="101"/>
      <c r="O954" s="279"/>
      <c r="P954" s="279"/>
      <c r="Q954" s="229"/>
      <c r="R954" s="229"/>
      <c r="S954" s="229"/>
      <c r="T954" s="229"/>
      <c r="U954" s="229"/>
      <c r="V954" s="229"/>
      <c r="W954" s="229"/>
      <c r="X954" s="229"/>
      <c r="Y954" s="229"/>
      <c r="Z954" s="229"/>
      <c r="AA954" s="229"/>
      <c r="AB954" s="229"/>
    </row>
    <row r="955" ht="15.75" customHeight="1">
      <c r="A955" s="276"/>
      <c r="B955" s="101"/>
      <c r="C955" s="98"/>
      <c r="D955" s="100"/>
      <c r="E955" s="98"/>
      <c r="F955" s="99"/>
      <c r="G955" s="101"/>
      <c r="H955" s="278"/>
      <c r="I955" s="101"/>
      <c r="J955" s="101"/>
      <c r="K955" s="101"/>
      <c r="L955" s="102"/>
      <c r="M955" s="102"/>
      <c r="N955" s="101"/>
      <c r="O955" s="279"/>
      <c r="P955" s="279"/>
      <c r="Q955" s="229"/>
      <c r="R955" s="229"/>
      <c r="S955" s="229"/>
      <c r="T955" s="229"/>
      <c r="U955" s="229"/>
      <c r="V955" s="229"/>
      <c r="W955" s="229"/>
      <c r="X955" s="229"/>
      <c r="Y955" s="229"/>
      <c r="Z955" s="229"/>
      <c r="AA955" s="229"/>
      <c r="AB955" s="229"/>
    </row>
    <row r="956" ht="15.75" customHeight="1">
      <c r="A956" s="276"/>
      <c r="B956" s="101"/>
      <c r="C956" s="98"/>
      <c r="D956" s="100"/>
      <c r="E956" s="98"/>
      <c r="F956" s="99"/>
      <c r="G956" s="101"/>
      <c r="H956" s="278"/>
      <c r="I956" s="101"/>
      <c r="J956" s="101"/>
      <c r="K956" s="101"/>
      <c r="L956" s="102"/>
      <c r="M956" s="102"/>
      <c r="N956" s="101"/>
      <c r="O956" s="279"/>
      <c r="P956" s="279"/>
      <c r="Q956" s="229"/>
      <c r="R956" s="229"/>
      <c r="S956" s="229"/>
      <c r="T956" s="229"/>
      <c r="U956" s="229"/>
      <c r="V956" s="229"/>
      <c r="W956" s="229"/>
      <c r="X956" s="229"/>
      <c r="Y956" s="229"/>
      <c r="Z956" s="229"/>
      <c r="AA956" s="229"/>
      <c r="AB956" s="229"/>
    </row>
    <row r="957" ht="15.75" customHeight="1">
      <c r="A957" s="276"/>
      <c r="B957" s="101"/>
      <c r="C957" s="98"/>
      <c r="D957" s="100"/>
      <c r="E957" s="98"/>
      <c r="F957" s="99"/>
      <c r="G957" s="101"/>
      <c r="H957" s="278"/>
      <c r="I957" s="101"/>
      <c r="J957" s="101"/>
      <c r="K957" s="101"/>
      <c r="L957" s="102"/>
      <c r="M957" s="102"/>
      <c r="N957" s="101"/>
      <c r="O957" s="279"/>
      <c r="P957" s="279"/>
      <c r="Q957" s="229"/>
      <c r="R957" s="229"/>
      <c r="S957" s="229"/>
      <c r="T957" s="229"/>
      <c r="U957" s="229"/>
      <c r="V957" s="229"/>
      <c r="W957" s="229"/>
      <c r="X957" s="229"/>
      <c r="Y957" s="229"/>
      <c r="Z957" s="229"/>
      <c r="AA957" s="229"/>
      <c r="AB957" s="229"/>
    </row>
    <row r="958" ht="15.75" customHeight="1">
      <c r="A958" s="276"/>
      <c r="B958" s="101"/>
      <c r="C958" s="98"/>
      <c r="D958" s="100"/>
      <c r="E958" s="98"/>
      <c r="F958" s="99"/>
      <c r="G958" s="101"/>
      <c r="H958" s="278"/>
      <c r="I958" s="101"/>
      <c r="J958" s="101"/>
      <c r="K958" s="101"/>
      <c r="L958" s="102"/>
      <c r="M958" s="102"/>
      <c r="N958" s="101"/>
      <c r="O958" s="279"/>
      <c r="P958" s="279"/>
      <c r="Q958" s="229"/>
      <c r="R958" s="229"/>
      <c r="S958" s="229"/>
      <c r="T958" s="229"/>
      <c r="U958" s="229"/>
      <c r="V958" s="229"/>
      <c r="W958" s="229"/>
      <c r="X958" s="229"/>
      <c r="Y958" s="229"/>
      <c r="Z958" s="229"/>
      <c r="AA958" s="229"/>
      <c r="AB958" s="229"/>
    </row>
    <row r="959" ht="15.75" customHeight="1">
      <c r="A959" s="276"/>
      <c r="B959" s="101"/>
      <c r="C959" s="98"/>
      <c r="D959" s="100"/>
      <c r="E959" s="98"/>
      <c r="F959" s="99"/>
      <c r="G959" s="101"/>
      <c r="H959" s="278"/>
      <c r="I959" s="101"/>
      <c r="J959" s="101"/>
      <c r="K959" s="101"/>
      <c r="L959" s="102"/>
      <c r="M959" s="102"/>
      <c r="N959" s="101"/>
      <c r="O959" s="279"/>
      <c r="P959" s="279"/>
      <c r="Q959" s="229"/>
      <c r="R959" s="229"/>
      <c r="S959" s="229"/>
      <c r="T959" s="229"/>
      <c r="U959" s="229"/>
      <c r="V959" s="229"/>
      <c r="W959" s="229"/>
      <c r="X959" s="229"/>
      <c r="Y959" s="229"/>
      <c r="Z959" s="229"/>
      <c r="AA959" s="229"/>
      <c r="AB959" s="229"/>
    </row>
    <row r="960" ht="15.75" customHeight="1">
      <c r="A960" s="276"/>
      <c r="B960" s="101"/>
      <c r="C960" s="98"/>
      <c r="D960" s="100"/>
      <c r="E960" s="98"/>
      <c r="F960" s="99"/>
      <c r="G960" s="101"/>
      <c r="H960" s="278"/>
      <c r="I960" s="101"/>
      <c r="J960" s="101"/>
      <c r="K960" s="101"/>
      <c r="L960" s="102"/>
      <c r="M960" s="102"/>
      <c r="N960" s="101"/>
      <c r="O960" s="279"/>
      <c r="P960" s="279"/>
      <c r="Q960" s="229"/>
      <c r="R960" s="229"/>
      <c r="S960" s="229"/>
      <c r="T960" s="229"/>
      <c r="U960" s="229"/>
      <c r="V960" s="229"/>
      <c r="W960" s="229"/>
      <c r="X960" s="229"/>
      <c r="Y960" s="229"/>
      <c r="Z960" s="229"/>
      <c r="AA960" s="229"/>
      <c r="AB960" s="229"/>
    </row>
    <row r="961" ht="15.75" customHeight="1">
      <c r="A961" s="276"/>
      <c r="B961" s="101"/>
      <c r="C961" s="98"/>
      <c r="D961" s="100"/>
      <c r="E961" s="98"/>
      <c r="F961" s="99"/>
      <c r="G961" s="101"/>
      <c r="H961" s="278"/>
      <c r="I961" s="101"/>
      <c r="J961" s="101"/>
      <c r="K961" s="101"/>
      <c r="L961" s="102"/>
      <c r="M961" s="102"/>
      <c r="N961" s="101"/>
      <c r="O961" s="279"/>
      <c r="P961" s="279"/>
      <c r="Q961" s="229"/>
      <c r="R961" s="229"/>
      <c r="S961" s="229"/>
      <c r="T961" s="229"/>
      <c r="U961" s="229"/>
      <c r="V961" s="229"/>
      <c r="W961" s="229"/>
      <c r="X961" s="229"/>
      <c r="Y961" s="229"/>
      <c r="Z961" s="229"/>
      <c r="AA961" s="229"/>
      <c r="AB961" s="229"/>
    </row>
    <row r="962" ht="15.75" customHeight="1">
      <c r="A962" s="276"/>
      <c r="B962" s="101"/>
      <c r="C962" s="98"/>
      <c r="D962" s="100"/>
      <c r="E962" s="98"/>
      <c r="F962" s="99"/>
      <c r="G962" s="101"/>
      <c r="H962" s="278"/>
      <c r="I962" s="101"/>
      <c r="J962" s="101"/>
      <c r="K962" s="101"/>
      <c r="L962" s="102"/>
      <c r="M962" s="102"/>
      <c r="N962" s="101"/>
      <c r="O962" s="279"/>
      <c r="P962" s="279"/>
      <c r="Q962" s="229"/>
      <c r="R962" s="229"/>
      <c r="S962" s="229"/>
      <c r="T962" s="229"/>
      <c r="U962" s="229"/>
      <c r="V962" s="229"/>
      <c r="W962" s="229"/>
      <c r="X962" s="229"/>
      <c r="Y962" s="229"/>
      <c r="Z962" s="229"/>
      <c r="AA962" s="229"/>
      <c r="AB962" s="229"/>
    </row>
    <row r="963" ht="15.75" customHeight="1">
      <c r="A963" s="276"/>
      <c r="B963" s="101"/>
      <c r="C963" s="98"/>
      <c r="D963" s="100"/>
      <c r="E963" s="98"/>
      <c r="F963" s="99"/>
      <c r="G963" s="101"/>
      <c r="H963" s="278"/>
      <c r="I963" s="101"/>
      <c r="J963" s="101"/>
      <c r="K963" s="101"/>
      <c r="L963" s="102"/>
      <c r="M963" s="102"/>
      <c r="N963" s="101"/>
      <c r="O963" s="279"/>
      <c r="P963" s="279"/>
      <c r="Q963" s="229"/>
      <c r="R963" s="229"/>
      <c r="S963" s="229"/>
      <c r="T963" s="229"/>
      <c r="U963" s="229"/>
      <c r="V963" s="229"/>
      <c r="W963" s="229"/>
      <c r="X963" s="229"/>
      <c r="Y963" s="229"/>
      <c r="Z963" s="229"/>
      <c r="AA963" s="229"/>
      <c r="AB963" s="229"/>
    </row>
    <row r="964" ht="15.75" customHeight="1">
      <c r="A964" s="276"/>
      <c r="B964" s="101"/>
      <c r="C964" s="98"/>
      <c r="D964" s="100"/>
      <c r="E964" s="98"/>
      <c r="F964" s="99"/>
      <c r="G964" s="101"/>
      <c r="H964" s="278"/>
      <c r="I964" s="101"/>
      <c r="J964" s="101"/>
      <c r="K964" s="101"/>
      <c r="L964" s="102"/>
      <c r="M964" s="102"/>
      <c r="N964" s="101"/>
      <c r="O964" s="279"/>
      <c r="P964" s="279"/>
      <c r="Q964" s="229"/>
      <c r="R964" s="229"/>
      <c r="S964" s="229"/>
      <c r="T964" s="229"/>
      <c r="U964" s="229"/>
      <c r="V964" s="229"/>
      <c r="W964" s="229"/>
      <c r="X964" s="229"/>
      <c r="Y964" s="229"/>
      <c r="Z964" s="229"/>
      <c r="AA964" s="229"/>
      <c r="AB964" s="229"/>
    </row>
    <row r="965" ht="15.75" customHeight="1">
      <c r="A965" s="276"/>
      <c r="B965" s="101"/>
      <c r="C965" s="98"/>
      <c r="D965" s="100"/>
      <c r="E965" s="98"/>
      <c r="F965" s="99"/>
      <c r="G965" s="101"/>
      <c r="H965" s="278"/>
      <c r="I965" s="101"/>
      <c r="J965" s="101"/>
      <c r="K965" s="101"/>
      <c r="L965" s="102"/>
      <c r="M965" s="102"/>
      <c r="N965" s="101"/>
      <c r="O965" s="279"/>
      <c r="P965" s="279"/>
      <c r="Q965" s="229"/>
      <c r="R965" s="229"/>
      <c r="S965" s="229"/>
      <c r="T965" s="229"/>
      <c r="U965" s="229"/>
      <c r="V965" s="229"/>
      <c r="W965" s="229"/>
      <c r="X965" s="229"/>
      <c r="Y965" s="229"/>
      <c r="Z965" s="229"/>
      <c r="AA965" s="229"/>
      <c r="AB965" s="229"/>
    </row>
    <row r="966" ht="15.75" customHeight="1">
      <c r="A966" s="276"/>
      <c r="B966" s="101"/>
      <c r="C966" s="98"/>
      <c r="D966" s="100"/>
      <c r="E966" s="98"/>
      <c r="F966" s="99"/>
      <c r="G966" s="101"/>
      <c r="H966" s="278"/>
      <c r="I966" s="101"/>
      <c r="J966" s="101"/>
      <c r="K966" s="101"/>
      <c r="L966" s="102"/>
      <c r="M966" s="102"/>
      <c r="N966" s="101"/>
      <c r="O966" s="279"/>
      <c r="P966" s="279"/>
      <c r="Q966" s="229"/>
      <c r="R966" s="229"/>
      <c r="S966" s="229"/>
      <c r="T966" s="229"/>
      <c r="U966" s="229"/>
      <c r="V966" s="229"/>
      <c r="W966" s="229"/>
      <c r="X966" s="229"/>
      <c r="Y966" s="229"/>
      <c r="Z966" s="229"/>
      <c r="AA966" s="229"/>
      <c r="AB966" s="229"/>
    </row>
    <row r="967" ht="15.75" customHeight="1">
      <c r="A967" s="276"/>
      <c r="B967" s="101"/>
      <c r="C967" s="98"/>
      <c r="D967" s="100"/>
      <c r="E967" s="98"/>
      <c r="F967" s="99"/>
      <c r="G967" s="101"/>
      <c r="H967" s="278"/>
      <c r="I967" s="101"/>
      <c r="J967" s="101"/>
      <c r="K967" s="101"/>
      <c r="L967" s="102"/>
      <c r="M967" s="102"/>
      <c r="N967" s="101"/>
      <c r="O967" s="279"/>
      <c r="P967" s="279"/>
      <c r="Q967" s="229"/>
      <c r="R967" s="229"/>
      <c r="S967" s="229"/>
      <c r="T967" s="229"/>
      <c r="U967" s="229"/>
      <c r="V967" s="229"/>
      <c r="W967" s="229"/>
      <c r="X967" s="229"/>
      <c r="Y967" s="229"/>
      <c r="Z967" s="229"/>
      <c r="AA967" s="229"/>
      <c r="AB967" s="229"/>
    </row>
    <row r="968" ht="15.75" customHeight="1">
      <c r="A968" s="276"/>
      <c r="B968" s="101"/>
      <c r="C968" s="98"/>
      <c r="D968" s="100"/>
      <c r="E968" s="98"/>
      <c r="F968" s="99"/>
      <c r="G968" s="101"/>
      <c r="H968" s="278"/>
      <c r="I968" s="101"/>
      <c r="J968" s="101"/>
      <c r="K968" s="101"/>
      <c r="L968" s="102"/>
      <c r="M968" s="102"/>
      <c r="N968" s="101"/>
      <c r="O968" s="279"/>
      <c r="P968" s="279"/>
      <c r="Q968" s="229"/>
      <c r="R968" s="229"/>
      <c r="S968" s="229"/>
      <c r="T968" s="229"/>
      <c r="U968" s="229"/>
      <c r="V968" s="229"/>
      <c r="W968" s="229"/>
      <c r="X968" s="229"/>
      <c r="Y968" s="229"/>
      <c r="Z968" s="229"/>
      <c r="AA968" s="229"/>
      <c r="AB968" s="229"/>
    </row>
    <row r="969" ht="15.75" customHeight="1">
      <c r="A969" s="276"/>
      <c r="B969" s="101"/>
      <c r="C969" s="98"/>
      <c r="D969" s="100"/>
      <c r="E969" s="98"/>
      <c r="F969" s="99"/>
      <c r="G969" s="101"/>
      <c r="H969" s="278"/>
      <c r="I969" s="101"/>
      <c r="J969" s="101"/>
      <c r="K969" s="101"/>
      <c r="L969" s="102"/>
      <c r="M969" s="102"/>
      <c r="N969" s="101"/>
      <c r="O969" s="279"/>
      <c r="P969" s="279"/>
      <c r="Q969" s="229"/>
      <c r="R969" s="229"/>
      <c r="S969" s="229"/>
      <c r="T969" s="229"/>
      <c r="U969" s="229"/>
      <c r="V969" s="229"/>
      <c r="W969" s="229"/>
      <c r="X969" s="229"/>
      <c r="Y969" s="229"/>
      <c r="Z969" s="229"/>
      <c r="AA969" s="229"/>
      <c r="AB969" s="229"/>
    </row>
    <row r="970" ht="15.75" customHeight="1">
      <c r="A970" s="276"/>
      <c r="B970" s="101"/>
      <c r="C970" s="98"/>
      <c r="D970" s="100"/>
      <c r="E970" s="98"/>
      <c r="F970" s="99"/>
      <c r="G970" s="101"/>
      <c r="H970" s="278"/>
      <c r="I970" s="101"/>
      <c r="J970" s="101"/>
      <c r="K970" s="101"/>
      <c r="L970" s="102"/>
      <c r="M970" s="102"/>
      <c r="N970" s="101"/>
      <c r="O970" s="279"/>
      <c r="P970" s="279"/>
      <c r="Q970" s="229"/>
      <c r="R970" s="229"/>
      <c r="S970" s="229"/>
      <c r="T970" s="229"/>
      <c r="U970" s="229"/>
      <c r="V970" s="229"/>
      <c r="W970" s="229"/>
      <c r="X970" s="229"/>
      <c r="Y970" s="229"/>
      <c r="Z970" s="229"/>
      <c r="AA970" s="229"/>
      <c r="AB970" s="229"/>
    </row>
    <row r="971" ht="15.75" customHeight="1">
      <c r="A971" s="276"/>
      <c r="B971" s="101"/>
      <c r="C971" s="98"/>
      <c r="D971" s="100"/>
      <c r="E971" s="98"/>
      <c r="F971" s="99"/>
      <c r="G971" s="101"/>
      <c r="H971" s="278"/>
      <c r="I971" s="101"/>
      <c r="J971" s="101"/>
      <c r="K971" s="101"/>
      <c r="L971" s="102"/>
      <c r="M971" s="102"/>
      <c r="N971" s="101"/>
      <c r="O971" s="279"/>
      <c r="P971" s="279"/>
      <c r="Q971" s="229"/>
      <c r="R971" s="229"/>
      <c r="S971" s="229"/>
      <c r="T971" s="229"/>
      <c r="U971" s="229"/>
      <c r="V971" s="229"/>
      <c r="W971" s="229"/>
      <c r="X971" s="229"/>
      <c r="Y971" s="229"/>
      <c r="Z971" s="229"/>
      <c r="AA971" s="229"/>
      <c r="AB971" s="229"/>
    </row>
    <row r="972" ht="15.75" customHeight="1">
      <c r="A972" s="276"/>
      <c r="B972" s="101"/>
      <c r="C972" s="98"/>
      <c r="D972" s="100"/>
      <c r="E972" s="98"/>
      <c r="F972" s="99"/>
      <c r="G972" s="101"/>
      <c r="H972" s="278"/>
      <c r="I972" s="101"/>
      <c r="J972" s="101"/>
      <c r="K972" s="101"/>
      <c r="L972" s="102"/>
      <c r="M972" s="102"/>
      <c r="N972" s="101"/>
      <c r="O972" s="279"/>
      <c r="P972" s="279"/>
      <c r="Q972" s="229"/>
      <c r="R972" s="229"/>
      <c r="S972" s="229"/>
      <c r="T972" s="229"/>
      <c r="U972" s="229"/>
      <c r="V972" s="229"/>
      <c r="W972" s="229"/>
      <c r="X972" s="229"/>
      <c r="Y972" s="229"/>
      <c r="Z972" s="229"/>
      <c r="AA972" s="229"/>
      <c r="AB972" s="229"/>
    </row>
    <row r="973" ht="15.75" customHeight="1">
      <c r="A973" s="276"/>
      <c r="B973" s="101"/>
      <c r="C973" s="98"/>
      <c r="D973" s="100"/>
      <c r="E973" s="98"/>
      <c r="F973" s="99"/>
      <c r="G973" s="101"/>
      <c r="H973" s="278"/>
      <c r="I973" s="101"/>
      <c r="J973" s="101"/>
      <c r="K973" s="101"/>
      <c r="L973" s="102"/>
      <c r="M973" s="102"/>
      <c r="N973" s="101"/>
      <c r="O973" s="279"/>
      <c r="P973" s="279"/>
      <c r="Q973" s="229"/>
      <c r="R973" s="229"/>
      <c r="S973" s="229"/>
      <c r="T973" s="229"/>
      <c r="U973" s="229"/>
      <c r="V973" s="229"/>
      <c r="W973" s="229"/>
      <c r="X973" s="229"/>
      <c r="Y973" s="229"/>
      <c r="Z973" s="229"/>
      <c r="AA973" s="229"/>
      <c r="AB973" s="229"/>
    </row>
    <row r="974" ht="15.75" customHeight="1">
      <c r="A974" s="276"/>
      <c r="B974" s="101"/>
      <c r="C974" s="98"/>
      <c r="D974" s="100"/>
      <c r="E974" s="98"/>
      <c r="F974" s="99"/>
      <c r="G974" s="101"/>
      <c r="H974" s="278"/>
      <c r="I974" s="101"/>
      <c r="J974" s="101"/>
      <c r="K974" s="101"/>
      <c r="L974" s="102"/>
      <c r="M974" s="102"/>
      <c r="N974" s="101"/>
      <c r="O974" s="279"/>
      <c r="P974" s="279"/>
      <c r="Q974" s="229"/>
      <c r="R974" s="229"/>
      <c r="S974" s="229"/>
      <c r="T974" s="229"/>
      <c r="U974" s="229"/>
      <c r="V974" s="229"/>
      <c r="W974" s="229"/>
      <c r="X974" s="229"/>
      <c r="Y974" s="229"/>
      <c r="Z974" s="229"/>
      <c r="AA974" s="229"/>
      <c r="AB974" s="229"/>
    </row>
    <row r="975" ht="15.75" customHeight="1">
      <c r="A975" s="276"/>
      <c r="B975" s="101"/>
      <c r="C975" s="98"/>
      <c r="D975" s="100"/>
      <c r="E975" s="98"/>
      <c r="F975" s="99"/>
      <c r="G975" s="101"/>
      <c r="H975" s="278"/>
      <c r="I975" s="101"/>
      <c r="J975" s="101"/>
      <c r="K975" s="101"/>
      <c r="L975" s="102"/>
      <c r="M975" s="102"/>
      <c r="N975" s="101"/>
      <c r="O975" s="279"/>
      <c r="P975" s="279"/>
      <c r="Q975" s="229"/>
      <c r="R975" s="229"/>
      <c r="S975" s="229"/>
      <c r="T975" s="229"/>
      <c r="U975" s="229"/>
      <c r="V975" s="229"/>
      <c r="W975" s="229"/>
      <c r="X975" s="229"/>
      <c r="Y975" s="229"/>
      <c r="Z975" s="229"/>
      <c r="AA975" s="229"/>
      <c r="AB975" s="229"/>
    </row>
    <row r="976" ht="15.75" customHeight="1">
      <c r="A976" s="276"/>
      <c r="B976" s="101"/>
      <c r="C976" s="98"/>
      <c r="D976" s="100"/>
      <c r="E976" s="98"/>
      <c r="F976" s="99"/>
      <c r="G976" s="101"/>
      <c r="H976" s="278"/>
      <c r="I976" s="101"/>
      <c r="J976" s="101"/>
      <c r="K976" s="101"/>
      <c r="L976" s="102"/>
      <c r="M976" s="102"/>
      <c r="N976" s="101"/>
      <c r="O976" s="279"/>
      <c r="P976" s="279"/>
      <c r="Q976" s="229"/>
      <c r="R976" s="229"/>
      <c r="S976" s="229"/>
      <c r="T976" s="229"/>
      <c r="U976" s="229"/>
      <c r="V976" s="229"/>
      <c r="W976" s="229"/>
      <c r="X976" s="229"/>
      <c r="Y976" s="229"/>
      <c r="Z976" s="229"/>
      <c r="AA976" s="229"/>
      <c r="AB976" s="229"/>
    </row>
    <row r="977" ht="15.75" customHeight="1">
      <c r="A977" s="276"/>
      <c r="B977" s="101"/>
      <c r="C977" s="98"/>
      <c r="D977" s="100"/>
      <c r="E977" s="98"/>
      <c r="F977" s="99"/>
      <c r="G977" s="101"/>
      <c r="H977" s="278"/>
      <c r="I977" s="101"/>
      <c r="J977" s="101"/>
      <c r="K977" s="101"/>
      <c r="L977" s="102"/>
      <c r="M977" s="102"/>
      <c r="N977" s="101"/>
      <c r="O977" s="279"/>
      <c r="P977" s="279"/>
      <c r="Q977" s="229"/>
      <c r="R977" s="229"/>
      <c r="S977" s="229"/>
      <c r="T977" s="229"/>
      <c r="U977" s="229"/>
      <c r="V977" s="229"/>
      <c r="W977" s="229"/>
      <c r="X977" s="229"/>
      <c r="Y977" s="229"/>
      <c r="Z977" s="229"/>
      <c r="AA977" s="229"/>
      <c r="AB977" s="229"/>
    </row>
    <row r="978" ht="15.75" customHeight="1">
      <c r="A978" s="276"/>
      <c r="B978" s="101"/>
      <c r="C978" s="98"/>
      <c r="D978" s="100"/>
      <c r="E978" s="98"/>
      <c r="F978" s="99"/>
      <c r="G978" s="101"/>
      <c r="H978" s="278"/>
      <c r="I978" s="101"/>
      <c r="J978" s="101"/>
      <c r="K978" s="101"/>
      <c r="L978" s="102"/>
      <c r="M978" s="102"/>
      <c r="N978" s="101"/>
      <c r="O978" s="279"/>
      <c r="P978" s="279"/>
      <c r="Q978" s="229"/>
      <c r="R978" s="229"/>
      <c r="S978" s="229"/>
      <c r="T978" s="229"/>
      <c r="U978" s="229"/>
      <c r="V978" s="229"/>
      <c r="W978" s="229"/>
      <c r="X978" s="229"/>
      <c r="Y978" s="229"/>
      <c r="Z978" s="229"/>
      <c r="AA978" s="229"/>
      <c r="AB978" s="229"/>
    </row>
    <row r="979" ht="15.75" customHeight="1">
      <c r="A979" s="276"/>
      <c r="B979" s="101"/>
      <c r="C979" s="98"/>
      <c r="D979" s="100"/>
      <c r="E979" s="98"/>
      <c r="F979" s="99"/>
      <c r="G979" s="101"/>
      <c r="H979" s="278"/>
      <c r="I979" s="101"/>
      <c r="J979" s="101"/>
      <c r="K979" s="101"/>
      <c r="L979" s="102"/>
      <c r="M979" s="102"/>
      <c r="N979" s="101"/>
      <c r="O979" s="279"/>
      <c r="P979" s="279"/>
      <c r="Q979" s="229"/>
      <c r="R979" s="229"/>
      <c r="S979" s="229"/>
      <c r="T979" s="229"/>
      <c r="U979" s="229"/>
      <c r="V979" s="229"/>
      <c r="W979" s="229"/>
      <c r="X979" s="229"/>
      <c r="Y979" s="229"/>
      <c r="Z979" s="229"/>
      <c r="AA979" s="229"/>
      <c r="AB979" s="229"/>
    </row>
    <row r="980" ht="15.75" customHeight="1">
      <c r="A980" s="276"/>
      <c r="B980" s="101"/>
      <c r="C980" s="98"/>
      <c r="D980" s="100"/>
      <c r="E980" s="98"/>
      <c r="F980" s="99"/>
      <c r="G980" s="101"/>
      <c r="H980" s="278"/>
      <c r="I980" s="101"/>
      <c r="J980" s="101"/>
      <c r="K980" s="101"/>
      <c r="L980" s="102"/>
      <c r="M980" s="102"/>
      <c r="N980" s="101"/>
      <c r="O980" s="279"/>
      <c r="P980" s="279"/>
      <c r="Q980" s="229"/>
      <c r="R980" s="229"/>
      <c r="S980" s="229"/>
      <c r="T980" s="229"/>
      <c r="U980" s="229"/>
      <c r="V980" s="229"/>
      <c r="W980" s="229"/>
      <c r="X980" s="229"/>
      <c r="Y980" s="229"/>
      <c r="Z980" s="229"/>
      <c r="AA980" s="229"/>
      <c r="AB980" s="229"/>
    </row>
    <row r="981" ht="15.75" customHeight="1">
      <c r="A981" s="276"/>
      <c r="B981" s="101"/>
      <c r="C981" s="98"/>
      <c r="D981" s="100"/>
      <c r="E981" s="98"/>
      <c r="F981" s="99"/>
      <c r="G981" s="101"/>
      <c r="H981" s="278"/>
      <c r="I981" s="101"/>
      <c r="J981" s="101"/>
      <c r="K981" s="101"/>
      <c r="L981" s="102"/>
      <c r="M981" s="102"/>
      <c r="N981" s="101"/>
      <c r="O981" s="279"/>
      <c r="P981" s="279"/>
      <c r="Q981" s="229"/>
      <c r="R981" s="229"/>
      <c r="S981" s="229"/>
      <c r="T981" s="229"/>
      <c r="U981" s="229"/>
      <c r="V981" s="229"/>
      <c r="W981" s="229"/>
      <c r="X981" s="229"/>
      <c r="Y981" s="229"/>
      <c r="Z981" s="229"/>
      <c r="AA981" s="229"/>
      <c r="AB981" s="229"/>
    </row>
    <row r="982" ht="15.75" customHeight="1">
      <c r="A982" s="276"/>
      <c r="B982" s="101"/>
      <c r="C982" s="98"/>
      <c r="D982" s="100"/>
      <c r="E982" s="98"/>
      <c r="F982" s="99"/>
      <c r="G982" s="101"/>
      <c r="H982" s="278"/>
      <c r="I982" s="101"/>
      <c r="J982" s="101"/>
      <c r="K982" s="101"/>
      <c r="L982" s="102"/>
      <c r="M982" s="102"/>
      <c r="N982" s="101"/>
      <c r="O982" s="279"/>
      <c r="P982" s="279"/>
      <c r="Q982" s="229"/>
      <c r="R982" s="229"/>
      <c r="S982" s="229"/>
      <c r="T982" s="229"/>
      <c r="U982" s="229"/>
      <c r="V982" s="229"/>
      <c r="W982" s="229"/>
      <c r="X982" s="229"/>
      <c r="Y982" s="229"/>
      <c r="Z982" s="229"/>
      <c r="AA982" s="229"/>
      <c r="AB982" s="229"/>
    </row>
    <row r="983" ht="15.75" customHeight="1">
      <c r="A983" s="276"/>
      <c r="B983" s="101"/>
      <c r="C983" s="98"/>
      <c r="D983" s="100"/>
      <c r="E983" s="98"/>
      <c r="F983" s="99"/>
      <c r="G983" s="101"/>
      <c r="H983" s="278"/>
      <c r="I983" s="101"/>
      <c r="J983" s="101"/>
      <c r="K983" s="101"/>
      <c r="L983" s="102"/>
      <c r="M983" s="102"/>
      <c r="N983" s="101"/>
      <c r="O983" s="279"/>
      <c r="P983" s="279"/>
      <c r="Q983" s="229"/>
      <c r="R983" s="229"/>
      <c r="S983" s="229"/>
      <c r="T983" s="229"/>
      <c r="U983" s="229"/>
      <c r="V983" s="229"/>
      <c r="W983" s="229"/>
      <c r="X983" s="229"/>
      <c r="Y983" s="229"/>
      <c r="Z983" s="229"/>
      <c r="AA983" s="229"/>
      <c r="AB983" s="229"/>
    </row>
  </sheetData>
  <autoFilter ref="$A$1:$Q$60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1.67"/>
    <col customWidth="1" min="2" max="2" width="9.44"/>
    <col customWidth="1" min="3" max="3" width="9.89"/>
    <col customWidth="1" min="4" max="4" width="8.67"/>
    <col customWidth="1" min="5" max="5" width="10.11"/>
    <col customWidth="1" min="6" max="6" width="8.78"/>
    <col customWidth="1" min="7" max="7" width="8.0"/>
    <col customWidth="1" min="8" max="8" width="10.44"/>
    <col customWidth="1" min="9" max="10" width="7.11"/>
    <col customWidth="1" min="11" max="11" width="7.78"/>
    <col customWidth="1" min="12" max="12" width="8.78"/>
    <col customWidth="1" min="13" max="16" width="7.78"/>
    <col customWidth="1" min="17" max="17" width="7.11"/>
    <col customWidth="1" min="18" max="18" width="0.33"/>
    <col customWidth="1" min="19" max="19" width="6.33"/>
    <col customWidth="1" min="20" max="20" width="51.0"/>
    <col customWidth="1" min="21" max="27" width="10.44"/>
  </cols>
  <sheetData>
    <row r="1" ht="30.75" customHeight="1">
      <c r="A1" s="284" t="s">
        <v>0</v>
      </c>
      <c r="B1" s="285" t="s">
        <v>385</v>
      </c>
      <c r="C1" s="286" t="s">
        <v>386</v>
      </c>
      <c r="D1" s="284" t="s">
        <v>387</v>
      </c>
      <c r="E1" s="286" t="s">
        <v>388</v>
      </c>
      <c r="F1" s="287" t="s">
        <v>389</v>
      </c>
      <c r="G1" s="285" t="s">
        <v>390</v>
      </c>
      <c r="H1" s="286" t="s">
        <v>391</v>
      </c>
      <c r="I1" s="287" t="s">
        <v>392</v>
      </c>
      <c r="J1" s="284" t="s">
        <v>393</v>
      </c>
      <c r="K1" s="288" t="s">
        <v>394</v>
      </c>
      <c r="L1" s="288" t="s">
        <v>395</v>
      </c>
      <c r="M1" s="288" t="s">
        <v>396</v>
      </c>
      <c r="N1" s="288" t="s">
        <v>397</v>
      </c>
      <c r="O1" s="288" t="s">
        <v>398</v>
      </c>
      <c r="P1" s="288" t="s">
        <v>399</v>
      </c>
      <c r="Q1" s="287" t="s">
        <v>400</v>
      </c>
      <c r="R1" s="289" t="s">
        <v>7</v>
      </c>
      <c r="S1" s="284" t="s">
        <v>8</v>
      </c>
      <c r="T1" s="284" t="s">
        <v>9</v>
      </c>
      <c r="U1" s="290"/>
      <c r="V1" s="290"/>
      <c r="W1" s="290"/>
      <c r="X1" s="290"/>
      <c r="Y1" s="290"/>
      <c r="Z1" s="290"/>
      <c r="AA1" s="290"/>
    </row>
    <row r="2" ht="31.5" customHeight="1">
      <c r="A2" s="65" t="s">
        <v>401</v>
      </c>
      <c r="B2" s="291" t="s">
        <v>74</v>
      </c>
      <c r="C2" s="292" t="s">
        <v>74</v>
      </c>
      <c r="D2" s="291" t="s">
        <v>74</v>
      </c>
      <c r="E2" s="292" t="s">
        <v>74</v>
      </c>
      <c r="F2" s="291" t="s">
        <v>74</v>
      </c>
      <c r="G2" s="293">
        <v>45471.0</v>
      </c>
      <c r="H2" s="292" t="s">
        <v>74</v>
      </c>
      <c r="I2" s="291" t="s">
        <v>74</v>
      </c>
      <c r="J2" s="294">
        <v>1.0</v>
      </c>
      <c r="K2" s="295">
        <v>0.021</v>
      </c>
      <c r="L2" s="295">
        <v>0.021</v>
      </c>
      <c r="M2" s="295">
        <v>0.002</v>
      </c>
      <c r="N2" s="295">
        <v>0.012</v>
      </c>
      <c r="O2" s="295">
        <v>0.012</v>
      </c>
      <c r="P2" s="295">
        <v>0.002</v>
      </c>
      <c r="Q2" s="51">
        <f>((26.7*((K2-M2)-(O2-P2))*1000))</f>
        <v>240.3</v>
      </c>
      <c r="R2" s="296" t="s">
        <v>12</v>
      </c>
      <c r="S2" s="297" t="s">
        <v>13</v>
      </c>
      <c r="T2" s="294"/>
      <c r="U2" s="298"/>
      <c r="V2" s="298"/>
      <c r="W2" s="298"/>
      <c r="X2" s="298"/>
      <c r="Y2" s="298"/>
      <c r="Z2" s="298"/>
      <c r="AA2" s="298"/>
    </row>
    <row r="3" ht="15.75" customHeight="1">
      <c r="A3" s="299" t="s">
        <v>402</v>
      </c>
      <c r="B3" s="72">
        <v>45461.0</v>
      </c>
      <c r="C3" s="73">
        <v>0.3229166666666667</v>
      </c>
      <c r="D3" s="72">
        <v>45461.0</v>
      </c>
      <c r="E3" s="300" t="s">
        <v>403</v>
      </c>
      <c r="F3" s="301">
        <v>1058.0</v>
      </c>
      <c r="G3" s="293">
        <v>45471.0</v>
      </c>
      <c r="H3" s="300">
        <v>0.4395833333333333</v>
      </c>
      <c r="I3" s="301">
        <v>7.0</v>
      </c>
      <c r="J3" s="294">
        <v>1.0</v>
      </c>
      <c r="K3" s="302">
        <v>0.009</v>
      </c>
      <c r="L3" s="302">
        <v>0.008</v>
      </c>
      <c r="M3" s="302">
        <v>0.006</v>
      </c>
      <c r="N3" s="302">
        <v>0.005</v>
      </c>
      <c r="O3" s="302">
        <v>0.005</v>
      </c>
      <c r="P3" s="302">
        <v>0.004</v>
      </c>
      <c r="Q3" s="303">
        <f t="shared" ref="Q3:Q28" si="1">((26.7*((K3-M3)-(O3-P3))*I3)/(F3*J3))*1000</f>
        <v>0.3533081285</v>
      </c>
      <c r="R3" s="289"/>
      <c r="S3" s="304" t="s">
        <v>13</v>
      </c>
      <c r="T3" s="305"/>
      <c r="U3" s="97"/>
      <c r="V3" s="97"/>
      <c r="W3" s="97"/>
      <c r="X3" s="97"/>
      <c r="Y3" s="97"/>
      <c r="Z3" s="97"/>
      <c r="AA3" s="97"/>
    </row>
    <row r="4" ht="15.75" customHeight="1">
      <c r="A4" s="70" t="s">
        <v>404</v>
      </c>
      <c r="B4" s="72">
        <v>45461.0</v>
      </c>
      <c r="C4" s="73">
        <v>0.3402777777777778</v>
      </c>
      <c r="D4" s="72">
        <v>45461.0</v>
      </c>
      <c r="E4" s="300">
        <v>0.675</v>
      </c>
      <c r="F4" s="301">
        <v>1045.0</v>
      </c>
      <c r="G4" s="293">
        <v>45471.0</v>
      </c>
      <c r="H4" s="300">
        <v>0.4354166666666667</v>
      </c>
      <c r="I4" s="301">
        <v>6.2</v>
      </c>
      <c r="J4" s="294">
        <v>1.0</v>
      </c>
      <c r="K4" s="302">
        <v>0.018</v>
      </c>
      <c r="L4" s="302">
        <v>0.018</v>
      </c>
      <c r="M4" s="302">
        <v>0.016</v>
      </c>
      <c r="N4" s="302">
        <v>0.015</v>
      </c>
      <c r="O4" s="302">
        <v>0.015</v>
      </c>
      <c r="P4" s="302">
        <v>0.014</v>
      </c>
      <c r="Q4" s="303">
        <f t="shared" si="1"/>
        <v>0.1584114833</v>
      </c>
      <c r="R4" s="289"/>
      <c r="S4" s="304"/>
      <c r="T4" s="305"/>
      <c r="U4" s="97"/>
      <c r="V4" s="97"/>
      <c r="W4" s="97"/>
      <c r="X4" s="97"/>
      <c r="Y4" s="97"/>
      <c r="Z4" s="97"/>
      <c r="AA4" s="97"/>
    </row>
    <row r="5" ht="15.75" customHeight="1">
      <c r="A5" s="70" t="s">
        <v>405</v>
      </c>
      <c r="B5" s="72">
        <v>45461.0</v>
      </c>
      <c r="C5" s="73">
        <v>0.3680555555555556</v>
      </c>
      <c r="D5" s="72">
        <v>45461.0</v>
      </c>
      <c r="E5" s="300">
        <v>0.6819444444444445</v>
      </c>
      <c r="F5" s="301">
        <v>1054.0</v>
      </c>
      <c r="G5" s="293">
        <v>45471.0</v>
      </c>
      <c r="H5" s="300">
        <v>0.4152777777777778</v>
      </c>
      <c r="I5" s="301">
        <v>7.5</v>
      </c>
      <c r="J5" s="294">
        <v>1.0</v>
      </c>
      <c r="K5" s="306">
        <v>0.008</v>
      </c>
      <c r="L5" s="306">
        <v>0.008</v>
      </c>
      <c r="M5" s="306">
        <v>0.006</v>
      </c>
      <c r="N5" s="302">
        <v>0.007</v>
      </c>
      <c r="O5" s="302">
        <v>0.007</v>
      </c>
      <c r="P5" s="302">
        <v>0.006</v>
      </c>
      <c r="Q5" s="303">
        <f t="shared" si="1"/>
        <v>0.1899905123</v>
      </c>
      <c r="R5" s="289"/>
      <c r="S5" s="304"/>
      <c r="T5" s="305"/>
      <c r="U5" s="97"/>
      <c r="V5" s="97"/>
      <c r="W5" s="97"/>
      <c r="X5" s="97"/>
      <c r="Y5" s="97"/>
      <c r="Z5" s="97"/>
      <c r="AA5" s="97"/>
    </row>
    <row r="6" ht="15.75" customHeight="1">
      <c r="A6" s="70" t="s">
        <v>406</v>
      </c>
      <c r="B6" s="72">
        <v>45461.0</v>
      </c>
      <c r="C6" s="73">
        <v>0.40902777777777777</v>
      </c>
      <c r="D6" s="72">
        <v>45461.0</v>
      </c>
      <c r="E6" s="300">
        <v>0.6430555555555556</v>
      </c>
      <c r="F6" s="301">
        <v>1052.0</v>
      </c>
      <c r="G6" s="293">
        <v>45471.0</v>
      </c>
      <c r="H6" s="300">
        <v>0.4486111111111111</v>
      </c>
      <c r="I6" s="301">
        <v>7.5</v>
      </c>
      <c r="J6" s="294">
        <v>1.0</v>
      </c>
      <c r="K6" s="302">
        <v>0.02</v>
      </c>
      <c r="L6" s="302">
        <v>0.019</v>
      </c>
      <c r="M6" s="302">
        <v>0.006</v>
      </c>
      <c r="N6" s="302">
        <v>0.012</v>
      </c>
      <c r="O6" s="302">
        <v>0.012</v>
      </c>
      <c r="P6" s="302">
        <v>0.004</v>
      </c>
      <c r="Q6" s="303">
        <f t="shared" si="1"/>
        <v>1.142110266</v>
      </c>
      <c r="R6" s="289"/>
      <c r="S6" s="304"/>
      <c r="T6" s="305"/>
      <c r="U6" s="307"/>
      <c r="V6" s="97"/>
      <c r="W6" s="97"/>
      <c r="X6" s="97"/>
      <c r="Y6" s="97"/>
      <c r="Z6" s="97"/>
      <c r="AA6" s="97"/>
    </row>
    <row r="7" ht="15.75" customHeight="1">
      <c r="A7" s="70" t="s">
        <v>407</v>
      </c>
      <c r="B7" s="72">
        <v>45461.0</v>
      </c>
      <c r="C7" s="73">
        <v>0.4270833333333333</v>
      </c>
      <c r="D7" s="72">
        <v>45461.0</v>
      </c>
      <c r="E7" s="300">
        <v>0.6923611111111111</v>
      </c>
      <c r="F7" s="301">
        <v>1066.0</v>
      </c>
      <c r="G7" s="293">
        <v>45471.0</v>
      </c>
      <c r="H7" s="300">
        <v>0.41944444444444445</v>
      </c>
      <c r="I7" s="301">
        <v>7.5</v>
      </c>
      <c r="J7" s="294">
        <v>1.0</v>
      </c>
      <c r="K7" s="302">
        <v>0.009</v>
      </c>
      <c r="L7" s="306">
        <v>0.008</v>
      </c>
      <c r="M7" s="302">
        <v>0.003</v>
      </c>
      <c r="N7" s="306">
        <v>0.005</v>
      </c>
      <c r="O7" s="306">
        <v>0.006</v>
      </c>
      <c r="P7" s="302">
        <v>0.002</v>
      </c>
      <c r="Q7" s="303">
        <f t="shared" si="1"/>
        <v>0.3757035647</v>
      </c>
      <c r="R7" s="289"/>
      <c r="S7" s="304"/>
      <c r="T7" s="308"/>
      <c r="U7" s="307"/>
      <c r="V7" s="307"/>
      <c r="W7" s="307"/>
      <c r="X7" s="307"/>
      <c r="Y7" s="307"/>
      <c r="Z7" s="307"/>
      <c r="AA7" s="307"/>
    </row>
    <row r="8" ht="15.75" customHeight="1">
      <c r="A8" s="70" t="s">
        <v>408</v>
      </c>
      <c r="B8" s="72">
        <v>45461.0</v>
      </c>
      <c r="C8" s="73">
        <v>0.44305555555555554</v>
      </c>
      <c r="D8" s="72">
        <v>45461.0</v>
      </c>
      <c r="E8" s="300">
        <v>0.6666666666666666</v>
      </c>
      <c r="F8" s="301">
        <v>1062.0</v>
      </c>
      <c r="G8" s="293">
        <v>45471.0</v>
      </c>
      <c r="H8" s="300">
        <v>0.42986111111111114</v>
      </c>
      <c r="I8" s="301">
        <v>6.5</v>
      </c>
      <c r="J8" s="294">
        <v>1.0</v>
      </c>
      <c r="K8" s="306">
        <v>0.006</v>
      </c>
      <c r="L8" s="306">
        <v>0.006</v>
      </c>
      <c r="M8" s="302">
        <v>0.001</v>
      </c>
      <c r="N8" s="306">
        <v>0.004</v>
      </c>
      <c r="O8" s="306">
        <v>0.004</v>
      </c>
      <c r="P8" s="302">
        <v>0.001</v>
      </c>
      <c r="Q8" s="303">
        <f t="shared" si="1"/>
        <v>0.3268361582</v>
      </c>
      <c r="R8" s="289"/>
      <c r="S8" s="304"/>
      <c r="T8" s="309"/>
      <c r="U8" s="310"/>
      <c r="V8" s="97"/>
      <c r="W8" s="97"/>
      <c r="X8" s="97"/>
      <c r="Y8" s="97"/>
      <c r="Z8" s="97"/>
      <c r="AA8" s="97"/>
    </row>
    <row r="9" ht="15.75" customHeight="1">
      <c r="A9" s="70" t="s">
        <v>409</v>
      </c>
      <c r="B9" s="72">
        <v>45461.0</v>
      </c>
      <c r="C9" s="73">
        <v>0.4722222222222222</v>
      </c>
      <c r="D9" s="72">
        <v>45461.0</v>
      </c>
      <c r="E9" s="300">
        <v>0.6493055555555556</v>
      </c>
      <c r="F9" s="301">
        <v>1048.0</v>
      </c>
      <c r="G9" s="293">
        <v>45471.0</v>
      </c>
      <c r="H9" s="300">
        <v>0.42569444444444443</v>
      </c>
      <c r="I9" s="301">
        <v>6.8</v>
      </c>
      <c r="J9" s="294">
        <v>1.0</v>
      </c>
      <c r="K9" s="302">
        <v>0.018</v>
      </c>
      <c r="L9" s="302">
        <v>0.018</v>
      </c>
      <c r="M9" s="302">
        <v>0.011</v>
      </c>
      <c r="N9" s="302">
        <v>0.01</v>
      </c>
      <c r="O9" s="302">
        <v>0.01</v>
      </c>
      <c r="P9" s="302">
        <v>0.006</v>
      </c>
      <c r="Q9" s="303">
        <f t="shared" si="1"/>
        <v>0.5197328244</v>
      </c>
      <c r="R9" s="289"/>
      <c r="S9" s="304"/>
      <c r="T9" s="309"/>
      <c r="U9" s="310"/>
      <c r="V9" s="97"/>
      <c r="W9" s="97"/>
      <c r="X9" s="97"/>
      <c r="Y9" s="97"/>
      <c r="Z9" s="97"/>
      <c r="AA9" s="97"/>
    </row>
    <row r="10" ht="18.75" customHeight="1">
      <c r="A10" s="70" t="s">
        <v>410</v>
      </c>
      <c r="B10" s="72">
        <v>45461.0</v>
      </c>
      <c r="C10" s="73">
        <v>0.48819444444444443</v>
      </c>
      <c r="D10" s="72">
        <v>45461.0</v>
      </c>
      <c r="E10" s="300">
        <v>0.6569444444444444</v>
      </c>
      <c r="F10" s="311">
        <v>1063.0</v>
      </c>
      <c r="G10" s="293">
        <v>45471.0</v>
      </c>
      <c r="H10" s="300">
        <v>0.44375</v>
      </c>
      <c r="I10" s="311">
        <v>6.5</v>
      </c>
      <c r="J10" s="294">
        <v>1.0</v>
      </c>
      <c r="K10" s="302">
        <v>0.011</v>
      </c>
      <c r="L10" s="302">
        <v>0.01</v>
      </c>
      <c r="M10" s="302">
        <v>0.005</v>
      </c>
      <c r="N10" s="302">
        <v>0.007</v>
      </c>
      <c r="O10" s="302">
        <v>0.006</v>
      </c>
      <c r="P10" s="302">
        <v>0.003</v>
      </c>
      <c r="Q10" s="303">
        <f t="shared" si="1"/>
        <v>0.4897930386</v>
      </c>
      <c r="R10" s="294"/>
      <c r="S10" s="304"/>
      <c r="T10" s="308"/>
      <c r="U10" s="308"/>
      <c r="V10" s="229"/>
      <c r="W10" s="229"/>
      <c r="X10" s="229"/>
      <c r="Y10" s="229"/>
      <c r="Z10" s="229"/>
      <c r="AA10" s="229"/>
    </row>
    <row r="11" ht="15.75" customHeight="1">
      <c r="A11" s="70" t="s">
        <v>411</v>
      </c>
      <c r="B11" s="72">
        <v>45464.0</v>
      </c>
      <c r="C11" s="312">
        <v>0.41944444444444445</v>
      </c>
      <c r="D11" s="72">
        <v>45464.0</v>
      </c>
      <c r="E11" s="300">
        <v>0.5645833333333333</v>
      </c>
      <c r="F11" s="301">
        <v>1050.0</v>
      </c>
      <c r="G11" s="293">
        <v>45471.0</v>
      </c>
      <c r="H11" s="300">
        <v>0.4534722222222222</v>
      </c>
      <c r="I11" s="301">
        <v>8.0</v>
      </c>
      <c r="J11" s="294">
        <v>1.0</v>
      </c>
      <c r="K11" s="306">
        <v>0.007</v>
      </c>
      <c r="L11" s="306">
        <v>0.007</v>
      </c>
      <c r="M11" s="306">
        <v>0.002</v>
      </c>
      <c r="N11" s="302">
        <v>0.005</v>
      </c>
      <c r="O11" s="302">
        <v>0.005</v>
      </c>
      <c r="P11" s="302">
        <v>0.002</v>
      </c>
      <c r="Q11" s="303">
        <f t="shared" si="1"/>
        <v>0.4068571429</v>
      </c>
      <c r="R11" s="289"/>
      <c r="S11" s="304"/>
      <c r="T11" s="305"/>
      <c r="U11" s="97"/>
      <c r="V11" s="97"/>
      <c r="W11" s="97"/>
      <c r="X11" s="97"/>
      <c r="Y11" s="97"/>
      <c r="Z11" s="97"/>
      <c r="AA11" s="97"/>
    </row>
    <row r="12" ht="15.75" customHeight="1">
      <c r="A12" s="70" t="s">
        <v>412</v>
      </c>
      <c r="B12" s="72">
        <v>45464.0</v>
      </c>
      <c r="C12" s="73">
        <v>0.34652777777777777</v>
      </c>
      <c r="D12" s="72">
        <v>45464.0</v>
      </c>
      <c r="E12" s="300">
        <v>0.5576388888888889</v>
      </c>
      <c r="F12" s="301">
        <v>1040.0</v>
      </c>
      <c r="G12" s="293">
        <v>45471.0</v>
      </c>
      <c r="H12" s="300">
        <v>0.45625</v>
      </c>
      <c r="I12" s="301">
        <v>8.0</v>
      </c>
      <c r="J12" s="294">
        <v>1.0</v>
      </c>
      <c r="K12" s="302">
        <v>0.004</v>
      </c>
      <c r="L12" s="302">
        <v>0.004</v>
      </c>
      <c r="M12" s="302">
        <v>0.001</v>
      </c>
      <c r="N12" s="302">
        <v>0.002</v>
      </c>
      <c r="O12" s="302">
        <v>0.002</v>
      </c>
      <c r="P12" s="302">
        <v>0.001</v>
      </c>
      <c r="Q12" s="303">
        <f t="shared" si="1"/>
        <v>0.4107692308</v>
      </c>
      <c r="R12" s="289"/>
      <c r="S12" s="304"/>
      <c r="T12" s="305"/>
      <c r="U12" s="97"/>
      <c r="V12" s="97"/>
      <c r="W12" s="97"/>
      <c r="X12" s="97"/>
      <c r="Y12" s="97"/>
      <c r="Z12" s="97"/>
      <c r="AA12" s="97"/>
    </row>
    <row r="13" ht="15.75" customHeight="1">
      <c r="A13" s="70" t="s">
        <v>413</v>
      </c>
      <c r="B13" s="72">
        <v>45464.0</v>
      </c>
      <c r="C13" s="73">
        <v>0.3638888888888889</v>
      </c>
      <c r="D13" s="72">
        <v>45464.0</v>
      </c>
      <c r="E13" s="300">
        <v>0.5611111111111111</v>
      </c>
      <c r="F13" s="301">
        <v>1052.0</v>
      </c>
      <c r="G13" s="293">
        <v>45471.0</v>
      </c>
      <c r="H13" s="300">
        <v>0.45902777777777776</v>
      </c>
      <c r="I13" s="301">
        <v>7.0</v>
      </c>
      <c r="J13" s="294">
        <v>1.0</v>
      </c>
      <c r="K13" s="302">
        <v>0.004</v>
      </c>
      <c r="L13" s="302">
        <v>0.003</v>
      </c>
      <c r="M13" s="302">
        <v>0.001</v>
      </c>
      <c r="N13" s="302">
        <v>0.002</v>
      </c>
      <c r="O13" s="302">
        <v>0.002</v>
      </c>
      <c r="P13" s="302">
        <v>0.001</v>
      </c>
      <c r="Q13" s="303">
        <f t="shared" si="1"/>
        <v>0.3553231939</v>
      </c>
      <c r="R13" s="289"/>
      <c r="S13" s="304"/>
      <c r="T13" s="305"/>
      <c r="U13" s="97"/>
      <c r="V13" s="97"/>
      <c r="W13" s="97"/>
      <c r="X13" s="97"/>
      <c r="Y13" s="97"/>
      <c r="Z13" s="97"/>
      <c r="AA13" s="97"/>
    </row>
    <row r="14" ht="15.75" customHeight="1">
      <c r="A14" s="70" t="s">
        <v>414</v>
      </c>
      <c r="B14" s="72">
        <v>45464.0</v>
      </c>
      <c r="C14" s="73">
        <v>0.4361111111111111</v>
      </c>
      <c r="D14" s="72">
        <v>45464.0</v>
      </c>
      <c r="E14" s="300">
        <v>0.5673611111111111</v>
      </c>
      <c r="F14" s="301">
        <v>1050.0</v>
      </c>
      <c r="G14" s="293">
        <v>45471.0</v>
      </c>
      <c r="H14" s="300">
        <v>0.4618055555555556</v>
      </c>
      <c r="I14" s="301">
        <v>7.2</v>
      </c>
      <c r="J14" s="294">
        <v>1.0</v>
      </c>
      <c r="K14" s="302">
        <v>0.004</v>
      </c>
      <c r="L14" s="302">
        <v>0.004</v>
      </c>
      <c r="M14" s="302">
        <v>0.002</v>
      </c>
      <c r="N14" s="302">
        <v>0.003</v>
      </c>
      <c r="O14" s="302">
        <v>0.002</v>
      </c>
      <c r="P14" s="302">
        <v>0.002</v>
      </c>
      <c r="Q14" s="303">
        <f t="shared" si="1"/>
        <v>0.3661714286</v>
      </c>
      <c r="R14" s="289"/>
      <c r="S14" s="304"/>
      <c r="T14" s="305"/>
      <c r="U14" s="97"/>
      <c r="V14" s="97"/>
      <c r="W14" s="97"/>
      <c r="X14" s="97"/>
      <c r="Y14" s="97"/>
      <c r="Z14" s="97"/>
      <c r="AA14" s="97"/>
    </row>
    <row r="15" ht="15.75" customHeight="1">
      <c r="A15" s="70" t="s">
        <v>415</v>
      </c>
      <c r="B15" s="72">
        <v>45464.0</v>
      </c>
      <c r="C15" s="73">
        <v>0.3055555555555556</v>
      </c>
      <c r="D15" s="72">
        <v>45464.0</v>
      </c>
      <c r="E15" s="300">
        <v>0.5527777777777778</v>
      </c>
      <c r="F15" s="301">
        <v>1060.0</v>
      </c>
      <c r="G15" s="293">
        <v>45471.0</v>
      </c>
      <c r="H15" s="300">
        <v>0.4638888888888889</v>
      </c>
      <c r="I15" s="301">
        <v>6.5</v>
      </c>
      <c r="J15" s="294">
        <v>1.0</v>
      </c>
      <c r="K15" s="302">
        <v>0.006</v>
      </c>
      <c r="L15" s="302">
        <v>0.005</v>
      </c>
      <c r="M15" s="302">
        <v>0.003</v>
      </c>
      <c r="N15" s="302">
        <v>0.004</v>
      </c>
      <c r="O15" s="302">
        <v>0.004</v>
      </c>
      <c r="P15" s="302">
        <v>0.003</v>
      </c>
      <c r="Q15" s="303">
        <f t="shared" si="1"/>
        <v>0.3274528302</v>
      </c>
      <c r="R15" s="289"/>
      <c r="S15" s="304"/>
      <c r="T15" s="313" t="s">
        <v>416</v>
      </c>
      <c r="U15" s="97"/>
      <c r="V15" s="97"/>
      <c r="W15" s="97"/>
      <c r="X15" s="97"/>
      <c r="Y15" s="97"/>
      <c r="Z15" s="97"/>
      <c r="AA15" s="97"/>
    </row>
    <row r="16" ht="15.75" customHeight="1">
      <c r="A16" s="70" t="s">
        <v>417</v>
      </c>
      <c r="B16" s="72">
        <v>45468.0</v>
      </c>
      <c r="C16" s="312">
        <v>0.2833333333333333</v>
      </c>
      <c r="D16" s="8">
        <v>45468.0</v>
      </c>
      <c r="E16" s="300">
        <v>0.5625</v>
      </c>
      <c r="F16" s="301">
        <v>1060.0</v>
      </c>
      <c r="G16" s="293">
        <v>45471.0</v>
      </c>
      <c r="H16" s="300">
        <v>0.49375</v>
      </c>
      <c r="I16" s="301">
        <v>6.2</v>
      </c>
      <c r="J16" s="294">
        <v>1.0</v>
      </c>
      <c r="K16" s="302">
        <v>0.006</v>
      </c>
      <c r="L16" s="302">
        <v>0.005</v>
      </c>
      <c r="M16" s="302">
        <v>0.002</v>
      </c>
      <c r="N16" s="302">
        <v>0.004</v>
      </c>
      <c r="O16" s="302">
        <v>0.004</v>
      </c>
      <c r="P16" s="302">
        <v>0.002</v>
      </c>
      <c r="Q16" s="303">
        <f t="shared" si="1"/>
        <v>0.3123396226</v>
      </c>
      <c r="R16" s="289"/>
      <c r="S16" s="304"/>
      <c r="T16" s="305"/>
      <c r="U16" s="97"/>
      <c r="V16" s="97"/>
      <c r="W16" s="97"/>
      <c r="X16" s="97"/>
      <c r="Y16" s="97"/>
      <c r="Z16" s="97"/>
      <c r="AA16" s="97"/>
    </row>
    <row r="17" ht="15.75" customHeight="1">
      <c r="A17" s="70" t="s">
        <v>418</v>
      </c>
      <c r="B17" s="72">
        <v>45468.0</v>
      </c>
      <c r="C17" s="73">
        <v>0.30833333333333335</v>
      </c>
      <c r="D17" s="8">
        <v>45468.0</v>
      </c>
      <c r="E17" s="300">
        <v>0.09166666666666666</v>
      </c>
      <c r="F17" s="301">
        <v>1050.0</v>
      </c>
      <c r="G17" s="293">
        <v>45471.0</v>
      </c>
      <c r="H17" s="300">
        <v>0.48194444444444445</v>
      </c>
      <c r="I17" s="311">
        <v>5.8</v>
      </c>
      <c r="J17" s="294">
        <v>1.0</v>
      </c>
      <c r="K17" s="302">
        <v>0.114</v>
      </c>
      <c r="L17" s="302">
        <v>0.113</v>
      </c>
      <c r="M17" s="302">
        <v>0.101</v>
      </c>
      <c r="N17" s="302">
        <v>0.08</v>
      </c>
      <c r="O17" s="302">
        <v>0.068</v>
      </c>
      <c r="P17" s="302">
        <v>0.056</v>
      </c>
      <c r="Q17" s="303">
        <f t="shared" si="1"/>
        <v>0.1474857143</v>
      </c>
      <c r="R17" s="289"/>
      <c r="S17" s="304"/>
      <c r="T17" s="305"/>
      <c r="U17" s="97"/>
      <c r="V17" s="97"/>
      <c r="W17" s="97"/>
      <c r="X17" s="97"/>
      <c r="Y17" s="97"/>
      <c r="Z17" s="97"/>
      <c r="AA17" s="97"/>
    </row>
    <row r="18" ht="15.75" customHeight="1">
      <c r="A18" s="70" t="s">
        <v>419</v>
      </c>
      <c r="B18" s="72">
        <v>45468.0</v>
      </c>
      <c r="C18" s="73">
        <v>0.3229166666666667</v>
      </c>
      <c r="D18" s="8">
        <v>45468.0</v>
      </c>
      <c r="E18" s="314">
        <v>0.06944444444444445</v>
      </c>
      <c r="F18" s="315">
        <v>1055.0</v>
      </c>
      <c r="G18" s="293">
        <v>45471.0</v>
      </c>
      <c r="H18" s="314">
        <v>0.9875</v>
      </c>
      <c r="I18" s="315">
        <v>5.5</v>
      </c>
      <c r="J18" s="294">
        <v>1.0</v>
      </c>
      <c r="K18" s="302">
        <v>0.013</v>
      </c>
      <c r="L18" s="302">
        <v>0.012</v>
      </c>
      <c r="M18" s="302">
        <v>0.007</v>
      </c>
      <c r="N18" s="302">
        <v>0.01</v>
      </c>
      <c r="O18" s="302">
        <v>0.009</v>
      </c>
      <c r="P18" s="302">
        <v>0.006</v>
      </c>
      <c r="Q18" s="303">
        <f t="shared" si="1"/>
        <v>0.4175829384</v>
      </c>
      <c r="R18" s="289"/>
      <c r="S18" s="304"/>
      <c r="T18" s="316"/>
      <c r="U18" s="97"/>
      <c r="V18" s="97"/>
      <c r="W18" s="97"/>
      <c r="X18" s="97"/>
      <c r="Y18" s="97"/>
      <c r="Z18" s="97"/>
      <c r="AA18" s="97"/>
    </row>
    <row r="19" ht="15.75" customHeight="1">
      <c r="A19" s="70" t="s">
        <v>420</v>
      </c>
      <c r="B19" s="72">
        <v>45468.0</v>
      </c>
      <c r="C19" s="73">
        <v>0.34375</v>
      </c>
      <c r="D19" s="8">
        <v>45468.0</v>
      </c>
      <c r="E19" s="317">
        <v>0.5451388888888888</v>
      </c>
      <c r="F19" s="318">
        <v>1063.0</v>
      </c>
      <c r="G19" s="293">
        <v>45471.0</v>
      </c>
      <c r="H19" s="317">
        <v>0.5020833333333333</v>
      </c>
      <c r="I19" s="318">
        <v>5.5</v>
      </c>
      <c r="J19" s="294">
        <v>1.0</v>
      </c>
      <c r="K19" s="295">
        <v>0.007</v>
      </c>
      <c r="L19" s="295">
        <v>0.006</v>
      </c>
      <c r="M19" s="295">
        <v>0.001</v>
      </c>
      <c r="N19" s="295">
        <v>0.005</v>
      </c>
      <c r="O19" s="295">
        <v>0.004</v>
      </c>
      <c r="P19" s="295">
        <v>0.002</v>
      </c>
      <c r="Q19" s="303">
        <f t="shared" si="1"/>
        <v>0.5525870179</v>
      </c>
      <c r="R19" s="289"/>
      <c r="S19" s="304"/>
      <c r="T19" s="64"/>
      <c r="U19" s="97"/>
      <c r="V19" s="97"/>
      <c r="W19" s="97"/>
      <c r="X19" s="97"/>
      <c r="Y19" s="97"/>
      <c r="Z19" s="97"/>
      <c r="AA19" s="97"/>
    </row>
    <row r="20" ht="15.75" customHeight="1">
      <c r="A20" s="70" t="s">
        <v>421</v>
      </c>
      <c r="B20" s="72">
        <v>45468.0</v>
      </c>
      <c r="C20" s="80">
        <v>0.36736111111111114</v>
      </c>
      <c r="D20" s="8">
        <v>45468.0</v>
      </c>
      <c r="E20" s="300">
        <v>0.5527777777777778</v>
      </c>
      <c r="F20" s="301">
        <v>1060.0</v>
      </c>
      <c r="G20" s="293">
        <v>45471.0</v>
      </c>
      <c r="H20" s="300">
        <v>0.4979166666666667</v>
      </c>
      <c r="I20" s="311">
        <v>5.5</v>
      </c>
      <c r="J20" s="294">
        <v>1.0</v>
      </c>
      <c r="K20" s="302">
        <v>0.011</v>
      </c>
      <c r="L20" s="302">
        <v>0.01</v>
      </c>
      <c r="M20" s="302">
        <v>0.002</v>
      </c>
      <c r="N20" s="319">
        <v>0.007</v>
      </c>
      <c r="O20" s="319">
        <v>0.006</v>
      </c>
      <c r="P20" s="319">
        <v>0.002</v>
      </c>
      <c r="Q20" s="303">
        <f t="shared" si="1"/>
        <v>0.6926886792</v>
      </c>
      <c r="R20" s="289"/>
      <c r="S20" s="297"/>
      <c r="T20" s="27"/>
      <c r="U20" s="97"/>
      <c r="V20" s="97"/>
      <c r="W20" s="97"/>
      <c r="X20" s="97"/>
      <c r="Y20" s="97"/>
      <c r="Z20" s="97"/>
      <c r="AA20" s="97"/>
    </row>
    <row r="21" ht="15.75" customHeight="1">
      <c r="A21" s="70" t="s">
        <v>422</v>
      </c>
      <c r="B21" s="72">
        <v>45468.0</v>
      </c>
      <c r="C21" s="80">
        <v>0.3861111111111111</v>
      </c>
      <c r="D21" s="8">
        <v>45468.0</v>
      </c>
      <c r="E21" s="300">
        <v>0.5770833333333333</v>
      </c>
      <c r="F21" s="301">
        <v>1062.0</v>
      </c>
      <c r="G21" s="293">
        <v>45471.0</v>
      </c>
      <c r="H21" s="300">
        <v>0.47847222222222224</v>
      </c>
      <c r="I21" s="311">
        <v>6.0</v>
      </c>
      <c r="J21" s="294">
        <v>1.0</v>
      </c>
      <c r="K21" s="302">
        <v>0.013</v>
      </c>
      <c r="L21" s="302">
        <v>0.012</v>
      </c>
      <c r="M21" s="302">
        <v>0.005</v>
      </c>
      <c r="N21" s="302">
        <v>0.012</v>
      </c>
      <c r="O21" s="302">
        <v>0.012</v>
      </c>
      <c r="P21" s="302">
        <v>0.004</v>
      </c>
      <c r="Q21" s="303">
        <f t="shared" si="1"/>
        <v>0</v>
      </c>
      <c r="R21" s="289"/>
      <c r="S21" s="297"/>
      <c r="T21" s="27"/>
      <c r="U21" s="97"/>
      <c r="V21" s="97"/>
      <c r="W21" s="97"/>
      <c r="X21" s="97"/>
      <c r="Y21" s="97"/>
      <c r="Z21" s="97"/>
      <c r="AA21" s="97"/>
    </row>
    <row r="22" ht="15.75" customHeight="1">
      <c r="A22" s="70" t="s">
        <v>423</v>
      </c>
      <c r="B22" s="72">
        <v>45468.0</v>
      </c>
      <c r="C22" s="80">
        <v>0.4013888888888889</v>
      </c>
      <c r="D22" s="8">
        <v>45468.0</v>
      </c>
      <c r="E22" s="300">
        <v>0.5409722222222222</v>
      </c>
      <c r="F22" s="301">
        <v>1055.0</v>
      </c>
      <c r="G22" s="293">
        <v>45471.0</v>
      </c>
      <c r="H22" s="300">
        <v>0.5083333333333333</v>
      </c>
      <c r="I22" s="311">
        <v>5.0</v>
      </c>
      <c r="J22" s="294">
        <v>1.0</v>
      </c>
      <c r="K22" s="302">
        <v>0.024</v>
      </c>
      <c r="L22" s="302">
        <v>0.025</v>
      </c>
      <c r="M22" s="302">
        <v>0.016</v>
      </c>
      <c r="N22" s="302">
        <v>0.024</v>
      </c>
      <c r="O22" s="302">
        <v>0.023</v>
      </c>
      <c r="P22" s="302">
        <v>0.017</v>
      </c>
      <c r="Q22" s="303">
        <f t="shared" si="1"/>
        <v>0.2530805687</v>
      </c>
      <c r="R22" s="289"/>
      <c r="S22" s="297"/>
      <c r="T22" s="320" t="s">
        <v>424</v>
      </c>
      <c r="U22" s="97"/>
      <c r="V22" s="97"/>
      <c r="W22" s="97"/>
      <c r="X22" s="97"/>
      <c r="Y22" s="97"/>
      <c r="Z22" s="97"/>
      <c r="AA22" s="97"/>
    </row>
    <row r="23" ht="15.75" customHeight="1">
      <c r="A23" s="70" t="s">
        <v>425</v>
      </c>
      <c r="B23" s="72">
        <v>45468.0</v>
      </c>
      <c r="C23" s="73">
        <v>0.4236111111111111</v>
      </c>
      <c r="D23" s="8">
        <v>45468.0</v>
      </c>
      <c r="E23" s="300">
        <v>0.5833333333333334</v>
      </c>
      <c r="F23" s="301">
        <v>1050.0</v>
      </c>
      <c r="G23" s="293">
        <v>45471.0</v>
      </c>
      <c r="H23" s="300">
        <v>0.4326388888888889</v>
      </c>
      <c r="I23" s="311">
        <v>6.5</v>
      </c>
      <c r="J23" s="294">
        <v>1.0</v>
      </c>
      <c r="K23" s="302">
        <v>0.032</v>
      </c>
      <c r="L23" s="302">
        <v>0.032</v>
      </c>
      <c r="M23" s="302">
        <v>0.006</v>
      </c>
      <c r="N23" s="302">
        <v>0.021</v>
      </c>
      <c r="O23" s="302">
        <v>0.022</v>
      </c>
      <c r="P23" s="302">
        <v>0.006</v>
      </c>
      <c r="Q23" s="303">
        <f t="shared" si="1"/>
        <v>1.652857143</v>
      </c>
      <c r="R23" s="289"/>
      <c r="S23" s="297"/>
      <c r="T23" s="27"/>
      <c r="U23" s="97"/>
      <c r="V23" s="97"/>
      <c r="W23" s="97"/>
      <c r="X23" s="97"/>
      <c r="Y23" s="97"/>
      <c r="Z23" s="97"/>
      <c r="AA23" s="97"/>
    </row>
    <row r="24" ht="15.75" customHeight="1">
      <c r="A24" s="70" t="s">
        <v>426</v>
      </c>
      <c r="B24" s="72">
        <v>45471.0</v>
      </c>
      <c r="C24" s="321">
        <v>0.26805555555555555</v>
      </c>
      <c r="D24" s="72">
        <v>45471.0</v>
      </c>
      <c r="E24" s="322">
        <v>0.4986111111111111</v>
      </c>
      <c r="F24" s="301">
        <v>1060.0</v>
      </c>
      <c r="G24" s="293">
        <v>45471.0</v>
      </c>
      <c r="H24" s="300">
        <v>0.56875</v>
      </c>
      <c r="I24" s="311">
        <v>6.5</v>
      </c>
      <c r="J24" s="294">
        <v>1.0</v>
      </c>
      <c r="K24" s="319">
        <v>0.012</v>
      </c>
      <c r="L24" s="319">
        <v>0.011</v>
      </c>
      <c r="M24" s="302">
        <v>0.006</v>
      </c>
      <c r="N24" s="302">
        <v>0.009</v>
      </c>
      <c r="O24" s="302">
        <v>0.008</v>
      </c>
      <c r="P24" s="302">
        <v>0.005</v>
      </c>
      <c r="Q24" s="303">
        <f t="shared" si="1"/>
        <v>0.4911792453</v>
      </c>
      <c r="R24" s="289"/>
      <c r="S24" s="297"/>
      <c r="T24" s="27"/>
      <c r="U24" s="97"/>
      <c r="V24" s="97"/>
      <c r="W24" s="97"/>
      <c r="X24" s="97"/>
      <c r="Y24" s="97"/>
      <c r="Z24" s="97"/>
      <c r="AA24" s="97"/>
    </row>
    <row r="25" ht="15.75" customHeight="1">
      <c r="A25" s="70" t="s">
        <v>427</v>
      </c>
      <c r="B25" s="72">
        <v>45471.0</v>
      </c>
      <c r="C25" s="321">
        <v>0.29375</v>
      </c>
      <c r="D25" s="72">
        <v>45471.0</v>
      </c>
      <c r="E25" s="300">
        <v>0.5027777777777778</v>
      </c>
      <c r="F25" s="301">
        <v>1045.0</v>
      </c>
      <c r="G25" s="293">
        <v>45471.0</v>
      </c>
      <c r="H25" s="300">
        <v>0.5756944444444444</v>
      </c>
      <c r="I25" s="311">
        <v>7.8</v>
      </c>
      <c r="J25" s="294">
        <v>1.0</v>
      </c>
      <c r="K25" s="319">
        <v>0.011</v>
      </c>
      <c r="L25" s="319">
        <v>0.011</v>
      </c>
      <c r="M25" s="319">
        <v>0.006</v>
      </c>
      <c r="N25" s="319">
        <v>0.007</v>
      </c>
      <c r="O25" s="319">
        <v>0.007</v>
      </c>
      <c r="P25" s="319">
        <v>0.004</v>
      </c>
      <c r="Q25" s="303">
        <f t="shared" si="1"/>
        <v>0.3985837321</v>
      </c>
      <c r="R25" s="289"/>
      <c r="S25" s="297"/>
      <c r="T25" s="27"/>
      <c r="U25" s="97"/>
      <c r="V25" s="97"/>
      <c r="W25" s="97"/>
      <c r="X25" s="97"/>
      <c r="Y25" s="97"/>
      <c r="Z25" s="97"/>
      <c r="AA25" s="97"/>
    </row>
    <row r="26" ht="15.75" customHeight="1">
      <c r="A26" s="70" t="s">
        <v>428</v>
      </c>
      <c r="B26" s="72">
        <v>45471.0</v>
      </c>
      <c r="C26" s="321">
        <v>0.3375</v>
      </c>
      <c r="D26" s="72">
        <v>45471.0</v>
      </c>
      <c r="E26" s="300">
        <v>0.5069444444444444</v>
      </c>
      <c r="F26" s="301">
        <v>1050.0</v>
      </c>
      <c r="G26" s="293">
        <v>45471.0</v>
      </c>
      <c r="H26" s="300">
        <v>0.5715277777777777</v>
      </c>
      <c r="I26" s="311">
        <v>7.5</v>
      </c>
      <c r="J26" s="294">
        <v>1.0</v>
      </c>
      <c r="K26" s="302">
        <v>0.01</v>
      </c>
      <c r="L26" s="302">
        <v>0.009</v>
      </c>
      <c r="M26" s="319">
        <v>0.007</v>
      </c>
      <c r="N26" s="302">
        <v>0.007</v>
      </c>
      <c r="O26" s="302">
        <v>0.007</v>
      </c>
      <c r="P26" s="302">
        <v>0.005</v>
      </c>
      <c r="Q26" s="303">
        <f t="shared" si="1"/>
        <v>0.1907142857</v>
      </c>
      <c r="R26" s="289"/>
      <c r="S26" s="297"/>
      <c r="T26" s="27"/>
      <c r="U26" s="97"/>
      <c r="V26" s="97"/>
      <c r="W26" s="97"/>
      <c r="X26" s="97"/>
      <c r="Y26" s="97"/>
      <c r="Z26" s="97"/>
      <c r="AA26" s="97"/>
    </row>
    <row r="27" ht="15.75" customHeight="1">
      <c r="A27" s="70" t="s">
        <v>429</v>
      </c>
      <c r="B27" s="72">
        <v>45471.0</v>
      </c>
      <c r="C27" s="321">
        <v>0.36180555555555555</v>
      </c>
      <c r="D27" s="72">
        <v>45471.0</v>
      </c>
      <c r="E27" s="300">
        <v>0.5090277777777777</v>
      </c>
      <c r="F27" s="301">
        <v>1010.0</v>
      </c>
      <c r="G27" s="293">
        <v>45471.0</v>
      </c>
      <c r="H27" s="300">
        <v>0.5840277777777778</v>
      </c>
      <c r="I27" s="311">
        <v>8.4</v>
      </c>
      <c r="J27" s="294">
        <v>1.0</v>
      </c>
      <c r="K27" s="319">
        <v>0.008</v>
      </c>
      <c r="L27" s="319">
        <v>0.007</v>
      </c>
      <c r="M27" s="302">
        <v>0.005</v>
      </c>
      <c r="N27" s="319">
        <v>0.006</v>
      </c>
      <c r="O27" s="319">
        <v>0.006</v>
      </c>
      <c r="P27" s="302">
        <v>0.005</v>
      </c>
      <c r="Q27" s="303">
        <f t="shared" si="1"/>
        <v>0.4441188119</v>
      </c>
      <c r="R27" s="289"/>
      <c r="S27" s="297"/>
      <c r="T27" s="27"/>
      <c r="U27" s="97"/>
      <c r="V27" s="97"/>
      <c r="W27" s="97"/>
      <c r="X27" s="97"/>
      <c r="Y27" s="97"/>
      <c r="Z27" s="97"/>
      <c r="AA27" s="97"/>
    </row>
    <row r="28" ht="15.75" customHeight="1">
      <c r="A28" s="65" t="s">
        <v>430</v>
      </c>
      <c r="B28" s="72">
        <v>45471.0</v>
      </c>
      <c r="C28" s="321">
        <v>0.38819444444444445</v>
      </c>
      <c r="D28" s="72">
        <v>45471.0</v>
      </c>
      <c r="E28" s="321">
        <v>0.49583333333333335</v>
      </c>
      <c r="F28" s="311">
        <v>1060.0</v>
      </c>
      <c r="G28" s="293">
        <v>45471.0</v>
      </c>
      <c r="H28" s="300">
        <v>0.5909722222222222</v>
      </c>
      <c r="I28" s="311">
        <v>8.0</v>
      </c>
      <c r="J28" s="294">
        <v>1.0</v>
      </c>
      <c r="K28" s="302">
        <v>0.007</v>
      </c>
      <c r="L28" s="302">
        <v>0.006</v>
      </c>
      <c r="M28" s="302">
        <v>0.002</v>
      </c>
      <c r="N28" s="319">
        <v>0.005</v>
      </c>
      <c r="O28" s="319">
        <v>0.004</v>
      </c>
      <c r="P28" s="302">
        <v>0.002</v>
      </c>
      <c r="Q28" s="303">
        <f t="shared" si="1"/>
        <v>0.6045283019</v>
      </c>
      <c r="R28" s="289"/>
      <c r="S28" s="297"/>
      <c r="T28" s="316"/>
      <c r="U28" s="97"/>
      <c r="V28" s="97"/>
      <c r="W28" s="97"/>
      <c r="X28" s="97"/>
      <c r="Y28" s="97"/>
      <c r="Z28" s="97"/>
      <c r="AA28" s="97"/>
    </row>
    <row r="29" ht="36.75" customHeight="1">
      <c r="A29" s="65" t="s">
        <v>431</v>
      </c>
      <c r="B29" s="291" t="s">
        <v>74</v>
      </c>
      <c r="C29" s="292" t="s">
        <v>74</v>
      </c>
      <c r="D29" s="291" t="s">
        <v>74</v>
      </c>
      <c r="E29" s="292" t="s">
        <v>74</v>
      </c>
      <c r="F29" s="291" t="s">
        <v>74</v>
      </c>
      <c r="G29" s="293">
        <v>45495.0</v>
      </c>
      <c r="H29" s="292" t="s">
        <v>74</v>
      </c>
      <c r="I29" s="291" t="s">
        <v>74</v>
      </c>
      <c r="J29" s="294">
        <v>1.0</v>
      </c>
      <c r="K29" s="295">
        <v>0.022</v>
      </c>
      <c r="L29" s="295">
        <v>0.022</v>
      </c>
      <c r="M29" s="295">
        <v>0.002</v>
      </c>
      <c r="N29" s="295">
        <v>0.012</v>
      </c>
      <c r="O29" s="295">
        <v>0.012</v>
      </c>
      <c r="P29" s="295">
        <v>0.002</v>
      </c>
      <c r="Q29" s="51">
        <f>((26.7*((K29-M29)-(O29-P29))*1000))</f>
        <v>267</v>
      </c>
      <c r="R29" s="296" t="s">
        <v>12</v>
      </c>
      <c r="S29" s="297" t="s">
        <v>13</v>
      </c>
      <c r="T29" s="59"/>
      <c r="U29" s="97"/>
      <c r="V29" s="97"/>
      <c r="W29" s="97"/>
      <c r="X29" s="97"/>
      <c r="Y29" s="97"/>
      <c r="Z29" s="97"/>
      <c r="AA29" s="97"/>
    </row>
    <row r="30" ht="15.75" customHeight="1">
      <c r="A30" s="69" t="s">
        <v>432</v>
      </c>
      <c r="B30" s="323">
        <v>45483.0</v>
      </c>
      <c r="C30" s="324">
        <v>0.3125</v>
      </c>
      <c r="D30" s="323">
        <v>45483.0</v>
      </c>
      <c r="E30" s="321">
        <v>0.6951388888888889</v>
      </c>
      <c r="F30" s="311">
        <v>1041.0</v>
      </c>
      <c r="G30" s="323">
        <v>45495.0</v>
      </c>
      <c r="H30" s="321">
        <v>0.5673611111111111</v>
      </c>
      <c r="I30" s="311">
        <v>6.0</v>
      </c>
      <c r="J30" s="325">
        <v>1.0</v>
      </c>
      <c r="K30" s="325">
        <v>0.033</v>
      </c>
      <c r="L30" s="302">
        <v>0.033</v>
      </c>
      <c r="M30" s="302">
        <v>0.027</v>
      </c>
      <c r="N30" s="302">
        <v>0.03</v>
      </c>
      <c r="O30" s="302">
        <v>0.03</v>
      </c>
      <c r="P30" s="302">
        <v>0.026</v>
      </c>
      <c r="Q30" s="303">
        <f t="shared" ref="Q30:Q41" si="2">((26.7*((K30-M30)-(O30-P30))*I30)/(F30*J30))*1000</f>
        <v>0.3077809798</v>
      </c>
      <c r="R30" s="289"/>
      <c r="S30" s="297" t="s">
        <v>13</v>
      </c>
      <c r="T30" s="64"/>
      <c r="U30" s="97"/>
      <c r="V30" s="97"/>
      <c r="W30" s="97"/>
      <c r="X30" s="97"/>
      <c r="Y30" s="97"/>
      <c r="Z30" s="97"/>
      <c r="AA30" s="97"/>
    </row>
    <row r="31" ht="15.75" customHeight="1">
      <c r="A31" s="70" t="s">
        <v>433</v>
      </c>
      <c r="B31" s="323">
        <v>45483.0</v>
      </c>
      <c r="C31" s="324">
        <v>0.35138888888888886</v>
      </c>
      <c r="D31" s="323">
        <v>45483.0</v>
      </c>
      <c r="E31" s="73">
        <v>0.7048611111111112</v>
      </c>
      <c r="F31" s="326">
        <v>980.0</v>
      </c>
      <c r="G31" s="323">
        <v>45495.0</v>
      </c>
      <c r="H31" s="321">
        <v>0.5722222222222222</v>
      </c>
      <c r="I31" s="301">
        <v>7.5</v>
      </c>
      <c r="J31" s="325">
        <v>1.0</v>
      </c>
      <c r="K31" s="302">
        <v>0.005</v>
      </c>
      <c r="L31" s="302">
        <v>0.005</v>
      </c>
      <c r="M31" s="302">
        <v>0.003</v>
      </c>
      <c r="N31" s="302">
        <v>0.004</v>
      </c>
      <c r="O31" s="302">
        <v>0.004</v>
      </c>
      <c r="P31" s="302">
        <v>0.002</v>
      </c>
      <c r="Q31" s="303">
        <f t="shared" si="2"/>
        <v>0</v>
      </c>
      <c r="R31" s="289"/>
      <c r="S31" s="297" t="s">
        <v>13</v>
      </c>
      <c r="T31" s="27"/>
      <c r="U31" s="97"/>
      <c r="V31" s="97"/>
      <c r="W31" s="97"/>
      <c r="X31" s="97"/>
      <c r="Y31" s="97"/>
      <c r="Z31" s="97"/>
      <c r="AA31" s="97"/>
    </row>
    <row r="32" ht="15.75" customHeight="1">
      <c r="A32" s="70" t="s">
        <v>434</v>
      </c>
      <c r="B32" s="323">
        <v>45483.0</v>
      </c>
      <c r="C32" s="324">
        <v>0.47847222222222224</v>
      </c>
      <c r="D32" s="323">
        <v>45483.0</v>
      </c>
      <c r="E32" s="321">
        <v>0.7145833333333333</v>
      </c>
      <c r="F32" s="311">
        <v>1046.0</v>
      </c>
      <c r="G32" s="323">
        <v>45495.0</v>
      </c>
      <c r="H32" s="321">
        <v>0.5791666666666667</v>
      </c>
      <c r="I32" s="301">
        <v>6.5</v>
      </c>
      <c r="J32" s="325">
        <v>1.0</v>
      </c>
      <c r="K32" s="302">
        <v>-0.006</v>
      </c>
      <c r="L32" s="302">
        <v>-0.006</v>
      </c>
      <c r="M32" s="302">
        <v>-0.007</v>
      </c>
      <c r="N32" s="302">
        <v>-0.007</v>
      </c>
      <c r="O32" s="302">
        <v>-0.006</v>
      </c>
      <c r="P32" s="302">
        <v>-0.007</v>
      </c>
      <c r="Q32" s="303">
        <f t="shared" si="2"/>
        <v>0</v>
      </c>
      <c r="R32" s="289"/>
      <c r="S32" s="297" t="s">
        <v>13</v>
      </c>
      <c r="T32" s="27"/>
      <c r="U32" s="97"/>
      <c r="V32" s="97"/>
      <c r="W32" s="97"/>
      <c r="X32" s="97"/>
      <c r="Y32" s="97"/>
      <c r="Z32" s="97"/>
      <c r="AA32" s="97"/>
    </row>
    <row r="33" ht="15.75" customHeight="1">
      <c r="A33" s="70" t="s">
        <v>435</v>
      </c>
      <c r="B33" s="323">
        <v>45483.0</v>
      </c>
      <c r="C33" s="324">
        <v>0.5708333333333333</v>
      </c>
      <c r="D33" s="323">
        <v>45483.0</v>
      </c>
      <c r="E33" s="321">
        <v>0.7194444444444444</v>
      </c>
      <c r="F33" s="311">
        <v>990.0</v>
      </c>
      <c r="G33" s="323">
        <v>45495.0</v>
      </c>
      <c r="H33" s="321">
        <v>0.5840277777777778</v>
      </c>
      <c r="I33" s="311">
        <v>5.5</v>
      </c>
      <c r="J33" s="325">
        <v>1.0</v>
      </c>
      <c r="K33" s="302">
        <v>-0.008</v>
      </c>
      <c r="L33" s="302">
        <v>-0.008</v>
      </c>
      <c r="M33" s="302">
        <v>-0.009</v>
      </c>
      <c r="N33" s="319">
        <v>-0.009</v>
      </c>
      <c r="O33" s="319">
        <v>-0.01</v>
      </c>
      <c r="P33" s="302">
        <v>-0.01</v>
      </c>
      <c r="Q33" s="303">
        <f t="shared" si="2"/>
        <v>0.1483333333</v>
      </c>
      <c r="R33" s="289"/>
      <c r="S33" s="297" t="s">
        <v>13</v>
      </c>
      <c r="T33" s="27"/>
      <c r="U33" s="97"/>
      <c r="V33" s="97"/>
      <c r="W33" s="97"/>
      <c r="X33" s="97"/>
      <c r="Y33" s="97"/>
      <c r="Z33" s="97"/>
      <c r="AA33" s="97"/>
    </row>
    <row r="34" ht="18.75" customHeight="1">
      <c r="A34" s="70" t="s">
        <v>436</v>
      </c>
      <c r="B34" s="323">
        <v>45484.0</v>
      </c>
      <c r="C34" s="73">
        <v>0.2951388888888889</v>
      </c>
      <c r="D34" s="323">
        <v>45484.0</v>
      </c>
      <c r="E34" s="314">
        <v>0.7763888888888889</v>
      </c>
      <c r="F34" s="315">
        <v>980.0</v>
      </c>
      <c r="G34" s="323">
        <v>45495.0</v>
      </c>
      <c r="H34" s="314">
        <v>0.5909722222222222</v>
      </c>
      <c r="I34" s="315">
        <v>6.5</v>
      </c>
      <c r="J34" s="325">
        <v>1.0</v>
      </c>
      <c r="K34" s="302">
        <v>0.021</v>
      </c>
      <c r="L34" s="302">
        <v>0.02</v>
      </c>
      <c r="M34" s="302">
        <v>0.017</v>
      </c>
      <c r="N34" s="302">
        <v>0.017</v>
      </c>
      <c r="O34" s="302">
        <v>0.017</v>
      </c>
      <c r="P34" s="302">
        <v>0.015</v>
      </c>
      <c r="Q34" s="303">
        <f t="shared" si="2"/>
        <v>0.3541836735</v>
      </c>
      <c r="R34" s="296"/>
      <c r="S34" s="297" t="s">
        <v>13</v>
      </c>
      <c r="T34" s="308"/>
      <c r="U34" s="229"/>
      <c r="V34" s="229"/>
      <c r="W34" s="229"/>
      <c r="X34" s="229"/>
      <c r="Y34" s="229"/>
      <c r="Z34" s="229"/>
      <c r="AA34" s="229"/>
    </row>
    <row r="35" ht="15.75" customHeight="1">
      <c r="A35" s="70" t="s">
        <v>437</v>
      </c>
      <c r="B35" s="323">
        <v>45484.0</v>
      </c>
      <c r="C35" s="73">
        <v>0.32708333333333334</v>
      </c>
      <c r="D35" s="323">
        <v>45484.0</v>
      </c>
      <c r="E35" s="321">
        <v>0.7777777777777778</v>
      </c>
      <c r="F35" s="311">
        <v>1060.0</v>
      </c>
      <c r="G35" s="323">
        <v>45495.0</v>
      </c>
      <c r="H35" s="321">
        <v>0.5958333333333333</v>
      </c>
      <c r="I35" s="311">
        <v>7.0</v>
      </c>
      <c r="J35" s="325">
        <v>1.0</v>
      </c>
      <c r="K35" s="302">
        <v>0.012</v>
      </c>
      <c r="L35" s="302">
        <v>0.011</v>
      </c>
      <c r="M35" s="302">
        <v>0.008</v>
      </c>
      <c r="N35" s="302">
        <v>0.01</v>
      </c>
      <c r="O35" s="302">
        <v>0.01</v>
      </c>
      <c r="P35" s="302">
        <v>0.008</v>
      </c>
      <c r="Q35" s="303">
        <f t="shared" si="2"/>
        <v>0.3526415094</v>
      </c>
      <c r="R35" s="289"/>
      <c r="S35" s="297" t="s">
        <v>13</v>
      </c>
      <c r="T35" s="27"/>
      <c r="U35" s="97"/>
      <c r="V35" s="97"/>
      <c r="W35" s="97"/>
      <c r="X35" s="97"/>
      <c r="Y35" s="97"/>
      <c r="Z35" s="97"/>
      <c r="AA35" s="97"/>
    </row>
    <row r="36" ht="15.75" customHeight="1">
      <c r="A36" s="70" t="s">
        <v>438</v>
      </c>
      <c r="B36" s="323">
        <v>45484.0</v>
      </c>
      <c r="C36" s="73">
        <v>0.34791666666666665</v>
      </c>
      <c r="D36" s="323">
        <v>45484.0</v>
      </c>
      <c r="E36" s="321">
        <v>0.78125</v>
      </c>
      <c r="F36" s="311">
        <v>1052.0</v>
      </c>
      <c r="G36" s="323">
        <v>45495.0</v>
      </c>
      <c r="H36" s="321">
        <v>0.6027777777777777</v>
      </c>
      <c r="I36" s="311">
        <v>7.3</v>
      </c>
      <c r="J36" s="325">
        <v>1.0</v>
      </c>
      <c r="K36" s="319">
        <v>0.007</v>
      </c>
      <c r="L36" s="319">
        <v>0.006</v>
      </c>
      <c r="M36" s="319">
        <v>0.004</v>
      </c>
      <c r="N36" s="302">
        <v>0.005</v>
      </c>
      <c r="O36" s="302">
        <v>0.004</v>
      </c>
      <c r="P36" s="302">
        <v>0.004</v>
      </c>
      <c r="Q36" s="303">
        <f t="shared" si="2"/>
        <v>0.5558269962</v>
      </c>
      <c r="R36" s="289"/>
      <c r="S36" s="297" t="s">
        <v>13</v>
      </c>
      <c r="T36" s="27"/>
      <c r="U36" s="97"/>
      <c r="V36" s="97"/>
      <c r="W36" s="97"/>
      <c r="X36" s="97"/>
      <c r="Y36" s="97"/>
      <c r="Z36" s="97"/>
      <c r="AA36" s="97"/>
    </row>
    <row r="37" ht="15.75" customHeight="1">
      <c r="A37" s="70" t="s">
        <v>439</v>
      </c>
      <c r="B37" s="323">
        <v>45484.0</v>
      </c>
      <c r="C37" s="73">
        <v>0.3923611111111111</v>
      </c>
      <c r="D37" s="323">
        <v>45484.0</v>
      </c>
      <c r="E37" s="321">
        <v>0.7847222222222222</v>
      </c>
      <c r="F37" s="311">
        <v>1049.0</v>
      </c>
      <c r="G37" s="323">
        <v>45495.0</v>
      </c>
      <c r="H37" s="321">
        <v>0.6083333333333333</v>
      </c>
      <c r="I37" s="311">
        <v>7.0</v>
      </c>
      <c r="J37" s="325">
        <v>1.0</v>
      </c>
      <c r="K37" s="319">
        <v>0.004</v>
      </c>
      <c r="L37" s="319">
        <v>0.004</v>
      </c>
      <c r="M37" s="319">
        <v>0.003</v>
      </c>
      <c r="N37" s="302">
        <v>0.003</v>
      </c>
      <c r="O37" s="302">
        <v>0.003</v>
      </c>
      <c r="P37" s="302">
        <v>0.002</v>
      </c>
      <c r="Q37" s="303">
        <f t="shared" si="2"/>
        <v>0</v>
      </c>
      <c r="R37" s="289"/>
      <c r="S37" s="297" t="s">
        <v>13</v>
      </c>
      <c r="T37" s="27"/>
      <c r="U37" s="97"/>
      <c r="V37" s="97"/>
      <c r="W37" s="97"/>
      <c r="X37" s="97"/>
      <c r="Y37" s="97"/>
      <c r="Z37" s="97"/>
      <c r="AA37" s="97"/>
    </row>
    <row r="38" ht="17.25" customHeight="1">
      <c r="A38" s="70" t="s">
        <v>440</v>
      </c>
      <c r="B38" s="323">
        <v>45484.0</v>
      </c>
      <c r="C38" s="73">
        <v>0.41388888888888886</v>
      </c>
      <c r="D38" s="323">
        <v>45484.0</v>
      </c>
      <c r="E38" s="317">
        <v>0.7875</v>
      </c>
      <c r="F38" s="318">
        <v>1050.0</v>
      </c>
      <c r="G38" s="323">
        <v>45495.0</v>
      </c>
      <c r="H38" s="317">
        <v>0.6194444444444445</v>
      </c>
      <c r="I38" s="318">
        <v>7.0</v>
      </c>
      <c r="J38" s="325">
        <v>1.0</v>
      </c>
      <c r="K38" s="295">
        <v>-0.006</v>
      </c>
      <c r="L38" s="295">
        <v>-0.005</v>
      </c>
      <c r="M38" s="295">
        <v>-0.006</v>
      </c>
      <c r="N38" s="295">
        <v>-0.008</v>
      </c>
      <c r="O38" s="295">
        <v>-0.008</v>
      </c>
      <c r="P38" s="295">
        <v>-0.007</v>
      </c>
      <c r="Q38" s="303">
        <f t="shared" si="2"/>
        <v>0.178</v>
      </c>
      <c r="R38" s="296"/>
      <c r="S38" s="297" t="s">
        <v>13</v>
      </c>
      <c r="T38" s="294"/>
      <c r="U38" s="298"/>
      <c r="V38" s="298"/>
      <c r="W38" s="298"/>
      <c r="X38" s="298"/>
      <c r="Y38" s="298"/>
      <c r="Z38" s="298"/>
      <c r="AA38" s="298"/>
    </row>
    <row r="39" ht="15.75" customHeight="1">
      <c r="A39" s="70" t="s">
        <v>441</v>
      </c>
      <c r="B39" s="323">
        <v>45484.0</v>
      </c>
      <c r="C39" s="73">
        <v>0.44930555555555557</v>
      </c>
      <c r="D39" s="323">
        <v>45484.0</v>
      </c>
      <c r="E39" s="321">
        <v>0.7909722222222222</v>
      </c>
      <c r="F39" s="311">
        <v>990.0</v>
      </c>
      <c r="G39" s="323">
        <v>45495.0</v>
      </c>
      <c r="H39" s="321">
        <v>0.625</v>
      </c>
      <c r="I39" s="311">
        <v>7.0</v>
      </c>
      <c r="J39" s="325">
        <v>1.0</v>
      </c>
      <c r="K39" s="319">
        <v>0.001</v>
      </c>
      <c r="L39" s="319">
        <v>0.001</v>
      </c>
      <c r="M39" s="319">
        <v>-0.001</v>
      </c>
      <c r="N39" s="319">
        <v>-0.001</v>
      </c>
      <c r="O39" s="319">
        <v>-0.001</v>
      </c>
      <c r="P39" s="319">
        <v>-0.001</v>
      </c>
      <c r="Q39" s="303">
        <f t="shared" si="2"/>
        <v>0.3775757576</v>
      </c>
      <c r="R39" s="289"/>
      <c r="S39" s="297" t="s">
        <v>13</v>
      </c>
      <c r="T39" s="27"/>
      <c r="U39" s="97"/>
      <c r="V39" s="97"/>
      <c r="W39" s="97"/>
      <c r="X39" s="97"/>
      <c r="Y39" s="97"/>
      <c r="Z39" s="97"/>
      <c r="AA39" s="97"/>
    </row>
    <row r="40" ht="15.75" customHeight="1">
      <c r="A40" s="70" t="s">
        <v>442</v>
      </c>
      <c r="B40" s="72">
        <v>45489.0</v>
      </c>
      <c r="C40" s="73">
        <v>0.3402777777777778</v>
      </c>
      <c r="D40" s="72">
        <v>45489.0</v>
      </c>
      <c r="E40" s="321">
        <v>0.6631944444444444</v>
      </c>
      <c r="F40" s="311">
        <v>1023.0</v>
      </c>
      <c r="G40" s="323">
        <v>45495.0</v>
      </c>
      <c r="H40" s="321">
        <v>0.6305555555555555</v>
      </c>
      <c r="I40" s="311">
        <v>7.7</v>
      </c>
      <c r="J40" s="325">
        <v>1.0</v>
      </c>
      <c r="K40" s="302">
        <v>0.006</v>
      </c>
      <c r="L40" s="302">
        <v>0.004</v>
      </c>
      <c r="M40" s="302">
        <v>0.001</v>
      </c>
      <c r="N40" s="319">
        <v>0.003</v>
      </c>
      <c r="O40" s="319">
        <v>0.002</v>
      </c>
      <c r="P40" s="319">
        <v>0.001</v>
      </c>
      <c r="Q40" s="303">
        <f t="shared" si="2"/>
        <v>0.8038709677</v>
      </c>
      <c r="R40" s="289"/>
      <c r="S40" s="297" t="s">
        <v>13</v>
      </c>
      <c r="T40" s="27"/>
      <c r="U40" s="97"/>
      <c r="V40" s="97"/>
      <c r="W40" s="97"/>
      <c r="X40" s="97"/>
      <c r="Y40" s="97"/>
      <c r="Z40" s="97"/>
      <c r="AA40" s="97"/>
    </row>
    <row r="41" ht="15.75" customHeight="1">
      <c r="A41" s="70" t="s">
        <v>443</v>
      </c>
      <c r="B41" s="72">
        <v>45489.0</v>
      </c>
      <c r="C41" s="73">
        <v>0.3770833333333333</v>
      </c>
      <c r="D41" s="72">
        <v>45489.0</v>
      </c>
      <c r="E41" s="324">
        <v>0.6659722222222222</v>
      </c>
      <c r="F41" s="311">
        <v>1054.0</v>
      </c>
      <c r="G41" s="323">
        <v>45495.0</v>
      </c>
      <c r="H41" s="324">
        <v>0.6375</v>
      </c>
      <c r="I41" s="327">
        <v>8.0</v>
      </c>
      <c r="J41" s="325">
        <v>1.0</v>
      </c>
      <c r="K41" s="328">
        <v>-0.001</v>
      </c>
      <c r="L41" s="328">
        <v>-0.001</v>
      </c>
      <c r="M41" s="328">
        <v>-0.003</v>
      </c>
      <c r="N41" s="329">
        <v>-0.003</v>
      </c>
      <c r="O41" s="329">
        <v>-0.003</v>
      </c>
      <c r="P41" s="328">
        <v>-0.003</v>
      </c>
      <c r="Q41" s="303">
        <f t="shared" si="2"/>
        <v>0.405313093</v>
      </c>
      <c r="R41" s="289"/>
      <c r="S41" s="297" t="s">
        <v>13</v>
      </c>
      <c r="T41" s="27"/>
      <c r="U41" s="97"/>
      <c r="V41" s="97"/>
      <c r="W41" s="97"/>
      <c r="X41" s="97"/>
      <c r="Y41" s="97"/>
      <c r="Z41" s="97"/>
      <c r="AA41" s="97"/>
    </row>
    <row r="42" ht="36.75" customHeight="1">
      <c r="A42" s="65" t="s">
        <v>444</v>
      </c>
      <c r="B42" s="291" t="s">
        <v>74</v>
      </c>
      <c r="C42" s="292" t="s">
        <v>74</v>
      </c>
      <c r="D42" s="291" t="s">
        <v>74</v>
      </c>
      <c r="E42" s="292" t="s">
        <v>74</v>
      </c>
      <c r="F42" s="291" t="s">
        <v>74</v>
      </c>
      <c r="G42" s="293">
        <v>45496.0</v>
      </c>
      <c r="H42" s="292" t="s">
        <v>74</v>
      </c>
      <c r="I42" s="291" t="s">
        <v>74</v>
      </c>
      <c r="J42" s="294">
        <v>1.0</v>
      </c>
      <c r="K42" s="295">
        <v>0.01</v>
      </c>
      <c r="L42" s="295">
        <v>0.01</v>
      </c>
      <c r="M42" s="295">
        <v>-0.005</v>
      </c>
      <c r="N42" s="295">
        <v>0.004</v>
      </c>
      <c r="O42" s="295">
        <v>0.004</v>
      </c>
      <c r="P42" s="295">
        <v>-0.004</v>
      </c>
      <c r="Q42" s="51">
        <f>((26.7*((K42-M42)-(O42-P42))*1000))</f>
        <v>186.9</v>
      </c>
      <c r="R42" s="296" t="s">
        <v>12</v>
      </c>
      <c r="S42" s="297" t="s">
        <v>13</v>
      </c>
      <c r="U42" s="97"/>
      <c r="V42" s="97"/>
      <c r="W42" s="97"/>
      <c r="X42" s="97"/>
      <c r="Y42" s="97"/>
      <c r="Z42" s="97"/>
      <c r="AA42" s="97"/>
    </row>
    <row r="43" ht="15.75" customHeight="1">
      <c r="A43" s="70" t="s">
        <v>445</v>
      </c>
      <c r="B43" s="72">
        <v>45489.0</v>
      </c>
      <c r="C43" s="73">
        <v>0.41597222222222224</v>
      </c>
      <c r="D43" s="72">
        <v>45489.0</v>
      </c>
      <c r="E43" s="324">
        <v>0.6715277777777777</v>
      </c>
      <c r="F43" s="311">
        <v>1062.0</v>
      </c>
      <c r="G43" s="293">
        <v>45496.0</v>
      </c>
      <c r="H43" s="324">
        <v>0.49027777777777776</v>
      </c>
      <c r="I43" s="327">
        <v>7.0</v>
      </c>
      <c r="J43" s="325">
        <v>1.0</v>
      </c>
      <c r="K43" s="328">
        <v>-0.004</v>
      </c>
      <c r="L43" s="328">
        <v>-0.004</v>
      </c>
      <c r="M43" s="328">
        <v>-0.006</v>
      </c>
      <c r="N43" s="328">
        <v>-0.005</v>
      </c>
      <c r="O43" s="328">
        <v>-0.005</v>
      </c>
      <c r="P43" s="328">
        <v>-0.004</v>
      </c>
      <c r="Q43" s="303">
        <f t="shared" ref="Q43:Q49" si="3">((26.7*((K43-M43)-(O43-P43))*I43)/(F43*J43))*1000</f>
        <v>0.5279661017</v>
      </c>
      <c r="R43" s="289"/>
      <c r="S43" s="297" t="s">
        <v>13</v>
      </c>
      <c r="T43" s="27"/>
      <c r="U43" s="97"/>
      <c r="V43" s="97"/>
      <c r="W43" s="97"/>
      <c r="X43" s="97"/>
      <c r="Y43" s="97"/>
      <c r="Z43" s="97"/>
      <c r="AA43" s="97"/>
    </row>
    <row r="44" ht="15.75" customHeight="1">
      <c r="A44" s="70" t="s">
        <v>446</v>
      </c>
      <c r="B44" s="72">
        <v>45489.0</v>
      </c>
      <c r="C44" s="330">
        <v>0.4395833333333333</v>
      </c>
      <c r="D44" s="72">
        <v>45489.0</v>
      </c>
      <c r="E44" s="300">
        <v>0.6895833333333333</v>
      </c>
      <c r="F44" s="301">
        <v>1048.0</v>
      </c>
      <c r="G44" s="293">
        <v>45496.0</v>
      </c>
      <c r="H44" s="321">
        <v>0.49722222222222223</v>
      </c>
      <c r="I44" s="311">
        <v>8.0</v>
      </c>
      <c r="J44" s="325">
        <v>1.0</v>
      </c>
      <c r="K44" s="302">
        <v>-0.006</v>
      </c>
      <c r="L44" s="302">
        <v>-0.006</v>
      </c>
      <c r="M44" s="302">
        <v>-0.007</v>
      </c>
      <c r="N44" s="302">
        <v>0.0</v>
      </c>
      <c r="O44" s="302">
        <v>-0.001</v>
      </c>
      <c r="P44" s="302">
        <v>0.0</v>
      </c>
      <c r="Q44" s="303">
        <f t="shared" si="3"/>
        <v>0.4076335878</v>
      </c>
      <c r="R44" s="289"/>
      <c r="S44" s="297" t="s">
        <v>13</v>
      </c>
      <c r="T44" s="27"/>
      <c r="U44" s="97"/>
      <c r="V44" s="97"/>
      <c r="W44" s="97"/>
      <c r="X44" s="97"/>
      <c r="Y44" s="97"/>
      <c r="Z44" s="97"/>
      <c r="AA44" s="97"/>
    </row>
    <row r="45" ht="15.75" customHeight="1">
      <c r="A45" s="70" t="s">
        <v>447</v>
      </c>
      <c r="B45" s="72">
        <v>45489.0</v>
      </c>
      <c r="C45" s="73">
        <v>0.4708333333333333</v>
      </c>
      <c r="D45" s="72">
        <v>45489.0</v>
      </c>
      <c r="E45" s="324">
        <v>0.6958333333333333</v>
      </c>
      <c r="F45" s="327">
        <v>1052.0</v>
      </c>
      <c r="G45" s="293">
        <v>45496.0</v>
      </c>
      <c r="H45" s="324">
        <v>0.5034722222222222</v>
      </c>
      <c r="I45" s="327">
        <v>8.0</v>
      </c>
      <c r="J45" s="325">
        <v>1.0</v>
      </c>
      <c r="K45" s="302">
        <v>0.002</v>
      </c>
      <c r="L45" s="302">
        <v>0.002</v>
      </c>
      <c r="M45" s="331">
        <f>-0.001</f>
        <v>-0.001</v>
      </c>
      <c r="N45" s="302">
        <v>-0.002</v>
      </c>
      <c r="O45" s="302">
        <v>-0.002</v>
      </c>
      <c r="P45" s="302">
        <v>-0.003</v>
      </c>
      <c r="Q45" s="303">
        <f t="shared" si="3"/>
        <v>0.4060836502</v>
      </c>
      <c r="R45" s="289"/>
      <c r="S45" s="297" t="s">
        <v>13</v>
      </c>
      <c r="T45" s="27"/>
      <c r="U45" s="97"/>
      <c r="V45" s="97"/>
      <c r="W45" s="97"/>
      <c r="X45" s="97"/>
      <c r="Y45" s="97"/>
      <c r="Z45" s="97"/>
      <c r="AA45" s="97"/>
    </row>
    <row r="46" ht="15.75" customHeight="1">
      <c r="A46" s="70" t="s">
        <v>448</v>
      </c>
      <c r="B46" s="72">
        <v>45489.0</v>
      </c>
      <c r="C46" s="73">
        <v>0.4847222222222222</v>
      </c>
      <c r="D46" s="72">
        <v>45489.0</v>
      </c>
      <c r="E46" s="324">
        <v>0.7006944444444444</v>
      </c>
      <c r="F46" s="327">
        <v>1064.0</v>
      </c>
      <c r="G46" s="293">
        <v>45496.0</v>
      </c>
      <c r="H46" s="324">
        <v>0.5083333333333333</v>
      </c>
      <c r="I46" s="327">
        <v>7.5</v>
      </c>
      <c r="J46" s="325">
        <v>1.0</v>
      </c>
      <c r="K46" s="329">
        <v>-0.004</v>
      </c>
      <c r="L46" s="329">
        <v>-0.004</v>
      </c>
      <c r="M46" s="329">
        <v>-0.006</v>
      </c>
      <c r="N46" s="329">
        <v>-0.006</v>
      </c>
      <c r="O46" s="329">
        <v>-0.006</v>
      </c>
      <c r="P46" s="329">
        <v>-0.006</v>
      </c>
      <c r="Q46" s="303">
        <f t="shared" si="3"/>
        <v>0.3764097744</v>
      </c>
      <c r="R46" s="289"/>
      <c r="S46" s="297" t="s">
        <v>13</v>
      </c>
      <c r="T46" s="27"/>
      <c r="U46" s="97"/>
      <c r="V46" s="97"/>
      <c r="W46" s="97"/>
      <c r="X46" s="97"/>
      <c r="Y46" s="97"/>
      <c r="Z46" s="97"/>
      <c r="AA46" s="97"/>
    </row>
    <row r="47" ht="15.75" customHeight="1">
      <c r="A47" s="70" t="s">
        <v>449</v>
      </c>
      <c r="B47" s="72">
        <v>45489.0</v>
      </c>
      <c r="C47" s="73">
        <v>0.5</v>
      </c>
      <c r="D47" s="72">
        <v>45489.0</v>
      </c>
      <c r="E47" s="324">
        <v>0.6854166666666667</v>
      </c>
      <c r="F47" s="327">
        <v>1051.0</v>
      </c>
      <c r="G47" s="293">
        <v>45496.0</v>
      </c>
      <c r="H47" s="332">
        <v>0.5125</v>
      </c>
      <c r="I47" s="327">
        <v>7.0</v>
      </c>
      <c r="J47" s="325">
        <v>1.0</v>
      </c>
      <c r="K47" s="329">
        <v>-0.006</v>
      </c>
      <c r="L47" s="329">
        <v>-0.007</v>
      </c>
      <c r="M47" s="329">
        <v>-0.007</v>
      </c>
      <c r="N47" s="329">
        <v>-0.008</v>
      </c>
      <c r="O47" s="329">
        <v>-0.008</v>
      </c>
      <c r="P47" s="329">
        <v>-0.007</v>
      </c>
      <c r="Q47" s="303">
        <f t="shared" si="3"/>
        <v>0.355661275</v>
      </c>
      <c r="R47" s="289"/>
      <c r="S47" s="297" t="s">
        <v>13</v>
      </c>
      <c r="T47" s="27"/>
      <c r="U47" s="97"/>
      <c r="V47" s="97"/>
      <c r="W47" s="97"/>
      <c r="X47" s="97"/>
      <c r="Y47" s="97"/>
      <c r="Z47" s="97"/>
      <c r="AA47" s="97"/>
    </row>
    <row r="48" ht="15.75" customHeight="1">
      <c r="A48" s="70" t="s">
        <v>450</v>
      </c>
      <c r="B48" s="333">
        <v>45491.0</v>
      </c>
      <c r="C48" s="73">
        <v>0.31319444444444444</v>
      </c>
      <c r="D48" s="333">
        <v>45491.0</v>
      </c>
      <c r="E48" s="324">
        <v>0.5701388888888889</v>
      </c>
      <c r="F48" s="327">
        <v>1042.0</v>
      </c>
      <c r="G48" s="293">
        <v>45496.0</v>
      </c>
      <c r="H48" s="324">
        <v>0.5194444444444445</v>
      </c>
      <c r="I48" s="327">
        <v>7.0</v>
      </c>
      <c r="J48" s="325">
        <v>1.0</v>
      </c>
      <c r="K48" s="329">
        <v>-0.003</v>
      </c>
      <c r="L48" s="329">
        <v>-0.003</v>
      </c>
      <c r="M48" s="329">
        <v>-0.005</v>
      </c>
      <c r="N48" s="329">
        <v>-0.004</v>
      </c>
      <c r="O48" s="329">
        <v>-0.005</v>
      </c>
      <c r="P48" s="329">
        <v>-0.005</v>
      </c>
      <c r="Q48" s="303">
        <f t="shared" si="3"/>
        <v>0.3587332054</v>
      </c>
      <c r="R48" s="289"/>
      <c r="S48" s="297" t="s">
        <v>13</v>
      </c>
      <c r="T48" s="27"/>
      <c r="U48" s="97"/>
      <c r="V48" s="97"/>
      <c r="W48" s="97"/>
      <c r="X48" s="97"/>
      <c r="Y48" s="97"/>
      <c r="Z48" s="97"/>
      <c r="AA48" s="97"/>
    </row>
    <row r="49" ht="15.75" customHeight="1">
      <c r="A49" s="299" t="s">
        <v>451</v>
      </c>
      <c r="B49" s="333">
        <v>45491.0</v>
      </c>
      <c r="C49" s="300">
        <v>0.3277777777777778</v>
      </c>
      <c r="D49" s="333">
        <v>45491.0</v>
      </c>
      <c r="E49" s="324">
        <v>0.5743055555555555</v>
      </c>
      <c r="F49" s="327">
        <v>1064.0</v>
      </c>
      <c r="G49" s="293">
        <v>45130.0</v>
      </c>
      <c r="H49" s="324">
        <v>0.5236111111111111</v>
      </c>
      <c r="I49" s="327">
        <v>8.0</v>
      </c>
      <c r="J49" s="325">
        <v>1.0</v>
      </c>
      <c r="K49" s="302">
        <v>-0.008</v>
      </c>
      <c r="L49" s="302">
        <v>-0.008</v>
      </c>
      <c r="M49" s="302">
        <v>-0.008</v>
      </c>
      <c r="N49" s="302">
        <v>-0.009</v>
      </c>
      <c r="O49" s="302">
        <v>-0.009</v>
      </c>
      <c r="P49" s="302">
        <v>-0.008</v>
      </c>
      <c r="Q49" s="303">
        <f t="shared" si="3"/>
        <v>0.2007518797</v>
      </c>
      <c r="R49" s="289"/>
      <c r="S49" s="297" t="s">
        <v>13</v>
      </c>
      <c r="T49" s="27"/>
      <c r="U49" s="97"/>
      <c r="V49" s="97"/>
      <c r="W49" s="97"/>
      <c r="X49" s="97"/>
      <c r="Y49" s="97"/>
      <c r="Z49" s="97"/>
      <c r="AA49" s="97"/>
    </row>
    <row r="50" ht="27.75" customHeight="1">
      <c r="A50" s="65" t="s">
        <v>452</v>
      </c>
      <c r="B50" s="334" t="s">
        <v>74</v>
      </c>
      <c r="C50" s="7" t="s">
        <v>74</v>
      </c>
      <c r="D50" s="7" t="s">
        <v>74</v>
      </c>
      <c r="E50" s="335" t="s">
        <v>74</v>
      </c>
      <c r="F50" s="327" t="s">
        <v>74</v>
      </c>
      <c r="G50" s="8">
        <v>45503.0</v>
      </c>
      <c r="H50" s="335" t="s">
        <v>74</v>
      </c>
      <c r="I50" s="327" t="s">
        <v>74</v>
      </c>
      <c r="J50" s="294">
        <v>1.0</v>
      </c>
      <c r="K50" s="295">
        <v>0.001</v>
      </c>
      <c r="L50" s="295">
        <v>0.002</v>
      </c>
      <c r="M50" s="295">
        <v>0.001</v>
      </c>
      <c r="N50" s="295">
        <v>0.0</v>
      </c>
      <c r="O50" s="295">
        <v>0.0</v>
      </c>
      <c r="P50" s="295">
        <v>0.001</v>
      </c>
      <c r="Q50" s="51">
        <f>((26.7*((K50-M50)-(O50-P50))*1000))</f>
        <v>26.7</v>
      </c>
      <c r="R50" s="296" t="s">
        <v>12</v>
      </c>
      <c r="S50" s="297" t="s">
        <v>13</v>
      </c>
      <c r="T50" s="27"/>
      <c r="U50" s="97"/>
      <c r="V50" s="97"/>
      <c r="W50" s="97"/>
      <c r="X50" s="97"/>
      <c r="Y50" s="97"/>
      <c r="Z50" s="97"/>
      <c r="AA50" s="97"/>
    </row>
    <row r="51" ht="15.75" customHeight="1">
      <c r="A51" s="299" t="s">
        <v>453</v>
      </c>
      <c r="B51" s="333">
        <v>45503.0</v>
      </c>
      <c r="C51" s="30">
        <v>0.2673611111111111</v>
      </c>
      <c r="D51" s="8">
        <v>45504.0</v>
      </c>
      <c r="E51" s="324">
        <v>0.5534722222222223</v>
      </c>
      <c r="F51" s="327">
        <v>1000.0</v>
      </c>
      <c r="G51" s="8">
        <v>45503.0</v>
      </c>
      <c r="H51" s="324">
        <v>0.5875</v>
      </c>
      <c r="I51" s="327">
        <v>6.5</v>
      </c>
      <c r="J51" s="325">
        <v>1.0</v>
      </c>
      <c r="K51" s="329">
        <v>0.001</v>
      </c>
      <c r="L51" s="329">
        <v>0.001</v>
      </c>
      <c r="M51" s="329">
        <v>0.0</v>
      </c>
      <c r="N51" s="329">
        <v>0.0</v>
      </c>
      <c r="O51" s="329">
        <v>0.0</v>
      </c>
      <c r="P51" s="329">
        <v>0.0</v>
      </c>
      <c r="Q51" s="303">
        <f t="shared" ref="Q51:Q52" si="4">((26.7*((K51-M51)-(O51-P51))*I51)/(F51*J51))*1000</f>
        <v>0.17355</v>
      </c>
      <c r="R51" s="289"/>
      <c r="S51" s="297" t="s">
        <v>13</v>
      </c>
      <c r="T51" s="27"/>
      <c r="U51" s="97"/>
      <c r="V51" s="97"/>
      <c r="W51" s="97"/>
      <c r="X51" s="97"/>
      <c r="Y51" s="97"/>
      <c r="Z51" s="97"/>
      <c r="AA51" s="97"/>
    </row>
    <row r="52" ht="15.75" customHeight="1">
      <c r="A52" s="299" t="s">
        <v>454</v>
      </c>
      <c r="B52" s="333">
        <v>45503.0</v>
      </c>
      <c r="C52" s="30">
        <v>0.28680555555555554</v>
      </c>
      <c r="D52" s="8">
        <v>45504.0</v>
      </c>
      <c r="E52" s="324">
        <v>0.5555555555555556</v>
      </c>
      <c r="F52" s="327">
        <v>1054.0</v>
      </c>
      <c r="G52" s="8">
        <v>45503.0</v>
      </c>
      <c r="H52" s="324">
        <v>0.5923611111111111</v>
      </c>
      <c r="I52" s="327">
        <v>6.5</v>
      </c>
      <c r="J52" s="325">
        <v>1.0</v>
      </c>
      <c r="K52" s="329">
        <v>0.0</v>
      </c>
      <c r="L52" s="329">
        <v>0.0</v>
      </c>
      <c r="M52" s="329">
        <v>0.0</v>
      </c>
      <c r="N52" s="329">
        <v>-0.001</v>
      </c>
      <c r="O52" s="329">
        <v>-0.001</v>
      </c>
      <c r="P52" s="329">
        <v>0.0</v>
      </c>
      <c r="Q52" s="303">
        <f t="shared" si="4"/>
        <v>0.164658444</v>
      </c>
      <c r="R52" s="289"/>
      <c r="S52" s="297" t="s">
        <v>13</v>
      </c>
      <c r="T52" s="27"/>
      <c r="U52" s="97"/>
      <c r="V52" s="97"/>
      <c r="W52" s="97"/>
      <c r="X52" s="97"/>
      <c r="Y52" s="97"/>
      <c r="Z52" s="97"/>
      <c r="AA52" s="97"/>
    </row>
    <row r="53" ht="15.75" customHeight="1">
      <c r="A53" s="97"/>
      <c r="B53" s="336"/>
      <c r="C53" s="337"/>
      <c r="D53" s="97"/>
      <c r="E53" s="337"/>
      <c r="F53" s="338"/>
      <c r="G53" s="336"/>
      <c r="H53" s="337"/>
      <c r="I53" s="338"/>
      <c r="J53" s="97"/>
      <c r="K53" s="339"/>
      <c r="L53" s="339"/>
      <c r="M53" s="339"/>
      <c r="N53" s="339"/>
      <c r="O53" s="339"/>
      <c r="P53" s="339"/>
      <c r="Q53" s="340"/>
      <c r="R53" s="97"/>
      <c r="S53" s="97"/>
      <c r="T53" s="298"/>
      <c r="U53" s="97"/>
      <c r="V53" s="97"/>
      <c r="W53" s="97"/>
      <c r="X53" s="97"/>
      <c r="Y53" s="97"/>
      <c r="Z53" s="97"/>
      <c r="AA53" s="97"/>
    </row>
    <row r="54" ht="15.75" customHeight="1">
      <c r="A54" s="97"/>
      <c r="B54" s="336"/>
      <c r="C54" s="337"/>
      <c r="D54" s="97"/>
      <c r="E54" s="337"/>
      <c r="F54" s="338"/>
      <c r="G54" s="336"/>
      <c r="H54" s="337"/>
      <c r="I54" s="338"/>
      <c r="J54" s="97"/>
      <c r="K54" s="339"/>
      <c r="L54" s="339"/>
      <c r="M54" s="339"/>
      <c r="N54" s="339"/>
      <c r="O54" s="339"/>
      <c r="P54" s="339"/>
      <c r="Q54" s="340"/>
      <c r="R54" s="97"/>
      <c r="S54" s="97"/>
      <c r="T54" s="298"/>
      <c r="U54" s="97"/>
      <c r="V54" s="97"/>
      <c r="W54" s="97"/>
      <c r="X54" s="97"/>
      <c r="Y54" s="97"/>
      <c r="Z54" s="97"/>
      <c r="AA54" s="97"/>
    </row>
    <row r="55" ht="15.75" customHeight="1">
      <c r="A55" s="97"/>
      <c r="B55" s="336"/>
      <c r="C55" s="337"/>
      <c r="D55" s="97"/>
      <c r="E55" s="337"/>
      <c r="F55" s="338"/>
      <c r="G55" s="336"/>
      <c r="H55" s="337"/>
      <c r="I55" s="338"/>
      <c r="J55" s="97"/>
      <c r="K55" s="339"/>
      <c r="L55" s="339"/>
      <c r="M55" s="339"/>
      <c r="N55" s="339"/>
      <c r="O55" s="339"/>
      <c r="P55" s="339"/>
      <c r="Q55" s="340"/>
      <c r="R55" s="97"/>
      <c r="S55" s="97"/>
      <c r="T55" s="298"/>
      <c r="U55" s="97"/>
      <c r="V55" s="97"/>
      <c r="W55" s="97"/>
      <c r="X55" s="97"/>
      <c r="Y55" s="97"/>
      <c r="Z55" s="97"/>
      <c r="AA55" s="97"/>
    </row>
    <row r="56" ht="15.75" customHeight="1">
      <c r="A56" s="97"/>
      <c r="B56" s="336"/>
      <c r="C56" s="337"/>
      <c r="D56" s="97"/>
      <c r="E56" s="337"/>
      <c r="F56" s="338"/>
      <c r="G56" s="336"/>
      <c r="H56" s="337"/>
      <c r="I56" s="338"/>
      <c r="J56" s="97"/>
      <c r="K56" s="339"/>
      <c r="L56" s="339"/>
      <c r="M56" s="339"/>
      <c r="N56" s="339"/>
      <c r="O56" s="339"/>
      <c r="P56" s="339"/>
      <c r="Q56" s="340"/>
      <c r="R56" s="97"/>
      <c r="S56" s="97"/>
      <c r="T56" s="298"/>
      <c r="U56" s="97"/>
      <c r="V56" s="97"/>
      <c r="W56" s="97"/>
      <c r="X56" s="97"/>
      <c r="Y56" s="97"/>
      <c r="Z56" s="97"/>
      <c r="AA56" s="97"/>
    </row>
    <row r="57" ht="15.75" customHeight="1">
      <c r="A57" s="97"/>
      <c r="B57" s="336"/>
      <c r="C57" s="337"/>
      <c r="D57" s="97"/>
      <c r="E57" s="337"/>
      <c r="F57" s="338"/>
      <c r="G57" s="336"/>
      <c r="H57" s="337"/>
      <c r="I57" s="338"/>
      <c r="J57" s="97"/>
      <c r="K57" s="339"/>
      <c r="L57" s="339"/>
      <c r="M57" s="339"/>
      <c r="N57" s="339"/>
      <c r="O57" s="339"/>
      <c r="P57" s="339"/>
      <c r="Q57" s="340"/>
      <c r="R57" s="97"/>
      <c r="S57" s="97"/>
      <c r="T57" s="298"/>
      <c r="U57" s="97"/>
      <c r="V57" s="97"/>
      <c r="W57" s="97"/>
      <c r="X57" s="97"/>
      <c r="Y57" s="97"/>
      <c r="Z57" s="97"/>
      <c r="AA57" s="97"/>
    </row>
    <row r="58" ht="15.75" customHeight="1">
      <c r="A58" s="97"/>
      <c r="B58" s="336"/>
      <c r="C58" s="337"/>
      <c r="D58" s="97"/>
      <c r="E58" s="337"/>
      <c r="F58" s="338"/>
      <c r="G58" s="336"/>
      <c r="H58" s="337"/>
      <c r="I58" s="338"/>
      <c r="J58" s="97"/>
      <c r="K58" s="339"/>
      <c r="L58" s="339"/>
      <c r="M58" s="339"/>
      <c r="N58" s="339"/>
      <c r="O58" s="339"/>
      <c r="P58" s="339"/>
      <c r="Q58" s="340"/>
      <c r="R58" s="97"/>
      <c r="S58" s="97"/>
      <c r="T58" s="298"/>
      <c r="U58" s="97"/>
      <c r="V58" s="97"/>
      <c r="W58" s="97"/>
      <c r="X58" s="97"/>
      <c r="Y58" s="97"/>
      <c r="Z58" s="97"/>
      <c r="AA58" s="97"/>
    </row>
    <row r="59" ht="15.75" customHeight="1">
      <c r="A59" s="97"/>
      <c r="B59" s="336"/>
      <c r="C59" s="337"/>
      <c r="D59" s="97"/>
      <c r="E59" s="337"/>
      <c r="F59" s="338"/>
      <c r="G59" s="336"/>
      <c r="H59" s="337"/>
      <c r="I59" s="338"/>
      <c r="J59" s="97"/>
      <c r="K59" s="339"/>
      <c r="L59" s="339"/>
      <c r="M59" s="339"/>
      <c r="N59" s="339"/>
      <c r="O59" s="339"/>
      <c r="P59" s="339"/>
      <c r="Q59" s="340"/>
      <c r="R59" s="97"/>
      <c r="S59" s="97"/>
      <c r="T59" s="298"/>
      <c r="U59" s="97"/>
      <c r="V59" s="97"/>
      <c r="W59" s="97"/>
      <c r="X59" s="97"/>
      <c r="Y59" s="97"/>
      <c r="Z59" s="97"/>
      <c r="AA59" s="97"/>
    </row>
    <row r="60" ht="15.75" customHeight="1">
      <c r="A60" s="97"/>
      <c r="B60" s="336"/>
      <c r="C60" s="337"/>
      <c r="D60" s="97"/>
      <c r="E60" s="337"/>
      <c r="F60" s="338"/>
      <c r="G60" s="336"/>
      <c r="H60" s="337"/>
      <c r="I60" s="338"/>
      <c r="J60" s="97"/>
      <c r="K60" s="339"/>
      <c r="L60" s="339"/>
      <c r="M60" s="339"/>
      <c r="N60" s="339"/>
      <c r="O60" s="339"/>
      <c r="P60" s="339"/>
      <c r="Q60" s="340"/>
      <c r="R60" s="97"/>
      <c r="S60" s="97"/>
      <c r="T60" s="298"/>
      <c r="U60" s="97"/>
      <c r="V60" s="97"/>
      <c r="W60" s="97"/>
      <c r="X60" s="97"/>
      <c r="Y60" s="97"/>
      <c r="Z60" s="97"/>
      <c r="AA60" s="97"/>
    </row>
    <row r="61" ht="15.75" customHeight="1">
      <c r="A61" s="97"/>
      <c r="B61" s="336"/>
      <c r="C61" s="337"/>
      <c r="D61" s="97"/>
      <c r="E61" s="337"/>
      <c r="F61" s="338"/>
      <c r="G61" s="336"/>
      <c r="H61" s="337"/>
      <c r="I61" s="338"/>
      <c r="J61" s="97"/>
      <c r="K61" s="339"/>
      <c r="L61" s="339"/>
      <c r="M61" s="339"/>
      <c r="N61" s="339"/>
      <c r="O61" s="339"/>
      <c r="P61" s="339"/>
      <c r="Q61" s="340"/>
      <c r="R61" s="97"/>
      <c r="S61" s="97"/>
      <c r="T61" s="298"/>
      <c r="U61" s="97"/>
      <c r="V61" s="97"/>
      <c r="W61" s="97"/>
      <c r="X61" s="97"/>
      <c r="Y61" s="97"/>
      <c r="Z61" s="97"/>
      <c r="AA61" s="97"/>
    </row>
    <row r="62" ht="15.75" customHeight="1">
      <c r="A62" s="97"/>
      <c r="B62" s="336"/>
      <c r="C62" s="337"/>
      <c r="D62" s="97"/>
      <c r="E62" s="337"/>
      <c r="F62" s="338"/>
      <c r="G62" s="336"/>
      <c r="H62" s="337"/>
      <c r="I62" s="338"/>
      <c r="J62" s="97"/>
      <c r="K62" s="339"/>
      <c r="L62" s="339"/>
      <c r="M62" s="339"/>
      <c r="N62" s="339"/>
      <c r="O62" s="339"/>
      <c r="P62" s="339"/>
      <c r="Q62" s="340"/>
      <c r="R62" s="97"/>
      <c r="S62" s="97"/>
      <c r="T62" s="298"/>
      <c r="U62" s="97"/>
      <c r="V62" s="97"/>
      <c r="W62" s="97"/>
      <c r="X62" s="97"/>
      <c r="Y62" s="97"/>
      <c r="Z62" s="97"/>
      <c r="AA62" s="97"/>
    </row>
    <row r="63" ht="15.75" customHeight="1">
      <c r="A63" s="97"/>
      <c r="B63" s="336"/>
      <c r="C63" s="337"/>
      <c r="D63" s="97"/>
      <c r="E63" s="337"/>
      <c r="F63" s="338"/>
      <c r="G63" s="336"/>
      <c r="H63" s="337"/>
      <c r="I63" s="338"/>
      <c r="J63" s="97"/>
      <c r="K63" s="339"/>
      <c r="L63" s="339"/>
      <c r="M63" s="339"/>
      <c r="N63" s="339"/>
      <c r="O63" s="339"/>
      <c r="P63" s="339"/>
      <c r="Q63" s="340"/>
      <c r="R63" s="97"/>
      <c r="S63" s="97"/>
      <c r="T63" s="298"/>
      <c r="U63" s="97"/>
      <c r="V63" s="97"/>
      <c r="W63" s="97"/>
      <c r="X63" s="97"/>
      <c r="Y63" s="97"/>
      <c r="Z63" s="97"/>
      <c r="AA63" s="97"/>
    </row>
    <row r="64" ht="15.75" customHeight="1">
      <c r="A64" s="97"/>
      <c r="B64" s="336"/>
      <c r="C64" s="337"/>
      <c r="D64" s="97"/>
      <c r="E64" s="337"/>
      <c r="F64" s="338"/>
      <c r="G64" s="336"/>
      <c r="H64" s="337"/>
      <c r="I64" s="338"/>
      <c r="J64" s="97"/>
      <c r="K64" s="339"/>
      <c r="L64" s="339"/>
      <c r="M64" s="339"/>
      <c r="N64" s="339"/>
      <c r="O64" s="339"/>
      <c r="P64" s="339"/>
      <c r="Q64" s="340"/>
      <c r="R64" s="97"/>
      <c r="S64" s="97"/>
      <c r="T64" s="298"/>
      <c r="U64" s="97"/>
      <c r="V64" s="97"/>
      <c r="W64" s="97"/>
      <c r="X64" s="97"/>
      <c r="Y64" s="97"/>
      <c r="Z64" s="97"/>
      <c r="AA64" s="97"/>
    </row>
    <row r="65" ht="15.75" customHeight="1">
      <c r="A65" s="97"/>
      <c r="B65" s="336"/>
      <c r="C65" s="337"/>
      <c r="D65" s="97"/>
      <c r="E65" s="337"/>
      <c r="F65" s="338"/>
      <c r="G65" s="336"/>
      <c r="H65" s="337"/>
      <c r="I65" s="338"/>
      <c r="J65" s="97"/>
      <c r="K65" s="339"/>
      <c r="L65" s="339"/>
      <c r="M65" s="339"/>
      <c r="N65" s="339"/>
      <c r="O65" s="339"/>
      <c r="P65" s="339"/>
      <c r="Q65" s="340"/>
      <c r="R65" s="97"/>
      <c r="S65" s="97"/>
      <c r="T65" s="298"/>
      <c r="U65" s="97"/>
      <c r="V65" s="97"/>
      <c r="W65" s="97"/>
      <c r="X65" s="97"/>
      <c r="Y65" s="97"/>
      <c r="Z65" s="97"/>
      <c r="AA65" s="97"/>
    </row>
    <row r="66" ht="15.75" customHeight="1">
      <c r="A66" s="97"/>
      <c r="B66" s="336"/>
      <c r="C66" s="337"/>
      <c r="D66" s="97"/>
      <c r="E66" s="337"/>
      <c r="F66" s="338"/>
      <c r="G66" s="336"/>
      <c r="H66" s="337"/>
      <c r="I66" s="338"/>
      <c r="J66" s="97"/>
      <c r="K66" s="339"/>
      <c r="L66" s="339"/>
      <c r="M66" s="339"/>
      <c r="N66" s="339"/>
      <c r="O66" s="339"/>
      <c r="P66" s="339"/>
      <c r="Q66" s="340"/>
      <c r="R66" s="97"/>
      <c r="S66" s="97"/>
      <c r="T66" s="298"/>
      <c r="U66" s="97"/>
      <c r="V66" s="97"/>
      <c r="W66" s="97"/>
      <c r="X66" s="97"/>
      <c r="Y66" s="97"/>
      <c r="Z66" s="97"/>
      <c r="AA66" s="97"/>
    </row>
    <row r="67" ht="15.75" customHeight="1">
      <c r="A67" s="97"/>
      <c r="B67" s="336"/>
      <c r="C67" s="337"/>
      <c r="D67" s="97"/>
      <c r="E67" s="337"/>
      <c r="F67" s="338"/>
      <c r="G67" s="336"/>
      <c r="H67" s="337"/>
      <c r="I67" s="338"/>
      <c r="J67" s="97"/>
      <c r="K67" s="339"/>
      <c r="L67" s="339"/>
      <c r="M67" s="339"/>
      <c r="N67" s="339"/>
      <c r="O67" s="339"/>
      <c r="P67" s="339"/>
      <c r="Q67" s="340"/>
      <c r="R67" s="97"/>
      <c r="S67" s="97"/>
      <c r="T67" s="298"/>
      <c r="U67" s="97"/>
      <c r="V67" s="97"/>
      <c r="W67" s="97"/>
      <c r="X67" s="97"/>
      <c r="Y67" s="97"/>
      <c r="Z67" s="97"/>
      <c r="AA67" s="97"/>
    </row>
    <row r="68" ht="15.75" customHeight="1">
      <c r="A68" s="97"/>
      <c r="B68" s="336"/>
      <c r="C68" s="337"/>
      <c r="D68" s="97"/>
      <c r="E68" s="337"/>
      <c r="F68" s="338"/>
      <c r="G68" s="336"/>
      <c r="H68" s="337"/>
      <c r="I68" s="338"/>
      <c r="J68" s="97"/>
      <c r="K68" s="339"/>
      <c r="L68" s="339"/>
      <c r="M68" s="339"/>
      <c r="N68" s="339"/>
      <c r="O68" s="339"/>
      <c r="P68" s="339"/>
      <c r="Q68" s="340"/>
      <c r="R68" s="97"/>
      <c r="S68" s="97"/>
      <c r="T68" s="298"/>
      <c r="U68" s="97"/>
      <c r="V68" s="97"/>
      <c r="W68" s="97"/>
      <c r="X68" s="97"/>
      <c r="Y68" s="97"/>
      <c r="Z68" s="97"/>
      <c r="AA68" s="97"/>
    </row>
    <row r="69" ht="15.75" customHeight="1">
      <c r="A69" s="97"/>
      <c r="B69" s="336"/>
      <c r="C69" s="337"/>
      <c r="D69" s="97"/>
      <c r="E69" s="337"/>
      <c r="F69" s="338"/>
      <c r="G69" s="336"/>
      <c r="H69" s="337"/>
      <c r="I69" s="338"/>
      <c r="J69" s="97"/>
      <c r="K69" s="339"/>
      <c r="L69" s="339"/>
      <c r="M69" s="339"/>
      <c r="N69" s="339"/>
      <c r="O69" s="339"/>
      <c r="P69" s="339"/>
      <c r="Q69" s="340"/>
      <c r="R69" s="97"/>
      <c r="S69" s="97"/>
      <c r="T69" s="298"/>
      <c r="U69" s="97"/>
      <c r="V69" s="97"/>
      <c r="W69" s="97"/>
      <c r="X69" s="97"/>
      <c r="Y69" s="97"/>
      <c r="Z69" s="97"/>
      <c r="AA69" s="97"/>
    </row>
    <row r="70" ht="15.75" customHeight="1">
      <c r="A70" s="97"/>
      <c r="B70" s="336"/>
      <c r="C70" s="337"/>
      <c r="D70" s="97"/>
      <c r="E70" s="337"/>
      <c r="F70" s="338"/>
      <c r="G70" s="336"/>
      <c r="H70" s="337"/>
      <c r="I70" s="338"/>
      <c r="J70" s="97"/>
      <c r="K70" s="339"/>
      <c r="L70" s="339"/>
      <c r="M70" s="339"/>
      <c r="N70" s="339"/>
      <c r="O70" s="339"/>
      <c r="P70" s="339"/>
      <c r="Q70" s="340"/>
      <c r="R70" s="97"/>
      <c r="S70" s="97"/>
      <c r="T70" s="298"/>
      <c r="U70" s="97"/>
      <c r="V70" s="97"/>
      <c r="W70" s="97"/>
      <c r="X70" s="97"/>
      <c r="Y70" s="97"/>
      <c r="Z70" s="97"/>
      <c r="AA70" s="97"/>
    </row>
    <row r="71" ht="15.75" customHeight="1">
      <c r="A71" s="97"/>
      <c r="B71" s="336"/>
      <c r="C71" s="337"/>
      <c r="D71" s="97"/>
      <c r="E71" s="337"/>
      <c r="F71" s="338"/>
      <c r="G71" s="336"/>
      <c r="H71" s="337"/>
      <c r="I71" s="338"/>
      <c r="J71" s="97"/>
      <c r="K71" s="339"/>
      <c r="L71" s="339"/>
      <c r="M71" s="339"/>
      <c r="N71" s="339"/>
      <c r="O71" s="339"/>
      <c r="P71" s="339"/>
      <c r="Q71" s="340"/>
      <c r="R71" s="97"/>
      <c r="S71" s="97"/>
      <c r="T71" s="298"/>
      <c r="U71" s="97"/>
      <c r="V71" s="97"/>
      <c r="W71" s="97"/>
      <c r="X71" s="97"/>
      <c r="Y71" s="97"/>
      <c r="Z71" s="97"/>
      <c r="AA71" s="97"/>
    </row>
    <row r="72" ht="15.75" customHeight="1">
      <c r="A72" s="97"/>
      <c r="B72" s="336"/>
      <c r="C72" s="337"/>
      <c r="D72" s="97"/>
      <c r="E72" s="337"/>
      <c r="F72" s="338"/>
      <c r="G72" s="336"/>
      <c r="H72" s="337"/>
      <c r="I72" s="338"/>
      <c r="J72" s="97"/>
      <c r="K72" s="339"/>
      <c r="L72" s="339"/>
      <c r="M72" s="339"/>
      <c r="N72" s="339"/>
      <c r="O72" s="339"/>
      <c r="P72" s="339"/>
      <c r="Q72" s="340"/>
      <c r="R72" s="97"/>
      <c r="S72" s="97"/>
      <c r="T72" s="298"/>
      <c r="U72" s="97"/>
      <c r="V72" s="97"/>
      <c r="W72" s="97"/>
      <c r="X72" s="97"/>
      <c r="Y72" s="97"/>
      <c r="Z72" s="97"/>
      <c r="AA72" s="97"/>
    </row>
    <row r="73" ht="15.75" customHeight="1">
      <c r="A73" s="97"/>
      <c r="B73" s="336"/>
      <c r="C73" s="337"/>
      <c r="D73" s="97"/>
      <c r="E73" s="337"/>
      <c r="F73" s="338"/>
      <c r="G73" s="336"/>
      <c r="H73" s="337"/>
      <c r="I73" s="338"/>
      <c r="J73" s="97"/>
      <c r="K73" s="339"/>
      <c r="L73" s="339"/>
      <c r="M73" s="339"/>
      <c r="N73" s="339"/>
      <c r="O73" s="339"/>
      <c r="P73" s="339"/>
      <c r="Q73" s="340"/>
      <c r="R73" s="97"/>
      <c r="S73" s="97"/>
      <c r="T73" s="298"/>
      <c r="U73" s="97"/>
      <c r="V73" s="97"/>
      <c r="W73" s="97"/>
      <c r="X73" s="97"/>
      <c r="Y73" s="97"/>
      <c r="Z73" s="97"/>
      <c r="AA73" s="97"/>
    </row>
    <row r="74" ht="15.75" customHeight="1">
      <c r="A74" s="97"/>
      <c r="B74" s="336"/>
      <c r="C74" s="337"/>
      <c r="D74" s="97"/>
      <c r="E74" s="337"/>
      <c r="F74" s="338"/>
      <c r="G74" s="336"/>
      <c r="H74" s="337"/>
      <c r="I74" s="338"/>
      <c r="J74" s="97"/>
      <c r="K74" s="339"/>
      <c r="L74" s="339"/>
      <c r="M74" s="339"/>
      <c r="N74" s="339"/>
      <c r="O74" s="339"/>
      <c r="P74" s="339"/>
      <c r="Q74" s="340"/>
      <c r="R74" s="97"/>
      <c r="S74" s="97"/>
      <c r="T74" s="298"/>
      <c r="U74" s="97"/>
      <c r="V74" s="97"/>
      <c r="W74" s="97"/>
      <c r="X74" s="97"/>
      <c r="Y74" s="97"/>
      <c r="Z74" s="97"/>
      <c r="AA74" s="97"/>
    </row>
    <row r="75" ht="15.75" customHeight="1">
      <c r="A75" s="97"/>
      <c r="B75" s="336"/>
      <c r="C75" s="337"/>
      <c r="D75" s="97"/>
      <c r="E75" s="337"/>
      <c r="F75" s="338"/>
      <c r="G75" s="336"/>
      <c r="H75" s="337"/>
      <c r="I75" s="338"/>
      <c r="J75" s="97"/>
      <c r="K75" s="339"/>
      <c r="L75" s="339"/>
      <c r="M75" s="339"/>
      <c r="N75" s="339"/>
      <c r="O75" s="339"/>
      <c r="P75" s="339"/>
      <c r="Q75" s="340"/>
      <c r="R75" s="97"/>
      <c r="S75" s="97"/>
      <c r="T75" s="298"/>
      <c r="U75" s="97"/>
      <c r="V75" s="97"/>
      <c r="W75" s="97"/>
      <c r="X75" s="97"/>
      <c r="Y75" s="97"/>
      <c r="Z75" s="97"/>
      <c r="AA75" s="97"/>
    </row>
    <row r="76" ht="15.75" customHeight="1">
      <c r="A76" s="97"/>
      <c r="B76" s="336"/>
      <c r="C76" s="337"/>
      <c r="D76" s="97"/>
      <c r="E76" s="337"/>
      <c r="F76" s="338"/>
      <c r="G76" s="336"/>
      <c r="H76" s="337"/>
      <c r="I76" s="338"/>
      <c r="J76" s="97"/>
      <c r="K76" s="339"/>
      <c r="L76" s="339"/>
      <c r="M76" s="339"/>
      <c r="N76" s="339"/>
      <c r="O76" s="339"/>
      <c r="P76" s="339"/>
      <c r="Q76" s="340"/>
      <c r="R76" s="97"/>
      <c r="S76" s="97"/>
      <c r="T76" s="298"/>
      <c r="U76" s="97"/>
      <c r="V76" s="97"/>
      <c r="W76" s="97"/>
      <c r="X76" s="97"/>
      <c r="Y76" s="97"/>
      <c r="Z76" s="97"/>
      <c r="AA76" s="97"/>
    </row>
    <row r="77" ht="15.75" customHeight="1">
      <c r="A77" s="97"/>
      <c r="B77" s="336"/>
      <c r="C77" s="337"/>
      <c r="D77" s="97"/>
      <c r="E77" s="337"/>
      <c r="F77" s="338"/>
      <c r="G77" s="336"/>
      <c r="H77" s="337"/>
      <c r="I77" s="338"/>
      <c r="J77" s="97"/>
      <c r="K77" s="339"/>
      <c r="L77" s="339"/>
      <c r="M77" s="339"/>
      <c r="N77" s="339"/>
      <c r="O77" s="339"/>
      <c r="P77" s="339"/>
      <c r="Q77" s="340"/>
      <c r="R77" s="97"/>
      <c r="S77" s="97"/>
      <c r="T77" s="298"/>
      <c r="U77" s="97"/>
      <c r="V77" s="97"/>
      <c r="W77" s="97"/>
      <c r="X77" s="97"/>
      <c r="Y77" s="97"/>
      <c r="Z77" s="97"/>
      <c r="AA77" s="97"/>
    </row>
    <row r="78" ht="15.75" customHeight="1">
      <c r="A78" s="97"/>
      <c r="B78" s="336"/>
      <c r="C78" s="337"/>
      <c r="D78" s="97"/>
      <c r="E78" s="337"/>
      <c r="F78" s="338"/>
      <c r="G78" s="336"/>
      <c r="H78" s="337"/>
      <c r="I78" s="338"/>
      <c r="J78" s="97"/>
      <c r="K78" s="339"/>
      <c r="L78" s="339"/>
      <c r="M78" s="339"/>
      <c r="N78" s="339"/>
      <c r="O78" s="339"/>
      <c r="P78" s="339"/>
      <c r="Q78" s="340"/>
      <c r="R78" s="97"/>
      <c r="S78" s="97"/>
      <c r="T78" s="298"/>
      <c r="U78" s="97"/>
      <c r="V78" s="97"/>
      <c r="W78" s="97"/>
      <c r="X78" s="97"/>
      <c r="Y78" s="97"/>
      <c r="Z78" s="97"/>
      <c r="AA78" s="97"/>
    </row>
    <row r="79" ht="15.75" customHeight="1">
      <c r="A79" s="97"/>
      <c r="B79" s="336"/>
      <c r="C79" s="337"/>
      <c r="D79" s="97"/>
      <c r="E79" s="337"/>
      <c r="F79" s="338"/>
      <c r="G79" s="336"/>
      <c r="H79" s="337"/>
      <c r="I79" s="338"/>
      <c r="J79" s="97"/>
      <c r="K79" s="339"/>
      <c r="L79" s="339"/>
      <c r="M79" s="339"/>
      <c r="N79" s="339"/>
      <c r="O79" s="339"/>
      <c r="P79" s="339"/>
      <c r="Q79" s="340"/>
      <c r="R79" s="97"/>
      <c r="S79" s="97"/>
      <c r="T79" s="298"/>
      <c r="U79" s="97"/>
      <c r="V79" s="97"/>
      <c r="W79" s="97"/>
      <c r="X79" s="97"/>
      <c r="Y79" s="97"/>
      <c r="Z79" s="97"/>
      <c r="AA79" s="97"/>
    </row>
    <row r="80" ht="15.75" customHeight="1">
      <c r="A80" s="97"/>
      <c r="B80" s="336"/>
      <c r="C80" s="337"/>
      <c r="D80" s="97"/>
      <c r="E80" s="337"/>
      <c r="F80" s="338"/>
      <c r="G80" s="336"/>
      <c r="H80" s="337"/>
      <c r="I80" s="338"/>
      <c r="J80" s="97"/>
      <c r="K80" s="339"/>
      <c r="L80" s="339"/>
      <c r="M80" s="339"/>
      <c r="N80" s="339"/>
      <c r="O80" s="339"/>
      <c r="P80" s="339"/>
      <c r="Q80" s="340"/>
      <c r="R80" s="97"/>
      <c r="S80" s="97"/>
      <c r="T80" s="298"/>
      <c r="U80" s="97"/>
      <c r="V80" s="97"/>
      <c r="W80" s="97"/>
      <c r="X80" s="97"/>
      <c r="Y80" s="97"/>
      <c r="Z80" s="97"/>
      <c r="AA80" s="97"/>
    </row>
    <row r="81" ht="15.75" customHeight="1">
      <c r="A81" s="97"/>
      <c r="B81" s="336"/>
      <c r="C81" s="337"/>
      <c r="D81" s="97"/>
      <c r="E81" s="337"/>
      <c r="F81" s="338"/>
      <c r="G81" s="336"/>
      <c r="H81" s="337"/>
      <c r="I81" s="338"/>
      <c r="J81" s="97"/>
      <c r="K81" s="339"/>
      <c r="L81" s="339"/>
      <c r="M81" s="339"/>
      <c r="N81" s="339"/>
      <c r="O81" s="339"/>
      <c r="P81" s="339"/>
      <c r="Q81" s="340"/>
      <c r="R81" s="97"/>
      <c r="S81" s="97"/>
      <c r="T81" s="298"/>
      <c r="U81" s="97"/>
      <c r="V81" s="97"/>
      <c r="W81" s="97"/>
      <c r="X81" s="97"/>
      <c r="Y81" s="97"/>
      <c r="Z81" s="97"/>
      <c r="AA81" s="97"/>
    </row>
    <row r="82" ht="15.75" customHeight="1">
      <c r="A82" s="97"/>
      <c r="B82" s="336"/>
      <c r="C82" s="337"/>
      <c r="D82" s="97"/>
      <c r="E82" s="337"/>
      <c r="F82" s="338"/>
      <c r="G82" s="336"/>
      <c r="H82" s="337"/>
      <c r="I82" s="338"/>
      <c r="J82" s="97"/>
      <c r="K82" s="339"/>
      <c r="L82" s="339"/>
      <c r="M82" s="339"/>
      <c r="N82" s="339"/>
      <c r="O82" s="339"/>
      <c r="P82" s="339"/>
      <c r="Q82" s="340"/>
      <c r="R82" s="97"/>
      <c r="S82" s="97"/>
      <c r="T82" s="298"/>
      <c r="U82" s="97"/>
      <c r="V82" s="97"/>
      <c r="W82" s="97"/>
      <c r="X82" s="97"/>
      <c r="Y82" s="97"/>
      <c r="Z82" s="97"/>
      <c r="AA82" s="97"/>
    </row>
    <row r="83" ht="15.75" customHeight="1">
      <c r="A83" s="97"/>
      <c r="B83" s="336"/>
      <c r="C83" s="337"/>
      <c r="D83" s="97"/>
      <c r="E83" s="337"/>
      <c r="F83" s="338"/>
      <c r="G83" s="336"/>
      <c r="H83" s="337"/>
      <c r="I83" s="338"/>
      <c r="J83" s="97"/>
      <c r="K83" s="339"/>
      <c r="L83" s="339"/>
      <c r="M83" s="339"/>
      <c r="N83" s="339"/>
      <c r="O83" s="339"/>
      <c r="P83" s="339"/>
      <c r="Q83" s="340"/>
      <c r="R83" s="97"/>
      <c r="S83" s="97"/>
      <c r="T83" s="298"/>
      <c r="U83" s="97"/>
      <c r="V83" s="97"/>
      <c r="W83" s="97"/>
      <c r="X83" s="97"/>
      <c r="Y83" s="97"/>
      <c r="Z83" s="97"/>
      <c r="AA83" s="97"/>
    </row>
    <row r="84" ht="15.75" customHeight="1">
      <c r="A84" s="97"/>
      <c r="B84" s="336"/>
      <c r="C84" s="337"/>
      <c r="D84" s="97"/>
      <c r="E84" s="337"/>
      <c r="F84" s="338"/>
      <c r="G84" s="336"/>
      <c r="H84" s="337"/>
      <c r="I84" s="338"/>
      <c r="J84" s="97"/>
      <c r="K84" s="339"/>
      <c r="L84" s="339"/>
      <c r="M84" s="339"/>
      <c r="N84" s="339"/>
      <c r="O84" s="339"/>
      <c r="P84" s="339"/>
      <c r="Q84" s="340"/>
      <c r="R84" s="97"/>
      <c r="S84" s="97"/>
      <c r="T84" s="298"/>
      <c r="U84" s="97"/>
      <c r="V84" s="97"/>
      <c r="W84" s="97"/>
      <c r="X84" s="97"/>
      <c r="Y84" s="97"/>
      <c r="Z84" s="97"/>
      <c r="AA84" s="97"/>
    </row>
    <row r="85" ht="15.75" customHeight="1">
      <c r="A85" s="97"/>
      <c r="B85" s="336"/>
      <c r="C85" s="337"/>
      <c r="D85" s="97"/>
      <c r="E85" s="337"/>
      <c r="F85" s="338"/>
      <c r="G85" s="336"/>
      <c r="H85" s="337"/>
      <c r="I85" s="338"/>
      <c r="J85" s="97"/>
      <c r="K85" s="339"/>
      <c r="L85" s="339"/>
      <c r="M85" s="339"/>
      <c r="N85" s="339"/>
      <c r="O85" s="339"/>
      <c r="P85" s="339"/>
      <c r="Q85" s="340"/>
      <c r="R85" s="97"/>
      <c r="S85" s="97"/>
      <c r="T85" s="298"/>
      <c r="U85" s="97"/>
      <c r="V85" s="97"/>
      <c r="W85" s="97"/>
      <c r="X85" s="97"/>
      <c r="Y85" s="97"/>
      <c r="Z85" s="97"/>
      <c r="AA85" s="97"/>
    </row>
    <row r="86" ht="15.75" customHeight="1">
      <c r="A86" s="97"/>
      <c r="B86" s="336"/>
      <c r="C86" s="337"/>
      <c r="D86" s="97"/>
      <c r="E86" s="337"/>
      <c r="F86" s="338"/>
      <c r="G86" s="336"/>
      <c r="H86" s="337"/>
      <c r="I86" s="338"/>
      <c r="J86" s="97"/>
      <c r="K86" s="339"/>
      <c r="L86" s="339"/>
      <c r="M86" s="339"/>
      <c r="N86" s="339"/>
      <c r="O86" s="339"/>
      <c r="P86" s="339"/>
      <c r="Q86" s="340"/>
      <c r="R86" s="97"/>
      <c r="S86" s="97"/>
      <c r="T86" s="298"/>
      <c r="U86" s="97"/>
      <c r="V86" s="97"/>
      <c r="W86" s="97"/>
      <c r="X86" s="97"/>
      <c r="Y86" s="97"/>
      <c r="Z86" s="97"/>
      <c r="AA86" s="97"/>
    </row>
    <row r="87" ht="15.75" customHeight="1">
      <c r="A87" s="97"/>
      <c r="B87" s="336"/>
      <c r="C87" s="337"/>
      <c r="D87" s="97"/>
      <c r="E87" s="337"/>
      <c r="F87" s="338"/>
      <c r="G87" s="336"/>
      <c r="H87" s="337"/>
      <c r="I87" s="338"/>
      <c r="J87" s="97"/>
      <c r="K87" s="339"/>
      <c r="L87" s="339"/>
      <c r="M87" s="339"/>
      <c r="N87" s="339"/>
      <c r="O87" s="339"/>
      <c r="P87" s="339"/>
      <c r="Q87" s="340"/>
      <c r="R87" s="97"/>
      <c r="S87" s="97"/>
      <c r="T87" s="298"/>
      <c r="U87" s="97"/>
      <c r="V87" s="97"/>
      <c r="W87" s="97"/>
      <c r="X87" s="97"/>
      <c r="Y87" s="97"/>
      <c r="Z87" s="97"/>
      <c r="AA87" s="97"/>
    </row>
    <row r="88" ht="15.75" customHeight="1">
      <c r="A88" s="97"/>
      <c r="B88" s="336"/>
      <c r="C88" s="337"/>
      <c r="D88" s="97"/>
      <c r="E88" s="337"/>
      <c r="F88" s="338"/>
      <c r="G88" s="336"/>
      <c r="H88" s="337"/>
      <c r="I88" s="338"/>
      <c r="J88" s="97"/>
      <c r="K88" s="339"/>
      <c r="L88" s="339"/>
      <c r="M88" s="339"/>
      <c r="N88" s="339"/>
      <c r="O88" s="339"/>
      <c r="P88" s="339"/>
      <c r="Q88" s="340"/>
      <c r="R88" s="97"/>
      <c r="S88" s="97"/>
      <c r="T88" s="298"/>
      <c r="U88" s="97"/>
      <c r="V88" s="97"/>
      <c r="W88" s="97"/>
      <c r="X88" s="97"/>
      <c r="Y88" s="97"/>
      <c r="Z88" s="97"/>
      <c r="AA88" s="97"/>
    </row>
    <row r="89" ht="15.75" customHeight="1">
      <c r="A89" s="97"/>
      <c r="B89" s="336"/>
      <c r="C89" s="337"/>
      <c r="D89" s="97"/>
      <c r="E89" s="337"/>
      <c r="F89" s="338"/>
      <c r="G89" s="336"/>
      <c r="H89" s="337"/>
      <c r="I89" s="338"/>
      <c r="J89" s="97"/>
      <c r="K89" s="339"/>
      <c r="L89" s="339"/>
      <c r="M89" s="339"/>
      <c r="N89" s="339"/>
      <c r="O89" s="339"/>
      <c r="P89" s="339"/>
      <c r="Q89" s="340"/>
      <c r="R89" s="97"/>
      <c r="S89" s="97"/>
      <c r="T89" s="298"/>
      <c r="U89" s="97"/>
      <c r="V89" s="97"/>
      <c r="W89" s="97"/>
      <c r="X89" s="97"/>
      <c r="Y89" s="97"/>
      <c r="Z89" s="97"/>
      <c r="AA89" s="97"/>
    </row>
    <row r="90" ht="15.75" customHeight="1">
      <c r="A90" s="97"/>
      <c r="B90" s="336"/>
      <c r="C90" s="337"/>
      <c r="D90" s="97"/>
      <c r="E90" s="337"/>
      <c r="F90" s="338"/>
      <c r="G90" s="336"/>
      <c r="H90" s="337"/>
      <c r="I90" s="338"/>
      <c r="J90" s="97"/>
      <c r="K90" s="339"/>
      <c r="L90" s="339"/>
      <c r="M90" s="339"/>
      <c r="N90" s="339"/>
      <c r="O90" s="339"/>
      <c r="P90" s="339"/>
      <c r="Q90" s="340"/>
      <c r="R90" s="97"/>
      <c r="S90" s="97"/>
      <c r="T90" s="298"/>
      <c r="U90" s="97"/>
      <c r="V90" s="97"/>
      <c r="W90" s="97"/>
      <c r="X90" s="97"/>
      <c r="Y90" s="97"/>
      <c r="Z90" s="97"/>
      <c r="AA90" s="97"/>
    </row>
    <row r="91" ht="15.75" customHeight="1">
      <c r="A91" s="97"/>
      <c r="B91" s="336"/>
      <c r="C91" s="337"/>
      <c r="D91" s="97"/>
      <c r="E91" s="337"/>
      <c r="F91" s="338"/>
      <c r="G91" s="336"/>
      <c r="H91" s="337"/>
      <c r="I91" s="338"/>
      <c r="J91" s="97"/>
      <c r="K91" s="339"/>
      <c r="L91" s="339"/>
      <c r="M91" s="339"/>
      <c r="N91" s="339"/>
      <c r="O91" s="339"/>
      <c r="P91" s="339"/>
      <c r="Q91" s="340"/>
      <c r="R91" s="97"/>
      <c r="S91" s="97"/>
      <c r="T91" s="298"/>
      <c r="U91" s="97"/>
      <c r="V91" s="97"/>
      <c r="W91" s="97"/>
      <c r="X91" s="97"/>
      <c r="Y91" s="97"/>
      <c r="Z91" s="97"/>
      <c r="AA91" s="97"/>
    </row>
    <row r="92" ht="15.75" customHeight="1">
      <c r="A92" s="97"/>
      <c r="B92" s="336"/>
      <c r="C92" s="337"/>
      <c r="D92" s="97"/>
      <c r="E92" s="337"/>
      <c r="F92" s="338"/>
      <c r="G92" s="336"/>
      <c r="H92" s="337"/>
      <c r="I92" s="338"/>
      <c r="J92" s="97"/>
      <c r="K92" s="339"/>
      <c r="L92" s="339"/>
      <c r="M92" s="339"/>
      <c r="N92" s="339"/>
      <c r="O92" s="339"/>
      <c r="P92" s="339"/>
      <c r="Q92" s="340"/>
      <c r="R92" s="97"/>
      <c r="S92" s="97"/>
      <c r="T92" s="298"/>
      <c r="U92" s="97"/>
      <c r="V92" s="97"/>
      <c r="W92" s="97"/>
      <c r="X92" s="97"/>
      <c r="Y92" s="97"/>
      <c r="Z92" s="97"/>
      <c r="AA92" s="97"/>
    </row>
    <row r="93" ht="15.75" customHeight="1">
      <c r="A93" s="97"/>
      <c r="B93" s="336"/>
      <c r="C93" s="337"/>
      <c r="D93" s="97"/>
      <c r="E93" s="337"/>
      <c r="F93" s="338"/>
      <c r="G93" s="336"/>
      <c r="H93" s="337"/>
      <c r="I93" s="338"/>
      <c r="J93" s="97"/>
      <c r="K93" s="339"/>
      <c r="L93" s="339"/>
      <c r="M93" s="339"/>
      <c r="N93" s="339"/>
      <c r="O93" s="339"/>
      <c r="P93" s="339"/>
      <c r="Q93" s="340"/>
      <c r="R93" s="97"/>
      <c r="S93" s="97"/>
      <c r="T93" s="298"/>
      <c r="U93" s="97"/>
      <c r="V93" s="97"/>
      <c r="W93" s="97"/>
      <c r="X93" s="97"/>
      <c r="Y93" s="97"/>
      <c r="Z93" s="97"/>
      <c r="AA93" s="97"/>
    </row>
    <row r="94" ht="15.75" customHeight="1">
      <c r="A94" s="97"/>
      <c r="B94" s="336"/>
      <c r="C94" s="337"/>
      <c r="D94" s="97"/>
      <c r="E94" s="337"/>
      <c r="F94" s="338"/>
      <c r="G94" s="336"/>
      <c r="H94" s="337"/>
      <c r="I94" s="338"/>
      <c r="J94" s="97"/>
      <c r="K94" s="339"/>
      <c r="L94" s="339"/>
      <c r="M94" s="339"/>
      <c r="N94" s="339"/>
      <c r="O94" s="339"/>
      <c r="P94" s="339"/>
      <c r="Q94" s="340"/>
      <c r="R94" s="97"/>
      <c r="S94" s="97"/>
      <c r="T94" s="298"/>
      <c r="U94" s="97"/>
      <c r="V94" s="97"/>
      <c r="W94" s="97"/>
      <c r="X94" s="97"/>
      <c r="Y94" s="97"/>
      <c r="Z94" s="97"/>
      <c r="AA94" s="97"/>
    </row>
    <row r="95" ht="15.75" customHeight="1">
      <c r="A95" s="97"/>
      <c r="B95" s="336"/>
      <c r="C95" s="337"/>
      <c r="D95" s="97"/>
      <c r="E95" s="337"/>
      <c r="F95" s="338"/>
      <c r="G95" s="336"/>
      <c r="H95" s="337"/>
      <c r="I95" s="338"/>
      <c r="J95" s="97"/>
      <c r="K95" s="339"/>
      <c r="L95" s="339"/>
      <c r="M95" s="339"/>
      <c r="N95" s="339"/>
      <c r="O95" s="339"/>
      <c r="P95" s="339"/>
      <c r="Q95" s="340"/>
      <c r="R95" s="97"/>
      <c r="S95" s="97"/>
      <c r="T95" s="298"/>
      <c r="U95" s="97"/>
      <c r="V95" s="97"/>
      <c r="W95" s="97"/>
      <c r="X95" s="97"/>
      <c r="Y95" s="97"/>
      <c r="Z95" s="97"/>
      <c r="AA95" s="97"/>
    </row>
    <row r="96" ht="15.75" customHeight="1">
      <c r="A96" s="97"/>
      <c r="B96" s="336"/>
      <c r="C96" s="337"/>
      <c r="D96" s="97"/>
      <c r="E96" s="337"/>
      <c r="F96" s="338"/>
      <c r="G96" s="336"/>
      <c r="H96" s="337"/>
      <c r="I96" s="338"/>
      <c r="J96" s="97"/>
      <c r="K96" s="339"/>
      <c r="L96" s="339"/>
      <c r="M96" s="339"/>
      <c r="N96" s="339"/>
      <c r="O96" s="339"/>
      <c r="P96" s="339"/>
      <c r="Q96" s="340"/>
      <c r="R96" s="97"/>
      <c r="S96" s="97"/>
      <c r="T96" s="298"/>
      <c r="U96" s="97"/>
      <c r="V96" s="97"/>
      <c r="W96" s="97"/>
      <c r="X96" s="97"/>
      <c r="Y96" s="97"/>
      <c r="Z96" s="97"/>
      <c r="AA96" s="97"/>
    </row>
    <row r="97" ht="15.75" customHeight="1">
      <c r="A97" s="97"/>
      <c r="B97" s="336"/>
      <c r="C97" s="337"/>
      <c r="D97" s="97"/>
      <c r="E97" s="337"/>
      <c r="F97" s="338"/>
      <c r="G97" s="336"/>
      <c r="H97" s="337"/>
      <c r="I97" s="338"/>
      <c r="J97" s="97"/>
      <c r="K97" s="339"/>
      <c r="L97" s="339"/>
      <c r="M97" s="339"/>
      <c r="N97" s="339"/>
      <c r="O97" s="339"/>
      <c r="P97" s="339"/>
      <c r="Q97" s="340"/>
      <c r="R97" s="97"/>
      <c r="S97" s="97"/>
      <c r="T97" s="298"/>
      <c r="U97" s="97"/>
      <c r="V97" s="97"/>
      <c r="W97" s="97"/>
      <c r="X97" s="97"/>
      <c r="Y97" s="97"/>
      <c r="Z97" s="97"/>
      <c r="AA97" s="97"/>
    </row>
    <row r="98" ht="15.75" customHeight="1">
      <c r="A98" s="97"/>
      <c r="B98" s="336"/>
      <c r="C98" s="337"/>
      <c r="D98" s="97"/>
      <c r="E98" s="337"/>
      <c r="F98" s="338"/>
      <c r="G98" s="336"/>
      <c r="H98" s="337"/>
      <c r="I98" s="338"/>
      <c r="J98" s="97"/>
      <c r="K98" s="339"/>
      <c r="L98" s="339"/>
      <c r="M98" s="339"/>
      <c r="N98" s="339"/>
      <c r="O98" s="339"/>
      <c r="P98" s="339"/>
      <c r="Q98" s="340"/>
      <c r="R98" s="97"/>
      <c r="S98" s="97"/>
      <c r="T98" s="298"/>
      <c r="U98" s="97"/>
      <c r="V98" s="97"/>
      <c r="W98" s="97"/>
      <c r="X98" s="97"/>
      <c r="Y98" s="97"/>
      <c r="Z98" s="97"/>
      <c r="AA98" s="97"/>
    </row>
    <row r="99" ht="15.75" customHeight="1">
      <c r="A99" s="97"/>
      <c r="B99" s="336"/>
      <c r="C99" s="337"/>
      <c r="D99" s="97"/>
      <c r="E99" s="337"/>
      <c r="F99" s="338"/>
      <c r="G99" s="336"/>
      <c r="H99" s="337"/>
      <c r="I99" s="338"/>
      <c r="J99" s="97"/>
      <c r="K99" s="339"/>
      <c r="L99" s="339"/>
      <c r="M99" s="339"/>
      <c r="N99" s="339"/>
      <c r="O99" s="339"/>
      <c r="P99" s="339"/>
      <c r="Q99" s="340"/>
      <c r="R99" s="97"/>
      <c r="S99" s="97"/>
      <c r="T99" s="298"/>
      <c r="U99" s="97"/>
      <c r="V99" s="97"/>
      <c r="W99" s="97"/>
      <c r="X99" s="97"/>
      <c r="Y99" s="97"/>
      <c r="Z99" s="97"/>
      <c r="AA99" s="97"/>
    </row>
    <row r="100" ht="15.75" customHeight="1">
      <c r="A100" s="97"/>
      <c r="B100" s="336"/>
      <c r="C100" s="337"/>
      <c r="D100" s="97"/>
      <c r="E100" s="337"/>
      <c r="F100" s="338"/>
      <c r="G100" s="336"/>
      <c r="H100" s="337"/>
      <c r="I100" s="338"/>
      <c r="J100" s="97"/>
      <c r="K100" s="339"/>
      <c r="L100" s="339"/>
      <c r="M100" s="339"/>
      <c r="N100" s="339"/>
      <c r="O100" s="339"/>
      <c r="P100" s="339"/>
      <c r="Q100" s="340"/>
      <c r="R100" s="97"/>
      <c r="S100" s="97"/>
      <c r="T100" s="298"/>
      <c r="U100" s="97"/>
      <c r="V100" s="97"/>
      <c r="W100" s="97"/>
      <c r="X100" s="97"/>
      <c r="Y100" s="97"/>
      <c r="Z100" s="97"/>
      <c r="AA100" s="97"/>
    </row>
    <row r="101" ht="15.75" customHeight="1">
      <c r="A101" s="97"/>
      <c r="B101" s="336"/>
      <c r="C101" s="337"/>
      <c r="D101" s="97"/>
      <c r="E101" s="337"/>
      <c r="F101" s="338"/>
      <c r="G101" s="336"/>
      <c r="H101" s="337"/>
      <c r="I101" s="338"/>
      <c r="J101" s="97"/>
      <c r="K101" s="339"/>
      <c r="L101" s="339"/>
      <c r="M101" s="339"/>
      <c r="N101" s="339"/>
      <c r="O101" s="339"/>
      <c r="P101" s="339"/>
      <c r="Q101" s="340"/>
      <c r="R101" s="97"/>
      <c r="S101" s="97"/>
      <c r="T101" s="298"/>
      <c r="U101" s="97"/>
      <c r="V101" s="97"/>
      <c r="W101" s="97"/>
      <c r="X101" s="97"/>
      <c r="Y101" s="97"/>
      <c r="Z101" s="97"/>
      <c r="AA101" s="97"/>
    </row>
    <row r="102" ht="15.75" customHeight="1">
      <c r="A102" s="97"/>
      <c r="B102" s="336"/>
      <c r="C102" s="337"/>
      <c r="D102" s="97"/>
      <c r="E102" s="337"/>
      <c r="F102" s="338"/>
      <c r="G102" s="336"/>
      <c r="H102" s="337"/>
      <c r="I102" s="338"/>
      <c r="J102" s="97"/>
      <c r="K102" s="339"/>
      <c r="L102" s="339"/>
      <c r="M102" s="339"/>
      <c r="N102" s="339"/>
      <c r="O102" s="339"/>
      <c r="P102" s="339"/>
      <c r="Q102" s="340"/>
      <c r="R102" s="97"/>
      <c r="S102" s="97"/>
      <c r="T102" s="298"/>
      <c r="U102" s="97"/>
      <c r="V102" s="97"/>
      <c r="W102" s="97"/>
      <c r="X102" s="97"/>
      <c r="Y102" s="97"/>
      <c r="Z102" s="97"/>
      <c r="AA102" s="97"/>
    </row>
    <row r="103" ht="15.75" customHeight="1">
      <c r="A103" s="97"/>
      <c r="B103" s="336"/>
      <c r="C103" s="337"/>
      <c r="D103" s="97"/>
      <c r="E103" s="337"/>
      <c r="F103" s="338"/>
      <c r="G103" s="336"/>
      <c r="H103" s="337"/>
      <c r="I103" s="338"/>
      <c r="J103" s="97"/>
      <c r="K103" s="339"/>
      <c r="L103" s="339"/>
      <c r="M103" s="339"/>
      <c r="N103" s="339"/>
      <c r="O103" s="339"/>
      <c r="P103" s="339"/>
      <c r="Q103" s="340"/>
      <c r="R103" s="97"/>
      <c r="S103" s="97"/>
      <c r="T103" s="298"/>
      <c r="U103" s="97"/>
      <c r="V103" s="97"/>
      <c r="W103" s="97"/>
      <c r="X103" s="97"/>
      <c r="Y103" s="97"/>
      <c r="Z103" s="97"/>
      <c r="AA103" s="97"/>
    </row>
    <row r="104" ht="15.75" customHeight="1">
      <c r="A104" s="97"/>
      <c r="B104" s="336"/>
      <c r="C104" s="337"/>
      <c r="D104" s="97"/>
      <c r="E104" s="337"/>
      <c r="F104" s="338"/>
      <c r="G104" s="336"/>
      <c r="H104" s="337"/>
      <c r="I104" s="338"/>
      <c r="J104" s="97"/>
      <c r="K104" s="339"/>
      <c r="L104" s="339"/>
      <c r="M104" s="339"/>
      <c r="N104" s="339"/>
      <c r="O104" s="339"/>
      <c r="P104" s="339"/>
      <c r="Q104" s="340"/>
      <c r="R104" s="97"/>
      <c r="S104" s="97"/>
      <c r="T104" s="298"/>
      <c r="U104" s="97"/>
      <c r="V104" s="97"/>
      <c r="W104" s="97"/>
      <c r="X104" s="97"/>
      <c r="Y104" s="97"/>
      <c r="Z104" s="97"/>
      <c r="AA104" s="97"/>
    </row>
    <row r="105" ht="15.75" customHeight="1">
      <c r="A105" s="97"/>
      <c r="B105" s="336"/>
      <c r="C105" s="337"/>
      <c r="D105" s="97"/>
      <c r="E105" s="337"/>
      <c r="F105" s="338"/>
      <c r="G105" s="336"/>
      <c r="H105" s="337"/>
      <c r="I105" s="338"/>
      <c r="J105" s="97"/>
      <c r="K105" s="339"/>
      <c r="L105" s="339"/>
      <c r="M105" s="339"/>
      <c r="N105" s="339"/>
      <c r="O105" s="339"/>
      <c r="P105" s="339"/>
      <c r="Q105" s="340"/>
      <c r="R105" s="97"/>
      <c r="S105" s="97"/>
      <c r="T105" s="298"/>
      <c r="U105" s="97"/>
      <c r="V105" s="97"/>
      <c r="W105" s="97"/>
      <c r="X105" s="97"/>
      <c r="Y105" s="97"/>
      <c r="Z105" s="97"/>
      <c r="AA105" s="97"/>
    </row>
    <row r="106" ht="15.75" customHeight="1">
      <c r="A106" s="97"/>
      <c r="B106" s="336"/>
      <c r="C106" s="337"/>
      <c r="D106" s="97"/>
      <c r="E106" s="337"/>
      <c r="F106" s="338"/>
      <c r="G106" s="336"/>
      <c r="H106" s="337"/>
      <c r="I106" s="338"/>
      <c r="J106" s="97"/>
      <c r="K106" s="339"/>
      <c r="L106" s="339"/>
      <c r="M106" s="339"/>
      <c r="N106" s="339"/>
      <c r="O106" s="339"/>
      <c r="P106" s="339"/>
      <c r="Q106" s="340"/>
      <c r="R106" s="97"/>
      <c r="S106" s="97"/>
      <c r="T106" s="298"/>
      <c r="U106" s="97"/>
      <c r="V106" s="97"/>
      <c r="W106" s="97"/>
      <c r="X106" s="97"/>
      <c r="Y106" s="97"/>
      <c r="Z106" s="97"/>
      <c r="AA106" s="97"/>
    </row>
    <row r="107" ht="15.75" customHeight="1">
      <c r="A107" s="97"/>
      <c r="B107" s="336"/>
      <c r="C107" s="337"/>
      <c r="D107" s="97"/>
      <c r="E107" s="337"/>
      <c r="F107" s="338"/>
      <c r="G107" s="336"/>
      <c r="H107" s="337"/>
      <c r="I107" s="338"/>
      <c r="J107" s="97"/>
      <c r="K107" s="339"/>
      <c r="L107" s="339"/>
      <c r="M107" s="339"/>
      <c r="N107" s="339"/>
      <c r="O107" s="339"/>
      <c r="P107" s="339"/>
      <c r="Q107" s="340"/>
      <c r="R107" s="97"/>
      <c r="S107" s="97"/>
      <c r="T107" s="298"/>
      <c r="U107" s="97"/>
      <c r="V107" s="97"/>
      <c r="W107" s="97"/>
      <c r="X107" s="97"/>
      <c r="Y107" s="97"/>
      <c r="Z107" s="97"/>
      <c r="AA107" s="97"/>
    </row>
    <row r="108" ht="15.75" customHeight="1">
      <c r="A108" s="97"/>
      <c r="B108" s="336"/>
      <c r="C108" s="337"/>
      <c r="D108" s="97"/>
      <c r="E108" s="337"/>
      <c r="F108" s="338"/>
      <c r="G108" s="336"/>
      <c r="H108" s="337"/>
      <c r="I108" s="338"/>
      <c r="J108" s="97"/>
      <c r="K108" s="339"/>
      <c r="L108" s="339"/>
      <c r="M108" s="339"/>
      <c r="N108" s="339"/>
      <c r="O108" s="339"/>
      <c r="P108" s="339"/>
      <c r="Q108" s="340"/>
      <c r="R108" s="97"/>
      <c r="S108" s="97"/>
      <c r="T108" s="298"/>
      <c r="U108" s="97"/>
      <c r="V108" s="97"/>
      <c r="W108" s="97"/>
      <c r="X108" s="97"/>
      <c r="Y108" s="97"/>
      <c r="Z108" s="97"/>
      <c r="AA108" s="97"/>
    </row>
    <row r="109" ht="15.75" customHeight="1">
      <c r="A109" s="97"/>
      <c r="B109" s="336"/>
      <c r="C109" s="337"/>
      <c r="D109" s="97"/>
      <c r="E109" s="337"/>
      <c r="F109" s="338"/>
      <c r="G109" s="336"/>
      <c r="H109" s="337"/>
      <c r="I109" s="338"/>
      <c r="J109" s="97"/>
      <c r="K109" s="339"/>
      <c r="L109" s="339"/>
      <c r="M109" s="339"/>
      <c r="N109" s="339"/>
      <c r="O109" s="339"/>
      <c r="P109" s="339"/>
      <c r="Q109" s="340"/>
      <c r="R109" s="97"/>
      <c r="S109" s="97"/>
      <c r="T109" s="298"/>
      <c r="U109" s="97"/>
      <c r="V109" s="97"/>
      <c r="W109" s="97"/>
      <c r="X109" s="97"/>
      <c r="Y109" s="97"/>
      <c r="Z109" s="97"/>
      <c r="AA109" s="97"/>
    </row>
    <row r="110" ht="15.75" customHeight="1">
      <c r="A110" s="97"/>
      <c r="B110" s="336"/>
      <c r="C110" s="337"/>
      <c r="D110" s="97"/>
      <c r="E110" s="337"/>
      <c r="F110" s="338"/>
      <c r="G110" s="336"/>
      <c r="H110" s="337"/>
      <c r="I110" s="338"/>
      <c r="J110" s="97"/>
      <c r="K110" s="339"/>
      <c r="L110" s="339"/>
      <c r="M110" s="339"/>
      <c r="N110" s="339"/>
      <c r="O110" s="339"/>
      <c r="P110" s="339"/>
      <c r="Q110" s="340"/>
      <c r="R110" s="97"/>
      <c r="S110" s="97"/>
      <c r="T110" s="298"/>
      <c r="U110" s="97"/>
      <c r="V110" s="97"/>
      <c r="W110" s="97"/>
      <c r="X110" s="97"/>
      <c r="Y110" s="97"/>
      <c r="Z110" s="97"/>
      <c r="AA110" s="97"/>
    </row>
    <row r="111" ht="15.75" customHeight="1">
      <c r="A111" s="97"/>
      <c r="B111" s="336"/>
      <c r="C111" s="337"/>
      <c r="D111" s="97"/>
      <c r="E111" s="337"/>
      <c r="F111" s="338"/>
      <c r="G111" s="336"/>
      <c r="H111" s="337"/>
      <c r="I111" s="338"/>
      <c r="J111" s="97"/>
      <c r="K111" s="339"/>
      <c r="L111" s="339"/>
      <c r="M111" s="339"/>
      <c r="N111" s="339"/>
      <c r="O111" s="339"/>
      <c r="P111" s="339"/>
      <c r="Q111" s="340"/>
      <c r="R111" s="97"/>
      <c r="S111" s="97"/>
      <c r="T111" s="298"/>
      <c r="U111" s="97"/>
      <c r="V111" s="97"/>
      <c r="W111" s="97"/>
      <c r="X111" s="97"/>
      <c r="Y111" s="97"/>
      <c r="Z111" s="97"/>
      <c r="AA111" s="97"/>
    </row>
    <row r="112" ht="15.75" customHeight="1">
      <c r="A112" s="97"/>
      <c r="B112" s="336"/>
      <c r="C112" s="337"/>
      <c r="D112" s="97"/>
      <c r="E112" s="337"/>
      <c r="F112" s="338"/>
      <c r="G112" s="336"/>
      <c r="H112" s="337"/>
      <c r="I112" s="338"/>
      <c r="J112" s="97"/>
      <c r="K112" s="339"/>
      <c r="L112" s="339"/>
      <c r="M112" s="339"/>
      <c r="N112" s="339"/>
      <c r="O112" s="339"/>
      <c r="P112" s="339"/>
      <c r="Q112" s="340"/>
      <c r="R112" s="97"/>
      <c r="S112" s="97"/>
      <c r="T112" s="298"/>
      <c r="U112" s="97"/>
      <c r="V112" s="97"/>
      <c r="W112" s="97"/>
      <c r="X112" s="97"/>
      <c r="Y112" s="97"/>
      <c r="Z112" s="97"/>
      <c r="AA112" s="97"/>
    </row>
    <row r="113" ht="15.75" customHeight="1">
      <c r="A113" s="97"/>
      <c r="B113" s="336"/>
      <c r="C113" s="337"/>
      <c r="D113" s="97"/>
      <c r="E113" s="337"/>
      <c r="F113" s="338"/>
      <c r="G113" s="336"/>
      <c r="H113" s="337"/>
      <c r="I113" s="338"/>
      <c r="J113" s="97"/>
      <c r="K113" s="339"/>
      <c r="L113" s="339"/>
      <c r="M113" s="339"/>
      <c r="N113" s="339"/>
      <c r="O113" s="339"/>
      <c r="P113" s="339"/>
      <c r="Q113" s="340"/>
      <c r="R113" s="97"/>
      <c r="S113" s="97"/>
      <c r="T113" s="298"/>
      <c r="U113" s="97"/>
      <c r="V113" s="97"/>
      <c r="W113" s="97"/>
      <c r="X113" s="97"/>
      <c r="Y113" s="97"/>
      <c r="Z113" s="97"/>
      <c r="AA113" s="97"/>
    </row>
    <row r="114" ht="15.75" customHeight="1">
      <c r="A114" s="97"/>
      <c r="B114" s="336"/>
      <c r="C114" s="337"/>
      <c r="D114" s="97"/>
      <c r="E114" s="337"/>
      <c r="F114" s="338"/>
      <c r="G114" s="336"/>
      <c r="H114" s="337"/>
      <c r="I114" s="338"/>
      <c r="J114" s="97"/>
      <c r="K114" s="339"/>
      <c r="L114" s="339"/>
      <c r="M114" s="339"/>
      <c r="N114" s="339"/>
      <c r="O114" s="339"/>
      <c r="P114" s="339"/>
      <c r="Q114" s="340"/>
      <c r="R114" s="97"/>
      <c r="S114" s="97"/>
      <c r="T114" s="298"/>
      <c r="U114" s="97"/>
      <c r="V114" s="97"/>
      <c r="W114" s="97"/>
      <c r="X114" s="97"/>
      <c r="Y114" s="97"/>
      <c r="Z114" s="97"/>
      <c r="AA114" s="97"/>
    </row>
    <row r="115" ht="15.75" customHeight="1">
      <c r="A115" s="97"/>
      <c r="B115" s="336"/>
      <c r="C115" s="337"/>
      <c r="D115" s="97"/>
      <c r="E115" s="337"/>
      <c r="F115" s="338"/>
      <c r="G115" s="336"/>
      <c r="H115" s="337"/>
      <c r="I115" s="338"/>
      <c r="J115" s="97"/>
      <c r="K115" s="339"/>
      <c r="L115" s="339"/>
      <c r="M115" s="339"/>
      <c r="N115" s="339"/>
      <c r="O115" s="339"/>
      <c r="P115" s="339"/>
      <c r="Q115" s="340"/>
      <c r="R115" s="97"/>
      <c r="S115" s="97"/>
      <c r="T115" s="298"/>
      <c r="U115" s="97"/>
      <c r="V115" s="97"/>
      <c r="W115" s="97"/>
      <c r="X115" s="97"/>
      <c r="Y115" s="97"/>
      <c r="Z115" s="97"/>
      <c r="AA115" s="97"/>
    </row>
    <row r="116" ht="15.75" customHeight="1">
      <c r="A116" s="97"/>
      <c r="B116" s="336"/>
      <c r="C116" s="337"/>
      <c r="D116" s="97"/>
      <c r="E116" s="337"/>
      <c r="F116" s="338"/>
      <c r="G116" s="336"/>
      <c r="H116" s="337"/>
      <c r="I116" s="338"/>
      <c r="J116" s="97"/>
      <c r="K116" s="339"/>
      <c r="L116" s="339"/>
      <c r="M116" s="339"/>
      <c r="N116" s="339"/>
      <c r="O116" s="339"/>
      <c r="P116" s="339"/>
      <c r="Q116" s="340"/>
      <c r="R116" s="97"/>
      <c r="S116" s="97"/>
      <c r="T116" s="298"/>
      <c r="U116" s="97"/>
      <c r="V116" s="97"/>
      <c r="W116" s="97"/>
      <c r="X116" s="97"/>
      <c r="Y116" s="97"/>
      <c r="Z116" s="97"/>
      <c r="AA116" s="97"/>
    </row>
    <row r="117" ht="15.75" customHeight="1">
      <c r="A117" s="97"/>
      <c r="B117" s="336"/>
      <c r="C117" s="337"/>
      <c r="D117" s="97"/>
      <c r="E117" s="337"/>
      <c r="F117" s="338"/>
      <c r="G117" s="336"/>
      <c r="H117" s="337"/>
      <c r="I117" s="338"/>
      <c r="J117" s="97"/>
      <c r="K117" s="339"/>
      <c r="L117" s="339"/>
      <c r="M117" s="339"/>
      <c r="N117" s="339"/>
      <c r="O117" s="339"/>
      <c r="P117" s="339"/>
      <c r="Q117" s="340"/>
      <c r="R117" s="97"/>
      <c r="S117" s="97"/>
      <c r="T117" s="298"/>
      <c r="U117" s="97"/>
      <c r="V117" s="97"/>
      <c r="W117" s="97"/>
      <c r="X117" s="97"/>
      <c r="Y117" s="97"/>
      <c r="Z117" s="97"/>
      <c r="AA117" s="97"/>
    </row>
    <row r="118" ht="15.75" customHeight="1">
      <c r="A118" s="97"/>
      <c r="B118" s="336"/>
      <c r="C118" s="337"/>
      <c r="D118" s="97"/>
      <c r="E118" s="337"/>
      <c r="F118" s="338"/>
      <c r="G118" s="336"/>
      <c r="H118" s="337"/>
      <c r="I118" s="338"/>
      <c r="J118" s="97"/>
      <c r="K118" s="339"/>
      <c r="L118" s="339"/>
      <c r="M118" s="339"/>
      <c r="N118" s="339"/>
      <c r="O118" s="339"/>
      <c r="P118" s="339"/>
      <c r="Q118" s="340"/>
      <c r="R118" s="97"/>
      <c r="S118" s="97"/>
      <c r="T118" s="298"/>
      <c r="U118" s="97"/>
      <c r="V118" s="97"/>
      <c r="W118" s="97"/>
      <c r="X118" s="97"/>
      <c r="Y118" s="97"/>
      <c r="Z118" s="97"/>
      <c r="AA118" s="97"/>
    </row>
    <row r="119" ht="15.75" customHeight="1">
      <c r="A119" s="97"/>
      <c r="B119" s="336"/>
      <c r="C119" s="337"/>
      <c r="D119" s="97"/>
      <c r="E119" s="337"/>
      <c r="F119" s="338"/>
      <c r="G119" s="336"/>
      <c r="H119" s="337"/>
      <c r="I119" s="338"/>
      <c r="J119" s="97"/>
      <c r="K119" s="339"/>
      <c r="L119" s="339"/>
      <c r="M119" s="339"/>
      <c r="N119" s="339"/>
      <c r="O119" s="339"/>
      <c r="P119" s="339"/>
      <c r="Q119" s="340"/>
      <c r="R119" s="97"/>
      <c r="S119" s="97"/>
      <c r="T119" s="298"/>
      <c r="U119" s="97"/>
      <c r="V119" s="97"/>
      <c r="W119" s="97"/>
      <c r="X119" s="97"/>
      <c r="Y119" s="97"/>
      <c r="Z119" s="97"/>
      <c r="AA119" s="97"/>
    </row>
    <row r="120" ht="15.75" customHeight="1">
      <c r="A120" s="97"/>
      <c r="B120" s="336"/>
      <c r="C120" s="337"/>
      <c r="D120" s="97"/>
      <c r="E120" s="337"/>
      <c r="F120" s="338"/>
      <c r="G120" s="336"/>
      <c r="H120" s="337"/>
      <c r="I120" s="338"/>
      <c r="J120" s="97"/>
      <c r="K120" s="339"/>
      <c r="L120" s="339"/>
      <c r="M120" s="339"/>
      <c r="N120" s="339"/>
      <c r="O120" s="339"/>
      <c r="P120" s="339"/>
      <c r="Q120" s="340"/>
      <c r="R120" s="97"/>
      <c r="S120" s="97"/>
      <c r="T120" s="298"/>
      <c r="U120" s="97"/>
      <c r="V120" s="97"/>
      <c r="W120" s="97"/>
      <c r="X120" s="97"/>
      <c r="Y120" s="97"/>
      <c r="Z120" s="97"/>
      <c r="AA120" s="97"/>
    </row>
    <row r="121" ht="15.75" customHeight="1">
      <c r="A121" s="97"/>
      <c r="B121" s="336"/>
      <c r="C121" s="337"/>
      <c r="D121" s="97"/>
      <c r="E121" s="337"/>
      <c r="F121" s="338"/>
      <c r="G121" s="336"/>
      <c r="H121" s="337"/>
      <c r="I121" s="338"/>
      <c r="J121" s="97"/>
      <c r="K121" s="339"/>
      <c r="L121" s="339"/>
      <c r="M121" s="339"/>
      <c r="N121" s="339"/>
      <c r="O121" s="339"/>
      <c r="P121" s="339"/>
      <c r="Q121" s="340"/>
      <c r="R121" s="97"/>
      <c r="S121" s="97"/>
      <c r="T121" s="298"/>
      <c r="U121" s="97"/>
      <c r="V121" s="97"/>
      <c r="W121" s="97"/>
      <c r="X121" s="97"/>
      <c r="Y121" s="97"/>
      <c r="Z121" s="97"/>
      <c r="AA121" s="97"/>
    </row>
    <row r="122" ht="15.75" customHeight="1">
      <c r="A122" s="97"/>
      <c r="B122" s="336"/>
      <c r="C122" s="337"/>
      <c r="D122" s="97"/>
      <c r="E122" s="337"/>
      <c r="F122" s="338"/>
      <c r="G122" s="336"/>
      <c r="H122" s="337"/>
      <c r="I122" s="338"/>
      <c r="J122" s="97"/>
      <c r="K122" s="339"/>
      <c r="L122" s="339"/>
      <c r="M122" s="339"/>
      <c r="N122" s="339"/>
      <c r="O122" s="339"/>
      <c r="P122" s="339"/>
      <c r="Q122" s="340"/>
      <c r="R122" s="97"/>
      <c r="S122" s="97"/>
      <c r="T122" s="298"/>
      <c r="U122" s="97"/>
      <c r="V122" s="97"/>
      <c r="W122" s="97"/>
      <c r="X122" s="97"/>
      <c r="Y122" s="97"/>
      <c r="Z122" s="97"/>
      <c r="AA122" s="97"/>
    </row>
    <row r="123" ht="15.75" customHeight="1">
      <c r="A123" s="97"/>
      <c r="B123" s="336"/>
      <c r="C123" s="337"/>
      <c r="D123" s="97"/>
      <c r="E123" s="337"/>
      <c r="F123" s="338"/>
      <c r="G123" s="336"/>
      <c r="H123" s="337"/>
      <c r="I123" s="338"/>
      <c r="J123" s="97"/>
      <c r="K123" s="339"/>
      <c r="L123" s="339"/>
      <c r="M123" s="339"/>
      <c r="N123" s="339"/>
      <c r="O123" s="339"/>
      <c r="P123" s="339"/>
      <c r="Q123" s="340"/>
      <c r="R123" s="97"/>
      <c r="S123" s="97"/>
      <c r="T123" s="298"/>
      <c r="U123" s="97"/>
      <c r="V123" s="97"/>
      <c r="W123" s="97"/>
      <c r="X123" s="97"/>
      <c r="Y123" s="97"/>
      <c r="Z123" s="97"/>
      <c r="AA123" s="97"/>
    </row>
    <row r="124" ht="15.75" customHeight="1">
      <c r="A124" s="97"/>
      <c r="B124" s="336"/>
      <c r="C124" s="337"/>
      <c r="D124" s="97"/>
      <c r="E124" s="337"/>
      <c r="F124" s="338"/>
      <c r="G124" s="336"/>
      <c r="H124" s="337"/>
      <c r="I124" s="338"/>
      <c r="J124" s="97"/>
      <c r="K124" s="339"/>
      <c r="L124" s="339"/>
      <c r="M124" s="339"/>
      <c r="N124" s="339"/>
      <c r="O124" s="339"/>
      <c r="P124" s="339"/>
      <c r="Q124" s="340"/>
      <c r="R124" s="97"/>
      <c r="S124" s="97"/>
      <c r="T124" s="298"/>
      <c r="U124" s="97"/>
      <c r="V124" s="97"/>
      <c r="W124" s="97"/>
      <c r="X124" s="97"/>
      <c r="Y124" s="97"/>
      <c r="Z124" s="97"/>
      <c r="AA124" s="97"/>
    </row>
    <row r="125" ht="15.75" customHeight="1">
      <c r="A125" s="97"/>
      <c r="B125" s="336"/>
      <c r="C125" s="337"/>
      <c r="D125" s="97"/>
      <c r="E125" s="337"/>
      <c r="F125" s="338"/>
      <c r="G125" s="336"/>
      <c r="H125" s="337"/>
      <c r="I125" s="338"/>
      <c r="J125" s="97"/>
      <c r="K125" s="339"/>
      <c r="L125" s="339"/>
      <c r="M125" s="339"/>
      <c r="N125" s="339"/>
      <c r="O125" s="339"/>
      <c r="P125" s="339"/>
      <c r="Q125" s="340"/>
      <c r="R125" s="97"/>
      <c r="S125" s="97"/>
      <c r="T125" s="298"/>
      <c r="U125" s="97"/>
      <c r="V125" s="97"/>
      <c r="W125" s="97"/>
      <c r="X125" s="97"/>
      <c r="Y125" s="97"/>
      <c r="Z125" s="97"/>
      <c r="AA125" s="97"/>
    </row>
    <row r="126" ht="15.75" customHeight="1">
      <c r="A126" s="97"/>
      <c r="B126" s="336"/>
      <c r="C126" s="337"/>
      <c r="D126" s="97"/>
      <c r="E126" s="337"/>
      <c r="F126" s="338"/>
      <c r="G126" s="336"/>
      <c r="H126" s="337"/>
      <c r="I126" s="338"/>
      <c r="J126" s="97"/>
      <c r="K126" s="339"/>
      <c r="L126" s="339"/>
      <c r="M126" s="339"/>
      <c r="N126" s="339"/>
      <c r="O126" s="339"/>
      <c r="P126" s="339"/>
      <c r="Q126" s="340"/>
      <c r="R126" s="97"/>
      <c r="S126" s="97"/>
      <c r="T126" s="298"/>
      <c r="U126" s="97"/>
      <c r="V126" s="97"/>
      <c r="W126" s="97"/>
      <c r="X126" s="97"/>
      <c r="Y126" s="97"/>
      <c r="Z126" s="97"/>
      <c r="AA126" s="97"/>
    </row>
    <row r="127" ht="15.75" customHeight="1">
      <c r="A127" s="97"/>
      <c r="B127" s="336"/>
      <c r="C127" s="337"/>
      <c r="D127" s="97"/>
      <c r="E127" s="337"/>
      <c r="F127" s="338"/>
      <c r="G127" s="336"/>
      <c r="H127" s="337"/>
      <c r="I127" s="338"/>
      <c r="J127" s="97"/>
      <c r="K127" s="339"/>
      <c r="L127" s="339"/>
      <c r="M127" s="339"/>
      <c r="N127" s="339"/>
      <c r="O127" s="339"/>
      <c r="P127" s="339"/>
      <c r="Q127" s="340"/>
      <c r="R127" s="97"/>
      <c r="S127" s="97"/>
      <c r="T127" s="298"/>
      <c r="U127" s="97"/>
      <c r="V127" s="97"/>
      <c r="W127" s="97"/>
      <c r="X127" s="97"/>
      <c r="Y127" s="97"/>
      <c r="Z127" s="97"/>
      <c r="AA127" s="97"/>
    </row>
    <row r="128" ht="15.75" customHeight="1">
      <c r="A128" s="97"/>
      <c r="B128" s="336"/>
      <c r="C128" s="337"/>
      <c r="D128" s="97"/>
      <c r="E128" s="337"/>
      <c r="F128" s="338"/>
      <c r="G128" s="336"/>
      <c r="H128" s="337"/>
      <c r="I128" s="338"/>
      <c r="J128" s="97"/>
      <c r="K128" s="339"/>
      <c r="L128" s="339"/>
      <c r="M128" s="339"/>
      <c r="N128" s="339"/>
      <c r="O128" s="339"/>
      <c r="P128" s="339"/>
      <c r="Q128" s="340"/>
      <c r="R128" s="97"/>
      <c r="S128" s="97"/>
      <c r="T128" s="298"/>
      <c r="U128" s="97"/>
      <c r="V128" s="97"/>
      <c r="W128" s="97"/>
      <c r="X128" s="97"/>
      <c r="Y128" s="97"/>
      <c r="Z128" s="97"/>
      <c r="AA128" s="97"/>
    </row>
    <row r="129" ht="15.75" customHeight="1">
      <c r="A129" s="97"/>
      <c r="B129" s="336"/>
      <c r="C129" s="337"/>
      <c r="D129" s="97"/>
      <c r="E129" s="337"/>
      <c r="F129" s="338"/>
      <c r="G129" s="336"/>
      <c r="H129" s="337"/>
      <c r="I129" s="338"/>
      <c r="J129" s="97"/>
      <c r="K129" s="339"/>
      <c r="L129" s="339"/>
      <c r="M129" s="339"/>
      <c r="N129" s="339"/>
      <c r="O129" s="339"/>
      <c r="P129" s="339"/>
      <c r="Q129" s="340"/>
      <c r="R129" s="97"/>
      <c r="S129" s="97"/>
      <c r="T129" s="298"/>
      <c r="U129" s="97"/>
      <c r="V129" s="97"/>
      <c r="W129" s="97"/>
      <c r="X129" s="97"/>
      <c r="Y129" s="97"/>
      <c r="Z129" s="97"/>
      <c r="AA129" s="97"/>
    </row>
    <row r="130" ht="15.75" customHeight="1">
      <c r="A130" s="97"/>
      <c r="B130" s="336"/>
      <c r="C130" s="337"/>
      <c r="D130" s="97"/>
      <c r="E130" s="337"/>
      <c r="F130" s="338"/>
      <c r="G130" s="336"/>
      <c r="H130" s="337"/>
      <c r="I130" s="338"/>
      <c r="J130" s="97"/>
      <c r="K130" s="339"/>
      <c r="L130" s="339"/>
      <c r="M130" s="339"/>
      <c r="N130" s="339"/>
      <c r="O130" s="339"/>
      <c r="P130" s="339"/>
      <c r="Q130" s="340"/>
      <c r="R130" s="97"/>
      <c r="S130" s="97"/>
      <c r="T130" s="298"/>
      <c r="U130" s="97"/>
      <c r="V130" s="97"/>
      <c r="W130" s="97"/>
      <c r="X130" s="97"/>
      <c r="Y130" s="97"/>
      <c r="Z130" s="97"/>
      <c r="AA130" s="97"/>
    </row>
    <row r="131" ht="15.75" customHeight="1">
      <c r="A131" s="97"/>
      <c r="B131" s="336"/>
      <c r="C131" s="337"/>
      <c r="D131" s="97"/>
      <c r="E131" s="337"/>
      <c r="F131" s="338"/>
      <c r="G131" s="336"/>
      <c r="H131" s="337"/>
      <c r="I131" s="338"/>
      <c r="J131" s="97"/>
      <c r="K131" s="339"/>
      <c r="L131" s="339"/>
      <c r="M131" s="339"/>
      <c r="N131" s="339"/>
      <c r="O131" s="339"/>
      <c r="P131" s="339"/>
      <c r="Q131" s="340"/>
      <c r="R131" s="97"/>
      <c r="S131" s="97"/>
      <c r="T131" s="298"/>
      <c r="U131" s="97"/>
      <c r="V131" s="97"/>
      <c r="W131" s="97"/>
      <c r="X131" s="97"/>
      <c r="Y131" s="97"/>
      <c r="Z131" s="97"/>
      <c r="AA131" s="97"/>
    </row>
    <row r="132" ht="15.75" customHeight="1">
      <c r="A132" s="97"/>
      <c r="B132" s="336"/>
      <c r="C132" s="337"/>
      <c r="D132" s="97"/>
      <c r="E132" s="337"/>
      <c r="F132" s="338"/>
      <c r="G132" s="336"/>
      <c r="H132" s="337"/>
      <c r="I132" s="338"/>
      <c r="J132" s="97"/>
      <c r="K132" s="339"/>
      <c r="L132" s="339"/>
      <c r="M132" s="339"/>
      <c r="N132" s="339"/>
      <c r="O132" s="339"/>
      <c r="P132" s="339"/>
      <c r="Q132" s="340"/>
      <c r="R132" s="97"/>
      <c r="S132" s="97"/>
      <c r="T132" s="298"/>
      <c r="U132" s="97"/>
      <c r="V132" s="97"/>
      <c r="W132" s="97"/>
      <c r="X132" s="97"/>
      <c r="Y132" s="97"/>
      <c r="Z132" s="97"/>
      <c r="AA132" s="97"/>
    </row>
    <row r="133" ht="15.75" customHeight="1">
      <c r="A133" s="97"/>
      <c r="B133" s="336"/>
      <c r="C133" s="337"/>
      <c r="D133" s="97"/>
      <c r="E133" s="337"/>
      <c r="F133" s="338"/>
      <c r="G133" s="336"/>
      <c r="H133" s="337"/>
      <c r="I133" s="338"/>
      <c r="J133" s="97"/>
      <c r="K133" s="339"/>
      <c r="L133" s="339"/>
      <c r="M133" s="339"/>
      <c r="N133" s="339"/>
      <c r="O133" s="339"/>
      <c r="P133" s="339"/>
      <c r="Q133" s="340"/>
      <c r="R133" s="97"/>
      <c r="S133" s="97"/>
      <c r="T133" s="298"/>
      <c r="U133" s="97"/>
      <c r="V133" s="97"/>
      <c r="W133" s="97"/>
      <c r="X133" s="97"/>
      <c r="Y133" s="97"/>
      <c r="Z133" s="97"/>
      <c r="AA133" s="97"/>
    </row>
    <row r="134" ht="15.75" customHeight="1">
      <c r="A134" s="97"/>
      <c r="B134" s="336"/>
      <c r="C134" s="337"/>
      <c r="D134" s="97"/>
      <c r="E134" s="337"/>
      <c r="F134" s="338"/>
      <c r="G134" s="336"/>
      <c r="H134" s="337"/>
      <c r="I134" s="338"/>
      <c r="J134" s="97"/>
      <c r="K134" s="339"/>
      <c r="L134" s="339"/>
      <c r="M134" s="339"/>
      <c r="N134" s="339"/>
      <c r="O134" s="339"/>
      <c r="P134" s="339"/>
      <c r="Q134" s="340"/>
      <c r="R134" s="97"/>
      <c r="S134" s="97"/>
      <c r="T134" s="298"/>
      <c r="U134" s="97"/>
      <c r="V134" s="97"/>
      <c r="W134" s="97"/>
      <c r="X134" s="97"/>
      <c r="Y134" s="97"/>
      <c r="Z134" s="97"/>
      <c r="AA134" s="97"/>
    </row>
    <row r="135" ht="15.75" customHeight="1">
      <c r="A135" s="97"/>
      <c r="B135" s="336"/>
      <c r="C135" s="337"/>
      <c r="D135" s="97"/>
      <c r="E135" s="337"/>
      <c r="F135" s="338"/>
      <c r="G135" s="336"/>
      <c r="H135" s="337"/>
      <c r="I135" s="338"/>
      <c r="J135" s="97"/>
      <c r="K135" s="339"/>
      <c r="L135" s="339"/>
      <c r="M135" s="339"/>
      <c r="N135" s="339"/>
      <c r="O135" s="339"/>
      <c r="P135" s="339"/>
      <c r="Q135" s="340"/>
      <c r="R135" s="97"/>
      <c r="S135" s="97"/>
      <c r="T135" s="298"/>
      <c r="U135" s="97"/>
      <c r="V135" s="97"/>
      <c r="W135" s="97"/>
      <c r="X135" s="97"/>
      <c r="Y135" s="97"/>
      <c r="Z135" s="97"/>
      <c r="AA135" s="97"/>
    </row>
    <row r="136" ht="15.75" customHeight="1">
      <c r="A136" s="97"/>
      <c r="B136" s="336"/>
      <c r="C136" s="337"/>
      <c r="D136" s="97"/>
      <c r="E136" s="337"/>
      <c r="F136" s="338"/>
      <c r="G136" s="336"/>
      <c r="H136" s="337"/>
      <c r="I136" s="338"/>
      <c r="J136" s="97"/>
      <c r="K136" s="339"/>
      <c r="L136" s="339"/>
      <c r="M136" s="339"/>
      <c r="N136" s="339"/>
      <c r="O136" s="339"/>
      <c r="P136" s="339"/>
      <c r="Q136" s="340"/>
      <c r="R136" s="97"/>
      <c r="S136" s="97"/>
      <c r="T136" s="298"/>
      <c r="U136" s="97"/>
      <c r="V136" s="97"/>
      <c r="W136" s="97"/>
      <c r="X136" s="97"/>
      <c r="Y136" s="97"/>
      <c r="Z136" s="97"/>
      <c r="AA136" s="97"/>
    </row>
    <row r="137" ht="15.75" customHeight="1">
      <c r="A137" s="97"/>
      <c r="B137" s="336"/>
      <c r="C137" s="337"/>
      <c r="D137" s="97"/>
      <c r="E137" s="337"/>
      <c r="F137" s="338"/>
      <c r="G137" s="336"/>
      <c r="H137" s="337"/>
      <c r="I137" s="338"/>
      <c r="J137" s="97"/>
      <c r="K137" s="339"/>
      <c r="L137" s="339"/>
      <c r="M137" s="339"/>
      <c r="N137" s="339"/>
      <c r="O137" s="339"/>
      <c r="P137" s="339"/>
      <c r="Q137" s="340"/>
      <c r="R137" s="97"/>
      <c r="S137" s="97"/>
      <c r="T137" s="298"/>
      <c r="U137" s="97"/>
      <c r="V137" s="97"/>
      <c r="W137" s="97"/>
      <c r="X137" s="97"/>
      <c r="Y137" s="97"/>
      <c r="Z137" s="97"/>
      <c r="AA137" s="97"/>
    </row>
    <row r="138" ht="15.75" customHeight="1">
      <c r="A138" s="97"/>
      <c r="B138" s="336"/>
      <c r="C138" s="337"/>
      <c r="D138" s="97"/>
      <c r="E138" s="337"/>
      <c r="F138" s="338"/>
      <c r="G138" s="336"/>
      <c r="H138" s="337"/>
      <c r="I138" s="338"/>
      <c r="J138" s="97"/>
      <c r="K138" s="339"/>
      <c r="L138" s="339"/>
      <c r="M138" s="339"/>
      <c r="N138" s="339"/>
      <c r="O138" s="339"/>
      <c r="P138" s="339"/>
      <c r="Q138" s="340"/>
      <c r="R138" s="97"/>
      <c r="S138" s="97"/>
      <c r="T138" s="298"/>
      <c r="U138" s="97"/>
      <c r="V138" s="97"/>
      <c r="W138" s="97"/>
      <c r="X138" s="97"/>
      <c r="Y138" s="97"/>
      <c r="Z138" s="97"/>
      <c r="AA138" s="97"/>
    </row>
    <row r="139" ht="15.75" customHeight="1">
      <c r="A139" s="97"/>
      <c r="B139" s="336"/>
      <c r="C139" s="337"/>
      <c r="D139" s="97"/>
      <c r="E139" s="337"/>
      <c r="F139" s="338"/>
      <c r="G139" s="336"/>
      <c r="H139" s="337"/>
      <c r="I139" s="338"/>
      <c r="J139" s="97"/>
      <c r="K139" s="339"/>
      <c r="L139" s="339"/>
      <c r="M139" s="339"/>
      <c r="N139" s="339"/>
      <c r="O139" s="339"/>
      <c r="P139" s="339"/>
      <c r="Q139" s="340"/>
      <c r="R139" s="97"/>
      <c r="S139" s="97"/>
      <c r="T139" s="298"/>
      <c r="U139" s="97"/>
      <c r="V139" s="97"/>
      <c r="W139" s="97"/>
      <c r="X139" s="97"/>
      <c r="Y139" s="97"/>
      <c r="Z139" s="97"/>
      <c r="AA139" s="97"/>
    </row>
    <row r="140" ht="15.75" customHeight="1">
      <c r="A140" s="97"/>
      <c r="B140" s="336"/>
      <c r="C140" s="337"/>
      <c r="D140" s="97"/>
      <c r="E140" s="337"/>
      <c r="F140" s="338"/>
      <c r="G140" s="336"/>
      <c r="H140" s="337"/>
      <c r="I140" s="338"/>
      <c r="J140" s="97"/>
      <c r="K140" s="339"/>
      <c r="L140" s="339"/>
      <c r="M140" s="339"/>
      <c r="N140" s="339"/>
      <c r="O140" s="339"/>
      <c r="P140" s="339"/>
      <c r="Q140" s="340"/>
      <c r="R140" s="97"/>
      <c r="S140" s="97"/>
      <c r="T140" s="298"/>
      <c r="U140" s="97"/>
      <c r="V140" s="97"/>
      <c r="W140" s="97"/>
      <c r="X140" s="97"/>
      <c r="Y140" s="97"/>
      <c r="Z140" s="97"/>
      <c r="AA140" s="97"/>
    </row>
    <row r="141" ht="15.75" customHeight="1">
      <c r="A141" s="97"/>
      <c r="B141" s="336"/>
      <c r="C141" s="337"/>
      <c r="D141" s="97"/>
      <c r="E141" s="337"/>
      <c r="F141" s="338"/>
      <c r="G141" s="336"/>
      <c r="H141" s="337"/>
      <c r="I141" s="338"/>
      <c r="J141" s="97"/>
      <c r="K141" s="339"/>
      <c r="L141" s="339"/>
      <c r="M141" s="339"/>
      <c r="N141" s="339"/>
      <c r="O141" s="339"/>
      <c r="P141" s="339"/>
      <c r="Q141" s="340"/>
      <c r="R141" s="97"/>
      <c r="S141" s="97"/>
      <c r="T141" s="298"/>
      <c r="U141" s="97"/>
      <c r="V141" s="97"/>
      <c r="W141" s="97"/>
      <c r="X141" s="97"/>
      <c r="Y141" s="97"/>
      <c r="Z141" s="97"/>
      <c r="AA141" s="97"/>
    </row>
    <row r="142" ht="15.75" customHeight="1">
      <c r="A142" s="97"/>
      <c r="B142" s="336"/>
      <c r="C142" s="337"/>
      <c r="D142" s="97"/>
      <c r="E142" s="337"/>
      <c r="F142" s="338"/>
      <c r="G142" s="336"/>
      <c r="H142" s="337"/>
      <c r="I142" s="338"/>
      <c r="J142" s="97"/>
      <c r="K142" s="339"/>
      <c r="L142" s="339"/>
      <c r="M142" s="339"/>
      <c r="N142" s="339"/>
      <c r="O142" s="339"/>
      <c r="P142" s="339"/>
      <c r="Q142" s="340"/>
      <c r="R142" s="97"/>
      <c r="S142" s="97"/>
      <c r="T142" s="298"/>
      <c r="U142" s="97"/>
      <c r="V142" s="97"/>
      <c r="W142" s="97"/>
      <c r="X142" s="97"/>
      <c r="Y142" s="97"/>
      <c r="Z142" s="97"/>
      <c r="AA142" s="97"/>
    </row>
    <row r="143" ht="15.75" customHeight="1">
      <c r="A143" s="97"/>
      <c r="B143" s="336"/>
      <c r="C143" s="337"/>
      <c r="D143" s="97"/>
      <c r="E143" s="337"/>
      <c r="F143" s="338"/>
      <c r="G143" s="336"/>
      <c r="H143" s="337"/>
      <c r="I143" s="338"/>
      <c r="J143" s="97"/>
      <c r="K143" s="339"/>
      <c r="L143" s="339"/>
      <c r="M143" s="339"/>
      <c r="N143" s="339"/>
      <c r="O143" s="339"/>
      <c r="P143" s="339"/>
      <c r="Q143" s="340"/>
      <c r="R143" s="97"/>
      <c r="S143" s="97"/>
      <c r="T143" s="298"/>
      <c r="U143" s="97"/>
      <c r="V143" s="97"/>
      <c r="W143" s="97"/>
      <c r="X143" s="97"/>
      <c r="Y143" s="97"/>
      <c r="Z143" s="97"/>
      <c r="AA143" s="97"/>
    </row>
    <row r="144" ht="15.75" customHeight="1">
      <c r="A144" s="97"/>
      <c r="B144" s="336"/>
      <c r="C144" s="337"/>
      <c r="D144" s="97"/>
      <c r="E144" s="337"/>
      <c r="F144" s="338"/>
      <c r="G144" s="336"/>
      <c r="H144" s="337"/>
      <c r="I144" s="338"/>
      <c r="J144" s="97"/>
      <c r="K144" s="339"/>
      <c r="L144" s="339"/>
      <c r="M144" s="339"/>
      <c r="N144" s="339"/>
      <c r="O144" s="339"/>
      <c r="P144" s="339"/>
      <c r="Q144" s="340"/>
      <c r="R144" s="97"/>
      <c r="S144" s="97"/>
      <c r="T144" s="298"/>
      <c r="U144" s="97"/>
      <c r="V144" s="97"/>
      <c r="W144" s="97"/>
      <c r="X144" s="97"/>
      <c r="Y144" s="97"/>
      <c r="Z144" s="97"/>
      <c r="AA144" s="97"/>
    </row>
    <row r="145" ht="15.75" customHeight="1">
      <c r="A145" s="97"/>
      <c r="B145" s="336"/>
      <c r="C145" s="337"/>
      <c r="D145" s="97"/>
      <c r="E145" s="337"/>
      <c r="F145" s="338"/>
      <c r="G145" s="336"/>
      <c r="H145" s="337"/>
      <c r="I145" s="338"/>
      <c r="J145" s="97"/>
      <c r="K145" s="339"/>
      <c r="L145" s="339"/>
      <c r="M145" s="339"/>
      <c r="N145" s="339"/>
      <c r="O145" s="339"/>
      <c r="P145" s="339"/>
      <c r="Q145" s="340"/>
      <c r="R145" s="97"/>
      <c r="S145" s="97"/>
      <c r="T145" s="298"/>
      <c r="U145" s="97"/>
      <c r="V145" s="97"/>
      <c r="W145" s="97"/>
      <c r="X145" s="97"/>
      <c r="Y145" s="97"/>
      <c r="Z145" s="97"/>
      <c r="AA145" s="97"/>
    </row>
    <row r="146" ht="15.75" customHeight="1">
      <c r="A146" s="97"/>
      <c r="B146" s="336"/>
      <c r="C146" s="337"/>
      <c r="D146" s="97"/>
      <c r="E146" s="337"/>
      <c r="F146" s="338"/>
      <c r="G146" s="336"/>
      <c r="H146" s="337"/>
      <c r="I146" s="338"/>
      <c r="J146" s="97"/>
      <c r="K146" s="339"/>
      <c r="L146" s="339"/>
      <c r="M146" s="339"/>
      <c r="N146" s="339"/>
      <c r="O146" s="339"/>
      <c r="P146" s="339"/>
      <c r="Q146" s="340"/>
      <c r="R146" s="97"/>
      <c r="S146" s="97"/>
      <c r="T146" s="298"/>
      <c r="U146" s="97"/>
      <c r="V146" s="97"/>
      <c r="W146" s="97"/>
      <c r="X146" s="97"/>
      <c r="Y146" s="97"/>
      <c r="Z146" s="97"/>
      <c r="AA146" s="97"/>
    </row>
    <row r="147" ht="15.75" customHeight="1">
      <c r="A147" s="97"/>
      <c r="B147" s="336"/>
      <c r="C147" s="337"/>
      <c r="D147" s="97"/>
      <c r="E147" s="337"/>
      <c r="F147" s="338"/>
      <c r="G147" s="336"/>
      <c r="H147" s="337"/>
      <c r="I147" s="338"/>
      <c r="J147" s="97"/>
      <c r="K147" s="339"/>
      <c r="L147" s="339"/>
      <c r="M147" s="339"/>
      <c r="N147" s="339"/>
      <c r="O147" s="339"/>
      <c r="P147" s="339"/>
      <c r="Q147" s="340"/>
      <c r="R147" s="97"/>
      <c r="S147" s="97"/>
      <c r="T147" s="298"/>
      <c r="U147" s="97"/>
      <c r="V147" s="97"/>
      <c r="W147" s="97"/>
      <c r="X147" s="97"/>
      <c r="Y147" s="97"/>
      <c r="Z147" s="97"/>
      <c r="AA147" s="97"/>
    </row>
    <row r="148" ht="15.75" customHeight="1">
      <c r="A148" s="97"/>
      <c r="B148" s="336"/>
      <c r="C148" s="337"/>
      <c r="D148" s="97"/>
      <c r="E148" s="337"/>
      <c r="F148" s="338"/>
      <c r="G148" s="336"/>
      <c r="H148" s="337"/>
      <c r="I148" s="338"/>
      <c r="J148" s="97"/>
      <c r="K148" s="339"/>
      <c r="L148" s="339"/>
      <c r="M148" s="339"/>
      <c r="N148" s="339"/>
      <c r="O148" s="339"/>
      <c r="P148" s="339"/>
      <c r="Q148" s="340"/>
      <c r="R148" s="97"/>
      <c r="S148" s="97"/>
      <c r="T148" s="298"/>
      <c r="U148" s="97"/>
      <c r="V148" s="97"/>
      <c r="W148" s="97"/>
      <c r="X148" s="97"/>
      <c r="Y148" s="97"/>
      <c r="Z148" s="97"/>
      <c r="AA148" s="97"/>
    </row>
    <row r="149" ht="15.75" customHeight="1">
      <c r="A149" s="97"/>
      <c r="B149" s="336"/>
      <c r="C149" s="337"/>
      <c r="D149" s="97"/>
      <c r="E149" s="337"/>
      <c r="F149" s="338"/>
      <c r="G149" s="336"/>
      <c r="H149" s="337"/>
      <c r="I149" s="338"/>
      <c r="J149" s="97"/>
      <c r="K149" s="339"/>
      <c r="L149" s="339"/>
      <c r="M149" s="339"/>
      <c r="N149" s="339"/>
      <c r="O149" s="339"/>
      <c r="P149" s="339"/>
      <c r="Q149" s="340"/>
      <c r="R149" s="97"/>
      <c r="S149" s="97"/>
      <c r="T149" s="298"/>
      <c r="U149" s="97"/>
      <c r="V149" s="97"/>
      <c r="W149" s="97"/>
      <c r="X149" s="97"/>
      <c r="Y149" s="97"/>
      <c r="Z149" s="97"/>
      <c r="AA149" s="97"/>
    </row>
    <row r="150" ht="15.75" customHeight="1">
      <c r="A150" s="97"/>
      <c r="B150" s="336"/>
      <c r="C150" s="337"/>
      <c r="D150" s="97"/>
      <c r="E150" s="337"/>
      <c r="F150" s="338"/>
      <c r="G150" s="336"/>
      <c r="H150" s="337"/>
      <c r="I150" s="338"/>
      <c r="J150" s="97"/>
      <c r="K150" s="339"/>
      <c r="L150" s="339"/>
      <c r="M150" s="339"/>
      <c r="N150" s="339"/>
      <c r="O150" s="339"/>
      <c r="P150" s="339"/>
      <c r="Q150" s="340"/>
      <c r="R150" s="97"/>
      <c r="S150" s="97"/>
      <c r="T150" s="298"/>
      <c r="U150" s="97"/>
      <c r="V150" s="97"/>
      <c r="W150" s="97"/>
      <c r="X150" s="97"/>
      <c r="Y150" s="97"/>
      <c r="Z150" s="97"/>
      <c r="AA150" s="97"/>
    </row>
    <row r="151" ht="15.75" customHeight="1">
      <c r="A151" s="97"/>
      <c r="B151" s="336"/>
      <c r="C151" s="337"/>
      <c r="D151" s="97"/>
      <c r="E151" s="337"/>
      <c r="F151" s="338"/>
      <c r="G151" s="336"/>
      <c r="H151" s="337"/>
      <c r="I151" s="338"/>
      <c r="J151" s="97"/>
      <c r="K151" s="339"/>
      <c r="L151" s="339"/>
      <c r="M151" s="339"/>
      <c r="N151" s="339"/>
      <c r="O151" s="339"/>
      <c r="P151" s="339"/>
      <c r="Q151" s="340"/>
      <c r="R151" s="97"/>
      <c r="S151" s="97"/>
      <c r="T151" s="298"/>
      <c r="U151" s="97"/>
      <c r="V151" s="97"/>
      <c r="W151" s="97"/>
      <c r="X151" s="97"/>
      <c r="Y151" s="97"/>
      <c r="Z151" s="97"/>
      <c r="AA151" s="97"/>
    </row>
    <row r="152" ht="15.75" customHeight="1">
      <c r="A152" s="97"/>
      <c r="B152" s="336"/>
      <c r="C152" s="337"/>
      <c r="D152" s="97"/>
      <c r="E152" s="337"/>
      <c r="F152" s="338"/>
      <c r="G152" s="336"/>
      <c r="H152" s="337"/>
      <c r="I152" s="338"/>
      <c r="J152" s="97"/>
      <c r="K152" s="339"/>
      <c r="L152" s="339"/>
      <c r="M152" s="339"/>
      <c r="N152" s="339"/>
      <c r="O152" s="339"/>
      <c r="P152" s="339"/>
      <c r="Q152" s="340"/>
      <c r="R152" s="97"/>
      <c r="S152" s="97"/>
      <c r="T152" s="298"/>
      <c r="U152" s="97"/>
      <c r="V152" s="97"/>
      <c r="W152" s="97"/>
      <c r="X152" s="97"/>
      <c r="Y152" s="97"/>
      <c r="Z152" s="97"/>
      <c r="AA152" s="97"/>
    </row>
    <row r="153" ht="15.75" customHeight="1">
      <c r="A153" s="97"/>
      <c r="B153" s="336"/>
      <c r="C153" s="337"/>
      <c r="D153" s="97"/>
      <c r="E153" s="337"/>
      <c r="F153" s="338"/>
      <c r="G153" s="336"/>
      <c r="H153" s="337"/>
      <c r="I153" s="338"/>
      <c r="J153" s="97"/>
      <c r="K153" s="339"/>
      <c r="L153" s="339"/>
      <c r="M153" s="339"/>
      <c r="N153" s="339"/>
      <c r="O153" s="339"/>
      <c r="P153" s="339"/>
      <c r="Q153" s="340"/>
      <c r="R153" s="97"/>
      <c r="S153" s="97"/>
      <c r="T153" s="298"/>
      <c r="U153" s="97"/>
      <c r="V153" s="97"/>
      <c r="W153" s="97"/>
      <c r="X153" s="97"/>
      <c r="Y153" s="97"/>
      <c r="Z153" s="97"/>
      <c r="AA153" s="97"/>
    </row>
    <row r="154" ht="15.75" customHeight="1">
      <c r="A154" s="97"/>
      <c r="B154" s="336"/>
      <c r="C154" s="337"/>
      <c r="D154" s="97"/>
      <c r="E154" s="337"/>
      <c r="F154" s="338"/>
      <c r="G154" s="336"/>
      <c r="H154" s="337"/>
      <c r="I154" s="338"/>
      <c r="J154" s="97"/>
      <c r="K154" s="339"/>
      <c r="L154" s="339"/>
      <c r="M154" s="339"/>
      <c r="N154" s="339"/>
      <c r="O154" s="339"/>
      <c r="P154" s="339"/>
      <c r="Q154" s="340"/>
      <c r="R154" s="97"/>
      <c r="S154" s="97"/>
      <c r="T154" s="298"/>
      <c r="U154" s="97"/>
      <c r="V154" s="97"/>
      <c r="W154" s="97"/>
      <c r="X154" s="97"/>
      <c r="Y154" s="97"/>
      <c r="Z154" s="97"/>
      <c r="AA154" s="97"/>
    </row>
    <row r="155" ht="15.75" customHeight="1">
      <c r="A155" s="97"/>
      <c r="B155" s="336"/>
      <c r="C155" s="337"/>
      <c r="D155" s="97"/>
      <c r="E155" s="337"/>
      <c r="F155" s="338"/>
      <c r="G155" s="336"/>
      <c r="H155" s="337"/>
      <c r="I155" s="338"/>
      <c r="J155" s="97"/>
      <c r="K155" s="339"/>
      <c r="L155" s="339"/>
      <c r="M155" s="339"/>
      <c r="N155" s="339"/>
      <c r="O155" s="339"/>
      <c r="P155" s="339"/>
      <c r="Q155" s="340"/>
      <c r="R155" s="97"/>
      <c r="S155" s="97"/>
      <c r="T155" s="298"/>
      <c r="U155" s="97"/>
      <c r="V155" s="97"/>
      <c r="W155" s="97"/>
      <c r="X155" s="97"/>
      <c r="Y155" s="97"/>
      <c r="Z155" s="97"/>
      <c r="AA155" s="97"/>
    </row>
    <row r="156" ht="15.75" customHeight="1">
      <c r="A156" s="97"/>
      <c r="B156" s="336"/>
      <c r="C156" s="337"/>
      <c r="D156" s="97"/>
      <c r="E156" s="337"/>
      <c r="F156" s="338"/>
      <c r="G156" s="336"/>
      <c r="H156" s="337"/>
      <c r="I156" s="338"/>
      <c r="J156" s="97"/>
      <c r="K156" s="339"/>
      <c r="L156" s="339"/>
      <c r="M156" s="339"/>
      <c r="N156" s="339"/>
      <c r="O156" s="339"/>
      <c r="P156" s="339"/>
      <c r="Q156" s="340"/>
      <c r="R156" s="97"/>
      <c r="S156" s="97"/>
      <c r="T156" s="298"/>
      <c r="U156" s="97"/>
      <c r="V156" s="97"/>
      <c r="W156" s="97"/>
      <c r="X156" s="97"/>
      <c r="Y156" s="97"/>
      <c r="Z156" s="97"/>
      <c r="AA156" s="97"/>
    </row>
    <row r="157" ht="15.75" customHeight="1">
      <c r="A157" s="97"/>
      <c r="B157" s="336"/>
      <c r="C157" s="337"/>
      <c r="D157" s="97"/>
      <c r="E157" s="337"/>
      <c r="F157" s="338"/>
      <c r="G157" s="336"/>
      <c r="H157" s="337"/>
      <c r="I157" s="338"/>
      <c r="J157" s="97"/>
      <c r="K157" s="339"/>
      <c r="L157" s="339"/>
      <c r="M157" s="339"/>
      <c r="N157" s="339"/>
      <c r="O157" s="339"/>
      <c r="P157" s="339"/>
      <c r="Q157" s="340"/>
      <c r="R157" s="97"/>
      <c r="S157" s="97"/>
      <c r="T157" s="298"/>
      <c r="U157" s="97"/>
      <c r="V157" s="97"/>
      <c r="W157" s="97"/>
      <c r="X157" s="97"/>
      <c r="Y157" s="97"/>
      <c r="Z157" s="97"/>
      <c r="AA157" s="97"/>
    </row>
    <row r="158" ht="15.75" customHeight="1">
      <c r="A158" s="97"/>
      <c r="B158" s="336"/>
      <c r="C158" s="337"/>
      <c r="D158" s="97"/>
      <c r="E158" s="337"/>
      <c r="F158" s="338"/>
      <c r="G158" s="336"/>
      <c r="H158" s="337"/>
      <c r="I158" s="338"/>
      <c r="J158" s="97"/>
      <c r="K158" s="339"/>
      <c r="L158" s="339"/>
      <c r="M158" s="339"/>
      <c r="N158" s="339"/>
      <c r="O158" s="339"/>
      <c r="P158" s="339"/>
      <c r="Q158" s="340"/>
      <c r="R158" s="97"/>
      <c r="S158" s="97"/>
      <c r="T158" s="298"/>
      <c r="U158" s="97"/>
      <c r="V158" s="97"/>
      <c r="W158" s="97"/>
      <c r="X158" s="97"/>
      <c r="Y158" s="97"/>
      <c r="Z158" s="97"/>
      <c r="AA158" s="97"/>
    </row>
    <row r="159" ht="15.75" customHeight="1">
      <c r="A159" s="97"/>
      <c r="B159" s="336"/>
      <c r="C159" s="337"/>
      <c r="D159" s="97"/>
      <c r="E159" s="337"/>
      <c r="F159" s="338"/>
      <c r="G159" s="336"/>
      <c r="H159" s="337"/>
      <c r="I159" s="338"/>
      <c r="J159" s="97"/>
      <c r="K159" s="339"/>
      <c r="L159" s="339"/>
      <c r="M159" s="339"/>
      <c r="N159" s="339"/>
      <c r="O159" s="339"/>
      <c r="P159" s="339"/>
      <c r="Q159" s="340"/>
      <c r="R159" s="97"/>
      <c r="S159" s="97"/>
      <c r="T159" s="298"/>
      <c r="U159" s="97"/>
      <c r="V159" s="97"/>
      <c r="W159" s="97"/>
      <c r="X159" s="97"/>
      <c r="Y159" s="97"/>
      <c r="Z159" s="97"/>
      <c r="AA159" s="97"/>
    </row>
    <row r="160" ht="15.75" customHeight="1">
      <c r="A160" s="97"/>
      <c r="B160" s="336"/>
      <c r="C160" s="337"/>
      <c r="D160" s="97"/>
      <c r="E160" s="337"/>
      <c r="F160" s="338"/>
      <c r="G160" s="336"/>
      <c r="H160" s="337"/>
      <c r="I160" s="338"/>
      <c r="J160" s="97"/>
      <c r="K160" s="339"/>
      <c r="L160" s="339"/>
      <c r="M160" s="339"/>
      <c r="N160" s="339"/>
      <c r="O160" s="339"/>
      <c r="P160" s="339"/>
      <c r="Q160" s="340"/>
      <c r="R160" s="97"/>
      <c r="S160" s="97"/>
      <c r="T160" s="298"/>
      <c r="U160" s="97"/>
      <c r="V160" s="97"/>
      <c r="W160" s="97"/>
      <c r="X160" s="97"/>
      <c r="Y160" s="97"/>
      <c r="Z160" s="97"/>
      <c r="AA160" s="97"/>
    </row>
    <row r="161" ht="15.75" customHeight="1">
      <c r="A161" s="97"/>
      <c r="B161" s="336"/>
      <c r="C161" s="337"/>
      <c r="D161" s="97"/>
      <c r="E161" s="337"/>
      <c r="F161" s="338"/>
      <c r="G161" s="336"/>
      <c r="H161" s="337"/>
      <c r="I161" s="338"/>
      <c r="J161" s="97"/>
      <c r="K161" s="339"/>
      <c r="L161" s="339"/>
      <c r="M161" s="339"/>
      <c r="N161" s="339"/>
      <c r="O161" s="339"/>
      <c r="P161" s="339"/>
      <c r="Q161" s="340"/>
      <c r="R161" s="97"/>
      <c r="S161" s="97"/>
      <c r="T161" s="298"/>
      <c r="U161" s="97"/>
      <c r="V161" s="97"/>
      <c r="W161" s="97"/>
      <c r="X161" s="97"/>
      <c r="Y161" s="97"/>
      <c r="Z161" s="97"/>
      <c r="AA161" s="97"/>
    </row>
    <row r="162" ht="15.75" customHeight="1">
      <c r="A162" s="97"/>
      <c r="B162" s="336"/>
      <c r="C162" s="337"/>
      <c r="D162" s="97"/>
      <c r="E162" s="337"/>
      <c r="F162" s="338"/>
      <c r="G162" s="336"/>
      <c r="H162" s="337"/>
      <c r="I162" s="338"/>
      <c r="J162" s="97"/>
      <c r="K162" s="339"/>
      <c r="L162" s="339"/>
      <c r="M162" s="339"/>
      <c r="N162" s="339"/>
      <c r="O162" s="339"/>
      <c r="P162" s="339"/>
      <c r="Q162" s="340"/>
      <c r="R162" s="97"/>
      <c r="S162" s="97"/>
      <c r="T162" s="298"/>
      <c r="U162" s="97"/>
      <c r="V162" s="97"/>
      <c r="W162" s="97"/>
      <c r="X162" s="97"/>
      <c r="Y162" s="97"/>
      <c r="Z162" s="97"/>
      <c r="AA162" s="97"/>
    </row>
    <row r="163" ht="15.75" customHeight="1">
      <c r="A163" s="97"/>
      <c r="B163" s="336"/>
      <c r="C163" s="337"/>
      <c r="D163" s="97"/>
      <c r="E163" s="337"/>
      <c r="F163" s="338"/>
      <c r="G163" s="336"/>
      <c r="H163" s="337"/>
      <c r="I163" s="338"/>
      <c r="J163" s="97"/>
      <c r="K163" s="339"/>
      <c r="L163" s="339"/>
      <c r="M163" s="339"/>
      <c r="N163" s="339"/>
      <c r="O163" s="339"/>
      <c r="P163" s="339"/>
      <c r="Q163" s="340"/>
      <c r="R163" s="97"/>
      <c r="S163" s="97"/>
      <c r="T163" s="298"/>
      <c r="U163" s="97"/>
      <c r="V163" s="97"/>
      <c r="W163" s="97"/>
      <c r="X163" s="97"/>
      <c r="Y163" s="97"/>
      <c r="Z163" s="97"/>
      <c r="AA163" s="97"/>
    </row>
    <row r="164" ht="15.75" customHeight="1">
      <c r="A164" s="97"/>
      <c r="B164" s="336"/>
      <c r="C164" s="337"/>
      <c r="D164" s="97"/>
      <c r="E164" s="337"/>
      <c r="F164" s="338"/>
      <c r="G164" s="336"/>
      <c r="H164" s="337"/>
      <c r="I164" s="338"/>
      <c r="J164" s="97"/>
      <c r="K164" s="339"/>
      <c r="L164" s="339"/>
      <c r="M164" s="339"/>
      <c r="N164" s="339"/>
      <c r="O164" s="339"/>
      <c r="P164" s="339"/>
      <c r="Q164" s="340"/>
      <c r="R164" s="97"/>
      <c r="S164" s="97"/>
      <c r="T164" s="298"/>
      <c r="U164" s="97"/>
      <c r="V164" s="97"/>
      <c r="W164" s="97"/>
      <c r="X164" s="97"/>
      <c r="Y164" s="97"/>
      <c r="Z164" s="97"/>
      <c r="AA164" s="97"/>
    </row>
    <row r="165" ht="15.75" customHeight="1">
      <c r="A165" s="97"/>
      <c r="B165" s="336"/>
      <c r="C165" s="337"/>
      <c r="D165" s="97"/>
      <c r="E165" s="337"/>
      <c r="F165" s="338"/>
      <c r="G165" s="336"/>
      <c r="H165" s="337"/>
      <c r="I165" s="338"/>
      <c r="J165" s="97"/>
      <c r="K165" s="339"/>
      <c r="L165" s="339"/>
      <c r="M165" s="339"/>
      <c r="N165" s="339"/>
      <c r="O165" s="339"/>
      <c r="P165" s="339"/>
      <c r="Q165" s="340"/>
      <c r="R165" s="97"/>
      <c r="S165" s="97"/>
      <c r="T165" s="298"/>
      <c r="U165" s="97"/>
      <c r="V165" s="97"/>
      <c r="W165" s="97"/>
      <c r="X165" s="97"/>
      <c r="Y165" s="97"/>
      <c r="Z165" s="97"/>
      <c r="AA165" s="97"/>
    </row>
    <row r="166" ht="15.75" customHeight="1">
      <c r="A166" s="97"/>
      <c r="B166" s="336"/>
      <c r="C166" s="337"/>
      <c r="D166" s="97"/>
      <c r="E166" s="337"/>
      <c r="F166" s="338"/>
      <c r="G166" s="336"/>
      <c r="H166" s="337"/>
      <c r="I166" s="338"/>
      <c r="J166" s="97"/>
      <c r="K166" s="339"/>
      <c r="L166" s="339"/>
      <c r="M166" s="339"/>
      <c r="N166" s="339"/>
      <c r="O166" s="339"/>
      <c r="P166" s="339"/>
      <c r="Q166" s="340"/>
      <c r="R166" s="97"/>
      <c r="S166" s="97"/>
      <c r="T166" s="298"/>
      <c r="U166" s="97"/>
      <c r="V166" s="97"/>
      <c r="W166" s="97"/>
      <c r="X166" s="97"/>
      <c r="Y166" s="97"/>
      <c r="Z166" s="97"/>
      <c r="AA166" s="97"/>
    </row>
    <row r="167" ht="15.75" customHeight="1">
      <c r="A167" s="97"/>
      <c r="B167" s="336"/>
      <c r="C167" s="337"/>
      <c r="D167" s="97"/>
      <c r="E167" s="337"/>
      <c r="F167" s="338"/>
      <c r="G167" s="336"/>
      <c r="H167" s="337"/>
      <c r="I167" s="338"/>
      <c r="J167" s="97"/>
      <c r="K167" s="339"/>
      <c r="L167" s="339"/>
      <c r="M167" s="339"/>
      <c r="N167" s="339"/>
      <c r="O167" s="339"/>
      <c r="P167" s="339"/>
      <c r="Q167" s="340"/>
      <c r="R167" s="97"/>
      <c r="S167" s="97"/>
      <c r="T167" s="298"/>
      <c r="U167" s="97"/>
      <c r="V167" s="97"/>
      <c r="W167" s="97"/>
      <c r="X167" s="97"/>
      <c r="Y167" s="97"/>
      <c r="Z167" s="97"/>
      <c r="AA167" s="97"/>
    </row>
    <row r="168" ht="15.75" customHeight="1">
      <c r="A168" s="97"/>
      <c r="B168" s="336"/>
      <c r="C168" s="337"/>
      <c r="D168" s="97"/>
      <c r="E168" s="337"/>
      <c r="F168" s="338"/>
      <c r="G168" s="336"/>
      <c r="H168" s="337"/>
      <c r="I168" s="338"/>
      <c r="J168" s="97"/>
      <c r="K168" s="339"/>
      <c r="L168" s="339"/>
      <c r="M168" s="339"/>
      <c r="N168" s="339"/>
      <c r="O168" s="339"/>
      <c r="P168" s="339"/>
      <c r="Q168" s="340"/>
      <c r="R168" s="97"/>
      <c r="S168" s="97"/>
      <c r="T168" s="298"/>
      <c r="U168" s="97"/>
      <c r="V168" s="97"/>
      <c r="W168" s="97"/>
      <c r="X168" s="97"/>
      <c r="Y168" s="97"/>
      <c r="Z168" s="97"/>
      <c r="AA168" s="97"/>
    </row>
    <row r="169" ht="15.75" customHeight="1">
      <c r="A169" s="97"/>
      <c r="B169" s="336"/>
      <c r="C169" s="337"/>
      <c r="D169" s="97"/>
      <c r="E169" s="337"/>
      <c r="F169" s="338"/>
      <c r="G169" s="336"/>
      <c r="H169" s="337"/>
      <c r="I169" s="338"/>
      <c r="J169" s="97"/>
      <c r="K169" s="339"/>
      <c r="L169" s="339"/>
      <c r="M169" s="339"/>
      <c r="N169" s="339"/>
      <c r="O169" s="339"/>
      <c r="P169" s="339"/>
      <c r="Q169" s="340"/>
      <c r="R169" s="97"/>
      <c r="S169" s="97"/>
      <c r="T169" s="298"/>
      <c r="U169" s="97"/>
      <c r="V169" s="97"/>
      <c r="W169" s="97"/>
      <c r="X169" s="97"/>
      <c r="Y169" s="97"/>
      <c r="Z169" s="97"/>
      <c r="AA169" s="97"/>
    </row>
    <row r="170" ht="15.75" customHeight="1">
      <c r="A170" s="97"/>
      <c r="B170" s="336"/>
      <c r="C170" s="337"/>
      <c r="D170" s="97"/>
      <c r="E170" s="337"/>
      <c r="F170" s="338"/>
      <c r="G170" s="336"/>
      <c r="H170" s="337"/>
      <c r="I170" s="338"/>
      <c r="J170" s="97"/>
      <c r="K170" s="339"/>
      <c r="L170" s="339"/>
      <c r="M170" s="339"/>
      <c r="N170" s="339"/>
      <c r="O170" s="339"/>
      <c r="P170" s="339"/>
      <c r="Q170" s="340"/>
      <c r="R170" s="97"/>
      <c r="S170" s="97"/>
      <c r="T170" s="298"/>
      <c r="U170" s="97"/>
      <c r="V170" s="97"/>
      <c r="W170" s="97"/>
      <c r="X170" s="97"/>
      <c r="Y170" s="97"/>
      <c r="Z170" s="97"/>
      <c r="AA170" s="97"/>
    </row>
    <row r="171" ht="15.75" customHeight="1">
      <c r="A171" s="97"/>
      <c r="B171" s="336"/>
      <c r="C171" s="337"/>
      <c r="D171" s="97"/>
      <c r="E171" s="337"/>
      <c r="F171" s="338"/>
      <c r="G171" s="336"/>
      <c r="H171" s="337"/>
      <c r="I171" s="338"/>
      <c r="J171" s="97"/>
      <c r="K171" s="339"/>
      <c r="L171" s="339"/>
      <c r="M171" s="339"/>
      <c r="N171" s="339"/>
      <c r="O171" s="339"/>
      <c r="P171" s="339"/>
      <c r="Q171" s="340"/>
      <c r="R171" s="97"/>
      <c r="S171" s="97"/>
      <c r="T171" s="298"/>
      <c r="U171" s="97"/>
      <c r="V171" s="97"/>
      <c r="W171" s="97"/>
      <c r="X171" s="97"/>
      <c r="Y171" s="97"/>
      <c r="Z171" s="97"/>
      <c r="AA171" s="97"/>
    </row>
    <row r="172" ht="15.75" customHeight="1">
      <c r="A172" s="97"/>
      <c r="B172" s="336"/>
      <c r="C172" s="337"/>
      <c r="D172" s="97"/>
      <c r="E172" s="337"/>
      <c r="F172" s="338"/>
      <c r="G172" s="336"/>
      <c r="H172" s="337"/>
      <c r="I172" s="338"/>
      <c r="J172" s="97"/>
      <c r="K172" s="339"/>
      <c r="L172" s="339"/>
      <c r="M172" s="339"/>
      <c r="N172" s="339"/>
      <c r="O172" s="339"/>
      <c r="P172" s="339"/>
      <c r="Q172" s="340"/>
      <c r="R172" s="97"/>
      <c r="S172" s="97"/>
      <c r="T172" s="298"/>
      <c r="U172" s="97"/>
      <c r="V172" s="97"/>
      <c r="W172" s="97"/>
      <c r="X172" s="97"/>
      <c r="Y172" s="97"/>
      <c r="Z172" s="97"/>
      <c r="AA172" s="97"/>
    </row>
    <row r="173" ht="15.75" customHeight="1">
      <c r="A173" s="97"/>
      <c r="B173" s="336"/>
      <c r="C173" s="337"/>
      <c r="D173" s="97"/>
      <c r="E173" s="337"/>
      <c r="F173" s="338"/>
      <c r="G173" s="336"/>
      <c r="H173" s="337"/>
      <c r="I173" s="338"/>
      <c r="J173" s="97"/>
      <c r="K173" s="339"/>
      <c r="L173" s="339"/>
      <c r="M173" s="339"/>
      <c r="N173" s="339"/>
      <c r="O173" s="339"/>
      <c r="P173" s="339"/>
      <c r="Q173" s="340"/>
      <c r="R173" s="97"/>
      <c r="S173" s="97"/>
      <c r="T173" s="298"/>
      <c r="U173" s="97"/>
      <c r="V173" s="97"/>
      <c r="W173" s="97"/>
      <c r="X173" s="97"/>
      <c r="Y173" s="97"/>
      <c r="Z173" s="97"/>
      <c r="AA173" s="97"/>
    </row>
    <row r="174" ht="15.75" customHeight="1">
      <c r="A174" s="97"/>
      <c r="B174" s="336"/>
      <c r="C174" s="337"/>
      <c r="D174" s="97"/>
      <c r="E174" s="337"/>
      <c r="F174" s="338"/>
      <c r="G174" s="336"/>
      <c r="H174" s="337"/>
      <c r="I174" s="338"/>
      <c r="J174" s="97"/>
      <c r="K174" s="339"/>
      <c r="L174" s="339"/>
      <c r="M174" s="339"/>
      <c r="N174" s="339"/>
      <c r="O174" s="339"/>
      <c r="P174" s="339"/>
      <c r="Q174" s="340"/>
      <c r="R174" s="97"/>
      <c r="S174" s="97"/>
      <c r="T174" s="298"/>
      <c r="U174" s="97"/>
      <c r="V174" s="97"/>
      <c r="W174" s="97"/>
      <c r="X174" s="97"/>
      <c r="Y174" s="97"/>
      <c r="Z174" s="97"/>
      <c r="AA174" s="97"/>
    </row>
    <row r="175" ht="15.75" customHeight="1">
      <c r="A175" s="97"/>
      <c r="B175" s="336"/>
      <c r="C175" s="337"/>
      <c r="D175" s="97"/>
      <c r="E175" s="337"/>
      <c r="F175" s="338"/>
      <c r="G175" s="336"/>
      <c r="H175" s="337"/>
      <c r="I175" s="338"/>
      <c r="J175" s="97"/>
      <c r="K175" s="339"/>
      <c r="L175" s="339"/>
      <c r="M175" s="339"/>
      <c r="N175" s="339"/>
      <c r="O175" s="339"/>
      <c r="P175" s="339"/>
      <c r="Q175" s="340"/>
      <c r="R175" s="97"/>
      <c r="S175" s="97"/>
      <c r="T175" s="298"/>
      <c r="U175" s="97"/>
      <c r="V175" s="97"/>
      <c r="W175" s="97"/>
      <c r="X175" s="97"/>
      <c r="Y175" s="97"/>
      <c r="Z175" s="97"/>
      <c r="AA175" s="97"/>
    </row>
    <row r="176" ht="15.75" customHeight="1">
      <c r="A176" s="97"/>
      <c r="B176" s="336"/>
      <c r="C176" s="337"/>
      <c r="D176" s="97"/>
      <c r="E176" s="337"/>
      <c r="F176" s="338"/>
      <c r="G176" s="336"/>
      <c r="H176" s="337"/>
      <c r="I176" s="338"/>
      <c r="J176" s="97"/>
      <c r="K176" s="339"/>
      <c r="L176" s="339"/>
      <c r="M176" s="339"/>
      <c r="N176" s="339"/>
      <c r="O176" s="339"/>
      <c r="P176" s="339"/>
      <c r="Q176" s="340"/>
      <c r="R176" s="97"/>
      <c r="S176" s="97"/>
      <c r="T176" s="298"/>
      <c r="U176" s="97"/>
      <c r="V176" s="97"/>
      <c r="W176" s="97"/>
      <c r="X176" s="97"/>
      <c r="Y176" s="97"/>
      <c r="Z176" s="97"/>
      <c r="AA176" s="97"/>
    </row>
    <row r="177" ht="15.75" customHeight="1">
      <c r="A177" s="97"/>
      <c r="B177" s="336"/>
      <c r="C177" s="337"/>
      <c r="D177" s="97"/>
      <c r="E177" s="337"/>
      <c r="F177" s="338"/>
      <c r="G177" s="336"/>
      <c r="H177" s="337"/>
      <c r="I177" s="338"/>
      <c r="J177" s="97"/>
      <c r="K177" s="339"/>
      <c r="L177" s="339"/>
      <c r="M177" s="339"/>
      <c r="N177" s="339"/>
      <c r="O177" s="339"/>
      <c r="P177" s="339"/>
      <c r="Q177" s="340"/>
      <c r="R177" s="97"/>
      <c r="S177" s="97"/>
      <c r="T177" s="298"/>
      <c r="U177" s="97"/>
      <c r="V177" s="97"/>
      <c r="W177" s="97"/>
      <c r="X177" s="97"/>
      <c r="Y177" s="97"/>
      <c r="Z177" s="97"/>
      <c r="AA177" s="97"/>
    </row>
    <row r="178" ht="15.75" customHeight="1">
      <c r="A178" s="97"/>
      <c r="B178" s="336"/>
      <c r="C178" s="337"/>
      <c r="D178" s="97"/>
      <c r="E178" s="337"/>
      <c r="F178" s="338"/>
      <c r="G178" s="336"/>
      <c r="H178" s="337"/>
      <c r="I178" s="338"/>
      <c r="J178" s="97"/>
      <c r="K178" s="339"/>
      <c r="L178" s="339"/>
      <c r="M178" s="339"/>
      <c r="N178" s="339"/>
      <c r="O178" s="339"/>
      <c r="P178" s="339"/>
      <c r="Q178" s="340"/>
      <c r="R178" s="97"/>
      <c r="S178" s="97"/>
      <c r="T178" s="298"/>
      <c r="U178" s="97"/>
      <c r="V178" s="97"/>
      <c r="W178" s="97"/>
      <c r="X178" s="97"/>
      <c r="Y178" s="97"/>
      <c r="Z178" s="97"/>
      <c r="AA178" s="97"/>
    </row>
    <row r="179" ht="15.75" customHeight="1">
      <c r="A179" s="97"/>
      <c r="B179" s="336"/>
      <c r="C179" s="337"/>
      <c r="D179" s="97"/>
      <c r="E179" s="337"/>
      <c r="F179" s="338"/>
      <c r="G179" s="336"/>
      <c r="H179" s="337"/>
      <c r="I179" s="338"/>
      <c r="J179" s="97"/>
      <c r="K179" s="339"/>
      <c r="L179" s="339"/>
      <c r="M179" s="339"/>
      <c r="N179" s="339"/>
      <c r="O179" s="339"/>
      <c r="P179" s="339"/>
      <c r="Q179" s="340"/>
      <c r="R179" s="97"/>
      <c r="S179" s="97"/>
      <c r="T179" s="298"/>
      <c r="U179" s="97"/>
      <c r="V179" s="97"/>
      <c r="W179" s="97"/>
      <c r="X179" s="97"/>
      <c r="Y179" s="97"/>
      <c r="Z179" s="97"/>
      <c r="AA179" s="97"/>
    </row>
    <row r="180" ht="15.75" customHeight="1">
      <c r="A180" s="97"/>
      <c r="B180" s="336"/>
      <c r="C180" s="337"/>
      <c r="D180" s="97"/>
      <c r="E180" s="337"/>
      <c r="F180" s="338"/>
      <c r="G180" s="336"/>
      <c r="H180" s="337"/>
      <c r="I180" s="338"/>
      <c r="J180" s="97"/>
      <c r="K180" s="339"/>
      <c r="L180" s="339"/>
      <c r="M180" s="339"/>
      <c r="N180" s="339"/>
      <c r="O180" s="339"/>
      <c r="P180" s="339"/>
      <c r="Q180" s="340"/>
      <c r="R180" s="97"/>
      <c r="S180" s="97"/>
      <c r="T180" s="298"/>
      <c r="U180" s="97"/>
      <c r="V180" s="97"/>
      <c r="W180" s="97"/>
      <c r="X180" s="97"/>
      <c r="Y180" s="97"/>
      <c r="Z180" s="97"/>
      <c r="AA180" s="97"/>
    </row>
    <row r="181" ht="15.75" customHeight="1">
      <c r="A181" s="97"/>
      <c r="B181" s="336"/>
      <c r="C181" s="337"/>
      <c r="D181" s="97"/>
      <c r="E181" s="337"/>
      <c r="F181" s="338"/>
      <c r="G181" s="336"/>
      <c r="H181" s="337"/>
      <c r="I181" s="338"/>
      <c r="J181" s="97"/>
      <c r="K181" s="339"/>
      <c r="L181" s="339"/>
      <c r="M181" s="339"/>
      <c r="N181" s="339"/>
      <c r="O181" s="339"/>
      <c r="P181" s="339"/>
      <c r="Q181" s="340"/>
      <c r="R181" s="97"/>
      <c r="S181" s="97"/>
      <c r="T181" s="298"/>
      <c r="U181" s="97"/>
      <c r="V181" s="97"/>
      <c r="W181" s="97"/>
      <c r="X181" s="97"/>
      <c r="Y181" s="97"/>
      <c r="Z181" s="97"/>
      <c r="AA181" s="97"/>
    </row>
    <row r="182" ht="15.75" customHeight="1">
      <c r="A182" s="97"/>
      <c r="B182" s="336"/>
      <c r="C182" s="337"/>
      <c r="D182" s="97"/>
      <c r="E182" s="337"/>
      <c r="F182" s="338"/>
      <c r="G182" s="336"/>
      <c r="H182" s="337"/>
      <c r="I182" s="338"/>
      <c r="J182" s="97"/>
      <c r="K182" s="339"/>
      <c r="L182" s="339"/>
      <c r="M182" s="339"/>
      <c r="N182" s="339"/>
      <c r="O182" s="339"/>
      <c r="P182" s="339"/>
      <c r="Q182" s="340"/>
      <c r="R182" s="97"/>
      <c r="S182" s="97"/>
      <c r="T182" s="298"/>
      <c r="U182" s="97"/>
      <c r="V182" s="97"/>
      <c r="W182" s="97"/>
      <c r="X182" s="97"/>
      <c r="Y182" s="97"/>
      <c r="Z182" s="97"/>
      <c r="AA182" s="97"/>
    </row>
    <row r="183" ht="15.75" customHeight="1">
      <c r="A183" s="97"/>
      <c r="B183" s="336"/>
      <c r="C183" s="337"/>
      <c r="D183" s="97"/>
      <c r="E183" s="337"/>
      <c r="F183" s="338"/>
      <c r="G183" s="336"/>
      <c r="H183" s="337"/>
      <c r="I183" s="338"/>
      <c r="J183" s="97"/>
      <c r="K183" s="339"/>
      <c r="L183" s="339"/>
      <c r="M183" s="339"/>
      <c r="N183" s="339"/>
      <c r="O183" s="339"/>
      <c r="P183" s="339"/>
      <c r="Q183" s="340"/>
      <c r="R183" s="97"/>
      <c r="S183" s="97"/>
      <c r="T183" s="298"/>
      <c r="U183" s="97"/>
      <c r="V183" s="97"/>
      <c r="W183" s="97"/>
      <c r="X183" s="97"/>
      <c r="Y183" s="97"/>
      <c r="Z183" s="97"/>
      <c r="AA183" s="97"/>
    </row>
    <row r="184" ht="15.75" customHeight="1">
      <c r="A184" s="97"/>
      <c r="B184" s="336"/>
      <c r="C184" s="337"/>
      <c r="D184" s="97"/>
      <c r="E184" s="337"/>
      <c r="F184" s="338"/>
      <c r="G184" s="336"/>
      <c r="H184" s="337"/>
      <c r="I184" s="338"/>
      <c r="J184" s="97"/>
      <c r="K184" s="339"/>
      <c r="L184" s="339"/>
      <c r="M184" s="339"/>
      <c r="N184" s="339"/>
      <c r="O184" s="339"/>
      <c r="P184" s="339"/>
      <c r="Q184" s="340"/>
      <c r="R184" s="97"/>
      <c r="S184" s="97"/>
      <c r="T184" s="298"/>
      <c r="U184" s="97"/>
      <c r="V184" s="97"/>
      <c r="W184" s="97"/>
      <c r="X184" s="97"/>
      <c r="Y184" s="97"/>
      <c r="Z184" s="97"/>
      <c r="AA184" s="97"/>
    </row>
    <row r="185" ht="15.75" customHeight="1">
      <c r="A185" s="97"/>
      <c r="B185" s="336"/>
      <c r="C185" s="337"/>
      <c r="D185" s="97"/>
      <c r="E185" s="337"/>
      <c r="F185" s="338"/>
      <c r="G185" s="336"/>
      <c r="H185" s="337"/>
      <c r="I185" s="338"/>
      <c r="J185" s="97"/>
      <c r="K185" s="339"/>
      <c r="L185" s="339"/>
      <c r="M185" s="339"/>
      <c r="N185" s="339"/>
      <c r="O185" s="339"/>
      <c r="P185" s="339"/>
      <c r="Q185" s="340"/>
      <c r="R185" s="97"/>
      <c r="S185" s="97"/>
      <c r="T185" s="298"/>
      <c r="U185" s="97"/>
      <c r="V185" s="97"/>
      <c r="W185" s="97"/>
      <c r="X185" s="97"/>
      <c r="Y185" s="97"/>
      <c r="Z185" s="97"/>
      <c r="AA185" s="97"/>
    </row>
    <row r="186" ht="15.75" customHeight="1">
      <c r="A186" s="97"/>
      <c r="B186" s="336"/>
      <c r="C186" s="337"/>
      <c r="D186" s="97"/>
      <c r="E186" s="337"/>
      <c r="F186" s="338"/>
      <c r="G186" s="336"/>
      <c r="H186" s="337"/>
      <c r="I186" s="338"/>
      <c r="J186" s="97"/>
      <c r="K186" s="339"/>
      <c r="L186" s="339"/>
      <c r="M186" s="339"/>
      <c r="N186" s="339"/>
      <c r="O186" s="339"/>
      <c r="P186" s="339"/>
      <c r="Q186" s="340"/>
      <c r="R186" s="97"/>
      <c r="S186" s="97"/>
      <c r="T186" s="298"/>
      <c r="U186" s="97"/>
      <c r="V186" s="97"/>
      <c r="W186" s="97"/>
      <c r="X186" s="97"/>
      <c r="Y186" s="97"/>
      <c r="Z186" s="97"/>
      <c r="AA186" s="97"/>
    </row>
    <row r="187" ht="15.75" customHeight="1">
      <c r="A187" s="97"/>
      <c r="B187" s="336"/>
      <c r="C187" s="337"/>
      <c r="D187" s="97"/>
      <c r="E187" s="337"/>
      <c r="F187" s="338"/>
      <c r="G187" s="336"/>
      <c r="H187" s="337"/>
      <c r="I187" s="338"/>
      <c r="J187" s="97"/>
      <c r="K187" s="339"/>
      <c r="L187" s="339"/>
      <c r="M187" s="339"/>
      <c r="N187" s="339"/>
      <c r="O187" s="339"/>
      <c r="P187" s="339"/>
      <c r="Q187" s="340"/>
      <c r="R187" s="97"/>
      <c r="S187" s="97"/>
      <c r="T187" s="298"/>
      <c r="U187" s="97"/>
      <c r="V187" s="97"/>
      <c r="W187" s="97"/>
      <c r="X187" s="97"/>
      <c r="Y187" s="97"/>
      <c r="Z187" s="97"/>
      <c r="AA187" s="97"/>
    </row>
    <row r="188" ht="15.75" customHeight="1">
      <c r="A188" s="97"/>
      <c r="B188" s="336"/>
      <c r="C188" s="337"/>
      <c r="D188" s="97"/>
      <c r="E188" s="337"/>
      <c r="F188" s="338"/>
      <c r="G188" s="336"/>
      <c r="H188" s="337"/>
      <c r="I188" s="338"/>
      <c r="J188" s="97"/>
      <c r="K188" s="339"/>
      <c r="L188" s="339"/>
      <c r="M188" s="339"/>
      <c r="N188" s="339"/>
      <c r="O188" s="339"/>
      <c r="P188" s="339"/>
      <c r="Q188" s="340"/>
      <c r="R188" s="97"/>
      <c r="S188" s="97"/>
      <c r="T188" s="298"/>
      <c r="U188" s="97"/>
      <c r="V188" s="97"/>
      <c r="W188" s="97"/>
      <c r="X188" s="97"/>
      <c r="Y188" s="97"/>
      <c r="Z188" s="97"/>
      <c r="AA188" s="97"/>
    </row>
    <row r="189" ht="15.75" customHeight="1">
      <c r="A189" s="97"/>
      <c r="B189" s="336"/>
      <c r="C189" s="337"/>
      <c r="D189" s="97"/>
      <c r="E189" s="337"/>
      <c r="F189" s="338"/>
      <c r="G189" s="336"/>
      <c r="H189" s="337"/>
      <c r="I189" s="338"/>
      <c r="J189" s="97"/>
      <c r="K189" s="339"/>
      <c r="L189" s="339"/>
      <c r="M189" s="339"/>
      <c r="N189" s="339"/>
      <c r="O189" s="339"/>
      <c r="P189" s="339"/>
      <c r="Q189" s="340"/>
      <c r="R189" s="97"/>
      <c r="S189" s="97"/>
      <c r="T189" s="298"/>
      <c r="U189" s="97"/>
      <c r="V189" s="97"/>
      <c r="W189" s="97"/>
      <c r="X189" s="97"/>
      <c r="Y189" s="97"/>
      <c r="Z189" s="97"/>
      <c r="AA189" s="97"/>
    </row>
    <row r="190" ht="15.75" customHeight="1">
      <c r="A190" s="97"/>
      <c r="B190" s="336"/>
      <c r="C190" s="337"/>
      <c r="D190" s="97"/>
      <c r="E190" s="337"/>
      <c r="F190" s="338"/>
      <c r="G190" s="336"/>
      <c r="H190" s="337"/>
      <c r="I190" s="338"/>
      <c r="J190" s="97"/>
      <c r="K190" s="339"/>
      <c r="L190" s="339"/>
      <c r="M190" s="339"/>
      <c r="N190" s="339"/>
      <c r="O190" s="339"/>
      <c r="P190" s="339"/>
      <c r="Q190" s="340"/>
      <c r="R190" s="97"/>
      <c r="S190" s="97"/>
      <c r="T190" s="298"/>
      <c r="U190" s="97"/>
      <c r="V190" s="97"/>
      <c r="W190" s="97"/>
      <c r="X190" s="97"/>
      <c r="Y190" s="97"/>
      <c r="Z190" s="97"/>
      <c r="AA190" s="97"/>
    </row>
    <row r="191" ht="15.75" customHeight="1">
      <c r="A191" s="97"/>
      <c r="B191" s="336"/>
      <c r="C191" s="337"/>
      <c r="D191" s="97"/>
      <c r="E191" s="337"/>
      <c r="F191" s="338"/>
      <c r="G191" s="336"/>
      <c r="H191" s="337"/>
      <c r="I191" s="338"/>
      <c r="J191" s="97"/>
      <c r="K191" s="339"/>
      <c r="L191" s="339"/>
      <c r="M191" s="339"/>
      <c r="N191" s="339"/>
      <c r="O191" s="339"/>
      <c r="P191" s="339"/>
      <c r="Q191" s="340"/>
      <c r="R191" s="97"/>
      <c r="S191" s="97"/>
      <c r="T191" s="298"/>
      <c r="U191" s="97"/>
      <c r="V191" s="97"/>
      <c r="W191" s="97"/>
      <c r="X191" s="97"/>
      <c r="Y191" s="97"/>
      <c r="Z191" s="97"/>
      <c r="AA191" s="97"/>
    </row>
    <row r="192" ht="15.75" customHeight="1">
      <c r="A192" s="97"/>
      <c r="B192" s="336"/>
      <c r="C192" s="337"/>
      <c r="D192" s="97"/>
      <c r="E192" s="337"/>
      <c r="F192" s="338"/>
      <c r="G192" s="336"/>
      <c r="H192" s="337"/>
      <c r="I192" s="338"/>
      <c r="J192" s="97"/>
      <c r="K192" s="339"/>
      <c r="L192" s="339"/>
      <c r="M192" s="339"/>
      <c r="N192" s="339"/>
      <c r="O192" s="339"/>
      <c r="P192" s="339"/>
      <c r="Q192" s="340"/>
      <c r="R192" s="97"/>
      <c r="S192" s="97"/>
      <c r="T192" s="298"/>
      <c r="U192" s="97"/>
      <c r="V192" s="97"/>
      <c r="W192" s="97"/>
      <c r="X192" s="97"/>
      <c r="Y192" s="97"/>
      <c r="Z192" s="97"/>
      <c r="AA192" s="97"/>
    </row>
    <row r="193" ht="15.75" customHeight="1">
      <c r="A193" s="97"/>
      <c r="B193" s="336"/>
      <c r="C193" s="337"/>
      <c r="D193" s="97"/>
      <c r="E193" s="337"/>
      <c r="F193" s="338"/>
      <c r="G193" s="336"/>
      <c r="H193" s="337"/>
      <c r="I193" s="338"/>
      <c r="J193" s="97"/>
      <c r="K193" s="339"/>
      <c r="L193" s="339"/>
      <c r="M193" s="339"/>
      <c r="N193" s="339"/>
      <c r="O193" s="339"/>
      <c r="P193" s="339"/>
      <c r="Q193" s="340"/>
      <c r="R193" s="97"/>
      <c r="S193" s="97"/>
      <c r="T193" s="298"/>
      <c r="U193" s="97"/>
      <c r="V193" s="97"/>
      <c r="W193" s="97"/>
      <c r="X193" s="97"/>
      <c r="Y193" s="97"/>
      <c r="Z193" s="97"/>
      <c r="AA193" s="97"/>
    </row>
    <row r="194" ht="15.75" customHeight="1">
      <c r="A194" s="97"/>
      <c r="B194" s="336"/>
      <c r="C194" s="337"/>
      <c r="D194" s="97"/>
      <c r="E194" s="337"/>
      <c r="F194" s="338"/>
      <c r="G194" s="336"/>
      <c r="H194" s="337"/>
      <c r="I194" s="338"/>
      <c r="J194" s="97"/>
      <c r="K194" s="339"/>
      <c r="L194" s="339"/>
      <c r="M194" s="339"/>
      <c r="N194" s="339"/>
      <c r="O194" s="339"/>
      <c r="P194" s="339"/>
      <c r="Q194" s="340"/>
      <c r="R194" s="97"/>
      <c r="S194" s="97"/>
      <c r="T194" s="298"/>
      <c r="U194" s="97"/>
      <c r="V194" s="97"/>
      <c r="W194" s="97"/>
      <c r="X194" s="97"/>
      <c r="Y194" s="97"/>
      <c r="Z194" s="97"/>
      <c r="AA194" s="97"/>
    </row>
    <row r="195" ht="15.75" customHeight="1">
      <c r="A195" s="97"/>
      <c r="B195" s="336"/>
      <c r="C195" s="337"/>
      <c r="D195" s="97"/>
      <c r="E195" s="337"/>
      <c r="F195" s="338"/>
      <c r="G195" s="336"/>
      <c r="H195" s="337"/>
      <c r="I195" s="338"/>
      <c r="J195" s="97"/>
      <c r="K195" s="339"/>
      <c r="L195" s="339"/>
      <c r="M195" s="339"/>
      <c r="N195" s="339"/>
      <c r="O195" s="339"/>
      <c r="P195" s="339"/>
      <c r="Q195" s="340"/>
      <c r="R195" s="97"/>
      <c r="S195" s="97"/>
      <c r="T195" s="298"/>
      <c r="U195" s="97"/>
      <c r="V195" s="97"/>
      <c r="W195" s="97"/>
      <c r="X195" s="97"/>
      <c r="Y195" s="97"/>
      <c r="Z195" s="97"/>
      <c r="AA195" s="97"/>
    </row>
    <row r="196" ht="15.75" customHeight="1">
      <c r="A196" s="97"/>
      <c r="B196" s="336"/>
      <c r="C196" s="337"/>
      <c r="D196" s="97"/>
      <c r="E196" s="337"/>
      <c r="F196" s="338"/>
      <c r="G196" s="336"/>
      <c r="H196" s="337"/>
      <c r="I196" s="338"/>
      <c r="J196" s="97"/>
      <c r="K196" s="339"/>
      <c r="L196" s="339"/>
      <c r="M196" s="339"/>
      <c r="N196" s="339"/>
      <c r="O196" s="339"/>
      <c r="P196" s="339"/>
      <c r="Q196" s="340"/>
      <c r="R196" s="97"/>
      <c r="S196" s="97"/>
      <c r="T196" s="298"/>
      <c r="U196" s="97"/>
      <c r="V196" s="97"/>
      <c r="W196" s="97"/>
      <c r="X196" s="97"/>
      <c r="Y196" s="97"/>
      <c r="Z196" s="97"/>
      <c r="AA196" s="97"/>
    </row>
    <row r="197" ht="15.75" customHeight="1">
      <c r="A197" s="97"/>
      <c r="B197" s="336"/>
      <c r="C197" s="337"/>
      <c r="D197" s="97"/>
      <c r="E197" s="337"/>
      <c r="F197" s="338"/>
      <c r="G197" s="336"/>
      <c r="H197" s="337"/>
      <c r="I197" s="338"/>
      <c r="J197" s="97"/>
      <c r="K197" s="339"/>
      <c r="L197" s="339"/>
      <c r="M197" s="339"/>
      <c r="N197" s="339"/>
      <c r="O197" s="339"/>
      <c r="P197" s="339"/>
      <c r="Q197" s="340"/>
      <c r="R197" s="97"/>
      <c r="S197" s="97"/>
      <c r="T197" s="298"/>
      <c r="U197" s="97"/>
      <c r="V197" s="97"/>
      <c r="W197" s="97"/>
      <c r="X197" s="97"/>
      <c r="Y197" s="97"/>
      <c r="Z197" s="97"/>
      <c r="AA197" s="97"/>
    </row>
    <row r="198" ht="15.75" customHeight="1">
      <c r="A198" s="97"/>
      <c r="B198" s="336"/>
      <c r="C198" s="337"/>
      <c r="D198" s="97"/>
      <c r="E198" s="337"/>
      <c r="F198" s="338"/>
      <c r="G198" s="336"/>
      <c r="H198" s="337"/>
      <c r="I198" s="338"/>
      <c r="J198" s="97"/>
      <c r="K198" s="339"/>
      <c r="L198" s="339"/>
      <c r="M198" s="339"/>
      <c r="N198" s="339"/>
      <c r="O198" s="339"/>
      <c r="P198" s="339"/>
      <c r="Q198" s="340"/>
      <c r="R198" s="97"/>
      <c r="S198" s="97"/>
      <c r="T198" s="298"/>
      <c r="U198" s="97"/>
      <c r="V198" s="97"/>
      <c r="W198" s="97"/>
      <c r="X198" s="97"/>
      <c r="Y198" s="97"/>
      <c r="Z198" s="97"/>
      <c r="AA198" s="97"/>
    </row>
    <row r="199" ht="15.75" customHeight="1">
      <c r="A199" s="97"/>
      <c r="B199" s="336"/>
      <c r="C199" s="337"/>
      <c r="D199" s="97"/>
      <c r="E199" s="337"/>
      <c r="F199" s="338"/>
      <c r="G199" s="336"/>
      <c r="H199" s="337"/>
      <c r="I199" s="338"/>
      <c r="J199" s="97"/>
      <c r="K199" s="339"/>
      <c r="L199" s="339"/>
      <c r="M199" s="339"/>
      <c r="N199" s="339"/>
      <c r="O199" s="339"/>
      <c r="P199" s="339"/>
      <c r="Q199" s="340"/>
      <c r="R199" s="97"/>
      <c r="S199" s="97"/>
      <c r="T199" s="298"/>
      <c r="U199" s="97"/>
      <c r="V199" s="97"/>
      <c r="W199" s="97"/>
      <c r="X199" s="97"/>
      <c r="Y199" s="97"/>
      <c r="Z199" s="97"/>
      <c r="AA199" s="97"/>
    </row>
    <row r="200" ht="15.75" customHeight="1">
      <c r="A200" s="97"/>
      <c r="B200" s="336"/>
      <c r="C200" s="337"/>
      <c r="D200" s="97"/>
      <c r="E200" s="337"/>
      <c r="F200" s="338"/>
      <c r="G200" s="336"/>
      <c r="H200" s="337"/>
      <c r="I200" s="338"/>
      <c r="J200" s="97"/>
      <c r="K200" s="339"/>
      <c r="L200" s="339"/>
      <c r="M200" s="339"/>
      <c r="N200" s="339"/>
      <c r="O200" s="339"/>
      <c r="P200" s="339"/>
      <c r="Q200" s="340"/>
      <c r="R200" s="97"/>
      <c r="S200" s="97"/>
      <c r="T200" s="298"/>
      <c r="U200" s="97"/>
      <c r="V200" s="97"/>
      <c r="W200" s="97"/>
      <c r="X200" s="97"/>
      <c r="Y200" s="97"/>
      <c r="Z200" s="97"/>
      <c r="AA200" s="97"/>
    </row>
    <row r="201" ht="15.75" customHeight="1">
      <c r="A201" s="97"/>
      <c r="B201" s="336"/>
      <c r="C201" s="337"/>
      <c r="D201" s="97"/>
      <c r="E201" s="337"/>
      <c r="F201" s="338"/>
      <c r="G201" s="336"/>
      <c r="H201" s="337"/>
      <c r="I201" s="338"/>
      <c r="J201" s="97"/>
      <c r="K201" s="339"/>
      <c r="L201" s="339"/>
      <c r="M201" s="339"/>
      <c r="N201" s="339"/>
      <c r="O201" s="339"/>
      <c r="P201" s="339"/>
      <c r="Q201" s="340"/>
      <c r="R201" s="97"/>
      <c r="S201" s="97"/>
      <c r="T201" s="298"/>
      <c r="U201" s="97"/>
      <c r="V201" s="97"/>
      <c r="W201" s="97"/>
      <c r="X201" s="97"/>
      <c r="Y201" s="97"/>
      <c r="Z201" s="97"/>
      <c r="AA201" s="97"/>
    </row>
    <row r="202" ht="15.75" customHeight="1">
      <c r="A202" s="97"/>
      <c r="B202" s="336"/>
      <c r="C202" s="337"/>
      <c r="D202" s="97"/>
      <c r="E202" s="337"/>
      <c r="F202" s="338"/>
      <c r="G202" s="336"/>
      <c r="H202" s="337"/>
      <c r="I202" s="338"/>
      <c r="J202" s="97"/>
      <c r="K202" s="339"/>
      <c r="L202" s="339"/>
      <c r="M202" s="339"/>
      <c r="N202" s="339"/>
      <c r="O202" s="339"/>
      <c r="P202" s="339"/>
      <c r="Q202" s="340"/>
      <c r="R202" s="97"/>
      <c r="S202" s="97"/>
      <c r="T202" s="298"/>
      <c r="U202" s="97"/>
      <c r="V202" s="97"/>
      <c r="W202" s="97"/>
      <c r="X202" s="97"/>
      <c r="Y202" s="97"/>
      <c r="Z202" s="97"/>
      <c r="AA202" s="97"/>
    </row>
    <row r="203" ht="15.75" customHeight="1">
      <c r="A203" s="97"/>
      <c r="B203" s="336"/>
      <c r="C203" s="337"/>
      <c r="D203" s="97"/>
      <c r="E203" s="337"/>
      <c r="F203" s="338"/>
      <c r="G203" s="336"/>
      <c r="H203" s="337"/>
      <c r="I203" s="338"/>
      <c r="J203" s="97"/>
      <c r="K203" s="339"/>
      <c r="L203" s="339"/>
      <c r="M203" s="339"/>
      <c r="N203" s="339"/>
      <c r="O203" s="339"/>
      <c r="P203" s="339"/>
      <c r="Q203" s="340"/>
      <c r="R203" s="97"/>
      <c r="S203" s="97"/>
      <c r="T203" s="298"/>
      <c r="U203" s="97"/>
      <c r="V203" s="97"/>
      <c r="W203" s="97"/>
      <c r="X203" s="97"/>
      <c r="Y203" s="97"/>
      <c r="Z203" s="97"/>
      <c r="AA203" s="97"/>
    </row>
    <row r="204" ht="15.75" customHeight="1">
      <c r="A204" s="97"/>
      <c r="B204" s="336"/>
      <c r="C204" s="337"/>
      <c r="D204" s="97"/>
      <c r="E204" s="337"/>
      <c r="F204" s="338"/>
      <c r="G204" s="336"/>
      <c r="H204" s="337"/>
      <c r="I204" s="338"/>
      <c r="J204" s="97"/>
      <c r="K204" s="339"/>
      <c r="L204" s="339"/>
      <c r="M204" s="339"/>
      <c r="N204" s="339"/>
      <c r="O204" s="339"/>
      <c r="P204" s="339"/>
      <c r="Q204" s="340"/>
      <c r="R204" s="97"/>
      <c r="S204" s="97"/>
      <c r="T204" s="298"/>
      <c r="U204" s="97"/>
      <c r="V204" s="97"/>
      <c r="W204" s="97"/>
      <c r="X204" s="97"/>
      <c r="Y204" s="97"/>
      <c r="Z204" s="97"/>
      <c r="AA204" s="97"/>
    </row>
    <row r="205" ht="15.75" customHeight="1">
      <c r="A205" s="97"/>
      <c r="B205" s="336"/>
      <c r="C205" s="337"/>
      <c r="D205" s="97"/>
      <c r="E205" s="337"/>
      <c r="F205" s="338"/>
      <c r="G205" s="336"/>
      <c r="H205" s="337"/>
      <c r="I205" s="338"/>
      <c r="J205" s="97"/>
      <c r="K205" s="339"/>
      <c r="L205" s="339"/>
      <c r="M205" s="339"/>
      <c r="N205" s="339"/>
      <c r="O205" s="339"/>
      <c r="P205" s="339"/>
      <c r="Q205" s="340"/>
      <c r="R205" s="97"/>
      <c r="S205" s="97"/>
      <c r="T205" s="298"/>
      <c r="U205" s="97"/>
      <c r="V205" s="97"/>
      <c r="W205" s="97"/>
      <c r="X205" s="97"/>
      <c r="Y205" s="97"/>
      <c r="Z205" s="97"/>
      <c r="AA205" s="97"/>
    </row>
    <row r="206" ht="15.75" customHeight="1">
      <c r="A206" s="97"/>
      <c r="B206" s="336"/>
      <c r="C206" s="337"/>
      <c r="D206" s="97"/>
      <c r="E206" s="337"/>
      <c r="F206" s="338"/>
      <c r="G206" s="336"/>
      <c r="H206" s="337"/>
      <c r="I206" s="338"/>
      <c r="J206" s="97"/>
      <c r="K206" s="339"/>
      <c r="L206" s="339"/>
      <c r="M206" s="339"/>
      <c r="N206" s="339"/>
      <c r="O206" s="339"/>
      <c r="P206" s="339"/>
      <c r="Q206" s="340"/>
      <c r="R206" s="97"/>
      <c r="S206" s="97"/>
      <c r="T206" s="298"/>
      <c r="U206" s="97"/>
      <c r="V206" s="97"/>
      <c r="W206" s="97"/>
      <c r="X206" s="97"/>
      <c r="Y206" s="97"/>
      <c r="Z206" s="97"/>
      <c r="AA206" s="97"/>
    </row>
    <row r="207" ht="15.75" customHeight="1">
      <c r="A207" s="97"/>
      <c r="B207" s="336"/>
      <c r="C207" s="337"/>
      <c r="D207" s="97"/>
      <c r="E207" s="337"/>
      <c r="F207" s="338"/>
      <c r="G207" s="336"/>
      <c r="H207" s="337"/>
      <c r="I207" s="338"/>
      <c r="J207" s="97"/>
      <c r="K207" s="339"/>
      <c r="L207" s="339"/>
      <c r="M207" s="339"/>
      <c r="N207" s="339"/>
      <c r="O207" s="339"/>
      <c r="P207" s="339"/>
      <c r="Q207" s="340"/>
      <c r="R207" s="97"/>
      <c r="S207" s="97"/>
      <c r="T207" s="298"/>
      <c r="U207" s="97"/>
      <c r="V207" s="97"/>
      <c r="W207" s="97"/>
      <c r="X207" s="97"/>
      <c r="Y207" s="97"/>
      <c r="Z207" s="97"/>
      <c r="AA207" s="97"/>
    </row>
    <row r="208" ht="15.75" customHeight="1">
      <c r="A208" s="97"/>
      <c r="B208" s="336"/>
      <c r="C208" s="337"/>
      <c r="D208" s="97"/>
      <c r="E208" s="337"/>
      <c r="F208" s="338"/>
      <c r="G208" s="336"/>
      <c r="H208" s="337"/>
      <c r="I208" s="338"/>
      <c r="J208" s="97"/>
      <c r="K208" s="339"/>
      <c r="L208" s="339"/>
      <c r="M208" s="339"/>
      <c r="N208" s="339"/>
      <c r="O208" s="339"/>
      <c r="P208" s="339"/>
      <c r="Q208" s="340"/>
      <c r="R208" s="97"/>
      <c r="S208" s="97"/>
      <c r="T208" s="298"/>
      <c r="U208" s="97"/>
      <c r="V208" s="97"/>
      <c r="W208" s="97"/>
      <c r="X208" s="97"/>
      <c r="Y208" s="97"/>
      <c r="Z208" s="97"/>
      <c r="AA208" s="97"/>
    </row>
    <row r="209" ht="15.75" customHeight="1">
      <c r="A209" s="97"/>
      <c r="B209" s="336"/>
      <c r="C209" s="337"/>
      <c r="D209" s="97"/>
      <c r="E209" s="337"/>
      <c r="F209" s="338"/>
      <c r="G209" s="336"/>
      <c r="H209" s="337"/>
      <c r="I209" s="338"/>
      <c r="J209" s="97"/>
      <c r="K209" s="339"/>
      <c r="L209" s="339"/>
      <c r="M209" s="339"/>
      <c r="N209" s="339"/>
      <c r="O209" s="339"/>
      <c r="P209" s="339"/>
      <c r="Q209" s="340"/>
      <c r="R209" s="97"/>
      <c r="S209" s="97"/>
      <c r="T209" s="298"/>
      <c r="U209" s="97"/>
      <c r="V209" s="97"/>
      <c r="W209" s="97"/>
      <c r="X209" s="97"/>
      <c r="Y209" s="97"/>
      <c r="Z209" s="97"/>
      <c r="AA209" s="97"/>
    </row>
    <row r="210" ht="15.75" customHeight="1">
      <c r="A210" s="97"/>
      <c r="B210" s="336"/>
      <c r="C210" s="337"/>
      <c r="D210" s="97"/>
      <c r="E210" s="337"/>
      <c r="F210" s="338"/>
      <c r="G210" s="336"/>
      <c r="H210" s="337"/>
      <c r="I210" s="338"/>
      <c r="J210" s="97"/>
      <c r="K210" s="339"/>
      <c r="L210" s="339"/>
      <c r="M210" s="339"/>
      <c r="N210" s="339"/>
      <c r="O210" s="339"/>
      <c r="P210" s="339"/>
      <c r="Q210" s="340"/>
      <c r="R210" s="97"/>
      <c r="S210" s="97"/>
      <c r="T210" s="298"/>
      <c r="U210" s="97"/>
      <c r="V210" s="97"/>
      <c r="W210" s="97"/>
      <c r="X210" s="97"/>
      <c r="Y210" s="97"/>
      <c r="Z210" s="97"/>
      <c r="AA210" s="97"/>
    </row>
    <row r="211" ht="15.75" customHeight="1">
      <c r="A211" s="97"/>
      <c r="B211" s="336"/>
      <c r="C211" s="337"/>
      <c r="D211" s="97"/>
      <c r="E211" s="337"/>
      <c r="F211" s="338"/>
      <c r="G211" s="336"/>
      <c r="H211" s="337"/>
      <c r="I211" s="338"/>
      <c r="J211" s="97"/>
      <c r="K211" s="339"/>
      <c r="L211" s="339"/>
      <c r="M211" s="339"/>
      <c r="N211" s="339"/>
      <c r="O211" s="339"/>
      <c r="P211" s="339"/>
      <c r="Q211" s="340"/>
      <c r="R211" s="97"/>
      <c r="S211" s="97"/>
      <c r="T211" s="298"/>
      <c r="U211" s="97"/>
      <c r="V211" s="97"/>
      <c r="W211" s="97"/>
      <c r="X211" s="97"/>
      <c r="Y211" s="97"/>
      <c r="Z211" s="97"/>
      <c r="AA211" s="97"/>
    </row>
    <row r="212" ht="15.75" customHeight="1">
      <c r="A212" s="97"/>
      <c r="B212" s="336"/>
      <c r="C212" s="337"/>
      <c r="D212" s="97"/>
      <c r="E212" s="337"/>
      <c r="F212" s="338"/>
      <c r="G212" s="336"/>
      <c r="H212" s="337"/>
      <c r="I212" s="338"/>
      <c r="J212" s="97"/>
      <c r="K212" s="339"/>
      <c r="L212" s="339"/>
      <c r="M212" s="339"/>
      <c r="N212" s="339"/>
      <c r="O212" s="339"/>
      <c r="P212" s="339"/>
      <c r="Q212" s="340"/>
      <c r="R212" s="97"/>
      <c r="S212" s="97"/>
      <c r="T212" s="298"/>
      <c r="U212" s="97"/>
      <c r="V212" s="97"/>
      <c r="W212" s="97"/>
      <c r="X212" s="97"/>
      <c r="Y212" s="97"/>
      <c r="Z212" s="97"/>
      <c r="AA212" s="97"/>
    </row>
    <row r="213" ht="15.75" customHeight="1">
      <c r="A213" s="97"/>
      <c r="B213" s="336"/>
      <c r="C213" s="337"/>
      <c r="D213" s="97"/>
      <c r="E213" s="337"/>
      <c r="F213" s="338"/>
      <c r="G213" s="336"/>
      <c r="H213" s="337"/>
      <c r="I213" s="338"/>
      <c r="J213" s="97"/>
      <c r="K213" s="339"/>
      <c r="L213" s="339"/>
      <c r="M213" s="339"/>
      <c r="N213" s="339"/>
      <c r="O213" s="339"/>
      <c r="P213" s="339"/>
      <c r="Q213" s="340"/>
      <c r="R213" s="97"/>
      <c r="S213" s="97"/>
      <c r="T213" s="298"/>
      <c r="U213" s="97"/>
      <c r="V213" s="97"/>
      <c r="W213" s="97"/>
      <c r="X213" s="97"/>
      <c r="Y213" s="97"/>
      <c r="Z213" s="97"/>
      <c r="AA213" s="97"/>
    </row>
    <row r="214" ht="15.75" customHeight="1">
      <c r="A214" s="97"/>
      <c r="B214" s="336"/>
      <c r="C214" s="337"/>
      <c r="D214" s="97"/>
      <c r="E214" s="337"/>
      <c r="F214" s="338"/>
      <c r="G214" s="336"/>
      <c r="H214" s="337"/>
      <c r="I214" s="338"/>
      <c r="J214" s="97"/>
      <c r="K214" s="339"/>
      <c r="L214" s="339"/>
      <c r="M214" s="339"/>
      <c r="N214" s="339"/>
      <c r="O214" s="339"/>
      <c r="P214" s="339"/>
      <c r="Q214" s="340"/>
      <c r="R214" s="97"/>
      <c r="S214" s="97"/>
      <c r="T214" s="298"/>
      <c r="U214" s="97"/>
      <c r="V214" s="97"/>
      <c r="W214" s="97"/>
      <c r="X214" s="97"/>
      <c r="Y214" s="97"/>
      <c r="Z214" s="97"/>
      <c r="AA214" s="97"/>
    </row>
    <row r="215" ht="15.75" customHeight="1">
      <c r="A215" s="97"/>
      <c r="B215" s="336"/>
      <c r="C215" s="337"/>
      <c r="D215" s="97"/>
      <c r="E215" s="337"/>
      <c r="F215" s="338"/>
      <c r="G215" s="336"/>
      <c r="H215" s="337"/>
      <c r="I215" s="338"/>
      <c r="J215" s="97"/>
      <c r="K215" s="339"/>
      <c r="L215" s="339"/>
      <c r="M215" s="339"/>
      <c r="N215" s="339"/>
      <c r="O215" s="339"/>
      <c r="P215" s="339"/>
      <c r="Q215" s="340"/>
      <c r="R215" s="97"/>
      <c r="S215" s="97"/>
      <c r="T215" s="298"/>
      <c r="U215" s="97"/>
      <c r="V215" s="97"/>
      <c r="W215" s="97"/>
      <c r="X215" s="97"/>
      <c r="Y215" s="97"/>
      <c r="Z215" s="97"/>
      <c r="AA215" s="97"/>
    </row>
    <row r="216" ht="15.75" customHeight="1">
      <c r="A216" s="97"/>
      <c r="B216" s="336"/>
      <c r="C216" s="337"/>
      <c r="D216" s="97"/>
      <c r="E216" s="337"/>
      <c r="F216" s="338"/>
      <c r="G216" s="336"/>
      <c r="H216" s="337"/>
      <c r="I216" s="338"/>
      <c r="J216" s="97"/>
      <c r="K216" s="339"/>
      <c r="L216" s="339"/>
      <c r="M216" s="339"/>
      <c r="N216" s="339"/>
      <c r="O216" s="339"/>
      <c r="P216" s="339"/>
      <c r="Q216" s="340"/>
      <c r="R216" s="97"/>
      <c r="S216" s="97"/>
      <c r="T216" s="298"/>
      <c r="U216" s="97"/>
      <c r="V216" s="97"/>
      <c r="W216" s="97"/>
      <c r="X216" s="97"/>
      <c r="Y216" s="97"/>
      <c r="Z216" s="97"/>
      <c r="AA216" s="97"/>
    </row>
    <row r="217" ht="15.75" customHeight="1">
      <c r="A217" s="97"/>
      <c r="B217" s="336"/>
      <c r="C217" s="337"/>
      <c r="D217" s="97"/>
      <c r="E217" s="337"/>
      <c r="F217" s="338"/>
      <c r="G217" s="336"/>
      <c r="H217" s="337"/>
      <c r="I217" s="338"/>
      <c r="J217" s="97"/>
      <c r="K217" s="339"/>
      <c r="L217" s="339"/>
      <c r="M217" s="339"/>
      <c r="N217" s="339"/>
      <c r="O217" s="339"/>
      <c r="P217" s="339"/>
      <c r="Q217" s="340"/>
      <c r="R217" s="97"/>
      <c r="S217" s="97"/>
      <c r="T217" s="298"/>
      <c r="U217" s="97"/>
      <c r="V217" s="97"/>
      <c r="W217" s="97"/>
      <c r="X217" s="97"/>
      <c r="Y217" s="97"/>
      <c r="Z217" s="97"/>
      <c r="AA217" s="97"/>
    </row>
    <row r="218" ht="15.75" customHeight="1">
      <c r="A218" s="97"/>
      <c r="B218" s="336"/>
      <c r="C218" s="337"/>
      <c r="D218" s="97"/>
      <c r="E218" s="337"/>
      <c r="F218" s="338"/>
      <c r="G218" s="336"/>
      <c r="H218" s="337"/>
      <c r="I218" s="338"/>
      <c r="J218" s="97"/>
      <c r="K218" s="339"/>
      <c r="L218" s="339"/>
      <c r="M218" s="339"/>
      <c r="N218" s="339"/>
      <c r="O218" s="339"/>
      <c r="P218" s="339"/>
      <c r="Q218" s="340"/>
      <c r="R218" s="97"/>
      <c r="S218" s="97"/>
      <c r="T218" s="298"/>
      <c r="U218" s="97"/>
      <c r="V218" s="97"/>
      <c r="W218" s="97"/>
      <c r="X218" s="97"/>
      <c r="Y218" s="97"/>
      <c r="Z218" s="97"/>
      <c r="AA218" s="97"/>
    </row>
    <row r="219" ht="15.75" customHeight="1">
      <c r="A219" s="97"/>
      <c r="B219" s="336"/>
      <c r="C219" s="337"/>
      <c r="D219" s="97"/>
      <c r="E219" s="337"/>
      <c r="F219" s="338"/>
      <c r="G219" s="336"/>
      <c r="H219" s="337"/>
      <c r="I219" s="338"/>
      <c r="J219" s="97"/>
      <c r="K219" s="339"/>
      <c r="L219" s="339"/>
      <c r="M219" s="339"/>
      <c r="N219" s="339"/>
      <c r="O219" s="339"/>
      <c r="P219" s="339"/>
      <c r="Q219" s="340"/>
      <c r="R219" s="97"/>
      <c r="S219" s="97"/>
      <c r="T219" s="298"/>
      <c r="U219" s="97"/>
      <c r="V219" s="97"/>
      <c r="W219" s="97"/>
      <c r="X219" s="97"/>
      <c r="Y219" s="97"/>
      <c r="Z219" s="97"/>
      <c r="AA219" s="97"/>
    </row>
    <row r="220" ht="15.75" customHeight="1">
      <c r="A220" s="97"/>
      <c r="B220" s="336"/>
      <c r="C220" s="337"/>
      <c r="D220" s="97"/>
      <c r="E220" s="337"/>
      <c r="F220" s="338"/>
      <c r="G220" s="336"/>
      <c r="H220" s="337"/>
      <c r="I220" s="338"/>
      <c r="J220" s="97"/>
      <c r="K220" s="339"/>
      <c r="L220" s="339"/>
      <c r="M220" s="339"/>
      <c r="N220" s="339"/>
      <c r="O220" s="339"/>
      <c r="P220" s="339"/>
      <c r="Q220" s="340"/>
      <c r="R220" s="97"/>
      <c r="S220" s="97"/>
      <c r="T220" s="298"/>
      <c r="U220" s="97"/>
      <c r="V220" s="97"/>
      <c r="W220" s="97"/>
      <c r="X220" s="97"/>
      <c r="Y220" s="97"/>
      <c r="Z220" s="97"/>
      <c r="AA220" s="97"/>
    </row>
    <row r="221" ht="15.75" customHeight="1">
      <c r="A221" s="97"/>
      <c r="B221" s="336"/>
      <c r="C221" s="337"/>
      <c r="D221" s="97"/>
      <c r="E221" s="337"/>
      <c r="F221" s="338"/>
      <c r="G221" s="336"/>
      <c r="H221" s="337"/>
      <c r="I221" s="338"/>
      <c r="J221" s="97"/>
      <c r="K221" s="339"/>
      <c r="L221" s="339"/>
      <c r="M221" s="339"/>
      <c r="N221" s="339"/>
      <c r="O221" s="339"/>
      <c r="P221" s="339"/>
      <c r="Q221" s="340"/>
      <c r="R221" s="97"/>
      <c r="S221" s="97"/>
      <c r="T221" s="298"/>
      <c r="U221" s="97"/>
      <c r="V221" s="97"/>
      <c r="W221" s="97"/>
      <c r="X221" s="97"/>
      <c r="Y221" s="97"/>
      <c r="Z221" s="97"/>
      <c r="AA221" s="97"/>
    </row>
    <row r="222" ht="15.75" customHeight="1">
      <c r="A222" s="97"/>
      <c r="B222" s="336"/>
      <c r="C222" s="337"/>
      <c r="D222" s="97"/>
      <c r="E222" s="337"/>
      <c r="F222" s="338"/>
      <c r="G222" s="336"/>
      <c r="H222" s="337"/>
      <c r="I222" s="338"/>
      <c r="J222" s="97"/>
      <c r="K222" s="339"/>
      <c r="L222" s="339"/>
      <c r="M222" s="339"/>
      <c r="N222" s="339"/>
      <c r="O222" s="339"/>
      <c r="P222" s="339"/>
      <c r="Q222" s="340"/>
      <c r="R222" s="97"/>
      <c r="S222" s="97"/>
      <c r="T222" s="298"/>
      <c r="U222" s="97"/>
      <c r="V222" s="97"/>
      <c r="W222" s="97"/>
      <c r="X222" s="97"/>
      <c r="Y222" s="97"/>
      <c r="Z222" s="97"/>
      <c r="AA222" s="97"/>
    </row>
    <row r="223" ht="15.75" customHeight="1">
      <c r="A223" s="97"/>
      <c r="B223" s="336"/>
      <c r="C223" s="337"/>
      <c r="D223" s="97"/>
      <c r="E223" s="337"/>
      <c r="F223" s="338"/>
      <c r="G223" s="336"/>
      <c r="H223" s="337"/>
      <c r="I223" s="338"/>
      <c r="J223" s="97"/>
      <c r="K223" s="339"/>
      <c r="L223" s="339"/>
      <c r="M223" s="339"/>
      <c r="N223" s="339"/>
      <c r="O223" s="339"/>
      <c r="P223" s="339"/>
      <c r="Q223" s="340"/>
      <c r="R223" s="97"/>
      <c r="S223" s="97"/>
      <c r="T223" s="298"/>
      <c r="U223" s="97"/>
      <c r="V223" s="97"/>
      <c r="W223" s="97"/>
      <c r="X223" s="97"/>
      <c r="Y223" s="97"/>
      <c r="Z223" s="97"/>
      <c r="AA223" s="97"/>
    </row>
    <row r="224" ht="15.75" customHeight="1">
      <c r="A224" s="97"/>
      <c r="B224" s="336"/>
      <c r="C224" s="337"/>
      <c r="D224" s="97"/>
      <c r="E224" s="337"/>
      <c r="F224" s="338"/>
      <c r="G224" s="336"/>
      <c r="H224" s="337"/>
      <c r="I224" s="338"/>
      <c r="J224" s="97"/>
      <c r="K224" s="339"/>
      <c r="L224" s="339"/>
      <c r="M224" s="339"/>
      <c r="N224" s="339"/>
      <c r="O224" s="339"/>
      <c r="P224" s="339"/>
      <c r="Q224" s="340"/>
      <c r="R224" s="97"/>
      <c r="S224" s="97"/>
      <c r="T224" s="298"/>
      <c r="U224" s="97"/>
      <c r="V224" s="97"/>
      <c r="W224" s="97"/>
      <c r="X224" s="97"/>
      <c r="Y224" s="97"/>
      <c r="Z224" s="97"/>
      <c r="AA224" s="97"/>
    </row>
    <row r="225" ht="15.75" customHeight="1">
      <c r="A225" s="97"/>
      <c r="B225" s="336"/>
      <c r="C225" s="337"/>
      <c r="D225" s="97"/>
      <c r="E225" s="337"/>
      <c r="F225" s="338"/>
      <c r="G225" s="336"/>
      <c r="H225" s="337"/>
      <c r="I225" s="338"/>
      <c r="J225" s="97"/>
      <c r="K225" s="339"/>
      <c r="L225" s="339"/>
      <c r="M225" s="339"/>
      <c r="N225" s="339"/>
      <c r="O225" s="339"/>
      <c r="P225" s="339"/>
      <c r="Q225" s="340"/>
      <c r="R225" s="97"/>
      <c r="S225" s="97"/>
      <c r="T225" s="298"/>
      <c r="U225" s="97"/>
      <c r="V225" s="97"/>
      <c r="W225" s="97"/>
      <c r="X225" s="97"/>
      <c r="Y225" s="97"/>
      <c r="Z225" s="97"/>
      <c r="AA225" s="97"/>
    </row>
    <row r="226" ht="15.75" customHeight="1">
      <c r="A226" s="97"/>
      <c r="B226" s="336"/>
      <c r="C226" s="337"/>
      <c r="D226" s="97"/>
      <c r="E226" s="337"/>
      <c r="F226" s="338"/>
      <c r="G226" s="336"/>
      <c r="H226" s="337"/>
      <c r="I226" s="338"/>
      <c r="J226" s="97"/>
      <c r="K226" s="339"/>
      <c r="L226" s="339"/>
      <c r="M226" s="339"/>
      <c r="N226" s="339"/>
      <c r="O226" s="339"/>
      <c r="P226" s="339"/>
      <c r="Q226" s="340"/>
      <c r="R226" s="97"/>
      <c r="S226" s="97"/>
      <c r="T226" s="298"/>
      <c r="U226" s="97"/>
      <c r="V226" s="97"/>
      <c r="W226" s="97"/>
      <c r="X226" s="97"/>
      <c r="Y226" s="97"/>
      <c r="Z226" s="97"/>
      <c r="AA226" s="97"/>
    </row>
    <row r="227" ht="15.75" customHeight="1">
      <c r="A227" s="97"/>
      <c r="B227" s="336"/>
      <c r="C227" s="337"/>
      <c r="D227" s="97"/>
      <c r="E227" s="337"/>
      <c r="F227" s="338"/>
      <c r="G227" s="336"/>
      <c r="H227" s="337"/>
      <c r="I227" s="338"/>
      <c r="J227" s="97"/>
      <c r="K227" s="339"/>
      <c r="L227" s="339"/>
      <c r="M227" s="339"/>
      <c r="N227" s="339"/>
      <c r="O227" s="339"/>
      <c r="P227" s="339"/>
      <c r="Q227" s="340"/>
      <c r="R227" s="97"/>
      <c r="S227" s="97"/>
      <c r="T227" s="298"/>
      <c r="U227" s="97"/>
      <c r="V227" s="97"/>
      <c r="W227" s="97"/>
      <c r="X227" s="97"/>
      <c r="Y227" s="97"/>
      <c r="Z227" s="97"/>
      <c r="AA227" s="97"/>
    </row>
    <row r="228" ht="15.75" customHeight="1">
      <c r="A228" s="97"/>
      <c r="B228" s="336"/>
      <c r="C228" s="337"/>
      <c r="D228" s="97"/>
      <c r="E228" s="337"/>
      <c r="F228" s="338"/>
      <c r="G228" s="336"/>
      <c r="H228" s="337"/>
      <c r="I228" s="338"/>
      <c r="J228" s="97"/>
      <c r="K228" s="339"/>
      <c r="L228" s="339"/>
      <c r="M228" s="339"/>
      <c r="N228" s="339"/>
      <c r="O228" s="339"/>
      <c r="P228" s="339"/>
      <c r="Q228" s="340"/>
      <c r="R228" s="97"/>
      <c r="S228" s="97"/>
      <c r="T228" s="298"/>
      <c r="U228" s="97"/>
      <c r="V228" s="97"/>
      <c r="W228" s="97"/>
      <c r="X228" s="97"/>
      <c r="Y228" s="97"/>
      <c r="Z228" s="97"/>
      <c r="AA228" s="97"/>
    </row>
    <row r="229" ht="15.75" customHeight="1">
      <c r="A229" s="97"/>
      <c r="B229" s="336"/>
      <c r="C229" s="337"/>
      <c r="D229" s="97"/>
      <c r="E229" s="337"/>
      <c r="F229" s="338"/>
      <c r="G229" s="336"/>
      <c r="H229" s="337"/>
      <c r="I229" s="338"/>
      <c r="J229" s="97"/>
      <c r="K229" s="339"/>
      <c r="L229" s="339"/>
      <c r="M229" s="339"/>
      <c r="N229" s="339"/>
      <c r="O229" s="339"/>
      <c r="P229" s="339"/>
      <c r="Q229" s="340"/>
      <c r="R229" s="97"/>
      <c r="S229" s="97"/>
      <c r="T229" s="298"/>
      <c r="U229" s="97"/>
      <c r="V229" s="97"/>
      <c r="W229" s="97"/>
      <c r="X229" s="97"/>
      <c r="Y229" s="97"/>
      <c r="Z229" s="97"/>
      <c r="AA229" s="97"/>
    </row>
    <row r="230" ht="15.75" customHeight="1">
      <c r="A230" s="97"/>
      <c r="B230" s="336"/>
      <c r="C230" s="337"/>
      <c r="D230" s="97"/>
      <c r="E230" s="337"/>
      <c r="F230" s="338"/>
      <c r="G230" s="336"/>
      <c r="H230" s="337"/>
      <c r="I230" s="338"/>
      <c r="J230" s="97"/>
      <c r="K230" s="339"/>
      <c r="L230" s="339"/>
      <c r="M230" s="339"/>
      <c r="N230" s="339"/>
      <c r="O230" s="339"/>
      <c r="P230" s="339"/>
      <c r="Q230" s="340"/>
      <c r="R230" s="97"/>
      <c r="S230" s="97"/>
      <c r="T230" s="298"/>
      <c r="U230" s="97"/>
      <c r="V230" s="97"/>
      <c r="W230" s="97"/>
      <c r="X230" s="97"/>
      <c r="Y230" s="97"/>
      <c r="Z230" s="97"/>
      <c r="AA230" s="97"/>
    </row>
    <row r="231" ht="15.75" customHeight="1">
      <c r="A231" s="97"/>
      <c r="B231" s="336"/>
      <c r="C231" s="337"/>
      <c r="D231" s="97"/>
      <c r="E231" s="337"/>
      <c r="F231" s="338"/>
      <c r="G231" s="336"/>
      <c r="H231" s="337"/>
      <c r="I231" s="338"/>
      <c r="J231" s="97"/>
      <c r="K231" s="339"/>
      <c r="L231" s="339"/>
      <c r="M231" s="339"/>
      <c r="N231" s="339"/>
      <c r="O231" s="339"/>
      <c r="P231" s="339"/>
      <c r="Q231" s="340"/>
      <c r="R231" s="97"/>
      <c r="S231" s="97"/>
      <c r="T231" s="298"/>
      <c r="U231" s="97"/>
      <c r="V231" s="97"/>
      <c r="W231" s="97"/>
      <c r="X231" s="97"/>
      <c r="Y231" s="97"/>
      <c r="Z231" s="97"/>
      <c r="AA231" s="97"/>
    </row>
    <row r="232" ht="15.75" customHeight="1">
      <c r="A232" s="97"/>
      <c r="B232" s="336"/>
      <c r="C232" s="337"/>
      <c r="D232" s="97"/>
      <c r="E232" s="337"/>
      <c r="F232" s="338"/>
      <c r="G232" s="336"/>
      <c r="H232" s="337"/>
      <c r="I232" s="338"/>
      <c r="J232" s="97"/>
      <c r="K232" s="339"/>
      <c r="L232" s="339"/>
      <c r="M232" s="339"/>
      <c r="N232" s="339"/>
      <c r="O232" s="339"/>
      <c r="P232" s="339"/>
      <c r="Q232" s="340"/>
      <c r="R232" s="97"/>
      <c r="S232" s="97"/>
      <c r="T232" s="298"/>
      <c r="U232" s="97"/>
      <c r="V232" s="97"/>
      <c r="W232" s="97"/>
      <c r="X232" s="97"/>
      <c r="Y232" s="97"/>
      <c r="Z232" s="97"/>
      <c r="AA232" s="97"/>
    </row>
    <row r="233" ht="15.75" customHeight="1">
      <c r="A233" s="97"/>
      <c r="B233" s="336"/>
      <c r="C233" s="337"/>
      <c r="D233" s="97"/>
      <c r="E233" s="337"/>
      <c r="F233" s="338"/>
      <c r="G233" s="336"/>
      <c r="H233" s="337"/>
      <c r="I233" s="338"/>
      <c r="J233" s="97"/>
      <c r="K233" s="339"/>
      <c r="L233" s="339"/>
      <c r="M233" s="339"/>
      <c r="N233" s="339"/>
      <c r="O233" s="339"/>
      <c r="P233" s="339"/>
      <c r="Q233" s="340"/>
      <c r="R233" s="97"/>
      <c r="S233" s="97"/>
      <c r="T233" s="298"/>
      <c r="U233" s="97"/>
      <c r="V233" s="97"/>
      <c r="W233" s="97"/>
      <c r="X233" s="97"/>
      <c r="Y233" s="97"/>
      <c r="Z233" s="97"/>
      <c r="AA233" s="97"/>
    </row>
    <row r="234" ht="15.75" customHeight="1">
      <c r="A234" s="97"/>
      <c r="B234" s="336"/>
      <c r="C234" s="337"/>
      <c r="D234" s="97"/>
      <c r="E234" s="337"/>
      <c r="F234" s="338"/>
      <c r="G234" s="336"/>
      <c r="H234" s="337"/>
      <c r="I234" s="338"/>
      <c r="J234" s="97"/>
      <c r="K234" s="339"/>
      <c r="L234" s="339"/>
      <c r="M234" s="339"/>
      <c r="N234" s="339"/>
      <c r="O234" s="339"/>
      <c r="P234" s="339"/>
      <c r="Q234" s="340"/>
      <c r="R234" s="97"/>
      <c r="S234" s="97"/>
      <c r="T234" s="298"/>
      <c r="U234" s="97"/>
      <c r="V234" s="97"/>
      <c r="W234" s="97"/>
      <c r="X234" s="97"/>
      <c r="Y234" s="97"/>
      <c r="Z234" s="97"/>
      <c r="AA234" s="97"/>
    </row>
    <row r="235" ht="15.75" customHeight="1">
      <c r="A235" s="97"/>
      <c r="B235" s="336"/>
      <c r="C235" s="337"/>
      <c r="D235" s="97"/>
      <c r="E235" s="337"/>
      <c r="F235" s="338"/>
      <c r="G235" s="336"/>
      <c r="H235" s="337"/>
      <c r="I235" s="338"/>
      <c r="J235" s="97"/>
      <c r="K235" s="339"/>
      <c r="L235" s="339"/>
      <c r="M235" s="339"/>
      <c r="N235" s="339"/>
      <c r="O235" s="339"/>
      <c r="P235" s="339"/>
      <c r="Q235" s="340"/>
      <c r="R235" s="97"/>
      <c r="S235" s="97"/>
      <c r="T235" s="298"/>
      <c r="U235" s="97"/>
      <c r="V235" s="97"/>
      <c r="W235" s="97"/>
      <c r="X235" s="97"/>
      <c r="Y235" s="97"/>
      <c r="Z235" s="97"/>
      <c r="AA235" s="97"/>
    </row>
    <row r="236" ht="15.75" customHeight="1">
      <c r="A236" s="97"/>
      <c r="B236" s="336"/>
      <c r="C236" s="337"/>
      <c r="D236" s="97"/>
      <c r="E236" s="337"/>
      <c r="F236" s="338"/>
      <c r="G236" s="336"/>
      <c r="H236" s="337"/>
      <c r="I236" s="338"/>
      <c r="J236" s="97"/>
      <c r="K236" s="339"/>
      <c r="L236" s="339"/>
      <c r="M236" s="339"/>
      <c r="N236" s="339"/>
      <c r="O236" s="339"/>
      <c r="P236" s="339"/>
      <c r="Q236" s="340"/>
      <c r="R236" s="97"/>
      <c r="S236" s="97"/>
      <c r="T236" s="298"/>
      <c r="U236" s="97"/>
      <c r="V236" s="97"/>
      <c r="W236" s="97"/>
      <c r="X236" s="97"/>
      <c r="Y236" s="97"/>
      <c r="Z236" s="97"/>
      <c r="AA236" s="97"/>
    </row>
    <row r="237" ht="15.75" customHeight="1">
      <c r="A237" s="97"/>
      <c r="B237" s="336"/>
      <c r="C237" s="337"/>
      <c r="D237" s="97"/>
      <c r="E237" s="337"/>
      <c r="F237" s="338"/>
      <c r="G237" s="336"/>
      <c r="H237" s="337"/>
      <c r="I237" s="338"/>
      <c r="J237" s="97"/>
      <c r="K237" s="339"/>
      <c r="L237" s="339"/>
      <c r="M237" s="339"/>
      <c r="N237" s="339"/>
      <c r="O237" s="339"/>
      <c r="P237" s="339"/>
      <c r="Q237" s="340"/>
      <c r="R237" s="97"/>
      <c r="S237" s="97"/>
      <c r="T237" s="298"/>
      <c r="U237" s="97"/>
      <c r="V237" s="97"/>
      <c r="W237" s="97"/>
      <c r="X237" s="97"/>
      <c r="Y237" s="97"/>
      <c r="Z237" s="97"/>
      <c r="AA237" s="97"/>
    </row>
    <row r="238" ht="15.75" customHeight="1">
      <c r="A238" s="97"/>
      <c r="B238" s="336"/>
      <c r="C238" s="337"/>
      <c r="D238" s="97"/>
      <c r="E238" s="337"/>
      <c r="F238" s="338"/>
      <c r="G238" s="336"/>
      <c r="H238" s="337"/>
      <c r="I238" s="338"/>
      <c r="J238" s="97"/>
      <c r="K238" s="339"/>
      <c r="L238" s="339"/>
      <c r="M238" s="339"/>
      <c r="N238" s="339"/>
      <c r="O238" s="339"/>
      <c r="P238" s="339"/>
      <c r="Q238" s="340"/>
      <c r="R238" s="97"/>
      <c r="S238" s="97"/>
      <c r="T238" s="298"/>
      <c r="U238" s="97"/>
      <c r="V238" s="97"/>
      <c r="W238" s="97"/>
      <c r="X238" s="97"/>
      <c r="Y238" s="97"/>
      <c r="Z238" s="97"/>
      <c r="AA238" s="97"/>
    </row>
    <row r="239" ht="15.75" customHeight="1">
      <c r="A239" s="97"/>
      <c r="B239" s="336"/>
      <c r="C239" s="337"/>
      <c r="D239" s="97"/>
      <c r="E239" s="337"/>
      <c r="F239" s="338"/>
      <c r="G239" s="336"/>
      <c r="H239" s="337"/>
      <c r="I239" s="338"/>
      <c r="J239" s="97"/>
      <c r="K239" s="339"/>
      <c r="L239" s="339"/>
      <c r="M239" s="339"/>
      <c r="N239" s="339"/>
      <c r="O239" s="339"/>
      <c r="P239" s="339"/>
      <c r="Q239" s="340"/>
      <c r="R239" s="97"/>
      <c r="S239" s="97"/>
      <c r="T239" s="298"/>
      <c r="U239" s="97"/>
      <c r="V239" s="97"/>
      <c r="W239" s="97"/>
      <c r="X239" s="97"/>
      <c r="Y239" s="97"/>
      <c r="Z239" s="97"/>
      <c r="AA239" s="97"/>
    </row>
    <row r="240" ht="15.75" customHeight="1">
      <c r="A240" s="97"/>
      <c r="B240" s="336"/>
      <c r="C240" s="337"/>
      <c r="D240" s="97"/>
      <c r="E240" s="337"/>
      <c r="F240" s="338"/>
      <c r="G240" s="336"/>
      <c r="H240" s="337"/>
      <c r="I240" s="338"/>
      <c r="J240" s="97"/>
      <c r="K240" s="339"/>
      <c r="L240" s="339"/>
      <c r="M240" s="339"/>
      <c r="N240" s="339"/>
      <c r="O240" s="339"/>
      <c r="P240" s="339"/>
      <c r="Q240" s="340"/>
      <c r="R240" s="97"/>
      <c r="S240" s="97"/>
      <c r="T240" s="298"/>
      <c r="U240" s="97"/>
      <c r="V240" s="97"/>
      <c r="W240" s="97"/>
      <c r="X240" s="97"/>
      <c r="Y240" s="97"/>
      <c r="Z240" s="97"/>
      <c r="AA240" s="97"/>
    </row>
    <row r="241" ht="15.75" customHeight="1">
      <c r="A241" s="97"/>
      <c r="B241" s="336"/>
      <c r="C241" s="337"/>
      <c r="D241" s="97"/>
      <c r="E241" s="337"/>
      <c r="F241" s="338"/>
      <c r="G241" s="336"/>
      <c r="H241" s="337"/>
      <c r="I241" s="338"/>
      <c r="J241" s="97"/>
      <c r="K241" s="339"/>
      <c r="L241" s="339"/>
      <c r="M241" s="339"/>
      <c r="N241" s="339"/>
      <c r="O241" s="339"/>
      <c r="P241" s="339"/>
      <c r="Q241" s="340"/>
      <c r="R241" s="97"/>
      <c r="S241" s="97"/>
      <c r="T241" s="298"/>
      <c r="U241" s="97"/>
      <c r="V241" s="97"/>
      <c r="W241" s="97"/>
      <c r="X241" s="97"/>
      <c r="Y241" s="97"/>
      <c r="Z241" s="97"/>
      <c r="AA241" s="97"/>
    </row>
    <row r="242" ht="15.75" customHeight="1">
      <c r="A242" s="97"/>
      <c r="B242" s="336"/>
      <c r="C242" s="337"/>
      <c r="D242" s="97"/>
      <c r="E242" s="337"/>
      <c r="F242" s="338"/>
      <c r="G242" s="336"/>
      <c r="H242" s="337"/>
      <c r="I242" s="338"/>
      <c r="J242" s="97"/>
      <c r="K242" s="339"/>
      <c r="L242" s="339"/>
      <c r="M242" s="339"/>
      <c r="N242" s="339"/>
      <c r="O242" s="339"/>
      <c r="P242" s="339"/>
      <c r="Q242" s="340"/>
      <c r="R242" s="97"/>
      <c r="S242" s="97"/>
      <c r="T242" s="298"/>
      <c r="U242" s="97"/>
      <c r="V242" s="97"/>
      <c r="W242" s="97"/>
      <c r="X242" s="97"/>
      <c r="Y242" s="97"/>
      <c r="Z242" s="97"/>
      <c r="AA242" s="97"/>
    </row>
    <row r="243" ht="15.75" customHeight="1">
      <c r="A243" s="97"/>
      <c r="B243" s="336"/>
      <c r="C243" s="337"/>
      <c r="D243" s="97"/>
      <c r="E243" s="337"/>
      <c r="F243" s="338"/>
      <c r="G243" s="336"/>
      <c r="H243" s="337"/>
      <c r="I243" s="338"/>
      <c r="J243" s="97"/>
      <c r="K243" s="339"/>
      <c r="L243" s="339"/>
      <c r="M243" s="339"/>
      <c r="N243" s="339"/>
      <c r="O243" s="339"/>
      <c r="P243" s="339"/>
      <c r="Q243" s="340"/>
      <c r="R243" s="97"/>
      <c r="S243" s="97"/>
      <c r="T243" s="298"/>
      <c r="U243" s="97"/>
      <c r="V243" s="97"/>
      <c r="W243" s="97"/>
      <c r="X243" s="97"/>
      <c r="Y243" s="97"/>
      <c r="Z243" s="97"/>
      <c r="AA243" s="97"/>
    </row>
    <row r="244" ht="15.75" customHeight="1">
      <c r="A244" s="97"/>
      <c r="B244" s="336"/>
      <c r="C244" s="337"/>
      <c r="D244" s="97"/>
      <c r="E244" s="337"/>
      <c r="F244" s="338"/>
      <c r="G244" s="336"/>
      <c r="H244" s="337"/>
      <c r="I244" s="338"/>
      <c r="J244" s="97"/>
      <c r="K244" s="339"/>
      <c r="L244" s="339"/>
      <c r="M244" s="339"/>
      <c r="N244" s="339"/>
      <c r="O244" s="339"/>
      <c r="P244" s="339"/>
      <c r="Q244" s="340"/>
      <c r="R244" s="97"/>
      <c r="S244" s="97"/>
      <c r="T244" s="298"/>
      <c r="U244" s="97"/>
      <c r="V244" s="97"/>
      <c r="W244" s="97"/>
      <c r="X244" s="97"/>
      <c r="Y244" s="97"/>
      <c r="Z244" s="97"/>
      <c r="AA244" s="97"/>
    </row>
    <row r="245" ht="15.75" customHeight="1">
      <c r="A245" s="97"/>
      <c r="B245" s="336"/>
      <c r="C245" s="337"/>
      <c r="D245" s="97"/>
      <c r="E245" s="337"/>
      <c r="F245" s="338"/>
      <c r="G245" s="336"/>
      <c r="H245" s="337"/>
      <c r="I245" s="338"/>
      <c r="J245" s="97"/>
      <c r="K245" s="339"/>
      <c r="L245" s="339"/>
      <c r="M245" s="339"/>
      <c r="N245" s="339"/>
      <c r="O245" s="339"/>
      <c r="P245" s="339"/>
      <c r="Q245" s="340"/>
      <c r="R245" s="97"/>
      <c r="S245" s="97"/>
      <c r="T245" s="298"/>
      <c r="U245" s="97"/>
      <c r="V245" s="97"/>
      <c r="W245" s="97"/>
      <c r="X245" s="97"/>
      <c r="Y245" s="97"/>
      <c r="Z245" s="97"/>
      <c r="AA245" s="97"/>
    </row>
    <row r="246" ht="15.75" customHeight="1">
      <c r="A246" s="97"/>
      <c r="B246" s="336"/>
      <c r="C246" s="337"/>
      <c r="D246" s="97"/>
      <c r="E246" s="337"/>
      <c r="F246" s="338"/>
      <c r="G246" s="336"/>
      <c r="H246" s="337"/>
      <c r="I246" s="338"/>
      <c r="J246" s="97"/>
      <c r="K246" s="339"/>
      <c r="L246" s="339"/>
      <c r="M246" s="339"/>
      <c r="N246" s="339"/>
      <c r="O246" s="339"/>
      <c r="P246" s="339"/>
      <c r="Q246" s="340"/>
      <c r="R246" s="97"/>
      <c r="S246" s="97"/>
      <c r="T246" s="298"/>
      <c r="U246" s="97"/>
      <c r="V246" s="97"/>
      <c r="W246" s="97"/>
      <c r="X246" s="97"/>
      <c r="Y246" s="97"/>
      <c r="Z246" s="97"/>
      <c r="AA246" s="97"/>
    </row>
    <row r="247" ht="15.75" customHeight="1">
      <c r="A247" s="97"/>
      <c r="B247" s="336"/>
      <c r="C247" s="337"/>
      <c r="D247" s="97"/>
      <c r="E247" s="337"/>
      <c r="F247" s="338"/>
      <c r="G247" s="336"/>
      <c r="H247" s="337"/>
      <c r="I247" s="338"/>
      <c r="J247" s="97"/>
      <c r="K247" s="339"/>
      <c r="L247" s="339"/>
      <c r="M247" s="339"/>
      <c r="N247" s="339"/>
      <c r="O247" s="339"/>
      <c r="P247" s="339"/>
      <c r="Q247" s="340"/>
      <c r="R247" s="97"/>
      <c r="S247" s="97"/>
      <c r="T247" s="298"/>
      <c r="U247" s="97"/>
      <c r="V247" s="97"/>
      <c r="W247" s="97"/>
      <c r="X247" s="97"/>
      <c r="Y247" s="97"/>
      <c r="Z247" s="97"/>
      <c r="AA247" s="97"/>
    </row>
    <row r="248" ht="15.75" customHeight="1">
      <c r="A248" s="97"/>
      <c r="B248" s="336"/>
      <c r="C248" s="337"/>
      <c r="D248" s="97"/>
      <c r="E248" s="337"/>
      <c r="F248" s="338"/>
      <c r="G248" s="336"/>
      <c r="H248" s="337"/>
      <c r="I248" s="338"/>
      <c r="J248" s="97"/>
      <c r="K248" s="339"/>
      <c r="L248" s="339"/>
      <c r="M248" s="339"/>
      <c r="N248" s="339"/>
      <c r="O248" s="339"/>
      <c r="P248" s="339"/>
      <c r="Q248" s="340"/>
      <c r="R248" s="97"/>
      <c r="S248" s="97"/>
      <c r="T248" s="298"/>
      <c r="U248" s="97"/>
      <c r="V248" s="97"/>
      <c r="W248" s="97"/>
      <c r="X248" s="97"/>
      <c r="Y248" s="97"/>
      <c r="Z248" s="97"/>
      <c r="AA248" s="97"/>
    </row>
    <row r="249" ht="15.75" customHeight="1">
      <c r="A249" s="97"/>
      <c r="B249" s="336"/>
      <c r="C249" s="337"/>
      <c r="D249" s="97"/>
      <c r="E249" s="337"/>
      <c r="F249" s="338"/>
      <c r="G249" s="336"/>
      <c r="H249" s="337"/>
      <c r="I249" s="338"/>
      <c r="J249" s="97"/>
      <c r="K249" s="339"/>
      <c r="L249" s="339"/>
      <c r="M249" s="339"/>
      <c r="N249" s="339"/>
      <c r="O249" s="339"/>
      <c r="P249" s="339"/>
      <c r="Q249" s="340"/>
      <c r="R249" s="97"/>
      <c r="S249" s="97"/>
      <c r="T249" s="298"/>
      <c r="U249" s="97"/>
      <c r="V249" s="97"/>
      <c r="W249" s="97"/>
      <c r="X249" s="97"/>
      <c r="Y249" s="97"/>
      <c r="Z249" s="97"/>
      <c r="AA249" s="97"/>
    </row>
    <row r="250" ht="15.75" customHeight="1">
      <c r="A250" s="97"/>
      <c r="B250" s="336"/>
      <c r="C250" s="337"/>
      <c r="D250" s="97"/>
      <c r="E250" s="337"/>
      <c r="F250" s="338"/>
      <c r="G250" s="336"/>
      <c r="H250" s="337"/>
      <c r="I250" s="338"/>
      <c r="J250" s="97"/>
      <c r="K250" s="339"/>
      <c r="L250" s="339"/>
      <c r="M250" s="339"/>
      <c r="N250" s="339"/>
      <c r="O250" s="339"/>
      <c r="P250" s="339"/>
      <c r="Q250" s="340"/>
      <c r="R250" s="97"/>
      <c r="S250" s="97"/>
      <c r="T250" s="298"/>
      <c r="U250" s="97"/>
      <c r="V250" s="97"/>
      <c r="W250" s="97"/>
      <c r="X250" s="97"/>
      <c r="Y250" s="97"/>
      <c r="Z250" s="97"/>
      <c r="AA250" s="97"/>
    </row>
    <row r="251" ht="15.75" customHeight="1">
      <c r="A251" s="97"/>
      <c r="B251" s="336"/>
      <c r="C251" s="337"/>
      <c r="D251" s="97"/>
      <c r="E251" s="337"/>
      <c r="F251" s="338"/>
      <c r="G251" s="336"/>
      <c r="H251" s="337"/>
      <c r="I251" s="338"/>
      <c r="J251" s="97"/>
      <c r="K251" s="339"/>
      <c r="L251" s="339"/>
      <c r="M251" s="339"/>
      <c r="N251" s="339"/>
      <c r="O251" s="339"/>
      <c r="P251" s="339"/>
      <c r="Q251" s="340"/>
      <c r="R251" s="97"/>
      <c r="S251" s="97"/>
      <c r="T251" s="298"/>
      <c r="U251" s="97"/>
      <c r="V251" s="97"/>
      <c r="W251" s="97"/>
      <c r="X251" s="97"/>
      <c r="Y251" s="97"/>
      <c r="Z251" s="97"/>
      <c r="AA251" s="97"/>
    </row>
    <row r="252" ht="15.75" customHeight="1">
      <c r="A252" s="97"/>
      <c r="B252" s="336"/>
      <c r="C252" s="337"/>
      <c r="D252" s="97"/>
      <c r="E252" s="337"/>
      <c r="F252" s="338"/>
      <c r="G252" s="336"/>
      <c r="H252" s="337"/>
      <c r="I252" s="338"/>
      <c r="J252" s="97"/>
      <c r="K252" s="339"/>
      <c r="L252" s="339"/>
      <c r="M252" s="339"/>
      <c r="N252" s="339"/>
      <c r="O252" s="339"/>
      <c r="P252" s="339"/>
      <c r="Q252" s="340"/>
      <c r="R252" s="97"/>
      <c r="S252" s="97"/>
      <c r="T252" s="298"/>
      <c r="U252" s="97"/>
      <c r="V252" s="97"/>
      <c r="W252" s="97"/>
      <c r="X252" s="97"/>
      <c r="Y252" s="97"/>
      <c r="Z252" s="97"/>
      <c r="AA252" s="97"/>
    </row>
    <row r="253" ht="15.75" customHeight="1">
      <c r="A253" s="97"/>
      <c r="B253" s="336"/>
      <c r="C253" s="337"/>
      <c r="D253" s="97"/>
      <c r="E253" s="337"/>
      <c r="F253" s="338"/>
      <c r="G253" s="336"/>
      <c r="H253" s="337"/>
      <c r="I253" s="338"/>
      <c r="J253" s="97"/>
      <c r="K253" s="339"/>
      <c r="L253" s="339"/>
      <c r="M253" s="339"/>
      <c r="N253" s="339"/>
      <c r="O253" s="339"/>
      <c r="P253" s="339"/>
      <c r="Q253" s="340"/>
      <c r="R253" s="97"/>
      <c r="S253" s="97"/>
      <c r="T253" s="298"/>
      <c r="U253" s="97"/>
      <c r="V253" s="97"/>
      <c r="W253" s="97"/>
      <c r="X253" s="97"/>
      <c r="Y253" s="97"/>
      <c r="Z253" s="97"/>
      <c r="AA253" s="97"/>
    </row>
    <row r="254" ht="15.75" customHeight="1">
      <c r="A254" s="97"/>
      <c r="B254" s="336"/>
      <c r="C254" s="337"/>
      <c r="D254" s="97"/>
      <c r="E254" s="337"/>
      <c r="F254" s="338"/>
      <c r="G254" s="336"/>
      <c r="H254" s="337"/>
      <c r="I254" s="338"/>
      <c r="J254" s="97"/>
      <c r="K254" s="339"/>
      <c r="L254" s="339"/>
      <c r="M254" s="339"/>
      <c r="N254" s="339"/>
      <c r="O254" s="339"/>
      <c r="P254" s="339"/>
      <c r="Q254" s="340"/>
      <c r="R254" s="97"/>
      <c r="S254" s="97"/>
      <c r="T254" s="298"/>
      <c r="U254" s="97"/>
      <c r="V254" s="97"/>
      <c r="W254" s="97"/>
      <c r="X254" s="97"/>
      <c r="Y254" s="97"/>
      <c r="Z254" s="97"/>
      <c r="AA254" s="97"/>
    </row>
    <row r="255" ht="15.75" customHeight="1">
      <c r="A255" s="97"/>
      <c r="B255" s="336"/>
      <c r="C255" s="337"/>
      <c r="D255" s="97"/>
      <c r="E255" s="337"/>
      <c r="F255" s="338"/>
      <c r="G255" s="336"/>
      <c r="H255" s="337"/>
      <c r="I255" s="338"/>
      <c r="J255" s="97"/>
      <c r="K255" s="339"/>
      <c r="L255" s="339"/>
      <c r="M255" s="339"/>
      <c r="N255" s="339"/>
      <c r="O255" s="339"/>
      <c r="P255" s="339"/>
      <c r="Q255" s="340"/>
      <c r="R255" s="97"/>
      <c r="S255" s="97"/>
      <c r="T255" s="298"/>
      <c r="U255" s="97"/>
      <c r="V255" s="97"/>
      <c r="W255" s="97"/>
      <c r="X255" s="97"/>
      <c r="Y255" s="97"/>
      <c r="Z255" s="97"/>
      <c r="AA255" s="97"/>
    </row>
    <row r="256" ht="15.75" customHeight="1">
      <c r="A256" s="97"/>
      <c r="B256" s="336"/>
      <c r="C256" s="337"/>
      <c r="D256" s="97"/>
      <c r="E256" s="337"/>
      <c r="F256" s="338"/>
      <c r="G256" s="336"/>
      <c r="H256" s="337"/>
      <c r="I256" s="338"/>
      <c r="J256" s="97"/>
      <c r="K256" s="339"/>
      <c r="L256" s="339"/>
      <c r="M256" s="339"/>
      <c r="N256" s="339"/>
      <c r="O256" s="339"/>
      <c r="P256" s="339"/>
      <c r="Q256" s="340"/>
      <c r="R256" s="97"/>
      <c r="S256" s="97"/>
      <c r="T256" s="298"/>
      <c r="U256" s="97"/>
      <c r="V256" s="97"/>
      <c r="W256" s="97"/>
      <c r="X256" s="97"/>
      <c r="Y256" s="97"/>
      <c r="Z256" s="97"/>
      <c r="AA256" s="97"/>
    </row>
    <row r="257" ht="15.75" customHeight="1">
      <c r="A257" s="97"/>
      <c r="B257" s="336"/>
      <c r="C257" s="337"/>
      <c r="D257" s="97"/>
      <c r="E257" s="337"/>
      <c r="F257" s="338"/>
      <c r="G257" s="336"/>
      <c r="H257" s="337"/>
      <c r="I257" s="338"/>
      <c r="J257" s="97"/>
      <c r="K257" s="339"/>
      <c r="L257" s="339"/>
      <c r="M257" s="339"/>
      <c r="N257" s="339"/>
      <c r="O257" s="339"/>
      <c r="P257" s="339"/>
      <c r="Q257" s="340"/>
      <c r="R257" s="97"/>
      <c r="S257" s="97"/>
      <c r="T257" s="298"/>
      <c r="U257" s="97"/>
      <c r="V257" s="97"/>
      <c r="W257" s="97"/>
      <c r="X257" s="97"/>
      <c r="Y257" s="97"/>
      <c r="Z257" s="97"/>
      <c r="AA257" s="97"/>
    </row>
    <row r="258" ht="15.75" customHeight="1">
      <c r="A258" s="97"/>
      <c r="B258" s="336"/>
      <c r="C258" s="337"/>
      <c r="D258" s="97"/>
      <c r="E258" s="337"/>
      <c r="F258" s="338"/>
      <c r="G258" s="336"/>
      <c r="H258" s="337"/>
      <c r="I258" s="338"/>
      <c r="J258" s="97"/>
      <c r="K258" s="339"/>
      <c r="L258" s="339"/>
      <c r="M258" s="339"/>
      <c r="N258" s="339"/>
      <c r="O258" s="339"/>
      <c r="P258" s="339"/>
      <c r="Q258" s="340"/>
      <c r="R258" s="97"/>
      <c r="S258" s="97"/>
      <c r="T258" s="298"/>
      <c r="U258" s="97"/>
      <c r="V258" s="97"/>
      <c r="W258" s="97"/>
      <c r="X258" s="97"/>
      <c r="Y258" s="97"/>
      <c r="Z258" s="97"/>
      <c r="AA258" s="97"/>
    </row>
    <row r="259" ht="15.75" customHeight="1">
      <c r="A259" s="97"/>
      <c r="B259" s="336"/>
      <c r="C259" s="337"/>
      <c r="D259" s="97"/>
      <c r="E259" s="337"/>
      <c r="F259" s="338"/>
      <c r="G259" s="336"/>
      <c r="H259" s="337"/>
      <c r="I259" s="338"/>
      <c r="J259" s="97"/>
      <c r="K259" s="339"/>
      <c r="L259" s="339"/>
      <c r="M259" s="339"/>
      <c r="N259" s="339"/>
      <c r="O259" s="339"/>
      <c r="P259" s="339"/>
      <c r="Q259" s="340"/>
      <c r="R259" s="97"/>
      <c r="S259" s="97"/>
      <c r="T259" s="298"/>
      <c r="U259" s="97"/>
      <c r="V259" s="97"/>
      <c r="W259" s="97"/>
      <c r="X259" s="97"/>
      <c r="Y259" s="97"/>
      <c r="Z259" s="97"/>
      <c r="AA259" s="97"/>
    </row>
    <row r="260" ht="15.75" customHeight="1">
      <c r="A260" s="97"/>
      <c r="B260" s="336"/>
      <c r="C260" s="337"/>
      <c r="D260" s="97"/>
      <c r="E260" s="337"/>
      <c r="F260" s="338"/>
      <c r="G260" s="336"/>
      <c r="H260" s="337"/>
      <c r="I260" s="338"/>
      <c r="J260" s="97"/>
      <c r="K260" s="339"/>
      <c r="L260" s="339"/>
      <c r="M260" s="339"/>
      <c r="N260" s="339"/>
      <c r="O260" s="339"/>
      <c r="P260" s="339"/>
      <c r="Q260" s="340"/>
      <c r="R260" s="97"/>
      <c r="S260" s="97"/>
      <c r="T260" s="298"/>
      <c r="U260" s="97"/>
      <c r="V260" s="97"/>
      <c r="W260" s="97"/>
      <c r="X260" s="97"/>
      <c r="Y260" s="97"/>
      <c r="Z260" s="97"/>
      <c r="AA260" s="97"/>
    </row>
    <row r="261" ht="15.75" customHeight="1">
      <c r="A261" s="97"/>
      <c r="B261" s="336"/>
      <c r="C261" s="337"/>
      <c r="D261" s="97"/>
      <c r="E261" s="337"/>
      <c r="F261" s="338"/>
      <c r="G261" s="336"/>
      <c r="H261" s="337"/>
      <c r="I261" s="338"/>
      <c r="J261" s="97"/>
      <c r="K261" s="339"/>
      <c r="L261" s="339"/>
      <c r="M261" s="339"/>
      <c r="N261" s="339"/>
      <c r="O261" s="339"/>
      <c r="P261" s="339"/>
      <c r="Q261" s="340"/>
      <c r="R261" s="97"/>
      <c r="S261" s="97"/>
      <c r="T261" s="298"/>
      <c r="U261" s="97"/>
      <c r="V261" s="97"/>
      <c r="W261" s="97"/>
      <c r="X261" s="97"/>
      <c r="Y261" s="97"/>
      <c r="Z261" s="97"/>
      <c r="AA261" s="97"/>
    </row>
    <row r="262" ht="15.75" customHeight="1">
      <c r="A262" s="97"/>
      <c r="B262" s="336"/>
      <c r="C262" s="337"/>
      <c r="D262" s="97"/>
      <c r="E262" s="337"/>
      <c r="F262" s="338"/>
      <c r="G262" s="336"/>
      <c r="H262" s="337"/>
      <c r="I262" s="338"/>
      <c r="J262" s="97"/>
      <c r="K262" s="339"/>
      <c r="L262" s="339"/>
      <c r="M262" s="339"/>
      <c r="N262" s="339"/>
      <c r="O262" s="339"/>
      <c r="P262" s="339"/>
      <c r="Q262" s="340"/>
      <c r="R262" s="97"/>
      <c r="S262" s="97"/>
      <c r="T262" s="298"/>
      <c r="U262" s="97"/>
      <c r="V262" s="97"/>
      <c r="W262" s="97"/>
      <c r="X262" s="97"/>
      <c r="Y262" s="97"/>
      <c r="Z262" s="97"/>
      <c r="AA262" s="97"/>
    </row>
    <row r="263" ht="15.75" customHeight="1">
      <c r="A263" s="97"/>
      <c r="B263" s="336"/>
      <c r="C263" s="337"/>
      <c r="D263" s="97"/>
      <c r="E263" s="337"/>
      <c r="F263" s="338"/>
      <c r="G263" s="336"/>
      <c r="H263" s="337"/>
      <c r="I263" s="338"/>
      <c r="J263" s="97"/>
      <c r="K263" s="339"/>
      <c r="L263" s="339"/>
      <c r="M263" s="339"/>
      <c r="N263" s="339"/>
      <c r="O263" s="339"/>
      <c r="P263" s="339"/>
      <c r="Q263" s="340"/>
      <c r="R263" s="97"/>
      <c r="S263" s="97"/>
      <c r="T263" s="298"/>
      <c r="U263" s="97"/>
      <c r="V263" s="97"/>
      <c r="W263" s="97"/>
      <c r="X263" s="97"/>
      <c r="Y263" s="97"/>
      <c r="Z263" s="97"/>
      <c r="AA263" s="97"/>
    </row>
    <row r="264" ht="15.75" customHeight="1">
      <c r="A264" s="97"/>
      <c r="B264" s="336"/>
      <c r="C264" s="337"/>
      <c r="D264" s="97"/>
      <c r="E264" s="337"/>
      <c r="F264" s="338"/>
      <c r="G264" s="336"/>
      <c r="H264" s="337"/>
      <c r="I264" s="338"/>
      <c r="J264" s="97"/>
      <c r="K264" s="339"/>
      <c r="L264" s="339"/>
      <c r="M264" s="339"/>
      <c r="N264" s="339"/>
      <c r="O264" s="339"/>
      <c r="P264" s="339"/>
      <c r="Q264" s="340"/>
      <c r="R264" s="97"/>
      <c r="S264" s="97"/>
      <c r="T264" s="298"/>
      <c r="U264" s="97"/>
      <c r="V264" s="97"/>
      <c r="W264" s="97"/>
      <c r="X264" s="97"/>
      <c r="Y264" s="97"/>
      <c r="Z264" s="97"/>
      <c r="AA264" s="97"/>
    </row>
    <row r="265" ht="15.75" customHeight="1">
      <c r="A265" s="97"/>
      <c r="B265" s="336"/>
      <c r="C265" s="337"/>
      <c r="D265" s="97"/>
      <c r="E265" s="337"/>
      <c r="F265" s="338"/>
      <c r="G265" s="336"/>
      <c r="H265" s="337"/>
      <c r="I265" s="338"/>
      <c r="J265" s="97"/>
      <c r="K265" s="339"/>
      <c r="L265" s="339"/>
      <c r="M265" s="339"/>
      <c r="N265" s="339"/>
      <c r="O265" s="339"/>
      <c r="P265" s="339"/>
      <c r="Q265" s="340"/>
      <c r="R265" s="97"/>
      <c r="S265" s="97"/>
      <c r="T265" s="298"/>
      <c r="U265" s="97"/>
      <c r="V265" s="97"/>
      <c r="W265" s="97"/>
      <c r="X265" s="97"/>
      <c r="Y265" s="97"/>
      <c r="Z265" s="97"/>
      <c r="AA265" s="97"/>
    </row>
    <row r="266" ht="15.75" customHeight="1">
      <c r="A266" s="97"/>
      <c r="B266" s="336"/>
      <c r="C266" s="337"/>
      <c r="D266" s="97"/>
      <c r="E266" s="337"/>
      <c r="F266" s="338"/>
      <c r="G266" s="336"/>
      <c r="H266" s="337"/>
      <c r="I266" s="338"/>
      <c r="J266" s="97"/>
      <c r="K266" s="339"/>
      <c r="L266" s="339"/>
      <c r="M266" s="339"/>
      <c r="N266" s="339"/>
      <c r="O266" s="339"/>
      <c r="P266" s="339"/>
      <c r="Q266" s="340"/>
      <c r="R266" s="97"/>
      <c r="S266" s="97"/>
      <c r="T266" s="298"/>
      <c r="U266" s="97"/>
      <c r="V266" s="97"/>
      <c r="W266" s="97"/>
      <c r="X266" s="97"/>
      <c r="Y266" s="97"/>
      <c r="Z266" s="97"/>
      <c r="AA266" s="97"/>
    </row>
    <row r="267" ht="15.75" customHeight="1">
      <c r="A267" s="97"/>
      <c r="B267" s="336"/>
      <c r="C267" s="337"/>
      <c r="D267" s="97"/>
      <c r="E267" s="337"/>
      <c r="F267" s="338"/>
      <c r="G267" s="336"/>
      <c r="H267" s="337"/>
      <c r="I267" s="338"/>
      <c r="J267" s="97"/>
      <c r="K267" s="339"/>
      <c r="L267" s="339"/>
      <c r="M267" s="339"/>
      <c r="N267" s="339"/>
      <c r="O267" s="339"/>
      <c r="P267" s="339"/>
      <c r="Q267" s="340"/>
      <c r="R267" s="97"/>
      <c r="S267" s="97"/>
      <c r="T267" s="298"/>
      <c r="U267" s="97"/>
      <c r="V267" s="97"/>
      <c r="W267" s="97"/>
      <c r="X267" s="97"/>
      <c r="Y267" s="97"/>
      <c r="Z267" s="97"/>
      <c r="AA267" s="97"/>
    </row>
    <row r="268" ht="15.75" customHeight="1">
      <c r="A268" s="97"/>
      <c r="B268" s="336"/>
      <c r="C268" s="337"/>
      <c r="D268" s="97"/>
      <c r="E268" s="337"/>
      <c r="F268" s="338"/>
      <c r="G268" s="336"/>
      <c r="H268" s="337"/>
      <c r="I268" s="338"/>
      <c r="J268" s="97"/>
      <c r="K268" s="339"/>
      <c r="L268" s="339"/>
      <c r="M268" s="339"/>
      <c r="N268" s="339"/>
      <c r="O268" s="339"/>
      <c r="P268" s="339"/>
      <c r="Q268" s="340"/>
      <c r="R268" s="97"/>
      <c r="S268" s="97"/>
      <c r="T268" s="298"/>
      <c r="U268" s="97"/>
      <c r="V268" s="97"/>
      <c r="W268" s="97"/>
      <c r="X268" s="97"/>
      <c r="Y268" s="97"/>
      <c r="Z268" s="97"/>
      <c r="AA268" s="97"/>
    </row>
    <row r="269" ht="15.75" customHeight="1">
      <c r="A269" s="97"/>
      <c r="B269" s="336"/>
      <c r="C269" s="337"/>
      <c r="D269" s="97"/>
      <c r="E269" s="337"/>
      <c r="F269" s="338"/>
      <c r="G269" s="336"/>
      <c r="H269" s="337"/>
      <c r="I269" s="338"/>
      <c r="J269" s="97"/>
      <c r="K269" s="339"/>
      <c r="L269" s="339"/>
      <c r="M269" s="339"/>
      <c r="N269" s="339"/>
      <c r="O269" s="339"/>
      <c r="P269" s="339"/>
      <c r="Q269" s="340"/>
      <c r="R269" s="97"/>
      <c r="S269" s="97"/>
      <c r="T269" s="298"/>
      <c r="U269" s="97"/>
      <c r="V269" s="97"/>
      <c r="W269" s="97"/>
      <c r="X269" s="97"/>
      <c r="Y269" s="97"/>
      <c r="Z269" s="97"/>
      <c r="AA269" s="97"/>
    </row>
    <row r="270" ht="15.75" customHeight="1">
      <c r="A270" s="97"/>
      <c r="B270" s="336"/>
      <c r="C270" s="337"/>
      <c r="D270" s="97"/>
      <c r="E270" s="337"/>
      <c r="F270" s="338"/>
      <c r="G270" s="336"/>
      <c r="H270" s="337"/>
      <c r="I270" s="338"/>
      <c r="J270" s="97"/>
      <c r="K270" s="339"/>
      <c r="L270" s="339"/>
      <c r="M270" s="339"/>
      <c r="N270" s="339"/>
      <c r="O270" s="339"/>
      <c r="P270" s="339"/>
      <c r="Q270" s="340"/>
      <c r="R270" s="97"/>
      <c r="S270" s="97"/>
      <c r="T270" s="298"/>
      <c r="U270" s="97"/>
      <c r="V270" s="97"/>
      <c r="W270" s="97"/>
      <c r="X270" s="97"/>
      <c r="Y270" s="97"/>
      <c r="Z270" s="97"/>
      <c r="AA270" s="97"/>
    </row>
    <row r="271" ht="15.75" customHeight="1">
      <c r="A271" s="97"/>
      <c r="B271" s="336"/>
      <c r="C271" s="337"/>
      <c r="D271" s="97"/>
      <c r="E271" s="337"/>
      <c r="F271" s="338"/>
      <c r="G271" s="336"/>
      <c r="H271" s="337"/>
      <c r="I271" s="338"/>
      <c r="J271" s="97"/>
      <c r="K271" s="339"/>
      <c r="L271" s="339"/>
      <c r="M271" s="339"/>
      <c r="N271" s="339"/>
      <c r="O271" s="339"/>
      <c r="P271" s="339"/>
      <c r="Q271" s="340"/>
      <c r="R271" s="97"/>
      <c r="S271" s="97"/>
      <c r="T271" s="298"/>
      <c r="U271" s="97"/>
      <c r="V271" s="97"/>
      <c r="W271" s="97"/>
      <c r="X271" s="97"/>
      <c r="Y271" s="97"/>
      <c r="Z271" s="97"/>
      <c r="AA271" s="97"/>
    </row>
    <row r="272" ht="15.75" customHeight="1">
      <c r="A272" s="97"/>
      <c r="B272" s="336"/>
      <c r="C272" s="337"/>
      <c r="D272" s="97"/>
      <c r="E272" s="337"/>
      <c r="F272" s="338"/>
      <c r="G272" s="336"/>
      <c r="H272" s="337"/>
      <c r="I272" s="338"/>
      <c r="J272" s="97"/>
      <c r="K272" s="339"/>
      <c r="L272" s="339"/>
      <c r="M272" s="339"/>
      <c r="N272" s="339"/>
      <c r="O272" s="339"/>
      <c r="P272" s="339"/>
      <c r="Q272" s="340"/>
      <c r="R272" s="97"/>
      <c r="S272" s="97"/>
      <c r="T272" s="298"/>
      <c r="U272" s="97"/>
      <c r="V272" s="97"/>
      <c r="W272" s="97"/>
      <c r="X272" s="97"/>
      <c r="Y272" s="97"/>
      <c r="Z272" s="97"/>
      <c r="AA272" s="97"/>
    </row>
    <row r="273" ht="15.75" customHeight="1">
      <c r="A273" s="97"/>
      <c r="B273" s="336"/>
      <c r="C273" s="337"/>
      <c r="D273" s="97"/>
      <c r="E273" s="337"/>
      <c r="F273" s="338"/>
      <c r="G273" s="336"/>
      <c r="H273" s="337"/>
      <c r="I273" s="338"/>
      <c r="J273" s="97"/>
      <c r="K273" s="339"/>
      <c r="L273" s="339"/>
      <c r="M273" s="339"/>
      <c r="N273" s="339"/>
      <c r="O273" s="339"/>
      <c r="P273" s="339"/>
      <c r="Q273" s="340"/>
      <c r="R273" s="97"/>
      <c r="S273" s="97"/>
      <c r="T273" s="298"/>
      <c r="U273" s="97"/>
      <c r="V273" s="97"/>
      <c r="W273" s="97"/>
      <c r="X273" s="97"/>
      <c r="Y273" s="97"/>
      <c r="Z273" s="97"/>
      <c r="AA273" s="97"/>
    </row>
    <row r="274" ht="15.75" customHeight="1">
      <c r="A274" s="97"/>
      <c r="B274" s="336"/>
      <c r="C274" s="337"/>
      <c r="D274" s="97"/>
      <c r="E274" s="337"/>
      <c r="F274" s="338"/>
      <c r="G274" s="336"/>
      <c r="H274" s="337"/>
      <c r="I274" s="338"/>
      <c r="J274" s="97"/>
      <c r="K274" s="339"/>
      <c r="L274" s="339"/>
      <c r="M274" s="339"/>
      <c r="N274" s="339"/>
      <c r="O274" s="339"/>
      <c r="P274" s="339"/>
      <c r="Q274" s="340"/>
      <c r="R274" s="97"/>
      <c r="S274" s="97"/>
      <c r="T274" s="298"/>
      <c r="U274" s="97"/>
      <c r="V274" s="97"/>
      <c r="W274" s="97"/>
      <c r="X274" s="97"/>
      <c r="Y274" s="97"/>
      <c r="Z274" s="97"/>
      <c r="AA274" s="97"/>
    </row>
    <row r="275" ht="15.75" customHeight="1">
      <c r="A275" s="97"/>
      <c r="B275" s="336"/>
      <c r="C275" s="337"/>
      <c r="D275" s="97"/>
      <c r="E275" s="337"/>
      <c r="F275" s="338"/>
      <c r="G275" s="336"/>
      <c r="H275" s="337"/>
      <c r="I275" s="338"/>
      <c r="J275" s="97"/>
      <c r="K275" s="339"/>
      <c r="L275" s="339"/>
      <c r="M275" s="339"/>
      <c r="N275" s="339"/>
      <c r="O275" s="339"/>
      <c r="P275" s="339"/>
      <c r="Q275" s="340"/>
      <c r="R275" s="97"/>
      <c r="S275" s="97"/>
      <c r="T275" s="298"/>
      <c r="U275" s="97"/>
      <c r="V275" s="97"/>
      <c r="W275" s="97"/>
      <c r="X275" s="97"/>
      <c r="Y275" s="97"/>
      <c r="Z275" s="97"/>
      <c r="AA275" s="97"/>
    </row>
    <row r="276" ht="15.75" customHeight="1">
      <c r="A276" s="97"/>
      <c r="B276" s="336"/>
      <c r="C276" s="337"/>
      <c r="D276" s="97"/>
      <c r="E276" s="337"/>
      <c r="F276" s="338"/>
      <c r="G276" s="336"/>
      <c r="H276" s="337"/>
      <c r="I276" s="338"/>
      <c r="J276" s="97"/>
      <c r="K276" s="339"/>
      <c r="L276" s="339"/>
      <c r="M276" s="339"/>
      <c r="N276" s="339"/>
      <c r="O276" s="339"/>
      <c r="P276" s="339"/>
      <c r="Q276" s="340"/>
      <c r="R276" s="97"/>
      <c r="S276" s="97"/>
      <c r="T276" s="298"/>
      <c r="U276" s="97"/>
      <c r="V276" s="97"/>
      <c r="W276" s="97"/>
      <c r="X276" s="97"/>
      <c r="Y276" s="97"/>
      <c r="Z276" s="97"/>
      <c r="AA276" s="97"/>
    </row>
    <row r="277" ht="15.75" customHeight="1">
      <c r="A277" s="97"/>
      <c r="B277" s="336"/>
      <c r="C277" s="337"/>
      <c r="D277" s="97"/>
      <c r="E277" s="337"/>
      <c r="F277" s="338"/>
      <c r="G277" s="336"/>
      <c r="H277" s="337"/>
      <c r="I277" s="338"/>
      <c r="J277" s="97"/>
      <c r="K277" s="339"/>
      <c r="L277" s="339"/>
      <c r="M277" s="339"/>
      <c r="N277" s="339"/>
      <c r="O277" s="339"/>
      <c r="P277" s="339"/>
      <c r="Q277" s="340"/>
      <c r="R277" s="97"/>
      <c r="S277" s="97"/>
      <c r="T277" s="298"/>
      <c r="U277" s="97"/>
      <c r="V277" s="97"/>
      <c r="W277" s="97"/>
      <c r="X277" s="97"/>
      <c r="Y277" s="97"/>
      <c r="Z277" s="97"/>
      <c r="AA277" s="97"/>
    </row>
    <row r="278" ht="15.75" customHeight="1">
      <c r="A278" s="97"/>
      <c r="B278" s="336"/>
      <c r="C278" s="337"/>
      <c r="D278" s="97"/>
      <c r="E278" s="337"/>
      <c r="F278" s="338"/>
      <c r="G278" s="336"/>
      <c r="H278" s="337"/>
      <c r="I278" s="338"/>
      <c r="J278" s="97"/>
      <c r="K278" s="339"/>
      <c r="L278" s="339"/>
      <c r="M278" s="339"/>
      <c r="N278" s="339"/>
      <c r="O278" s="339"/>
      <c r="P278" s="339"/>
      <c r="Q278" s="340"/>
      <c r="R278" s="97"/>
      <c r="S278" s="97"/>
      <c r="T278" s="298"/>
      <c r="U278" s="97"/>
      <c r="V278" s="97"/>
      <c r="W278" s="97"/>
      <c r="X278" s="97"/>
      <c r="Y278" s="97"/>
      <c r="Z278" s="97"/>
      <c r="AA278" s="97"/>
    </row>
    <row r="279" ht="15.75" customHeight="1">
      <c r="A279" s="97"/>
      <c r="B279" s="336"/>
      <c r="C279" s="337"/>
      <c r="D279" s="97"/>
      <c r="E279" s="337"/>
      <c r="F279" s="338"/>
      <c r="G279" s="336"/>
      <c r="H279" s="337"/>
      <c r="I279" s="338"/>
      <c r="J279" s="97"/>
      <c r="K279" s="339"/>
      <c r="L279" s="339"/>
      <c r="M279" s="339"/>
      <c r="N279" s="339"/>
      <c r="O279" s="339"/>
      <c r="P279" s="339"/>
      <c r="Q279" s="340"/>
      <c r="R279" s="97"/>
      <c r="S279" s="97"/>
      <c r="T279" s="298"/>
      <c r="U279" s="97"/>
      <c r="V279" s="97"/>
      <c r="W279" s="97"/>
      <c r="X279" s="97"/>
      <c r="Y279" s="97"/>
      <c r="Z279" s="97"/>
      <c r="AA279" s="97"/>
    </row>
    <row r="280" ht="15.75" customHeight="1">
      <c r="A280" s="97"/>
      <c r="B280" s="336"/>
      <c r="C280" s="337"/>
      <c r="D280" s="97"/>
      <c r="E280" s="337"/>
      <c r="F280" s="338"/>
      <c r="G280" s="336"/>
      <c r="H280" s="337"/>
      <c r="I280" s="338"/>
      <c r="J280" s="97"/>
      <c r="K280" s="339"/>
      <c r="L280" s="339"/>
      <c r="M280" s="339"/>
      <c r="N280" s="339"/>
      <c r="O280" s="339"/>
      <c r="P280" s="339"/>
      <c r="Q280" s="340"/>
      <c r="R280" s="97"/>
      <c r="S280" s="97"/>
      <c r="T280" s="298"/>
      <c r="U280" s="97"/>
      <c r="V280" s="97"/>
      <c r="W280" s="97"/>
      <c r="X280" s="97"/>
      <c r="Y280" s="97"/>
      <c r="Z280" s="97"/>
      <c r="AA280" s="97"/>
    </row>
    <row r="281" ht="15.75" customHeight="1">
      <c r="A281" s="97"/>
      <c r="B281" s="336"/>
      <c r="C281" s="337"/>
      <c r="D281" s="97"/>
      <c r="E281" s="337"/>
      <c r="F281" s="338"/>
      <c r="G281" s="336"/>
      <c r="H281" s="337"/>
      <c r="I281" s="338"/>
      <c r="J281" s="97"/>
      <c r="K281" s="339"/>
      <c r="L281" s="339"/>
      <c r="M281" s="339"/>
      <c r="N281" s="339"/>
      <c r="O281" s="339"/>
      <c r="P281" s="339"/>
      <c r="Q281" s="340"/>
      <c r="R281" s="97"/>
      <c r="S281" s="97"/>
      <c r="T281" s="298"/>
      <c r="U281" s="97"/>
      <c r="V281" s="97"/>
      <c r="W281" s="97"/>
      <c r="X281" s="97"/>
      <c r="Y281" s="97"/>
      <c r="Z281" s="97"/>
      <c r="AA281" s="97"/>
    </row>
    <row r="282" ht="15.75" customHeight="1">
      <c r="A282" s="97"/>
      <c r="B282" s="336"/>
      <c r="C282" s="337"/>
      <c r="D282" s="97"/>
      <c r="E282" s="337"/>
      <c r="F282" s="338"/>
      <c r="G282" s="336"/>
      <c r="H282" s="337"/>
      <c r="I282" s="338"/>
      <c r="J282" s="97"/>
      <c r="K282" s="339"/>
      <c r="L282" s="339"/>
      <c r="M282" s="339"/>
      <c r="N282" s="339"/>
      <c r="O282" s="339"/>
      <c r="P282" s="339"/>
      <c r="Q282" s="340"/>
      <c r="R282" s="97"/>
      <c r="S282" s="97"/>
      <c r="T282" s="298"/>
      <c r="U282" s="97"/>
      <c r="V282" s="97"/>
      <c r="W282" s="97"/>
      <c r="X282" s="97"/>
      <c r="Y282" s="97"/>
      <c r="Z282" s="97"/>
      <c r="AA282" s="97"/>
    </row>
    <row r="283" ht="15.75" customHeight="1">
      <c r="A283" s="97"/>
      <c r="B283" s="336"/>
      <c r="C283" s="337"/>
      <c r="D283" s="97"/>
      <c r="E283" s="337"/>
      <c r="F283" s="338"/>
      <c r="G283" s="336"/>
      <c r="H283" s="337"/>
      <c r="I283" s="338"/>
      <c r="J283" s="97"/>
      <c r="K283" s="339"/>
      <c r="L283" s="339"/>
      <c r="M283" s="339"/>
      <c r="N283" s="339"/>
      <c r="O283" s="339"/>
      <c r="P283" s="339"/>
      <c r="Q283" s="340"/>
      <c r="R283" s="97"/>
      <c r="S283" s="97"/>
      <c r="T283" s="298"/>
      <c r="U283" s="97"/>
      <c r="V283" s="97"/>
      <c r="W283" s="97"/>
      <c r="X283" s="97"/>
      <c r="Y283" s="97"/>
      <c r="Z283" s="97"/>
      <c r="AA283" s="97"/>
    </row>
    <row r="284" ht="15.75" customHeight="1">
      <c r="A284" s="97"/>
      <c r="B284" s="336"/>
      <c r="C284" s="337"/>
      <c r="D284" s="97"/>
      <c r="E284" s="337"/>
      <c r="F284" s="338"/>
      <c r="G284" s="336"/>
      <c r="H284" s="337"/>
      <c r="I284" s="338"/>
      <c r="J284" s="97"/>
      <c r="K284" s="339"/>
      <c r="L284" s="339"/>
      <c r="M284" s="339"/>
      <c r="N284" s="339"/>
      <c r="O284" s="339"/>
      <c r="P284" s="339"/>
      <c r="Q284" s="340"/>
      <c r="R284" s="97"/>
      <c r="S284" s="97"/>
      <c r="T284" s="298"/>
      <c r="U284" s="97"/>
      <c r="V284" s="97"/>
      <c r="W284" s="97"/>
      <c r="X284" s="97"/>
      <c r="Y284" s="97"/>
      <c r="Z284" s="97"/>
      <c r="AA284" s="97"/>
    </row>
    <row r="285" ht="15.75" customHeight="1">
      <c r="A285" s="97"/>
      <c r="B285" s="336"/>
      <c r="C285" s="337"/>
      <c r="D285" s="97"/>
      <c r="E285" s="337"/>
      <c r="F285" s="338"/>
      <c r="G285" s="336"/>
      <c r="H285" s="337"/>
      <c r="I285" s="338"/>
      <c r="J285" s="97"/>
      <c r="K285" s="339"/>
      <c r="L285" s="339"/>
      <c r="M285" s="339"/>
      <c r="N285" s="339"/>
      <c r="O285" s="339"/>
      <c r="P285" s="339"/>
      <c r="Q285" s="340"/>
      <c r="R285" s="97"/>
      <c r="S285" s="97"/>
      <c r="T285" s="298"/>
      <c r="U285" s="97"/>
      <c r="V285" s="97"/>
      <c r="W285" s="97"/>
      <c r="X285" s="97"/>
      <c r="Y285" s="97"/>
      <c r="Z285" s="97"/>
      <c r="AA285" s="97"/>
    </row>
    <row r="286" ht="15.75" customHeight="1">
      <c r="A286" s="97"/>
      <c r="B286" s="336"/>
      <c r="C286" s="337"/>
      <c r="D286" s="97"/>
      <c r="E286" s="337"/>
      <c r="F286" s="338"/>
      <c r="G286" s="336"/>
      <c r="H286" s="337"/>
      <c r="I286" s="338"/>
      <c r="J286" s="97"/>
      <c r="K286" s="339"/>
      <c r="L286" s="339"/>
      <c r="M286" s="339"/>
      <c r="N286" s="339"/>
      <c r="O286" s="339"/>
      <c r="P286" s="339"/>
      <c r="Q286" s="340"/>
      <c r="R286" s="97"/>
      <c r="S286" s="97"/>
      <c r="T286" s="298"/>
      <c r="U286" s="97"/>
      <c r="V286" s="97"/>
      <c r="W286" s="97"/>
      <c r="X286" s="97"/>
      <c r="Y286" s="97"/>
      <c r="Z286" s="97"/>
      <c r="AA286" s="97"/>
    </row>
    <row r="287" ht="15.75" customHeight="1">
      <c r="A287" s="97"/>
      <c r="B287" s="336"/>
      <c r="C287" s="337"/>
      <c r="D287" s="97"/>
      <c r="E287" s="337"/>
      <c r="F287" s="338"/>
      <c r="G287" s="336"/>
      <c r="H287" s="337"/>
      <c r="I287" s="338"/>
      <c r="J287" s="97"/>
      <c r="K287" s="339"/>
      <c r="L287" s="339"/>
      <c r="M287" s="339"/>
      <c r="N287" s="339"/>
      <c r="O287" s="339"/>
      <c r="P287" s="339"/>
      <c r="Q287" s="340"/>
      <c r="R287" s="97"/>
      <c r="S287" s="97"/>
      <c r="T287" s="298"/>
      <c r="U287" s="97"/>
      <c r="V287" s="97"/>
      <c r="W287" s="97"/>
      <c r="X287" s="97"/>
      <c r="Y287" s="97"/>
      <c r="Z287" s="97"/>
      <c r="AA287" s="97"/>
    </row>
    <row r="288" ht="15.75" customHeight="1">
      <c r="A288" s="97"/>
      <c r="B288" s="336"/>
      <c r="C288" s="337"/>
      <c r="D288" s="97"/>
      <c r="E288" s="337"/>
      <c r="F288" s="338"/>
      <c r="G288" s="336"/>
      <c r="H288" s="337"/>
      <c r="I288" s="338"/>
      <c r="J288" s="97"/>
      <c r="K288" s="339"/>
      <c r="L288" s="339"/>
      <c r="M288" s="339"/>
      <c r="N288" s="339"/>
      <c r="O288" s="339"/>
      <c r="P288" s="339"/>
      <c r="Q288" s="340"/>
      <c r="R288" s="97"/>
      <c r="S288" s="97"/>
      <c r="T288" s="298"/>
      <c r="U288" s="97"/>
      <c r="V288" s="97"/>
      <c r="W288" s="97"/>
      <c r="X288" s="97"/>
      <c r="Y288" s="97"/>
      <c r="Z288" s="97"/>
      <c r="AA288" s="97"/>
    </row>
    <row r="289" ht="15.75" customHeight="1">
      <c r="A289" s="97"/>
      <c r="B289" s="336"/>
      <c r="C289" s="337"/>
      <c r="D289" s="97"/>
      <c r="E289" s="337"/>
      <c r="F289" s="338"/>
      <c r="G289" s="336"/>
      <c r="H289" s="337"/>
      <c r="I289" s="338"/>
      <c r="J289" s="97"/>
      <c r="K289" s="339"/>
      <c r="L289" s="339"/>
      <c r="M289" s="339"/>
      <c r="N289" s="339"/>
      <c r="O289" s="339"/>
      <c r="P289" s="339"/>
      <c r="Q289" s="340"/>
      <c r="R289" s="97"/>
      <c r="S289" s="97"/>
      <c r="T289" s="298"/>
      <c r="U289" s="97"/>
      <c r="V289" s="97"/>
      <c r="W289" s="97"/>
      <c r="X289" s="97"/>
      <c r="Y289" s="97"/>
      <c r="Z289" s="97"/>
      <c r="AA289" s="97"/>
    </row>
    <row r="290" ht="15.75" customHeight="1">
      <c r="A290" s="97"/>
      <c r="B290" s="336"/>
      <c r="C290" s="337"/>
      <c r="D290" s="97"/>
      <c r="E290" s="337"/>
      <c r="F290" s="338"/>
      <c r="G290" s="336"/>
      <c r="H290" s="337"/>
      <c r="I290" s="338"/>
      <c r="J290" s="97"/>
      <c r="K290" s="339"/>
      <c r="L290" s="339"/>
      <c r="M290" s="339"/>
      <c r="N290" s="339"/>
      <c r="O290" s="339"/>
      <c r="P290" s="339"/>
      <c r="Q290" s="340"/>
      <c r="R290" s="97"/>
      <c r="S290" s="97"/>
      <c r="T290" s="298"/>
      <c r="U290" s="97"/>
      <c r="V290" s="97"/>
      <c r="W290" s="97"/>
      <c r="X290" s="97"/>
      <c r="Y290" s="97"/>
      <c r="Z290" s="97"/>
      <c r="AA290" s="97"/>
    </row>
    <row r="291" ht="15.75" customHeight="1">
      <c r="A291" s="97"/>
      <c r="B291" s="336"/>
      <c r="C291" s="337"/>
      <c r="D291" s="97"/>
      <c r="E291" s="337"/>
      <c r="F291" s="338"/>
      <c r="G291" s="336"/>
      <c r="H291" s="337"/>
      <c r="I291" s="338"/>
      <c r="J291" s="97"/>
      <c r="K291" s="339"/>
      <c r="L291" s="339"/>
      <c r="M291" s="339"/>
      <c r="N291" s="339"/>
      <c r="O291" s="339"/>
      <c r="P291" s="339"/>
      <c r="Q291" s="340"/>
      <c r="R291" s="97"/>
      <c r="S291" s="97"/>
      <c r="T291" s="298"/>
      <c r="U291" s="97"/>
      <c r="V291" s="97"/>
      <c r="W291" s="97"/>
      <c r="X291" s="97"/>
      <c r="Y291" s="97"/>
      <c r="Z291" s="97"/>
      <c r="AA291" s="97"/>
    </row>
    <row r="292" ht="15.75" customHeight="1">
      <c r="A292" s="97"/>
      <c r="B292" s="336"/>
      <c r="C292" s="337"/>
      <c r="D292" s="97"/>
      <c r="E292" s="337"/>
      <c r="F292" s="338"/>
      <c r="G292" s="336"/>
      <c r="H292" s="337"/>
      <c r="I292" s="338"/>
      <c r="J292" s="97"/>
      <c r="K292" s="339"/>
      <c r="L292" s="339"/>
      <c r="M292" s="339"/>
      <c r="N292" s="339"/>
      <c r="O292" s="339"/>
      <c r="P292" s="339"/>
      <c r="Q292" s="340"/>
      <c r="R292" s="97"/>
      <c r="S292" s="97"/>
      <c r="T292" s="298"/>
      <c r="U292" s="97"/>
      <c r="V292" s="97"/>
      <c r="W292" s="97"/>
      <c r="X292" s="97"/>
      <c r="Y292" s="97"/>
      <c r="Z292" s="97"/>
      <c r="AA292" s="97"/>
    </row>
    <row r="293" ht="15.75" customHeight="1">
      <c r="A293" s="97"/>
      <c r="B293" s="336"/>
      <c r="C293" s="337"/>
      <c r="D293" s="97"/>
      <c r="E293" s="337"/>
      <c r="F293" s="338"/>
      <c r="G293" s="336"/>
      <c r="H293" s="337"/>
      <c r="I293" s="338"/>
      <c r="J293" s="97"/>
      <c r="K293" s="339"/>
      <c r="L293" s="339"/>
      <c r="M293" s="339"/>
      <c r="N293" s="339"/>
      <c r="O293" s="339"/>
      <c r="P293" s="339"/>
      <c r="Q293" s="340"/>
      <c r="R293" s="97"/>
      <c r="S293" s="97"/>
      <c r="T293" s="298"/>
      <c r="U293" s="97"/>
      <c r="V293" s="97"/>
      <c r="W293" s="97"/>
      <c r="X293" s="97"/>
      <c r="Y293" s="97"/>
      <c r="Z293" s="97"/>
      <c r="AA293" s="97"/>
    </row>
    <row r="294" ht="15.75" customHeight="1">
      <c r="A294" s="97"/>
      <c r="B294" s="336"/>
      <c r="C294" s="337"/>
      <c r="D294" s="97"/>
      <c r="E294" s="337"/>
      <c r="F294" s="338"/>
      <c r="G294" s="336"/>
      <c r="H294" s="337"/>
      <c r="I294" s="338"/>
      <c r="J294" s="97"/>
      <c r="K294" s="339"/>
      <c r="L294" s="339"/>
      <c r="M294" s="339"/>
      <c r="N294" s="339"/>
      <c r="O294" s="339"/>
      <c r="P294" s="339"/>
      <c r="Q294" s="340"/>
      <c r="R294" s="97"/>
      <c r="S294" s="97"/>
      <c r="T294" s="298"/>
      <c r="U294" s="97"/>
      <c r="V294" s="97"/>
      <c r="W294" s="97"/>
      <c r="X294" s="97"/>
      <c r="Y294" s="97"/>
      <c r="Z294" s="97"/>
      <c r="AA294" s="97"/>
    </row>
    <row r="295" ht="15.75" customHeight="1">
      <c r="A295" s="97"/>
      <c r="B295" s="336"/>
      <c r="C295" s="337"/>
      <c r="D295" s="97"/>
      <c r="E295" s="337"/>
      <c r="F295" s="338"/>
      <c r="G295" s="336"/>
      <c r="H295" s="337"/>
      <c r="I295" s="338"/>
      <c r="J295" s="97"/>
      <c r="K295" s="339"/>
      <c r="L295" s="339"/>
      <c r="M295" s="339"/>
      <c r="N295" s="339"/>
      <c r="O295" s="339"/>
      <c r="P295" s="339"/>
      <c r="Q295" s="340"/>
      <c r="R295" s="97"/>
      <c r="S295" s="97"/>
      <c r="T295" s="298"/>
      <c r="U295" s="97"/>
      <c r="V295" s="97"/>
      <c r="W295" s="97"/>
      <c r="X295" s="97"/>
      <c r="Y295" s="97"/>
      <c r="Z295" s="97"/>
      <c r="AA295" s="97"/>
    </row>
    <row r="296" ht="15.75" customHeight="1">
      <c r="A296" s="97"/>
      <c r="B296" s="336"/>
      <c r="C296" s="337"/>
      <c r="D296" s="97"/>
      <c r="E296" s="337"/>
      <c r="F296" s="338"/>
      <c r="G296" s="336"/>
      <c r="H296" s="337"/>
      <c r="I296" s="338"/>
      <c r="J296" s="97"/>
      <c r="K296" s="339"/>
      <c r="L296" s="339"/>
      <c r="M296" s="339"/>
      <c r="N296" s="339"/>
      <c r="O296" s="339"/>
      <c r="P296" s="339"/>
      <c r="Q296" s="340"/>
      <c r="R296" s="97"/>
      <c r="S296" s="97"/>
      <c r="T296" s="298"/>
      <c r="U296" s="97"/>
      <c r="V296" s="97"/>
      <c r="W296" s="97"/>
      <c r="X296" s="97"/>
      <c r="Y296" s="97"/>
      <c r="Z296" s="97"/>
      <c r="AA296" s="97"/>
    </row>
    <row r="297" ht="15.75" customHeight="1">
      <c r="A297" s="97"/>
      <c r="B297" s="336"/>
      <c r="C297" s="337"/>
      <c r="D297" s="97"/>
      <c r="E297" s="337"/>
      <c r="F297" s="338"/>
      <c r="G297" s="336"/>
      <c r="H297" s="337"/>
      <c r="I297" s="338"/>
      <c r="J297" s="97"/>
      <c r="K297" s="339"/>
      <c r="L297" s="339"/>
      <c r="M297" s="339"/>
      <c r="N297" s="339"/>
      <c r="O297" s="339"/>
      <c r="P297" s="339"/>
      <c r="Q297" s="340"/>
      <c r="R297" s="97"/>
      <c r="S297" s="97"/>
      <c r="T297" s="298"/>
      <c r="U297" s="97"/>
      <c r="V297" s="97"/>
      <c r="W297" s="97"/>
      <c r="X297" s="97"/>
      <c r="Y297" s="97"/>
      <c r="Z297" s="97"/>
      <c r="AA297" s="97"/>
    </row>
    <row r="298" ht="15.75" customHeight="1">
      <c r="A298" s="97"/>
      <c r="B298" s="336"/>
      <c r="C298" s="337"/>
      <c r="D298" s="97"/>
      <c r="E298" s="337"/>
      <c r="F298" s="338"/>
      <c r="G298" s="336"/>
      <c r="H298" s="337"/>
      <c r="I298" s="338"/>
      <c r="J298" s="97"/>
      <c r="K298" s="339"/>
      <c r="L298" s="339"/>
      <c r="M298" s="339"/>
      <c r="N298" s="339"/>
      <c r="O298" s="339"/>
      <c r="P298" s="339"/>
      <c r="Q298" s="340"/>
      <c r="R298" s="97"/>
      <c r="S298" s="97"/>
      <c r="T298" s="298"/>
      <c r="U298" s="97"/>
      <c r="V298" s="97"/>
      <c r="W298" s="97"/>
      <c r="X298" s="97"/>
      <c r="Y298" s="97"/>
      <c r="Z298" s="97"/>
      <c r="AA298" s="97"/>
    </row>
    <row r="299" ht="15.75" customHeight="1">
      <c r="A299" s="97"/>
      <c r="B299" s="336"/>
      <c r="C299" s="337"/>
      <c r="D299" s="97"/>
      <c r="E299" s="337"/>
      <c r="F299" s="338"/>
      <c r="G299" s="336"/>
      <c r="H299" s="337"/>
      <c r="I299" s="338"/>
      <c r="J299" s="97"/>
      <c r="K299" s="339"/>
      <c r="L299" s="339"/>
      <c r="M299" s="339"/>
      <c r="N299" s="339"/>
      <c r="O299" s="339"/>
      <c r="P299" s="339"/>
      <c r="Q299" s="340"/>
      <c r="R299" s="97"/>
      <c r="S299" s="97"/>
      <c r="T299" s="298"/>
      <c r="U299" s="97"/>
      <c r="V299" s="97"/>
      <c r="W299" s="97"/>
      <c r="X299" s="97"/>
      <c r="Y299" s="97"/>
      <c r="Z299" s="97"/>
      <c r="AA299" s="97"/>
    </row>
    <row r="300" ht="15.75" customHeight="1">
      <c r="A300" s="97"/>
      <c r="B300" s="336"/>
      <c r="C300" s="337"/>
      <c r="D300" s="97"/>
      <c r="E300" s="337"/>
      <c r="F300" s="338"/>
      <c r="G300" s="336"/>
      <c r="H300" s="337"/>
      <c r="I300" s="338"/>
      <c r="J300" s="97"/>
      <c r="K300" s="339"/>
      <c r="L300" s="339"/>
      <c r="M300" s="339"/>
      <c r="N300" s="339"/>
      <c r="O300" s="339"/>
      <c r="P300" s="339"/>
      <c r="Q300" s="340"/>
      <c r="R300" s="97"/>
      <c r="S300" s="97"/>
      <c r="T300" s="298"/>
      <c r="U300" s="97"/>
      <c r="V300" s="97"/>
      <c r="W300" s="97"/>
      <c r="X300" s="97"/>
      <c r="Y300" s="97"/>
      <c r="Z300" s="97"/>
      <c r="AA300" s="97"/>
    </row>
    <row r="301" ht="15.75" customHeight="1">
      <c r="A301" s="97"/>
      <c r="B301" s="336"/>
      <c r="C301" s="337"/>
      <c r="D301" s="97"/>
      <c r="E301" s="337"/>
      <c r="F301" s="338"/>
      <c r="G301" s="336"/>
      <c r="H301" s="337"/>
      <c r="I301" s="338"/>
      <c r="J301" s="97"/>
      <c r="K301" s="339"/>
      <c r="L301" s="339"/>
      <c r="M301" s="339"/>
      <c r="N301" s="339"/>
      <c r="O301" s="339"/>
      <c r="P301" s="339"/>
      <c r="Q301" s="340"/>
      <c r="R301" s="97"/>
      <c r="S301" s="97"/>
      <c r="T301" s="298"/>
      <c r="U301" s="97"/>
      <c r="V301" s="97"/>
      <c r="W301" s="97"/>
      <c r="X301" s="97"/>
      <c r="Y301" s="97"/>
      <c r="Z301" s="97"/>
      <c r="AA301" s="97"/>
    </row>
    <row r="302" ht="15.75" customHeight="1">
      <c r="A302" s="97"/>
      <c r="B302" s="336"/>
      <c r="C302" s="337"/>
      <c r="D302" s="97"/>
      <c r="E302" s="337"/>
      <c r="F302" s="338"/>
      <c r="G302" s="336"/>
      <c r="H302" s="337"/>
      <c r="I302" s="338"/>
      <c r="J302" s="97"/>
      <c r="K302" s="339"/>
      <c r="L302" s="339"/>
      <c r="M302" s="339"/>
      <c r="N302" s="339"/>
      <c r="O302" s="339"/>
      <c r="P302" s="339"/>
      <c r="Q302" s="340"/>
      <c r="R302" s="97"/>
      <c r="S302" s="97"/>
      <c r="T302" s="298"/>
      <c r="U302" s="97"/>
      <c r="V302" s="97"/>
      <c r="W302" s="97"/>
      <c r="X302" s="97"/>
      <c r="Y302" s="97"/>
      <c r="Z302" s="97"/>
      <c r="AA302" s="97"/>
    </row>
    <row r="303" ht="15.75" customHeight="1">
      <c r="A303" s="97"/>
      <c r="B303" s="336"/>
      <c r="C303" s="337"/>
      <c r="D303" s="97"/>
      <c r="E303" s="337"/>
      <c r="F303" s="338"/>
      <c r="G303" s="336"/>
      <c r="H303" s="337"/>
      <c r="I303" s="338"/>
      <c r="J303" s="97"/>
      <c r="K303" s="339"/>
      <c r="L303" s="339"/>
      <c r="M303" s="339"/>
      <c r="N303" s="339"/>
      <c r="O303" s="339"/>
      <c r="P303" s="339"/>
      <c r="Q303" s="340"/>
      <c r="R303" s="97"/>
      <c r="S303" s="97"/>
      <c r="T303" s="298"/>
      <c r="U303" s="97"/>
      <c r="V303" s="97"/>
      <c r="W303" s="97"/>
      <c r="X303" s="97"/>
      <c r="Y303" s="97"/>
      <c r="Z303" s="97"/>
      <c r="AA303" s="97"/>
    </row>
    <row r="304" ht="15.75" customHeight="1">
      <c r="A304" s="97"/>
      <c r="B304" s="336"/>
      <c r="C304" s="337"/>
      <c r="D304" s="97"/>
      <c r="E304" s="337"/>
      <c r="F304" s="338"/>
      <c r="G304" s="336"/>
      <c r="H304" s="337"/>
      <c r="I304" s="338"/>
      <c r="J304" s="97"/>
      <c r="K304" s="339"/>
      <c r="L304" s="339"/>
      <c r="M304" s="339"/>
      <c r="N304" s="339"/>
      <c r="O304" s="339"/>
      <c r="P304" s="339"/>
      <c r="Q304" s="340"/>
      <c r="R304" s="97"/>
      <c r="S304" s="97"/>
      <c r="T304" s="298"/>
      <c r="U304" s="97"/>
      <c r="V304" s="97"/>
      <c r="W304" s="97"/>
      <c r="X304" s="97"/>
      <c r="Y304" s="97"/>
      <c r="Z304" s="97"/>
      <c r="AA304" s="97"/>
    </row>
    <row r="305" ht="15.75" customHeight="1">
      <c r="A305" s="97"/>
      <c r="B305" s="336"/>
      <c r="C305" s="337"/>
      <c r="D305" s="97"/>
      <c r="E305" s="337"/>
      <c r="F305" s="338"/>
      <c r="G305" s="336"/>
      <c r="H305" s="337"/>
      <c r="I305" s="338"/>
      <c r="J305" s="97"/>
      <c r="K305" s="339"/>
      <c r="L305" s="339"/>
      <c r="M305" s="339"/>
      <c r="N305" s="339"/>
      <c r="O305" s="339"/>
      <c r="P305" s="339"/>
      <c r="Q305" s="340"/>
      <c r="R305" s="97"/>
      <c r="S305" s="97"/>
      <c r="T305" s="298"/>
      <c r="U305" s="97"/>
      <c r="V305" s="97"/>
      <c r="W305" s="97"/>
      <c r="X305" s="97"/>
      <c r="Y305" s="97"/>
      <c r="Z305" s="97"/>
      <c r="AA305" s="97"/>
    </row>
    <row r="306" ht="15.75" customHeight="1">
      <c r="A306" s="97"/>
      <c r="B306" s="336"/>
      <c r="C306" s="337"/>
      <c r="D306" s="97"/>
      <c r="E306" s="337"/>
      <c r="F306" s="338"/>
      <c r="G306" s="336"/>
      <c r="H306" s="337"/>
      <c r="I306" s="338"/>
      <c r="J306" s="97"/>
      <c r="K306" s="339"/>
      <c r="L306" s="339"/>
      <c r="M306" s="339"/>
      <c r="N306" s="339"/>
      <c r="O306" s="339"/>
      <c r="P306" s="339"/>
      <c r="Q306" s="340"/>
      <c r="R306" s="97"/>
      <c r="S306" s="97"/>
      <c r="T306" s="298"/>
      <c r="U306" s="97"/>
      <c r="V306" s="97"/>
      <c r="W306" s="97"/>
      <c r="X306" s="97"/>
      <c r="Y306" s="97"/>
      <c r="Z306" s="97"/>
      <c r="AA306" s="97"/>
    </row>
    <row r="307" ht="15.75" customHeight="1">
      <c r="A307" s="97"/>
      <c r="B307" s="336"/>
      <c r="C307" s="337"/>
      <c r="D307" s="97"/>
      <c r="E307" s="337"/>
      <c r="F307" s="338"/>
      <c r="G307" s="336"/>
      <c r="H307" s="337"/>
      <c r="I307" s="338"/>
      <c r="J307" s="97"/>
      <c r="K307" s="339"/>
      <c r="L307" s="339"/>
      <c r="M307" s="339"/>
      <c r="N307" s="339"/>
      <c r="O307" s="339"/>
      <c r="P307" s="339"/>
      <c r="Q307" s="340"/>
      <c r="R307" s="97"/>
      <c r="S307" s="97"/>
      <c r="T307" s="298"/>
      <c r="U307" s="97"/>
      <c r="V307" s="97"/>
      <c r="W307" s="97"/>
      <c r="X307" s="97"/>
      <c r="Y307" s="97"/>
      <c r="Z307" s="97"/>
      <c r="AA307" s="97"/>
    </row>
    <row r="308" ht="15.75" customHeight="1">
      <c r="A308" s="97"/>
      <c r="B308" s="336"/>
      <c r="C308" s="337"/>
      <c r="D308" s="97"/>
      <c r="E308" s="337"/>
      <c r="F308" s="338"/>
      <c r="G308" s="336"/>
      <c r="H308" s="337"/>
      <c r="I308" s="338"/>
      <c r="J308" s="97"/>
      <c r="K308" s="339"/>
      <c r="L308" s="339"/>
      <c r="M308" s="339"/>
      <c r="N308" s="339"/>
      <c r="O308" s="339"/>
      <c r="P308" s="339"/>
      <c r="Q308" s="340"/>
      <c r="R308" s="97"/>
      <c r="S308" s="97"/>
      <c r="T308" s="298"/>
      <c r="U308" s="97"/>
      <c r="V308" s="97"/>
      <c r="W308" s="97"/>
      <c r="X308" s="97"/>
      <c r="Y308" s="97"/>
      <c r="Z308" s="97"/>
      <c r="AA308" s="97"/>
    </row>
    <row r="309" ht="15.75" customHeight="1">
      <c r="A309" s="97"/>
      <c r="B309" s="336"/>
      <c r="C309" s="337"/>
      <c r="D309" s="97"/>
      <c r="E309" s="337"/>
      <c r="F309" s="338"/>
      <c r="G309" s="336"/>
      <c r="H309" s="337"/>
      <c r="I309" s="338"/>
      <c r="J309" s="97"/>
      <c r="K309" s="339"/>
      <c r="L309" s="339"/>
      <c r="M309" s="339"/>
      <c r="N309" s="339"/>
      <c r="O309" s="339"/>
      <c r="P309" s="339"/>
      <c r="Q309" s="340"/>
      <c r="R309" s="97"/>
      <c r="S309" s="97"/>
      <c r="T309" s="298"/>
      <c r="U309" s="97"/>
      <c r="V309" s="97"/>
      <c r="W309" s="97"/>
      <c r="X309" s="97"/>
      <c r="Y309" s="97"/>
      <c r="Z309" s="97"/>
      <c r="AA309" s="97"/>
    </row>
    <row r="310" ht="15.75" customHeight="1">
      <c r="A310" s="97"/>
      <c r="B310" s="336"/>
      <c r="C310" s="337"/>
      <c r="D310" s="97"/>
      <c r="E310" s="337"/>
      <c r="F310" s="338"/>
      <c r="G310" s="336"/>
      <c r="H310" s="337"/>
      <c r="I310" s="338"/>
      <c r="J310" s="97"/>
      <c r="K310" s="339"/>
      <c r="L310" s="339"/>
      <c r="M310" s="339"/>
      <c r="N310" s="339"/>
      <c r="O310" s="339"/>
      <c r="P310" s="339"/>
      <c r="Q310" s="340"/>
      <c r="R310" s="97"/>
      <c r="S310" s="97"/>
      <c r="T310" s="298"/>
      <c r="U310" s="97"/>
      <c r="V310" s="97"/>
      <c r="W310" s="97"/>
      <c r="X310" s="97"/>
      <c r="Y310" s="97"/>
      <c r="Z310" s="97"/>
      <c r="AA310" s="97"/>
    </row>
    <row r="311" ht="15.75" customHeight="1">
      <c r="A311" s="97"/>
      <c r="B311" s="336"/>
      <c r="C311" s="337"/>
      <c r="D311" s="97"/>
      <c r="E311" s="337"/>
      <c r="F311" s="338"/>
      <c r="G311" s="336"/>
      <c r="H311" s="337"/>
      <c r="I311" s="338"/>
      <c r="J311" s="97"/>
      <c r="K311" s="339"/>
      <c r="L311" s="339"/>
      <c r="M311" s="339"/>
      <c r="N311" s="339"/>
      <c r="O311" s="339"/>
      <c r="P311" s="339"/>
      <c r="Q311" s="340"/>
      <c r="R311" s="97"/>
      <c r="S311" s="97"/>
      <c r="T311" s="298"/>
      <c r="U311" s="97"/>
      <c r="V311" s="97"/>
      <c r="W311" s="97"/>
      <c r="X311" s="97"/>
      <c r="Y311" s="97"/>
      <c r="Z311" s="97"/>
      <c r="AA311" s="97"/>
    </row>
    <row r="312" ht="15.75" customHeight="1">
      <c r="A312" s="97"/>
      <c r="B312" s="336"/>
      <c r="C312" s="337"/>
      <c r="D312" s="97"/>
      <c r="E312" s="337"/>
      <c r="F312" s="338"/>
      <c r="G312" s="336"/>
      <c r="H312" s="337"/>
      <c r="I312" s="338"/>
      <c r="J312" s="97"/>
      <c r="K312" s="339"/>
      <c r="L312" s="339"/>
      <c r="M312" s="339"/>
      <c r="N312" s="339"/>
      <c r="O312" s="339"/>
      <c r="P312" s="339"/>
      <c r="Q312" s="340"/>
      <c r="R312" s="97"/>
      <c r="S312" s="97"/>
      <c r="T312" s="298"/>
      <c r="U312" s="97"/>
      <c r="V312" s="97"/>
      <c r="W312" s="97"/>
      <c r="X312" s="97"/>
      <c r="Y312" s="97"/>
      <c r="Z312" s="97"/>
      <c r="AA312" s="97"/>
    </row>
    <row r="313" ht="15.75" customHeight="1">
      <c r="A313" s="97"/>
      <c r="B313" s="336"/>
      <c r="C313" s="337"/>
      <c r="D313" s="97"/>
      <c r="E313" s="337"/>
      <c r="F313" s="338"/>
      <c r="G313" s="336"/>
      <c r="H313" s="337"/>
      <c r="I313" s="338"/>
      <c r="J313" s="97"/>
      <c r="K313" s="339"/>
      <c r="L313" s="339"/>
      <c r="M313" s="339"/>
      <c r="N313" s="339"/>
      <c r="O313" s="339"/>
      <c r="P313" s="339"/>
      <c r="Q313" s="340"/>
      <c r="R313" s="97"/>
      <c r="S313" s="97"/>
      <c r="T313" s="298"/>
      <c r="U313" s="97"/>
      <c r="V313" s="97"/>
      <c r="W313" s="97"/>
      <c r="X313" s="97"/>
      <c r="Y313" s="97"/>
      <c r="Z313" s="97"/>
      <c r="AA313" s="97"/>
    </row>
    <row r="314" ht="15.75" customHeight="1">
      <c r="A314" s="97"/>
      <c r="B314" s="336"/>
      <c r="C314" s="337"/>
      <c r="D314" s="97"/>
      <c r="E314" s="337"/>
      <c r="F314" s="338"/>
      <c r="G314" s="336"/>
      <c r="H314" s="337"/>
      <c r="I314" s="338"/>
      <c r="J314" s="97"/>
      <c r="K314" s="339"/>
      <c r="L314" s="339"/>
      <c r="M314" s="339"/>
      <c r="N314" s="339"/>
      <c r="O314" s="339"/>
      <c r="P314" s="339"/>
      <c r="Q314" s="340"/>
      <c r="R314" s="97"/>
      <c r="S314" s="97"/>
      <c r="T314" s="298"/>
      <c r="U314" s="97"/>
      <c r="V314" s="97"/>
      <c r="W314" s="97"/>
      <c r="X314" s="97"/>
      <c r="Y314" s="97"/>
      <c r="Z314" s="97"/>
      <c r="AA314" s="97"/>
    </row>
    <row r="315" ht="15.75" customHeight="1">
      <c r="A315" s="97"/>
      <c r="B315" s="336"/>
      <c r="C315" s="337"/>
      <c r="D315" s="97"/>
      <c r="E315" s="337"/>
      <c r="F315" s="338"/>
      <c r="G315" s="336"/>
      <c r="H315" s="337"/>
      <c r="I315" s="338"/>
      <c r="J315" s="97"/>
      <c r="K315" s="339"/>
      <c r="L315" s="339"/>
      <c r="M315" s="339"/>
      <c r="N315" s="339"/>
      <c r="O315" s="339"/>
      <c r="P315" s="339"/>
      <c r="Q315" s="340"/>
      <c r="R315" s="97"/>
      <c r="S315" s="97"/>
      <c r="T315" s="298"/>
      <c r="U315" s="97"/>
      <c r="V315" s="97"/>
      <c r="W315" s="97"/>
      <c r="X315" s="97"/>
      <c r="Y315" s="97"/>
      <c r="Z315" s="97"/>
      <c r="AA315" s="97"/>
    </row>
    <row r="316" ht="15.75" customHeight="1">
      <c r="A316" s="97"/>
      <c r="B316" s="336"/>
      <c r="C316" s="337"/>
      <c r="D316" s="97"/>
      <c r="E316" s="337"/>
      <c r="F316" s="338"/>
      <c r="G316" s="336"/>
      <c r="H316" s="337"/>
      <c r="I316" s="338"/>
      <c r="J316" s="97"/>
      <c r="K316" s="339"/>
      <c r="L316" s="339"/>
      <c r="M316" s="339"/>
      <c r="N316" s="339"/>
      <c r="O316" s="339"/>
      <c r="P316" s="339"/>
      <c r="Q316" s="340"/>
      <c r="R316" s="97"/>
      <c r="S316" s="97"/>
      <c r="T316" s="298"/>
      <c r="U316" s="97"/>
      <c r="V316" s="97"/>
      <c r="W316" s="97"/>
      <c r="X316" s="97"/>
      <c r="Y316" s="97"/>
      <c r="Z316" s="97"/>
      <c r="AA316" s="97"/>
    </row>
    <row r="317" ht="15.75" customHeight="1">
      <c r="A317" s="97"/>
      <c r="B317" s="336"/>
      <c r="C317" s="337"/>
      <c r="D317" s="97"/>
      <c r="E317" s="337"/>
      <c r="F317" s="338"/>
      <c r="G317" s="336"/>
      <c r="H317" s="337"/>
      <c r="I317" s="338"/>
      <c r="J317" s="97"/>
      <c r="K317" s="339"/>
      <c r="L317" s="339"/>
      <c r="M317" s="339"/>
      <c r="N317" s="339"/>
      <c r="O317" s="339"/>
      <c r="P317" s="339"/>
      <c r="Q317" s="340"/>
      <c r="R317" s="97"/>
      <c r="S317" s="97"/>
      <c r="T317" s="298"/>
      <c r="U317" s="97"/>
      <c r="V317" s="97"/>
      <c r="W317" s="97"/>
      <c r="X317" s="97"/>
      <c r="Y317" s="97"/>
      <c r="Z317" s="97"/>
      <c r="AA317" s="97"/>
    </row>
    <row r="318" ht="15.75" customHeight="1">
      <c r="A318" s="97"/>
      <c r="B318" s="336"/>
      <c r="C318" s="337"/>
      <c r="D318" s="97"/>
      <c r="E318" s="337"/>
      <c r="F318" s="338"/>
      <c r="G318" s="336"/>
      <c r="H318" s="337"/>
      <c r="I318" s="338"/>
      <c r="J318" s="97"/>
      <c r="K318" s="339"/>
      <c r="L318" s="339"/>
      <c r="M318" s="339"/>
      <c r="N318" s="339"/>
      <c r="O318" s="339"/>
      <c r="P318" s="339"/>
      <c r="Q318" s="340"/>
      <c r="R318" s="97"/>
      <c r="S318" s="97"/>
      <c r="T318" s="298"/>
      <c r="U318" s="97"/>
      <c r="V318" s="97"/>
      <c r="W318" s="97"/>
      <c r="X318" s="97"/>
      <c r="Y318" s="97"/>
      <c r="Z318" s="97"/>
      <c r="AA318" s="97"/>
    </row>
    <row r="319" ht="15.75" customHeight="1">
      <c r="A319" s="97"/>
      <c r="B319" s="336"/>
      <c r="C319" s="337"/>
      <c r="D319" s="97"/>
      <c r="E319" s="337"/>
      <c r="F319" s="338"/>
      <c r="G319" s="336"/>
      <c r="H319" s="337"/>
      <c r="I319" s="338"/>
      <c r="J319" s="97"/>
      <c r="K319" s="339"/>
      <c r="L319" s="339"/>
      <c r="M319" s="339"/>
      <c r="N319" s="339"/>
      <c r="O319" s="339"/>
      <c r="P319" s="339"/>
      <c r="Q319" s="340"/>
      <c r="R319" s="97"/>
      <c r="S319" s="97"/>
      <c r="T319" s="298"/>
      <c r="U319" s="97"/>
      <c r="V319" s="97"/>
      <c r="W319" s="97"/>
      <c r="X319" s="97"/>
      <c r="Y319" s="97"/>
      <c r="Z319" s="97"/>
      <c r="AA319" s="97"/>
    </row>
    <row r="320" ht="15.75" customHeight="1">
      <c r="A320" s="97"/>
      <c r="B320" s="336"/>
      <c r="C320" s="337"/>
      <c r="D320" s="97"/>
      <c r="E320" s="337"/>
      <c r="F320" s="338"/>
      <c r="G320" s="336"/>
      <c r="H320" s="337"/>
      <c r="I320" s="338"/>
      <c r="J320" s="97"/>
      <c r="K320" s="339"/>
      <c r="L320" s="339"/>
      <c r="M320" s="339"/>
      <c r="N320" s="339"/>
      <c r="O320" s="339"/>
      <c r="P320" s="339"/>
      <c r="Q320" s="340"/>
      <c r="R320" s="97"/>
      <c r="S320" s="97"/>
      <c r="T320" s="298"/>
      <c r="U320" s="97"/>
      <c r="V320" s="97"/>
      <c r="W320" s="97"/>
      <c r="X320" s="97"/>
      <c r="Y320" s="97"/>
      <c r="Z320" s="97"/>
      <c r="AA320" s="97"/>
    </row>
    <row r="321" ht="15.75" customHeight="1">
      <c r="A321" s="97"/>
      <c r="B321" s="336"/>
      <c r="C321" s="337"/>
      <c r="D321" s="97"/>
      <c r="E321" s="337"/>
      <c r="F321" s="338"/>
      <c r="G321" s="336"/>
      <c r="H321" s="337"/>
      <c r="I321" s="338"/>
      <c r="J321" s="97"/>
      <c r="K321" s="339"/>
      <c r="L321" s="339"/>
      <c r="M321" s="339"/>
      <c r="N321" s="339"/>
      <c r="O321" s="339"/>
      <c r="P321" s="339"/>
      <c r="Q321" s="340"/>
      <c r="R321" s="97"/>
      <c r="S321" s="97"/>
      <c r="T321" s="298"/>
      <c r="U321" s="97"/>
      <c r="V321" s="97"/>
      <c r="W321" s="97"/>
      <c r="X321" s="97"/>
      <c r="Y321" s="97"/>
      <c r="Z321" s="97"/>
      <c r="AA321" s="97"/>
    </row>
    <row r="322" ht="15.75" customHeight="1">
      <c r="A322" s="97"/>
      <c r="B322" s="336"/>
      <c r="C322" s="337"/>
      <c r="D322" s="97"/>
      <c r="E322" s="337"/>
      <c r="F322" s="338"/>
      <c r="G322" s="336"/>
      <c r="H322" s="337"/>
      <c r="I322" s="338"/>
      <c r="J322" s="97"/>
      <c r="K322" s="339"/>
      <c r="L322" s="339"/>
      <c r="M322" s="339"/>
      <c r="N322" s="339"/>
      <c r="O322" s="339"/>
      <c r="P322" s="339"/>
      <c r="Q322" s="340"/>
      <c r="R322" s="97"/>
      <c r="S322" s="97"/>
      <c r="T322" s="298"/>
      <c r="U322" s="97"/>
      <c r="V322" s="97"/>
      <c r="W322" s="97"/>
      <c r="X322" s="97"/>
      <c r="Y322" s="97"/>
      <c r="Z322" s="97"/>
      <c r="AA322" s="97"/>
    </row>
    <row r="323" ht="15.75" customHeight="1">
      <c r="A323" s="97"/>
      <c r="B323" s="336"/>
      <c r="C323" s="337"/>
      <c r="D323" s="97"/>
      <c r="E323" s="337"/>
      <c r="F323" s="338"/>
      <c r="G323" s="336"/>
      <c r="H323" s="337"/>
      <c r="I323" s="338"/>
      <c r="J323" s="97"/>
      <c r="K323" s="339"/>
      <c r="L323" s="339"/>
      <c r="M323" s="339"/>
      <c r="N323" s="339"/>
      <c r="O323" s="339"/>
      <c r="P323" s="339"/>
      <c r="Q323" s="340"/>
      <c r="R323" s="97"/>
      <c r="S323" s="97"/>
      <c r="T323" s="298"/>
      <c r="U323" s="97"/>
      <c r="V323" s="97"/>
      <c r="W323" s="97"/>
      <c r="X323" s="97"/>
      <c r="Y323" s="97"/>
      <c r="Z323" s="97"/>
      <c r="AA323" s="97"/>
    </row>
    <row r="324" ht="15.75" customHeight="1">
      <c r="A324" s="97"/>
      <c r="B324" s="336"/>
      <c r="C324" s="337"/>
      <c r="D324" s="97"/>
      <c r="E324" s="337"/>
      <c r="F324" s="338"/>
      <c r="G324" s="336"/>
      <c r="H324" s="337"/>
      <c r="I324" s="338"/>
      <c r="J324" s="97"/>
      <c r="K324" s="339"/>
      <c r="L324" s="339"/>
      <c r="M324" s="339"/>
      <c r="N324" s="339"/>
      <c r="O324" s="339"/>
      <c r="P324" s="339"/>
      <c r="Q324" s="340"/>
      <c r="R324" s="97"/>
      <c r="S324" s="97"/>
      <c r="T324" s="298"/>
      <c r="U324" s="97"/>
      <c r="V324" s="97"/>
      <c r="W324" s="97"/>
      <c r="X324" s="97"/>
      <c r="Y324" s="97"/>
      <c r="Z324" s="97"/>
      <c r="AA324" s="97"/>
    </row>
    <row r="325" ht="15.75" customHeight="1">
      <c r="A325" s="97"/>
      <c r="B325" s="336"/>
      <c r="C325" s="337"/>
      <c r="D325" s="97"/>
      <c r="E325" s="337"/>
      <c r="F325" s="338"/>
      <c r="G325" s="336"/>
      <c r="H325" s="337"/>
      <c r="I325" s="338"/>
      <c r="J325" s="97"/>
      <c r="K325" s="339"/>
      <c r="L325" s="339"/>
      <c r="M325" s="339"/>
      <c r="N325" s="339"/>
      <c r="O325" s="339"/>
      <c r="P325" s="339"/>
      <c r="Q325" s="340"/>
      <c r="R325" s="97"/>
      <c r="S325" s="97"/>
      <c r="T325" s="298"/>
      <c r="U325" s="97"/>
      <c r="V325" s="97"/>
      <c r="W325" s="97"/>
      <c r="X325" s="97"/>
      <c r="Y325" s="97"/>
      <c r="Z325" s="97"/>
      <c r="AA325" s="97"/>
    </row>
    <row r="326" ht="15.75" customHeight="1">
      <c r="A326" s="97"/>
      <c r="B326" s="336"/>
      <c r="C326" s="337"/>
      <c r="D326" s="97"/>
      <c r="E326" s="337"/>
      <c r="F326" s="338"/>
      <c r="G326" s="336"/>
      <c r="H326" s="337"/>
      <c r="I326" s="338"/>
      <c r="J326" s="97"/>
      <c r="K326" s="339"/>
      <c r="L326" s="339"/>
      <c r="M326" s="339"/>
      <c r="N326" s="339"/>
      <c r="O326" s="339"/>
      <c r="P326" s="339"/>
      <c r="Q326" s="340"/>
      <c r="R326" s="97"/>
      <c r="S326" s="97"/>
      <c r="T326" s="298"/>
      <c r="U326" s="97"/>
      <c r="V326" s="97"/>
      <c r="W326" s="97"/>
      <c r="X326" s="97"/>
      <c r="Y326" s="97"/>
      <c r="Z326" s="97"/>
      <c r="AA326" s="97"/>
    </row>
    <row r="327" ht="15.75" customHeight="1">
      <c r="A327" s="97"/>
      <c r="B327" s="336"/>
      <c r="C327" s="337"/>
      <c r="D327" s="97"/>
      <c r="E327" s="337"/>
      <c r="F327" s="338"/>
      <c r="G327" s="336"/>
      <c r="H327" s="337"/>
      <c r="I327" s="338"/>
      <c r="J327" s="97"/>
      <c r="K327" s="339"/>
      <c r="L327" s="339"/>
      <c r="M327" s="339"/>
      <c r="N327" s="339"/>
      <c r="O327" s="339"/>
      <c r="P327" s="339"/>
      <c r="Q327" s="340"/>
      <c r="R327" s="97"/>
      <c r="S327" s="97"/>
      <c r="T327" s="298"/>
      <c r="U327" s="97"/>
      <c r="V327" s="97"/>
      <c r="W327" s="97"/>
      <c r="X327" s="97"/>
      <c r="Y327" s="97"/>
      <c r="Z327" s="97"/>
      <c r="AA327" s="97"/>
    </row>
    <row r="328" ht="15.75" customHeight="1">
      <c r="A328" s="97"/>
      <c r="B328" s="336"/>
      <c r="C328" s="337"/>
      <c r="D328" s="97"/>
      <c r="E328" s="337"/>
      <c r="F328" s="338"/>
      <c r="G328" s="336"/>
      <c r="H328" s="337"/>
      <c r="I328" s="338"/>
      <c r="J328" s="97"/>
      <c r="K328" s="339"/>
      <c r="L328" s="339"/>
      <c r="M328" s="339"/>
      <c r="N328" s="339"/>
      <c r="O328" s="339"/>
      <c r="P328" s="339"/>
      <c r="Q328" s="340"/>
      <c r="R328" s="97"/>
      <c r="S328" s="97"/>
      <c r="T328" s="298"/>
      <c r="U328" s="97"/>
      <c r="V328" s="97"/>
      <c r="W328" s="97"/>
      <c r="X328" s="97"/>
      <c r="Y328" s="97"/>
      <c r="Z328" s="97"/>
      <c r="AA328" s="97"/>
    </row>
    <row r="329" ht="15.75" customHeight="1">
      <c r="A329" s="97"/>
      <c r="B329" s="336"/>
      <c r="C329" s="337"/>
      <c r="D329" s="97"/>
      <c r="E329" s="337"/>
      <c r="F329" s="338"/>
      <c r="G329" s="336"/>
      <c r="H329" s="337"/>
      <c r="I329" s="338"/>
      <c r="J329" s="97"/>
      <c r="K329" s="339"/>
      <c r="L329" s="339"/>
      <c r="M329" s="339"/>
      <c r="N329" s="339"/>
      <c r="O329" s="339"/>
      <c r="P329" s="339"/>
      <c r="Q329" s="340"/>
      <c r="R329" s="97"/>
      <c r="S329" s="97"/>
      <c r="T329" s="298"/>
      <c r="U329" s="97"/>
      <c r="V329" s="97"/>
      <c r="W329" s="97"/>
      <c r="X329" s="97"/>
      <c r="Y329" s="97"/>
      <c r="Z329" s="97"/>
      <c r="AA329" s="97"/>
    </row>
    <row r="330" ht="15.75" customHeight="1">
      <c r="A330" s="97"/>
      <c r="B330" s="336"/>
      <c r="C330" s="337"/>
      <c r="D330" s="97"/>
      <c r="E330" s="337"/>
      <c r="F330" s="338"/>
      <c r="G330" s="336"/>
      <c r="H330" s="337"/>
      <c r="I330" s="338"/>
      <c r="J330" s="97"/>
      <c r="K330" s="339"/>
      <c r="L330" s="339"/>
      <c r="M330" s="339"/>
      <c r="N330" s="339"/>
      <c r="O330" s="339"/>
      <c r="P330" s="339"/>
      <c r="Q330" s="340"/>
      <c r="R330" s="97"/>
      <c r="S330" s="97"/>
      <c r="T330" s="298"/>
      <c r="U330" s="97"/>
      <c r="V330" s="97"/>
      <c r="W330" s="97"/>
      <c r="X330" s="97"/>
      <c r="Y330" s="97"/>
      <c r="Z330" s="97"/>
      <c r="AA330" s="97"/>
    </row>
    <row r="331" ht="15.75" customHeight="1">
      <c r="A331" s="97"/>
      <c r="B331" s="336"/>
      <c r="C331" s="337"/>
      <c r="D331" s="97"/>
      <c r="E331" s="337"/>
      <c r="F331" s="338"/>
      <c r="G331" s="336"/>
      <c r="H331" s="337"/>
      <c r="I331" s="338"/>
      <c r="J331" s="97"/>
      <c r="K331" s="339"/>
      <c r="L331" s="339"/>
      <c r="M331" s="339"/>
      <c r="N331" s="339"/>
      <c r="O331" s="339"/>
      <c r="P331" s="339"/>
      <c r="Q331" s="340"/>
      <c r="R331" s="97"/>
      <c r="S331" s="97"/>
      <c r="T331" s="298"/>
      <c r="U331" s="97"/>
      <c r="V331" s="97"/>
      <c r="W331" s="97"/>
      <c r="X331" s="97"/>
      <c r="Y331" s="97"/>
      <c r="Z331" s="97"/>
      <c r="AA331" s="97"/>
    </row>
    <row r="332" ht="15.75" customHeight="1">
      <c r="A332" s="97"/>
      <c r="B332" s="336"/>
      <c r="C332" s="337"/>
      <c r="D332" s="97"/>
      <c r="E332" s="337"/>
      <c r="F332" s="338"/>
      <c r="G332" s="336"/>
      <c r="H332" s="337"/>
      <c r="I332" s="338"/>
      <c r="J332" s="97"/>
      <c r="K332" s="339"/>
      <c r="L332" s="339"/>
      <c r="M332" s="339"/>
      <c r="N332" s="339"/>
      <c r="O332" s="339"/>
      <c r="P332" s="339"/>
      <c r="Q332" s="340"/>
      <c r="R332" s="97"/>
      <c r="S332" s="97"/>
      <c r="T332" s="298"/>
      <c r="U332" s="97"/>
      <c r="V332" s="97"/>
      <c r="W332" s="97"/>
      <c r="X332" s="97"/>
      <c r="Y332" s="97"/>
      <c r="Z332" s="97"/>
      <c r="AA332" s="97"/>
    </row>
    <row r="333" ht="15.75" customHeight="1">
      <c r="A333" s="97"/>
      <c r="B333" s="336"/>
      <c r="C333" s="337"/>
      <c r="D333" s="97"/>
      <c r="E333" s="337"/>
      <c r="F333" s="338"/>
      <c r="G333" s="336"/>
      <c r="H333" s="337"/>
      <c r="I333" s="338"/>
      <c r="J333" s="97"/>
      <c r="K333" s="339"/>
      <c r="L333" s="339"/>
      <c r="M333" s="339"/>
      <c r="N333" s="339"/>
      <c r="O333" s="339"/>
      <c r="P333" s="339"/>
      <c r="Q333" s="340"/>
      <c r="R333" s="97"/>
      <c r="S333" s="97"/>
      <c r="T333" s="298"/>
      <c r="U333" s="97"/>
      <c r="V333" s="97"/>
      <c r="W333" s="97"/>
      <c r="X333" s="97"/>
      <c r="Y333" s="97"/>
      <c r="Z333" s="97"/>
      <c r="AA333" s="97"/>
    </row>
    <row r="334" ht="15.75" customHeight="1">
      <c r="A334" s="97"/>
      <c r="B334" s="336"/>
      <c r="C334" s="337"/>
      <c r="D334" s="97"/>
      <c r="E334" s="337"/>
      <c r="F334" s="338"/>
      <c r="G334" s="336"/>
      <c r="H334" s="337"/>
      <c r="I334" s="338"/>
      <c r="J334" s="97"/>
      <c r="K334" s="339"/>
      <c r="L334" s="339"/>
      <c r="M334" s="339"/>
      <c r="N334" s="339"/>
      <c r="O334" s="339"/>
      <c r="P334" s="339"/>
      <c r="Q334" s="340"/>
      <c r="R334" s="97"/>
      <c r="S334" s="97"/>
      <c r="T334" s="298"/>
      <c r="U334" s="97"/>
      <c r="V334" s="97"/>
      <c r="W334" s="97"/>
      <c r="X334" s="97"/>
      <c r="Y334" s="97"/>
      <c r="Z334" s="97"/>
      <c r="AA334" s="97"/>
    </row>
    <row r="335" ht="15.75" customHeight="1">
      <c r="A335" s="97"/>
      <c r="B335" s="336"/>
      <c r="C335" s="337"/>
      <c r="D335" s="97"/>
      <c r="E335" s="337"/>
      <c r="F335" s="338"/>
      <c r="G335" s="336"/>
      <c r="H335" s="337"/>
      <c r="I335" s="338"/>
      <c r="J335" s="97"/>
      <c r="K335" s="339"/>
      <c r="L335" s="339"/>
      <c r="M335" s="339"/>
      <c r="N335" s="339"/>
      <c r="O335" s="339"/>
      <c r="P335" s="339"/>
      <c r="Q335" s="340"/>
      <c r="R335" s="97"/>
      <c r="S335" s="97"/>
      <c r="T335" s="298"/>
      <c r="U335" s="97"/>
      <c r="V335" s="97"/>
      <c r="W335" s="97"/>
      <c r="X335" s="97"/>
      <c r="Y335" s="97"/>
      <c r="Z335" s="97"/>
      <c r="AA335" s="97"/>
    </row>
    <row r="336" ht="15.75" customHeight="1">
      <c r="A336" s="97"/>
      <c r="B336" s="336"/>
      <c r="C336" s="337"/>
      <c r="D336" s="97"/>
      <c r="E336" s="337"/>
      <c r="F336" s="338"/>
      <c r="G336" s="336"/>
      <c r="H336" s="337"/>
      <c r="I336" s="338"/>
      <c r="J336" s="97"/>
      <c r="K336" s="339"/>
      <c r="L336" s="339"/>
      <c r="M336" s="339"/>
      <c r="N336" s="339"/>
      <c r="O336" s="339"/>
      <c r="P336" s="339"/>
      <c r="Q336" s="340"/>
      <c r="R336" s="97"/>
      <c r="S336" s="97"/>
      <c r="T336" s="298"/>
      <c r="U336" s="97"/>
      <c r="V336" s="97"/>
      <c r="W336" s="97"/>
      <c r="X336" s="97"/>
      <c r="Y336" s="97"/>
      <c r="Z336" s="97"/>
      <c r="AA336" s="97"/>
    </row>
    <row r="337" ht="15.75" customHeight="1">
      <c r="A337" s="97"/>
      <c r="B337" s="336"/>
      <c r="C337" s="337"/>
      <c r="D337" s="97"/>
      <c r="E337" s="337"/>
      <c r="F337" s="338"/>
      <c r="G337" s="336"/>
      <c r="H337" s="337"/>
      <c r="I337" s="338"/>
      <c r="J337" s="97"/>
      <c r="K337" s="339"/>
      <c r="L337" s="339"/>
      <c r="M337" s="339"/>
      <c r="N337" s="339"/>
      <c r="O337" s="339"/>
      <c r="P337" s="339"/>
      <c r="Q337" s="340"/>
      <c r="R337" s="97"/>
      <c r="S337" s="97"/>
      <c r="T337" s="298"/>
      <c r="U337" s="97"/>
      <c r="V337" s="97"/>
      <c r="W337" s="97"/>
      <c r="X337" s="97"/>
      <c r="Y337" s="97"/>
      <c r="Z337" s="97"/>
      <c r="AA337" s="97"/>
    </row>
    <row r="338" ht="15.75" customHeight="1">
      <c r="A338" s="97"/>
      <c r="B338" s="336"/>
      <c r="C338" s="337"/>
      <c r="D338" s="97"/>
      <c r="E338" s="337"/>
      <c r="F338" s="338"/>
      <c r="G338" s="336"/>
      <c r="H338" s="337"/>
      <c r="I338" s="338"/>
      <c r="J338" s="97"/>
      <c r="K338" s="339"/>
      <c r="L338" s="339"/>
      <c r="M338" s="339"/>
      <c r="N338" s="339"/>
      <c r="O338" s="339"/>
      <c r="P338" s="339"/>
      <c r="Q338" s="340"/>
      <c r="R338" s="97"/>
      <c r="S338" s="97"/>
      <c r="T338" s="298"/>
      <c r="U338" s="97"/>
      <c r="V338" s="97"/>
      <c r="W338" s="97"/>
      <c r="X338" s="97"/>
      <c r="Y338" s="97"/>
      <c r="Z338" s="97"/>
      <c r="AA338" s="97"/>
    </row>
    <row r="339" ht="15.75" customHeight="1">
      <c r="A339" s="97"/>
      <c r="B339" s="336"/>
      <c r="C339" s="337"/>
      <c r="D339" s="97"/>
      <c r="E339" s="337"/>
      <c r="F339" s="338"/>
      <c r="G339" s="336"/>
      <c r="H339" s="337"/>
      <c r="I339" s="338"/>
      <c r="J339" s="97"/>
      <c r="K339" s="339"/>
      <c r="L339" s="339"/>
      <c r="M339" s="339"/>
      <c r="N339" s="339"/>
      <c r="O339" s="339"/>
      <c r="P339" s="339"/>
      <c r="Q339" s="340"/>
      <c r="R339" s="97"/>
      <c r="S339" s="97"/>
      <c r="T339" s="298"/>
      <c r="U339" s="97"/>
      <c r="V339" s="97"/>
      <c r="W339" s="97"/>
      <c r="X339" s="97"/>
      <c r="Y339" s="97"/>
      <c r="Z339" s="97"/>
      <c r="AA339" s="97"/>
    </row>
    <row r="340" ht="15.75" customHeight="1">
      <c r="A340" s="97"/>
      <c r="B340" s="336"/>
      <c r="C340" s="337"/>
      <c r="D340" s="97"/>
      <c r="E340" s="337"/>
      <c r="F340" s="338"/>
      <c r="G340" s="336"/>
      <c r="H340" s="337"/>
      <c r="I340" s="338"/>
      <c r="J340" s="97"/>
      <c r="K340" s="339"/>
      <c r="L340" s="339"/>
      <c r="M340" s="339"/>
      <c r="N340" s="339"/>
      <c r="O340" s="339"/>
      <c r="P340" s="339"/>
      <c r="Q340" s="340"/>
      <c r="R340" s="97"/>
      <c r="S340" s="97"/>
      <c r="T340" s="298"/>
      <c r="U340" s="97"/>
      <c r="V340" s="97"/>
      <c r="W340" s="97"/>
      <c r="X340" s="97"/>
      <c r="Y340" s="97"/>
      <c r="Z340" s="97"/>
      <c r="AA340" s="97"/>
    </row>
    <row r="341" ht="15.75" customHeight="1">
      <c r="A341" s="97"/>
      <c r="B341" s="336"/>
      <c r="C341" s="337"/>
      <c r="D341" s="97"/>
      <c r="E341" s="337"/>
      <c r="F341" s="338"/>
      <c r="G341" s="336"/>
      <c r="H341" s="337"/>
      <c r="I341" s="338"/>
      <c r="J341" s="97"/>
      <c r="K341" s="339"/>
      <c r="L341" s="339"/>
      <c r="M341" s="339"/>
      <c r="N341" s="339"/>
      <c r="O341" s="339"/>
      <c r="P341" s="339"/>
      <c r="Q341" s="340"/>
      <c r="R341" s="97"/>
      <c r="S341" s="97"/>
      <c r="T341" s="298"/>
      <c r="U341" s="97"/>
      <c r="V341" s="97"/>
      <c r="W341" s="97"/>
      <c r="X341" s="97"/>
      <c r="Y341" s="97"/>
      <c r="Z341" s="97"/>
      <c r="AA341" s="97"/>
    </row>
    <row r="342" ht="15.75" customHeight="1">
      <c r="A342" s="97"/>
      <c r="B342" s="336"/>
      <c r="C342" s="337"/>
      <c r="D342" s="97"/>
      <c r="E342" s="337"/>
      <c r="F342" s="338"/>
      <c r="G342" s="336"/>
      <c r="H342" s="337"/>
      <c r="I342" s="338"/>
      <c r="J342" s="97"/>
      <c r="K342" s="339"/>
      <c r="L342" s="339"/>
      <c r="M342" s="339"/>
      <c r="N342" s="339"/>
      <c r="O342" s="339"/>
      <c r="P342" s="339"/>
      <c r="Q342" s="340"/>
      <c r="R342" s="97"/>
      <c r="S342" s="97"/>
      <c r="T342" s="298"/>
      <c r="U342" s="97"/>
      <c r="V342" s="97"/>
      <c r="W342" s="97"/>
      <c r="X342" s="97"/>
      <c r="Y342" s="97"/>
      <c r="Z342" s="97"/>
      <c r="AA342" s="97"/>
    </row>
    <row r="343" ht="15.75" customHeight="1">
      <c r="A343" s="97"/>
      <c r="B343" s="336"/>
      <c r="C343" s="337"/>
      <c r="D343" s="97"/>
      <c r="E343" s="337"/>
      <c r="F343" s="338"/>
      <c r="G343" s="336"/>
      <c r="H343" s="337"/>
      <c r="I343" s="338"/>
      <c r="J343" s="97"/>
      <c r="K343" s="339"/>
      <c r="L343" s="339"/>
      <c r="M343" s="339"/>
      <c r="N343" s="339"/>
      <c r="O343" s="339"/>
      <c r="P343" s="339"/>
      <c r="Q343" s="340"/>
      <c r="R343" s="97"/>
      <c r="S343" s="97"/>
      <c r="T343" s="298"/>
      <c r="U343" s="97"/>
      <c r="V343" s="97"/>
      <c r="W343" s="97"/>
      <c r="X343" s="97"/>
      <c r="Y343" s="97"/>
      <c r="Z343" s="97"/>
      <c r="AA343" s="97"/>
    </row>
    <row r="344" ht="15.75" customHeight="1">
      <c r="A344" s="97"/>
      <c r="B344" s="336"/>
      <c r="C344" s="337"/>
      <c r="D344" s="97"/>
      <c r="E344" s="337"/>
      <c r="F344" s="338"/>
      <c r="G344" s="336"/>
      <c r="H344" s="337"/>
      <c r="I344" s="338"/>
      <c r="J344" s="97"/>
      <c r="K344" s="339"/>
      <c r="L344" s="339"/>
      <c r="M344" s="339"/>
      <c r="N344" s="339"/>
      <c r="O344" s="339"/>
      <c r="P344" s="339"/>
      <c r="Q344" s="340"/>
      <c r="R344" s="97"/>
      <c r="S344" s="97"/>
      <c r="T344" s="298"/>
      <c r="U344" s="97"/>
      <c r="V344" s="97"/>
      <c r="W344" s="97"/>
      <c r="X344" s="97"/>
      <c r="Y344" s="97"/>
      <c r="Z344" s="97"/>
      <c r="AA344" s="97"/>
    </row>
    <row r="345" ht="15.75" customHeight="1">
      <c r="A345" s="97"/>
      <c r="B345" s="336"/>
      <c r="C345" s="337"/>
      <c r="D345" s="97"/>
      <c r="E345" s="337"/>
      <c r="F345" s="338"/>
      <c r="G345" s="336"/>
      <c r="H345" s="337"/>
      <c r="I345" s="338"/>
      <c r="J345" s="97"/>
      <c r="K345" s="339"/>
      <c r="L345" s="339"/>
      <c r="M345" s="339"/>
      <c r="N345" s="339"/>
      <c r="O345" s="339"/>
      <c r="P345" s="339"/>
      <c r="Q345" s="340"/>
      <c r="R345" s="97"/>
      <c r="S345" s="97"/>
      <c r="T345" s="298"/>
      <c r="U345" s="97"/>
      <c r="V345" s="97"/>
      <c r="W345" s="97"/>
      <c r="X345" s="97"/>
      <c r="Y345" s="97"/>
      <c r="Z345" s="97"/>
      <c r="AA345" s="97"/>
    </row>
    <row r="346" ht="15.75" customHeight="1">
      <c r="A346" s="97"/>
      <c r="B346" s="336"/>
      <c r="C346" s="337"/>
      <c r="D346" s="97"/>
      <c r="E346" s="337"/>
      <c r="F346" s="338"/>
      <c r="G346" s="336"/>
      <c r="H346" s="337"/>
      <c r="I346" s="338"/>
      <c r="J346" s="97"/>
      <c r="K346" s="339"/>
      <c r="L346" s="339"/>
      <c r="M346" s="339"/>
      <c r="N346" s="339"/>
      <c r="O346" s="339"/>
      <c r="P346" s="339"/>
      <c r="Q346" s="340"/>
      <c r="R346" s="97"/>
      <c r="S346" s="97"/>
      <c r="T346" s="298"/>
      <c r="U346" s="97"/>
      <c r="V346" s="97"/>
      <c r="W346" s="97"/>
      <c r="X346" s="97"/>
      <c r="Y346" s="97"/>
      <c r="Z346" s="97"/>
      <c r="AA346" s="97"/>
    </row>
    <row r="347" ht="15.75" customHeight="1">
      <c r="A347" s="97"/>
      <c r="B347" s="336"/>
      <c r="C347" s="337"/>
      <c r="D347" s="97"/>
      <c r="E347" s="337"/>
      <c r="F347" s="338"/>
      <c r="G347" s="336"/>
      <c r="H347" s="337"/>
      <c r="I347" s="338"/>
      <c r="J347" s="97"/>
      <c r="K347" s="339"/>
      <c r="L347" s="339"/>
      <c r="M347" s="339"/>
      <c r="N347" s="339"/>
      <c r="O347" s="339"/>
      <c r="P347" s="339"/>
      <c r="Q347" s="340"/>
      <c r="R347" s="97"/>
      <c r="S347" s="97"/>
      <c r="T347" s="298"/>
      <c r="U347" s="97"/>
      <c r="V347" s="97"/>
      <c r="W347" s="97"/>
      <c r="X347" s="97"/>
      <c r="Y347" s="97"/>
      <c r="Z347" s="97"/>
      <c r="AA347" s="97"/>
    </row>
    <row r="348" ht="15.75" customHeight="1">
      <c r="A348" s="97"/>
      <c r="B348" s="336"/>
      <c r="C348" s="337"/>
      <c r="D348" s="97"/>
      <c r="E348" s="337"/>
      <c r="F348" s="338"/>
      <c r="G348" s="336"/>
      <c r="H348" s="337"/>
      <c r="I348" s="338"/>
      <c r="J348" s="97"/>
      <c r="K348" s="339"/>
      <c r="L348" s="339"/>
      <c r="M348" s="339"/>
      <c r="N348" s="339"/>
      <c r="O348" s="339"/>
      <c r="P348" s="339"/>
      <c r="Q348" s="340"/>
      <c r="R348" s="97"/>
      <c r="S348" s="97"/>
      <c r="T348" s="298"/>
      <c r="U348" s="97"/>
      <c r="V348" s="97"/>
      <c r="W348" s="97"/>
      <c r="X348" s="97"/>
      <c r="Y348" s="97"/>
      <c r="Z348" s="97"/>
      <c r="AA348" s="97"/>
    </row>
    <row r="349" ht="15.75" customHeight="1">
      <c r="A349" s="97"/>
      <c r="B349" s="336"/>
      <c r="C349" s="337"/>
      <c r="D349" s="97"/>
      <c r="E349" s="337"/>
      <c r="F349" s="338"/>
      <c r="G349" s="336"/>
      <c r="H349" s="337"/>
      <c r="I349" s="338"/>
      <c r="J349" s="97"/>
      <c r="K349" s="339"/>
      <c r="L349" s="339"/>
      <c r="M349" s="339"/>
      <c r="N349" s="339"/>
      <c r="O349" s="339"/>
      <c r="P349" s="339"/>
      <c r="Q349" s="340"/>
      <c r="R349" s="97"/>
      <c r="S349" s="97"/>
      <c r="T349" s="298"/>
      <c r="U349" s="97"/>
      <c r="V349" s="97"/>
      <c r="W349" s="97"/>
      <c r="X349" s="97"/>
      <c r="Y349" s="97"/>
      <c r="Z349" s="97"/>
      <c r="AA349" s="97"/>
    </row>
    <row r="350" ht="15.75" customHeight="1">
      <c r="A350" s="97"/>
      <c r="B350" s="336"/>
      <c r="C350" s="337"/>
      <c r="D350" s="97"/>
      <c r="E350" s="337"/>
      <c r="F350" s="338"/>
      <c r="G350" s="336"/>
      <c r="H350" s="337"/>
      <c r="I350" s="338"/>
      <c r="J350" s="97"/>
      <c r="K350" s="339"/>
      <c r="L350" s="339"/>
      <c r="M350" s="339"/>
      <c r="N350" s="339"/>
      <c r="O350" s="339"/>
      <c r="P350" s="339"/>
      <c r="Q350" s="340"/>
      <c r="R350" s="97"/>
      <c r="S350" s="97"/>
      <c r="T350" s="298"/>
      <c r="U350" s="97"/>
      <c r="V350" s="97"/>
      <c r="W350" s="97"/>
      <c r="X350" s="97"/>
      <c r="Y350" s="97"/>
      <c r="Z350" s="97"/>
      <c r="AA350" s="97"/>
    </row>
    <row r="351" ht="15.75" customHeight="1">
      <c r="A351" s="97"/>
      <c r="B351" s="336"/>
      <c r="C351" s="337"/>
      <c r="D351" s="97"/>
      <c r="E351" s="337"/>
      <c r="F351" s="338"/>
      <c r="G351" s="336"/>
      <c r="H351" s="337"/>
      <c r="I351" s="338"/>
      <c r="J351" s="97"/>
      <c r="K351" s="339"/>
      <c r="L351" s="339"/>
      <c r="M351" s="339"/>
      <c r="N351" s="339"/>
      <c r="O351" s="339"/>
      <c r="P351" s="339"/>
      <c r="Q351" s="340"/>
      <c r="R351" s="97"/>
      <c r="S351" s="97"/>
      <c r="T351" s="298"/>
      <c r="U351" s="97"/>
      <c r="V351" s="97"/>
      <c r="W351" s="97"/>
      <c r="X351" s="97"/>
      <c r="Y351" s="97"/>
      <c r="Z351" s="97"/>
      <c r="AA351" s="97"/>
    </row>
    <row r="352" ht="15.75" customHeight="1">
      <c r="A352" s="97"/>
      <c r="B352" s="336"/>
      <c r="C352" s="337"/>
      <c r="D352" s="97"/>
      <c r="E352" s="337"/>
      <c r="F352" s="338"/>
      <c r="G352" s="336"/>
      <c r="H352" s="337"/>
      <c r="I352" s="338"/>
      <c r="J352" s="97"/>
      <c r="K352" s="339"/>
      <c r="L352" s="339"/>
      <c r="M352" s="339"/>
      <c r="N352" s="339"/>
      <c r="O352" s="339"/>
      <c r="P352" s="339"/>
      <c r="Q352" s="340"/>
      <c r="R352" s="97"/>
      <c r="S352" s="97"/>
      <c r="T352" s="298"/>
      <c r="U352" s="97"/>
      <c r="V352" s="97"/>
      <c r="W352" s="97"/>
      <c r="X352" s="97"/>
      <c r="Y352" s="97"/>
      <c r="Z352" s="97"/>
      <c r="AA352" s="97"/>
    </row>
    <row r="353" ht="15.75" customHeight="1">
      <c r="A353" s="97"/>
      <c r="B353" s="336"/>
      <c r="C353" s="337"/>
      <c r="D353" s="97"/>
      <c r="E353" s="337"/>
      <c r="F353" s="338"/>
      <c r="G353" s="336"/>
      <c r="H353" s="337"/>
      <c r="I353" s="338"/>
      <c r="J353" s="97"/>
      <c r="K353" s="339"/>
      <c r="L353" s="339"/>
      <c r="M353" s="339"/>
      <c r="N353" s="339"/>
      <c r="O353" s="339"/>
      <c r="P353" s="339"/>
      <c r="Q353" s="340"/>
      <c r="R353" s="97"/>
      <c r="S353" s="97"/>
      <c r="T353" s="298"/>
      <c r="U353" s="97"/>
      <c r="V353" s="97"/>
      <c r="W353" s="97"/>
      <c r="X353" s="97"/>
      <c r="Y353" s="97"/>
      <c r="Z353" s="97"/>
      <c r="AA353" s="97"/>
    </row>
    <row r="354" ht="15.75" customHeight="1">
      <c r="A354" s="97"/>
      <c r="B354" s="336"/>
      <c r="C354" s="337"/>
      <c r="D354" s="97"/>
      <c r="E354" s="337"/>
      <c r="F354" s="338"/>
      <c r="G354" s="336"/>
      <c r="H354" s="337"/>
      <c r="I354" s="338"/>
      <c r="J354" s="97"/>
      <c r="K354" s="339"/>
      <c r="L354" s="339"/>
      <c r="M354" s="339"/>
      <c r="N354" s="339"/>
      <c r="O354" s="339"/>
      <c r="P354" s="339"/>
      <c r="Q354" s="340"/>
      <c r="R354" s="97"/>
      <c r="S354" s="97"/>
      <c r="T354" s="298"/>
      <c r="U354" s="97"/>
      <c r="V354" s="97"/>
      <c r="W354" s="97"/>
      <c r="X354" s="97"/>
      <c r="Y354" s="97"/>
      <c r="Z354" s="97"/>
      <c r="AA354" s="97"/>
    </row>
    <row r="355" ht="15.75" customHeight="1">
      <c r="A355" s="97"/>
      <c r="B355" s="336"/>
      <c r="C355" s="337"/>
      <c r="D355" s="97"/>
      <c r="E355" s="337"/>
      <c r="F355" s="338"/>
      <c r="G355" s="336"/>
      <c r="H355" s="337"/>
      <c r="I355" s="338"/>
      <c r="J355" s="97"/>
      <c r="K355" s="339"/>
      <c r="L355" s="339"/>
      <c r="M355" s="339"/>
      <c r="N355" s="339"/>
      <c r="O355" s="339"/>
      <c r="P355" s="339"/>
      <c r="Q355" s="340"/>
      <c r="R355" s="97"/>
      <c r="S355" s="97"/>
      <c r="T355" s="298"/>
      <c r="U355" s="97"/>
      <c r="V355" s="97"/>
      <c r="W355" s="97"/>
      <c r="X355" s="97"/>
      <c r="Y355" s="97"/>
      <c r="Z355" s="97"/>
      <c r="AA355" s="97"/>
    </row>
    <row r="356" ht="15.75" customHeight="1">
      <c r="A356" s="97"/>
      <c r="B356" s="336"/>
      <c r="C356" s="337"/>
      <c r="D356" s="97"/>
      <c r="E356" s="337"/>
      <c r="F356" s="338"/>
      <c r="G356" s="336"/>
      <c r="H356" s="337"/>
      <c r="I356" s="338"/>
      <c r="J356" s="97"/>
      <c r="K356" s="339"/>
      <c r="L356" s="339"/>
      <c r="M356" s="339"/>
      <c r="N356" s="339"/>
      <c r="O356" s="339"/>
      <c r="P356" s="339"/>
      <c r="Q356" s="340"/>
      <c r="R356" s="97"/>
      <c r="S356" s="97"/>
      <c r="T356" s="298"/>
      <c r="U356" s="97"/>
      <c r="V356" s="97"/>
      <c r="W356" s="97"/>
      <c r="X356" s="97"/>
      <c r="Y356" s="97"/>
      <c r="Z356" s="97"/>
      <c r="AA356" s="97"/>
    </row>
    <row r="357" ht="15.75" customHeight="1">
      <c r="A357" s="97"/>
      <c r="B357" s="336"/>
      <c r="C357" s="337"/>
      <c r="D357" s="97"/>
      <c r="E357" s="337"/>
      <c r="F357" s="338"/>
      <c r="G357" s="336"/>
      <c r="H357" s="337"/>
      <c r="I357" s="338"/>
      <c r="J357" s="97"/>
      <c r="K357" s="339"/>
      <c r="L357" s="339"/>
      <c r="M357" s="339"/>
      <c r="N357" s="339"/>
      <c r="O357" s="339"/>
      <c r="P357" s="339"/>
      <c r="Q357" s="340"/>
      <c r="R357" s="97"/>
      <c r="S357" s="97"/>
      <c r="T357" s="298"/>
      <c r="U357" s="97"/>
      <c r="V357" s="97"/>
      <c r="W357" s="97"/>
      <c r="X357" s="97"/>
      <c r="Y357" s="97"/>
      <c r="Z357" s="97"/>
      <c r="AA357" s="97"/>
    </row>
    <row r="358" ht="15.75" customHeight="1">
      <c r="A358" s="97"/>
      <c r="B358" s="336"/>
      <c r="C358" s="337"/>
      <c r="D358" s="97"/>
      <c r="E358" s="337"/>
      <c r="F358" s="338"/>
      <c r="G358" s="336"/>
      <c r="H358" s="337"/>
      <c r="I358" s="338"/>
      <c r="J358" s="97"/>
      <c r="K358" s="339"/>
      <c r="L358" s="339"/>
      <c r="M358" s="339"/>
      <c r="N358" s="339"/>
      <c r="O358" s="339"/>
      <c r="P358" s="339"/>
      <c r="Q358" s="340"/>
      <c r="R358" s="97"/>
      <c r="S358" s="97"/>
      <c r="T358" s="298"/>
      <c r="U358" s="97"/>
      <c r="V358" s="97"/>
      <c r="W358" s="97"/>
      <c r="X358" s="97"/>
      <c r="Y358" s="97"/>
      <c r="Z358" s="97"/>
      <c r="AA358" s="97"/>
    </row>
    <row r="359" ht="15.75" customHeight="1">
      <c r="A359" s="97"/>
      <c r="B359" s="336"/>
      <c r="C359" s="337"/>
      <c r="D359" s="97"/>
      <c r="E359" s="337"/>
      <c r="F359" s="338"/>
      <c r="G359" s="336"/>
      <c r="H359" s="337"/>
      <c r="I359" s="338"/>
      <c r="J359" s="97"/>
      <c r="K359" s="339"/>
      <c r="L359" s="339"/>
      <c r="M359" s="339"/>
      <c r="N359" s="339"/>
      <c r="O359" s="339"/>
      <c r="P359" s="339"/>
      <c r="Q359" s="340"/>
      <c r="R359" s="97"/>
      <c r="S359" s="97"/>
      <c r="T359" s="298"/>
      <c r="U359" s="97"/>
      <c r="V359" s="97"/>
      <c r="W359" s="97"/>
      <c r="X359" s="97"/>
      <c r="Y359" s="97"/>
      <c r="Z359" s="97"/>
      <c r="AA359" s="97"/>
    </row>
    <row r="360" ht="15.75" customHeight="1">
      <c r="A360" s="97"/>
      <c r="B360" s="336"/>
      <c r="C360" s="337"/>
      <c r="D360" s="97"/>
      <c r="E360" s="337"/>
      <c r="F360" s="338"/>
      <c r="G360" s="336"/>
      <c r="H360" s="337"/>
      <c r="I360" s="338"/>
      <c r="J360" s="97"/>
      <c r="K360" s="339"/>
      <c r="L360" s="339"/>
      <c r="M360" s="339"/>
      <c r="N360" s="339"/>
      <c r="O360" s="339"/>
      <c r="P360" s="339"/>
      <c r="Q360" s="340"/>
      <c r="R360" s="97"/>
      <c r="S360" s="97"/>
      <c r="T360" s="298"/>
      <c r="U360" s="97"/>
      <c r="V360" s="97"/>
      <c r="W360" s="97"/>
      <c r="X360" s="97"/>
      <c r="Y360" s="97"/>
      <c r="Z360" s="97"/>
      <c r="AA360" s="97"/>
    </row>
    <row r="361" ht="15.75" customHeight="1">
      <c r="A361" s="97"/>
      <c r="B361" s="336"/>
      <c r="C361" s="337"/>
      <c r="D361" s="97"/>
      <c r="E361" s="337"/>
      <c r="F361" s="338"/>
      <c r="G361" s="336"/>
      <c r="H361" s="337"/>
      <c r="I361" s="338"/>
      <c r="J361" s="97"/>
      <c r="K361" s="339"/>
      <c r="L361" s="339"/>
      <c r="M361" s="339"/>
      <c r="N361" s="339"/>
      <c r="O361" s="339"/>
      <c r="P361" s="339"/>
      <c r="Q361" s="340"/>
      <c r="R361" s="97"/>
      <c r="S361" s="97"/>
      <c r="T361" s="298"/>
      <c r="U361" s="97"/>
      <c r="V361" s="97"/>
      <c r="W361" s="97"/>
      <c r="X361" s="97"/>
      <c r="Y361" s="97"/>
      <c r="Z361" s="97"/>
      <c r="AA361" s="97"/>
    </row>
    <row r="362" ht="15.75" customHeight="1">
      <c r="A362" s="97"/>
      <c r="B362" s="336"/>
      <c r="C362" s="337"/>
      <c r="D362" s="97"/>
      <c r="E362" s="337"/>
      <c r="F362" s="338"/>
      <c r="G362" s="336"/>
      <c r="H362" s="337"/>
      <c r="I362" s="338"/>
      <c r="J362" s="97"/>
      <c r="K362" s="339"/>
      <c r="L362" s="339"/>
      <c r="M362" s="339"/>
      <c r="N362" s="339"/>
      <c r="O362" s="339"/>
      <c r="P362" s="339"/>
      <c r="Q362" s="340"/>
      <c r="R362" s="97"/>
      <c r="S362" s="97"/>
      <c r="T362" s="298"/>
      <c r="U362" s="97"/>
      <c r="V362" s="97"/>
      <c r="W362" s="97"/>
      <c r="X362" s="97"/>
      <c r="Y362" s="97"/>
      <c r="Z362" s="97"/>
      <c r="AA362" s="97"/>
    </row>
    <row r="363" ht="15.75" customHeight="1">
      <c r="A363" s="97"/>
      <c r="B363" s="336"/>
      <c r="C363" s="337"/>
      <c r="D363" s="97"/>
      <c r="E363" s="337"/>
      <c r="F363" s="338"/>
      <c r="G363" s="336"/>
      <c r="H363" s="337"/>
      <c r="I363" s="338"/>
      <c r="J363" s="97"/>
      <c r="K363" s="339"/>
      <c r="L363" s="339"/>
      <c r="M363" s="339"/>
      <c r="N363" s="339"/>
      <c r="O363" s="339"/>
      <c r="P363" s="339"/>
      <c r="Q363" s="340"/>
      <c r="R363" s="97"/>
      <c r="S363" s="97"/>
      <c r="T363" s="298"/>
      <c r="U363" s="97"/>
      <c r="V363" s="97"/>
      <c r="W363" s="97"/>
      <c r="X363" s="97"/>
      <c r="Y363" s="97"/>
      <c r="Z363" s="97"/>
      <c r="AA363" s="97"/>
    </row>
    <row r="364" ht="15.75" customHeight="1">
      <c r="A364" s="97"/>
      <c r="B364" s="336"/>
      <c r="C364" s="337"/>
      <c r="D364" s="97"/>
      <c r="E364" s="337"/>
      <c r="F364" s="338"/>
      <c r="G364" s="336"/>
      <c r="H364" s="337"/>
      <c r="I364" s="338"/>
      <c r="J364" s="97"/>
      <c r="K364" s="339"/>
      <c r="L364" s="339"/>
      <c r="M364" s="339"/>
      <c r="N364" s="339"/>
      <c r="O364" s="339"/>
      <c r="P364" s="339"/>
      <c r="Q364" s="340"/>
      <c r="R364" s="97"/>
      <c r="S364" s="97"/>
      <c r="T364" s="298"/>
      <c r="U364" s="97"/>
      <c r="V364" s="97"/>
      <c r="W364" s="97"/>
      <c r="X364" s="97"/>
      <c r="Y364" s="97"/>
      <c r="Z364" s="97"/>
      <c r="AA364" s="97"/>
    </row>
    <row r="365" ht="15.75" customHeight="1">
      <c r="A365" s="97"/>
      <c r="B365" s="336"/>
      <c r="C365" s="337"/>
      <c r="D365" s="97"/>
      <c r="E365" s="337"/>
      <c r="F365" s="338"/>
      <c r="G365" s="336"/>
      <c r="H365" s="337"/>
      <c r="I365" s="338"/>
      <c r="J365" s="97"/>
      <c r="K365" s="339"/>
      <c r="L365" s="339"/>
      <c r="M365" s="339"/>
      <c r="N365" s="339"/>
      <c r="O365" s="339"/>
      <c r="P365" s="339"/>
      <c r="Q365" s="340"/>
      <c r="R365" s="97"/>
      <c r="S365" s="97"/>
      <c r="T365" s="298"/>
      <c r="U365" s="97"/>
      <c r="V365" s="97"/>
      <c r="W365" s="97"/>
      <c r="X365" s="97"/>
      <c r="Y365" s="97"/>
      <c r="Z365" s="97"/>
      <c r="AA365" s="97"/>
    </row>
    <row r="366" ht="15.75" customHeight="1">
      <c r="A366" s="97"/>
      <c r="B366" s="336"/>
      <c r="C366" s="337"/>
      <c r="D366" s="97"/>
      <c r="E366" s="337"/>
      <c r="F366" s="338"/>
      <c r="G366" s="336"/>
      <c r="H366" s="337"/>
      <c r="I366" s="338"/>
      <c r="J366" s="97"/>
      <c r="K366" s="339"/>
      <c r="L366" s="339"/>
      <c r="M366" s="339"/>
      <c r="N366" s="339"/>
      <c r="O366" s="339"/>
      <c r="P366" s="339"/>
      <c r="Q366" s="340"/>
      <c r="R366" s="97"/>
      <c r="S366" s="97"/>
      <c r="T366" s="298"/>
      <c r="U366" s="97"/>
      <c r="V366" s="97"/>
      <c r="W366" s="97"/>
      <c r="X366" s="97"/>
      <c r="Y366" s="97"/>
      <c r="Z366" s="97"/>
      <c r="AA366" s="97"/>
    </row>
    <row r="367" ht="15.75" customHeight="1">
      <c r="A367" s="97"/>
      <c r="B367" s="336"/>
      <c r="C367" s="337"/>
      <c r="D367" s="97"/>
      <c r="E367" s="337"/>
      <c r="F367" s="338"/>
      <c r="G367" s="336"/>
      <c r="H367" s="337"/>
      <c r="I367" s="338"/>
      <c r="J367" s="97"/>
      <c r="K367" s="339"/>
      <c r="L367" s="339"/>
      <c r="M367" s="339"/>
      <c r="N367" s="339"/>
      <c r="O367" s="339"/>
      <c r="P367" s="339"/>
      <c r="Q367" s="340"/>
      <c r="R367" s="97"/>
      <c r="S367" s="97"/>
      <c r="T367" s="298"/>
      <c r="U367" s="97"/>
      <c r="V367" s="97"/>
      <c r="W367" s="97"/>
      <c r="X367" s="97"/>
      <c r="Y367" s="97"/>
      <c r="Z367" s="97"/>
      <c r="AA367" s="97"/>
    </row>
    <row r="368" ht="15.75" customHeight="1">
      <c r="A368" s="97"/>
      <c r="B368" s="336"/>
      <c r="C368" s="337"/>
      <c r="D368" s="97"/>
      <c r="E368" s="337"/>
      <c r="F368" s="338"/>
      <c r="G368" s="336"/>
      <c r="H368" s="337"/>
      <c r="I368" s="338"/>
      <c r="J368" s="97"/>
      <c r="K368" s="339"/>
      <c r="L368" s="339"/>
      <c r="M368" s="339"/>
      <c r="N368" s="339"/>
      <c r="O368" s="339"/>
      <c r="P368" s="339"/>
      <c r="Q368" s="340"/>
      <c r="R368" s="97"/>
      <c r="S368" s="97"/>
      <c r="T368" s="298"/>
      <c r="U368" s="97"/>
      <c r="V368" s="97"/>
      <c r="W368" s="97"/>
      <c r="X368" s="97"/>
      <c r="Y368" s="97"/>
      <c r="Z368" s="97"/>
      <c r="AA368" s="97"/>
    </row>
    <row r="369" ht="15.75" customHeight="1">
      <c r="A369" s="97"/>
      <c r="B369" s="336"/>
      <c r="C369" s="337"/>
      <c r="D369" s="97"/>
      <c r="E369" s="337"/>
      <c r="F369" s="338"/>
      <c r="G369" s="336"/>
      <c r="H369" s="337"/>
      <c r="I369" s="338"/>
      <c r="J369" s="97"/>
      <c r="K369" s="339"/>
      <c r="L369" s="339"/>
      <c r="M369" s="339"/>
      <c r="N369" s="339"/>
      <c r="O369" s="339"/>
      <c r="P369" s="339"/>
      <c r="Q369" s="340"/>
      <c r="R369" s="97"/>
      <c r="S369" s="97"/>
      <c r="T369" s="298"/>
      <c r="U369" s="97"/>
      <c r="V369" s="97"/>
      <c r="W369" s="97"/>
      <c r="X369" s="97"/>
      <c r="Y369" s="97"/>
      <c r="Z369" s="97"/>
      <c r="AA369" s="97"/>
    </row>
    <row r="370" ht="15.75" customHeight="1">
      <c r="A370" s="97"/>
      <c r="B370" s="336"/>
      <c r="C370" s="337"/>
      <c r="D370" s="97"/>
      <c r="E370" s="337"/>
      <c r="F370" s="338"/>
      <c r="G370" s="336"/>
      <c r="H370" s="337"/>
      <c r="I370" s="338"/>
      <c r="J370" s="97"/>
      <c r="K370" s="339"/>
      <c r="L370" s="339"/>
      <c r="M370" s="339"/>
      <c r="N370" s="339"/>
      <c r="O370" s="339"/>
      <c r="P370" s="339"/>
      <c r="Q370" s="340"/>
      <c r="R370" s="97"/>
      <c r="S370" s="97"/>
      <c r="T370" s="298"/>
      <c r="U370" s="97"/>
      <c r="V370" s="97"/>
      <c r="W370" s="97"/>
      <c r="X370" s="97"/>
      <c r="Y370" s="97"/>
      <c r="Z370" s="97"/>
      <c r="AA370" s="97"/>
    </row>
    <row r="371" ht="15.75" customHeight="1">
      <c r="A371" s="97"/>
      <c r="B371" s="336"/>
      <c r="C371" s="337"/>
      <c r="D371" s="97"/>
      <c r="E371" s="337"/>
      <c r="F371" s="338"/>
      <c r="G371" s="336"/>
      <c r="H371" s="337"/>
      <c r="I371" s="338"/>
      <c r="J371" s="97"/>
      <c r="K371" s="339"/>
      <c r="L371" s="339"/>
      <c r="M371" s="339"/>
      <c r="N371" s="339"/>
      <c r="O371" s="339"/>
      <c r="P371" s="339"/>
      <c r="Q371" s="340"/>
      <c r="R371" s="97"/>
      <c r="S371" s="97"/>
      <c r="T371" s="298"/>
      <c r="U371" s="97"/>
      <c r="V371" s="97"/>
      <c r="W371" s="97"/>
      <c r="X371" s="97"/>
      <c r="Y371" s="97"/>
      <c r="Z371" s="97"/>
      <c r="AA371" s="97"/>
    </row>
    <row r="372" ht="15.75" customHeight="1">
      <c r="A372" s="97"/>
      <c r="B372" s="336"/>
      <c r="C372" s="337"/>
      <c r="D372" s="97"/>
      <c r="E372" s="337"/>
      <c r="F372" s="338"/>
      <c r="G372" s="336"/>
      <c r="H372" s="337"/>
      <c r="I372" s="338"/>
      <c r="J372" s="97"/>
      <c r="K372" s="339"/>
      <c r="L372" s="339"/>
      <c r="M372" s="339"/>
      <c r="N372" s="339"/>
      <c r="O372" s="339"/>
      <c r="P372" s="339"/>
      <c r="Q372" s="340"/>
      <c r="R372" s="97"/>
      <c r="S372" s="97"/>
      <c r="T372" s="298"/>
      <c r="U372" s="97"/>
      <c r="V372" s="97"/>
      <c r="W372" s="97"/>
      <c r="X372" s="97"/>
      <c r="Y372" s="97"/>
      <c r="Z372" s="97"/>
      <c r="AA372" s="97"/>
    </row>
    <row r="373" ht="15.75" customHeight="1">
      <c r="A373" s="97"/>
      <c r="B373" s="336"/>
      <c r="C373" s="337"/>
      <c r="D373" s="97"/>
      <c r="E373" s="337"/>
      <c r="F373" s="338"/>
      <c r="G373" s="336"/>
      <c r="H373" s="337"/>
      <c r="I373" s="338"/>
      <c r="J373" s="97"/>
      <c r="K373" s="339"/>
      <c r="L373" s="339"/>
      <c r="M373" s="339"/>
      <c r="N373" s="339"/>
      <c r="O373" s="339"/>
      <c r="P373" s="339"/>
      <c r="Q373" s="340"/>
      <c r="R373" s="97"/>
      <c r="S373" s="97"/>
      <c r="T373" s="298"/>
      <c r="U373" s="97"/>
      <c r="V373" s="97"/>
      <c r="W373" s="97"/>
      <c r="X373" s="97"/>
      <c r="Y373" s="97"/>
      <c r="Z373" s="97"/>
      <c r="AA373" s="97"/>
    </row>
    <row r="374" ht="15.75" customHeight="1">
      <c r="A374" s="97"/>
      <c r="B374" s="336"/>
      <c r="C374" s="337"/>
      <c r="D374" s="97"/>
      <c r="E374" s="337"/>
      <c r="F374" s="338"/>
      <c r="G374" s="336"/>
      <c r="H374" s="337"/>
      <c r="I374" s="338"/>
      <c r="J374" s="97"/>
      <c r="K374" s="339"/>
      <c r="L374" s="339"/>
      <c r="M374" s="339"/>
      <c r="N374" s="339"/>
      <c r="O374" s="339"/>
      <c r="P374" s="339"/>
      <c r="Q374" s="340"/>
      <c r="R374" s="97"/>
      <c r="S374" s="97"/>
      <c r="T374" s="298"/>
      <c r="U374" s="97"/>
      <c r="V374" s="97"/>
      <c r="W374" s="97"/>
      <c r="X374" s="97"/>
      <c r="Y374" s="97"/>
      <c r="Z374" s="97"/>
      <c r="AA374" s="97"/>
    </row>
    <row r="375" ht="15.75" customHeight="1">
      <c r="A375" s="97"/>
      <c r="B375" s="336"/>
      <c r="C375" s="337"/>
      <c r="D375" s="97"/>
      <c r="E375" s="337"/>
      <c r="F375" s="338"/>
      <c r="G375" s="336"/>
      <c r="H375" s="337"/>
      <c r="I375" s="338"/>
      <c r="J375" s="97"/>
      <c r="K375" s="339"/>
      <c r="L375" s="339"/>
      <c r="M375" s="339"/>
      <c r="N375" s="339"/>
      <c r="O375" s="339"/>
      <c r="P375" s="339"/>
      <c r="Q375" s="340"/>
      <c r="R375" s="97"/>
      <c r="S375" s="97"/>
      <c r="T375" s="298"/>
      <c r="U375" s="97"/>
      <c r="V375" s="97"/>
      <c r="W375" s="97"/>
      <c r="X375" s="97"/>
      <c r="Y375" s="97"/>
      <c r="Z375" s="97"/>
      <c r="AA375" s="97"/>
    </row>
    <row r="376" ht="15.75" customHeight="1">
      <c r="A376" s="97"/>
      <c r="B376" s="336"/>
      <c r="C376" s="337"/>
      <c r="D376" s="97"/>
      <c r="E376" s="337"/>
      <c r="F376" s="338"/>
      <c r="G376" s="336"/>
      <c r="H376" s="337"/>
      <c r="I376" s="338"/>
      <c r="J376" s="97"/>
      <c r="K376" s="339"/>
      <c r="L376" s="339"/>
      <c r="M376" s="339"/>
      <c r="N376" s="339"/>
      <c r="O376" s="339"/>
      <c r="P376" s="339"/>
      <c r="Q376" s="340"/>
      <c r="R376" s="97"/>
      <c r="S376" s="97"/>
      <c r="T376" s="298"/>
      <c r="U376" s="97"/>
      <c r="V376" s="97"/>
      <c r="W376" s="97"/>
      <c r="X376" s="97"/>
      <c r="Y376" s="97"/>
      <c r="Z376" s="97"/>
      <c r="AA376" s="97"/>
    </row>
    <row r="377" ht="15.75" customHeight="1">
      <c r="A377" s="97"/>
      <c r="B377" s="336"/>
      <c r="C377" s="337"/>
      <c r="D377" s="97"/>
      <c r="E377" s="337"/>
      <c r="F377" s="338"/>
      <c r="G377" s="336"/>
      <c r="H377" s="337"/>
      <c r="I377" s="338"/>
      <c r="J377" s="97"/>
      <c r="K377" s="339"/>
      <c r="L377" s="339"/>
      <c r="M377" s="339"/>
      <c r="N377" s="339"/>
      <c r="O377" s="339"/>
      <c r="P377" s="339"/>
      <c r="Q377" s="340"/>
      <c r="R377" s="97"/>
      <c r="S377" s="97"/>
      <c r="T377" s="298"/>
      <c r="U377" s="97"/>
      <c r="V377" s="97"/>
      <c r="W377" s="97"/>
      <c r="X377" s="97"/>
      <c r="Y377" s="97"/>
      <c r="Z377" s="97"/>
      <c r="AA377" s="97"/>
    </row>
    <row r="378" ht="15.75" customHeight="1">
      <c r="A378" s="97"/>
      <c r="B378" s="336"/>
      <c r="C378" s="337"/>
      <c r="D378" s="97"/>
      <c r="E378" s="337"/>
      <c r="F378" s="338"/>
      <c r="G378" s="336"/>
      <c r="H378" s="337"/>
      <c r="I378" s="338"/>
      <c r="J378" s="97"/>
      <c r="K378" s="339"/>
      <c r="L378" s="339"/>
      <c r="M378" s="339"/>
      <c r="N378" s="339"/>
      <c r="O378" s="339"/>
      <c r="P378" s="339"/>
      <c r="Q378" s="340"/>
      <c r="R378" s="97"/>
      <c r="S378" s="97"/>
      <c r="T378" s="298"/>
      <c r="U378" s="97"/>
      <c r="V378" s="97"/>
      <c r="W378" s="97"/>
      <c r="X378" s="97"/>
      <c r="Y378" s="97"/>
      <c r="Z378" s="97"/>
      <c r="AA378" s="97"/>
    </row>
    <row r="379" ht="15.75" customHeight="1">
      <c r="A379" s="97"/>
      <c r="B379" s="336"/>
      <c r="C379" s="337"/>
      <c r="D379" s="97"/>
      <c r="E379" s="337"/>
      <c r="F379" s="338"/>
      <c r="G379" s="336"/>
      <c r="H379" s="337"/>
      <c r="I379" s="338"/>
      <c r="J379" s="97"/>
      <c r="K379" s="339"/>
      <c r="L379" s="339"/>
      <c r="M379" s="339"/>
      <c r="N379" s="339"/>
      <c r="O379" s="339"/>
      <c r="P379" s="339"/>
      <c r="Q379" s="340"/>
      <c r="R379" s="97"/>
      <c r="S379" s="97"/>
      <c r="T379" s="298"/>
      <c r="U379" s="97"/>
      <c r="V379" s="97"/>
      <c r="W379" s="97"/>
      <c r="X379" s="97"/>
      <c r="Y379" s="97"/>
      <c r="Z379" s="97"/>
      <c r="AA379" s="97"/>
    </row>
    <row r="380" ht="15.75" customHeight="1">
      <c r="A380" s="97"/>
      <c r="B380" s="336"/>
      <c r="C380" s="337"/>
      <c r="D380" s="97"/>
      <c r="E380" s="337"/>
      <c r="F380" s="338"/>
      <c r="G380" s="336"/>
      <c r="H380" s="337"/>
      <c r="I380" s="338"/>
      <c r="J380" s="97"/>
      <c r="K380" s="339"/>
      <c r="L380" s="339"/>
      <c r="M380" s="339"/>
      <c r="N380" s="339"/>
      <c r="O380" s="339"/>
      <c r="P380" s="339"/>
      <c r="Q380" s="340"/>
      <c r="R380" s="97"/>
      <c r="S380" s="97"/>
      <c r="T380" s="298"/>
      <c r="U380" s="97"/>
      <c r="V380" s="97"/>
      <c r="W380" s="97"/>
      <c r="X380" s="97"/>
      <c r="Y380" s="97"/>
      <c r="Z380" s="97"/>
      <c r="AA380" s="97"/>
    </row>
    <row r="381" ht="15.75" customHeight="1">
      <c r="A381" s="97"/>
      <c r="B381" s="336"/>
      <c r="C381" s="337"/>
      <c r="D381" s="97"/>
      <c r="E381" s="337"/>
      <c r="F381" s="338"/>
      <c r="G381" s="336"/>
      <c r="H381" s="337"/>
      <c r="I381" s="338"/>
      <c r="J381" s="97"/>
      <c r="K381" s="339"/>
      <c r="L381" s="339"/>
      <c r="M381" s="339"/>
      <c r="N381" s="339"/>
      <c r="O381" s="339"/>
      <c r="P381" s="339"/>
      <c r="Q381" s="340"/>
      <c r="R381" s="97"/>
      <c r="S381" s="97"/>
      <c r="T381" s="298"/>
      <c r="U381" s="97"/>
      <c r="V381" s="97"/>
      <c r="W381" s="97"/>
      <c r="X381" s="97"/>
      <c r="Y381" s="97"/>
      <c r="Z381" s="97"/>
      <c r="AA381" s="97"/>
    </row>
    <row r="382" ht="15.75" customHeight="1">
      <c r="A382" s="97"/>
      <c r="B382" s="336"/>
      <c r="C382" s="337"/>
      <c r="D382" s="97"/>
      <c r="E382" s="337"/>
      <c r="F382" s="338"/>
      <c r="G382" s="336"/>
      <c r="H382" s="337"/>
      <c r="I382" s="338"/>
      <c r="J382" s="97"/>
      <c r="K382" s="339"/>
      <c r="L382" s="339"/>
      <c r="M382" s="339"/>
      <c r="N382" s="339"/>
      <c r="O382" s="339"/>
      <c r="P382" s="339"/>
      <c r="Q382" s="340"/>
      <c r="R382" s="97"/>
      <c r="S382" s="97"/>
      <c r="T382" s="298"/>
      <c r="U382" s="97"/>
      <c r="V382" s="97"/>
      <c r="W382" s="97"/>
      <c r="X382" s="97"/>
      <c r="Y382" s="97"/>
      <c r="Z382" s="97"/>
      <c r="AA382" s="97"/>
    </row>
    <row r="383" ht="15.75" customHeight="1">
      <c r="A383" s="97"/>
      <c r="B383" s="336"/>
      <c r="C383" s="337"/>
      <c r="D383" s="97"/>
      <c r="E383" s="337"/>
      <c r="F383" s="338"/>
      <c r="G383" s="336"/>
      <c r="H383" s="337"/>
      <c r="I383" s="338"/>
      <c r="J383" s="97"/>
      <c r="K383" s="339"/>
      <c r="L383" s="339"/>
      <c r="M383" s="339"/>
      <c r="N383" s="339"/>
      <c r="O383" s="339"/>
      <c r="P383" s="339"/>
      <c r="Q383" s="340"/>
      <c r="R383" s="97"/>
      <c r="S383" s="97"/>
      <c r="T383" s="298"/>
      <c r="U383" s="97"/>
      <c r="V383" s="97"/>
      <c r="W383" s="97"/>
      <c r="X383" s="97"/>
      <c r="Y383" s="97"/>
      <c r="Z383" s="97"/>
      <c r="AA383" s="97"/>
    </row>
    <row r="384" ht="15.75" customHeight="1">
      <c r="A384" s="97"/>
      <c r="B384" s="336"/>
      <c r="C384" s="337"/>
      <c r="D384" s="97"/>
      <c r="E384" s="337"/>
      <c r="F384" s="338"/>
      <c r="G384" s="336"/>
      <c r="H384" s="337"/>
      <c r="I384" s="338"/>
      <c r="J384" s="97"/>
      <c r="K384" s="339"/>
      <c r="L384" s="339"/>
      <c r="M384" s="339"/>
      <c r="N384" s="339"/>
      <c r="O384" s="339"/>
      <c r="P384" s="339"/>
      <c r="Q384" s="340"/>
      <c r="R384" s="97"/>
      <c r="S384" s="97"/>
      <c r="T384" s="298"/>
      <c r="U384" s="97"/>
      <c r="V384" s="97"/>
      <c r="W384" s="97"/>
      <c r="X384" s="97"/>
      <c r="Y384" s="97"/>
      <c r="Z384" s="97"/>
      <c r="AA384" s="97"/>
    </row>
    <row r="385" ht="15.75" customHeight="1">
      <c r="A385" s="97"/>
      <c r="B385" s="336"/>
      <c r="C385" s="337"/>
      <c r="D385" s="97"/>
      <c r="E385" s="337"/>
      <c r="F385" s="338"/>
      <c r="G385" s="336"/>
      <c r="H385" s="337"/>
      <c r="I385" s="338"/>
      <c r="J385" s="97"/>
      <c r="K385" s="339"/>
      <c r="L385" s="339"/>
      <c r="M385" s="339"/>
      <c r="N385" s="339"/>
      <c r="O385" s="339"/>
      <c r="P385" s="339"/>
      <c r="Q385" s="340"/>
      <c r="R385" s="97"/>
      <c r="S385" s="97"/>
      <c r="T385" s="298"/>
      <c r="U385" s="97"/>
      <c r="V385" s="97"/>
      <c r="W385" s="97"/>
      <c r="X385" s="97"/>
      <c r="Y385" s="97"/>
      <c r="Z385" s="97"/>
      <c r="AA385" s="97"/>
    </row>
    <row r="386" ht="15.75" customHeight="1">
      <c r="A386" s="97"/>
      <c r="B386" s="336"/>
      <c r="C386" s="337"/>
      <c r="D386" s="97"/>
      <c r="E386" s="337"/>
      <c r="F386" s="338"/>
      <c r="G386" s="336"/>
      <c r="H386" s="337"/>
      <c r="I386" s="338"/>
      <c r="J386" s="97"/>
      <c r="K386" s="339"/>
      <c r="L386" s="339"/>
      <c r="M386" s="339"/>
      <c r="N386" s="339"/>
      <c r="O386" s="339"/>
      <c r="P386" s="339"/>
      <c r="Q386" s="340"/>
      <c r="R386" s="97"/>
      <c r="S386" s="97"/>
      <c r="T386" s="298"/>
      <c r="U386" s="97"/>
      <c r="V386" s="97"/>
      <c r="W386" s="97"/>
      <c r="X386" s="97"/>
      <c r="Y386" s="97"/>
      <c r="Z386" s="97"/>
      <c r="AA386" s="97"/>
    </row>
    <row r="387" ht="15.75" customHeight="1">
      <c r="A387" s="97"/>
      <c r="B387" s="336"/>
      <c r="C387" s="337"/>
      <c r="D387" s="97"/>
      <c r="E387" s="337"/>
      <c r="F387" s="338"/>
      <c r="G387" s="336"/>
      <c r="H387" s="337"/>
      <c r="I387" s="338"/>
      <c r="J387" s="97"/>
      <c r="K387" s="339"/>
      <c r="L387" s="339"/>
      <c r="M387" s="339"/>
      <c r="N387" s="339"/>
      <c r="O387" s="339"/>
      <c r="P387" s="339"/>
      <c r="Q387" s="340"/>
      <c r="R387" s="97"/>
      <c r="S387" s="97"/>
      <c r="T387" s="298"/>
      <c r="U387" s="97"/>
      <c r="V387" s="97"/>
      <c r="W387" s="97"/>
      <c r="X387" s="97"/>
      <c r="Y387" s="97"/>
      <c r="Z387" s="97"/>
      <c r="AA387" s="97"/>
    </row>
    <row r="388" ht="15.75" customHeight="1">
      <c r="A388" s="97"/>
      <c r="B388" s="336"/>
      <c r="C388" s="337"/>
      <c r="D388" s="97"/>
      <c r="E388" s="337"/>
      <c r="F388" s="338"/>
      <c r="G388" s="336"/>
      <c r="H388" s="337"/>
      <c r="I388" s="338"/>
      <c r="J388" s="97"/>
      <c r="K388" s="339"/>
      <c r="L388" s="339"/>
      <c r="M388" s="339"/>
      <c r="N388" s="339"/>
      <c r="O388" s="339"/>
      <c r="P388" s="339"/>
      <c r="Q388" s="340"/>
      <c r="R388" s="97"/>
      <c r="S388" s="97"/>
      <c r="T388" s="298"/>
      <c r="U388" s="97"/>
      <c r="V388" s="97"/>
      <c r="W388" s="97"/>
      <c r="X388" s="97"/>
      <c r="Y388" s="97"/>
      <c r="Z388" s="97"/>
      <c r="AA388" s="97"/>
    </row>
    <row r="389" ht="15.75" customHeight="1">
      <c r="A389" s="97"/>
      <c r="B389" s="336"/>
      <c r="C389" s="337"/>
      <c r="D389" s="97"/>
      <c r="E389" s="337"/>
      <c r="F389" s="338"/>
      <c r="G389" s="336"/>
      <c r="H389" s="337"/>
      <c r="I389" s="338"/>
      <c r="J389" s="97"/>
      <c r="K389" s="339"/>
      <c r="L389" s="339"/>
      <c r="M389" s="339"/>
      <c r="N389" s="339"/>
      <c r="O389" s="339"/>
      <c r="P389" s="339"/>
      <c r="Q389" s="340"/>
      <c r="R389" s="97"/>
      <c r="S389" s="97"/>
      <c r="T389" s="298"/>
      <c r="U389" s="97"/>
      <c r="V389" s="97"/>
      <c r="W389" s="97"/>
      <c r="X389" s="97"/>
      <c r="Y389" s="97"/>
      <c r="Z389" s="97"/>
      <c r="AA389" s="97"/>
    </row>
    <row r="390" ht="15.75" customHeight="1">
      <c r="A390" s="97"/>
      <c r="B390" s="336"/>
      <c r="C390" s="337"/>
      <c r="D390" s="97"/>
      <c r="E390" s="337"/>
      <c r="F390" s="338"/>
      <c r="G390" s="336"/>
      <c r="H390" s="337"/>
      <c r="I390" s="338"/>
      <c r="J390" s="97"/>
      <c r="K390" s="339"/>
      <c r="L390" s="339"/>
      <c r="M390" s="339"/>
      <c r="N390" s="339"/>
      <c r="O390" s="339"/>
      <c r="P390" s="339"/>
      <c r="Q390" s="340"/>
      <c r="R390" s="97"/>
      <c r="S390" s="97"/>
      <c r="T390" s="298"/>
      <c r="U390" s="97"/>
      <c r="V390" s="97"/>
      <c r="W390" s="97"/>
      <c r="X390" s="97"/>
      <c r="Y390" s="97"/>
      <c r="Z390" s="97"/>
      <c r="AA390" s="97"/>
    </row>
    <row r="391" ht="15.75" customHeight="1">
      <c r="A391" s="97"/>
      <c r="B391" s="336"/>
      <c r="C391" s="337"/>
      <c r="D391" s="97"/>
      <c r="E391" s="337"/>
      <c r="F391" s="338"/>
      <c r="G391" s="336"/>
      <c r="H391" s="337"/>
      <c r="I391" s="338"/>
      <c r="J391" s="97"/>
      <c r="K391" s="339"/>
      <c r="L391" s="339"/>
      <c r="M391" s="339"/>
      <c r="N391" s="339"/>
      <c r="O391" s="339"/>
      <c r="P391" s="339"/>
      <c r="Q391" s="340"/>
      <c r="R391" s="97"/>
      <c r="S391" s="97"/>
      <c r="T391" s="298"/>
      <c r="U391" s="97"/>
      <c r="V391" s="97"/>
      <c r="W391" s="97"/>
      <c r="X391" s="97"/>
      <c r="Y391" s="97"/>
      <c r="Z391" s="97"/>
      <c r="AA391" s="97"/>
    </row>
    <row r="392" ht="15.75" customHeight="1">
      <c r="A392" s="97"/>
      <c r="B392" s="336"/>
      <c r="C392" s="337"/>
      <c r="D392" s="97"/>
      <c r="E392" s="337"/>
      <c r="F392" s="338"/>
      <c r="G392" s="336"/>
      <c r="H392" s="337"/>
      <c r="I392" s="338"/>
      <c r="J392" s="97"/>
      <c r="K392" s="339"/>
      <c r="L392" s="339"/>
      <c r="M392" s="339"/>
      <c r="N392" s="339"/>
      <c r="O392" s="339"/>
      <c r="P392" s="339"/>
      <c r="Q392" s="340"/>
      <c r="R392" s="97"/>
      <c r="S392" s="97"/>
      <c r="T392" s="298"/>
      <c r="U392" s="97"/>
      <c r="V392" s="97"/>
      <c r="W392" s="97"/>
      <c r="X392" s="97"/>
      <c r="Y392" s="97"/>
      <c r="Z392" s="97"/>
      <c r="AA392" s="97"/>
    </row>
    <row r="393" ht="15.75" customHeight="1">
      <c r="A393" s="97"/>
      <c r="B393" s="336"/>
      <c r="C393" s="337"/>
      <c r="D393" s="97"/>
      <c r="E393" s="337"/>
      <c r="F393" s="338"/>
      <c r="G393" s="336"/>
      <c r="H393" s="337"/>
      <c r="I393" s="338"/>
      <c r="J393" s="97"/>
      <c r="K393" s="339"/>
      <c r="L393" s="339"/>
      <c r="M393" s="339"/>
      <c r="N393" s="339"/>
      <c r="O393" s="339"/>
      <c r="P393" s="339"/>
      <c r="Q393" s="340"/>
      <c r="R393" s="97"/>
      <c r="S393" s="97"/>
      <c r="T393" s="298"/>
      <c r="U393" s="97"/>
      <c r="V393" s="97"/>
      <c r="W393" s="97"/>
      <c r="X393" s="97"/>
      <c r="Y393" s="97"/>
      <c r="Z393" s="97"/>
      <c r="AA393" s="97"/>
    </row>
    <row r="394" ht="15.75" customHeight="1">
      <c r="A394" s="97"/>
      <c r="B394" s="336"/>
      <c r="C394" s="337"/>
      <c r="D394" s="97"/>
      <c r="E394" s="337"/>
      <c r="F394" s="338"/>
      <c r="G394" s="336"/>
      <c r="H394" s="337"/>
      <c r="I394" s="338"/>
      <c r="J394" s="97"/>
      <c r="K394" s="339"/>
      <c r="L394" s="339"/>
      <c r="M394" s="339"/>
      <c r="N394" s="339"/>
      <c r="O394" s="339"/>
      <c r="P394" s="339"/>
      <c r="Q394" s="340"/>
      <c r="R394" s="97"/>
      <c r="S394" s="97"/>
      <c r="T394" s="298"/>
      <c r="U394" s="97"/>
      <c r="V394" s="97"/>
      <c r="W394" s="97"/>
      <c r="X394" s="97"/>
      <c r="Y394" s="97"/>
      <c r="Z394" s="97"/>
      <c r="AA394" s="97"/>
    </row>
    <row r="395" ht="15.75" customHeight="1">
      <c r="A395" s="97"/>
      <c r="B395" s="336"/>
      <c r="C395" s="337"/>
      <c r="D395" s="97"/>
      <c r="E395" s="337"/>
      <c r="F395" s="338"/>
      <c r="G395" s="336"/>
      <c r="H395" s="337"/>
      <c r="I395" s="338"/>
      <c r="J395" s="97"/>
      <c r="K395" s="339"/>
      <c r="L395" s="339"/>
      <c r="M395" s="339"/>
      <c r="N395" s="339"/>
      <c r="O395" s="339"/>
      <c r="P395" s="339"/>
      <c r="Q395" s="340"/>
      <c r="R395" s="97"/>
      <c r="S395" s="97"/>
      <c r="T395" s="298"/>
      <c r="U395" s="97"/>
      <c r="V395" s="97"/>
      <c r="W395" s="97"/>
      <c r="X395" s="97"/>
      <c r="Y395" s="97"/>
      <c r="Z395" s="97"/>
      <c r="AA395" s="97"/>
    </row>
    <row r="396" ht="15.75" customHeight="1">
      <c r="A396" s="97"/>
      <c r="B396" s="336"/>
      <c r="C396" s="337"/>
      <c r="D396" s="97"/>
      <c r="E396" s="337"/>
      <c r="F396" s="338"/>
      <c r="G396" s="336"/>
      <c r="H396" s="337"/>
      <c r="I396" s="338"/>
      <c r="J396" s="97"/>
      <c r="K396" s="339"/>
      <c r="L396" s="339"/>
      <c r="M396" s="339"/>
      <c r="N396" s="339"/>
      <c r="O396" s="339"/>
      <c r="P396" s="339"/>
      <c r="Q396" s="340"/>
      <c r="R396" s="97"/>
      <c r="S396" s="97"/>
      <c r="T396" s="298"/>
      <c r="U396" s="97"/>
      <c r="V396" s="97"/>
      <c r="W396" s="97"/>
      <c r="X396" s="97"/>
      <c r="Y396" s="97"/>
      <c r="Z396" s="97"/>
      <c r="AA396" s="97"/>
    </row>
    <row r="397" ht="15.75" customHeight="1">
      <c r="A397" s="97"/>
      <c r="B397" s="336"/>
      <c r="C397" s="337"/>
      <c r="D397" s="97"/>
      <c r="E397" s="337"/>
      <c r="F397" s="338"/>
      <c r="G397" s="336"/>
      <c r="H397" s="337"/>
      <c r="I397" s="338"/>
      <c r="J397" s="97"/>
      <c r="K397" s="339"/>
      <c r="L397" s="339"/>
      <c r="M397" s="339"/>
      <c r="N397" s="339"/>
      <c r="O397" s="339"/>
      <c r="P397" s="339"/>
      <c r="Q397" s="340"/>
      <c r="R397" s="97"/>
      <c r="S397" s="97"/>
      <c r="T397" s="298"/>
      <c r="U397" s="97"/>
      <c r="V397" s="97"/>
      <c r="W397" s="97"/>
      <c r="X397" s="97"/>
      <c r="Y397" s="97"/>
      <c r="Z397" s="97"/>
      <c r="AA397" s="97"/>
    </row>
    <row r="398" ht="15.75" customHeight="1">
      <c r="A398" s="97"/>
      <c r="B398" s="336"/>
      <c r="C398" s="337"/>
      <c r="D398" s="97"/>
      <c r="E398" s="337"/>
      <c r="F398" s="338"/>
      <c r="G398" s="336"/>
      <c r="H398" s="337"/>
      <c r="I398" s="338"/>
      <c r="J398" s="97"/>
      <c r="K398" s="339"/>
      <c r="L398" s="339"/>
      <c r="M398" s="339"/>
      <c r="N398" s="339"/>
      <c r="O398" s="339"/>
      <c r="P398" s="339"/>
      <c r="Q398" s="340"/>
      <c r="R398" s="97"/>
      <c r="S398" s="97"/>
      <c r="T398" s="298"/>
      <c r="U398" s="97"/>
      <c r="V398" s="97"/>
      <c r="W398" s="97"/>
      <c r="X398" s="97"/>
      <c r="Y398" s="97"/>
      <c r="Z398" s="97"/>
      <c r="AA398" s="97"/>
    </row>
    <row r="399" ht="15.75" customHeight="1">
      <c r="A399" s="97"/>
      <c r="B399" s="336"/>
      <c r="C399" s="337"/>
      <c r="D399" s="97"/>
      <c r="E399" s="337"/>
      <c r="F399" s="338"/>
      <c r="G399" s="336"/>
      <c r="H399" s="337"/>
      <c r="I399" s="338"/>
      <c r="J399" s="97"/>
      <c r="K399" s="339"/>
      <c r="L399" s="339"/>
      <c r="M399" s="339"/>
      <c r="N399" s="339"/>
      <c r="O399" s="339"/>
      <c r="P399" s="339"/>
      <c r="Q399" s="340"/>
      <c r="R399" s="97"/>
      <c r="S399" s="97"/>
      <c r="T399" s="298"/>
      <c r="U399" s="97"/>
      <c r="V399" s="97"/>
      <c r="W399" s="97"/>
      <c r="X399" s="97"/>
      <c r="Y399" s="97"/>
      <c r="Z399" s="97"/>
      <c r="AA399" s="97"/>
    </row>
    <row r="400" ht="15.75" customHeight="1">
      <c r="A400" s="97"/>
      <c r="B400" s="336"/>
      <c r="C400" s="337"/>
      <c r="D400" s="97"/>
      <c r="E400" s="337"/>
      <c r="F400" s="338"/>
      <c r="G400" s="336"/>
      <c r="H400" s="337"/>
      <c r="I400" s="338"/>
      <c r="J400" s="97"/>
      <c r="K400" s="339"/>
      <c r="L400" s="339"/>
      <c r="M400" s="339"/>
      <c r="N400" s="339"/>
      <c r="O400" s="339"/>
      <c r="P400" s="339"/>
      <c r="Q400" s="340"/>
      <c r="R400" s="97"/>
      <c r="S400" s="97"/>
      <c r="T400" s="298"/>
      <c r="U400" s="97"/>
      <c r="V400" s="97"/>
      <c r="W400" s="97"/>
      <c r="X400" s="97"/>
      <c r="Y400" s="97"/>
      <c r="Z400" s="97"/>
      <c r="AA400" s="97"/>
    </row>
    <row r="401" ht="15.75" customHeight="1">
      <c r="A401" s="97"/>
      <c r="B401" s="336"/>
      <c r="C401" s="337"/>
      <c r="D401" s="97"/>
      <c r="E401" s="337"/>
      <c r="F401" s="338"/>
      <c r="G401" s="336"/>
      <c r="H401" s="337"/>
      <c r="I401" s="338"/>
      <c r="J401" s="97"/>
      <c r="K401" s="339"/>
      <c r="L401" s="339"/>
      <c r="M401" s="339"/>
      <c r="N401" s="339"/>
      <c r="O401" s="339"/>
      <c r="P401" s="339"/>
      <c r="Q401" s="340"/>
      <c r="R401" s="97"/>
      <c r="S401" s="97"/>
      <c r="T401" s="298"/>
      <c r="U401" s="97"/>
      <c r="V401" s="97"/>
      <c r="W401" s="97"/>
      <c r="X401" s="97"/>
      <c r="Y401" s="97"/>
      <c r="Z401" s="97"/>
      <c r="AA401" s="97"/>
    </row>
    <row r="402" ht="15.75" customHeight="1">
      <c r="A402" s="97"/>
      <c r="B402" s="336"/>
      <c r="C402" s="337"/>
      <c r="D402" s="97"/>
      <c r="E402" s="337"/>
      <c r="F402" s="338"/>
      <c r="G402" s="336"/>
      <c r="H402" s="337"/>
      <c r="I402" s="338"/>
      <c r="J402" s="97"/>
      <c r="K402" s="339"/>
      <c r="L402" s="339"/>
      <c r="M402" s="339"/>
      <c r="N402" s="339"/>
      <c r="O402" s="339"/>
      <c r="P402" s="339"/>
      <c r="Q402" s="340"/>
      <c r="R402" s="97"/>
      <c r="S402" s="97"/>
      <c r="T402" s="298"/>
      <c r="U402" s="97"/>
      <c r="V402" s="97"/>
      <c r="W402" s="97"/>
      <c r="X402" s="97"/>
      <c r="Y402" s="97"/>
      <c r="Z402" s="97"/>
      <c r="AA402" s="97"/>
    </row>
    <row r="403" ht="15.75" customHeight="1">
      <c r="A403" s="97"/>
      <c r="B403" s="336"/>
      <c r="C403" s="337"/>
      <c r="D403" s="97"/>
      <c r="E403" s="337"/>
      <c r="F403" s="338"/>
      <c r="G403" s="336"/>
      <c r="H403" s="337"/>
      <c r="I403" s="338"/>
      <c r="J403" s="97"/>
      <c r="K403" s="339"/>
      <c r="L403" s="339"/>
      <c r="M403" s="339"/>
      <c r="N403" s="339"/>
      <c r="O403" s="339"/>
      <c r="P403" s="339"/>
      <c r="Q403" s="340"/>
      <c r="R403" s="97"/>
      <c r="S403" s="97"/>
      <c r="T403" s="298"/>
      <c r="U403" s="97"/>
      <c r="V403" s="97"/>
      <c r="W403" s="97"/>
      <c r="X403" s="97"/>
      <c r="Y403" s="97"/>
      <c r="Z403" s="97"/>
      <c r="AA403" s="97"/>
    </row>
    <row r="404" ht="15.75" customHeight="1">
      <c r="A404" s="97"/>
      <c r="B404" s="336"/>
      <c r="C404" s="337"/>
      <c r="D404" s="97"/>
      <c r="E404" s="337"/>
      <c r="F404" s="338"/>
      <c r="G404" s="336"/>
      <c r="H404" s="337"/>
      <c r="I404" s="338"/>
      <c r="J404" s="97"/>
      <c r="K404" s="339"/>
      <c r="L404" s="339"/>
      <c r="M404" s="339"/>
      <c r="N404" s="339"/>
      <c r="O404" s="339"/>
      <c r="P404" s="339"/>
      <c r="Q404" s="340"/>
      <c r="R404" s="97"/>
      <c r="S404" s="97"/>
      <c r="T404" s="298"/>
      <c r="U404" s="97"/>
      <c r="V404" s="97"/>
      <c r="W404" s="97"/>
      <c r="X404" s="97"/>
      <c r="Y404" s="97"/>
      <c r="Z404" s="97"/>
      <c r="AA404" s="97"/>
    </row>
    <row r="405" ht="15.75" customHeight="1">
      <c r="A405" s="97"/>
      <c r="B405" s="336"/>
      <c r="C405" s="337"/>
      <c r="D405" s="97"/>
      <c r="E405" s="337"/>
      <c r="F405" s="338"/>
      <c r="G405" s="336"/>
      <c r="H405" s="337"/>
      <c r="I405" s="338"/>
      <c r="J405" s="97"/>
      <c r="K405" s="339"/>
      <c r="L405" s="339"/>
      <c r="M405" s="339"/>
      <c r="N405" s="339"/>
      <c r="O405" s="339"/>
      <c r="P405" s="339"/>
      <c r="Q405" s="340"/>
      <c r="R405" s="97"/>
      <c r="S405" s="97"/>
      <c r="T405" s="298"/>
      <c r="U405" s="97"/>
      <c r="V405" s="97"/>
      <c r="W405" s="97"/>
      <c r="X405" s="97"/>
      <c r="Y405" s="97"/>
      <c r="Z405" s="97"/>
      <c r="AA405" s="97"/>
    </row>
    <row r="406" ht="15.75" customHeight="1">
      <c r="A406" s="97"/>
      <c r="B406" s="336"/>
      <c r="C406" s="337"/>
      <c r="D406" s="97"/>
      <c r="E406" s="337"/>
      <c r="F406" s="338"/>
      <c r="G406" s="336"/>
      <c r="H406" s="337"/>
      <c r="I406" s="338"/>
      <c r="J406" s="97"/>
      <c r="K406" s="339"/>
      <c r="L406" s="339"/>
      <c r="M406" s="339"/>
      <c r="N406" s="339"/>
      <c r="O406" s="339"/>
      <c r="P406" s="339"/>
      <c r="Q406" s="340"/>
      <c r="R406" s="97"/>
      <c r="S406" s="97"/>
      <c r="T406" s="298"/>
      <c r="U406" s="97"/>
      <c r="V406" s="97"/>
      <c r="W406" s="97"/>
      <c r="X406" s="97"/>
      <c r="Y406" s="97"/>
      <c r="Z406" s="97"/>
      <c r="AA406" s="97"/>
    </row>
    <row r="407" ht="15.75" customHeight="1">
      <c r="A407" s="97"/>
      <c r="B407" s="336"/>
      <c r="C407" s="337"/>
      <c r="D407" s="97"/>
      <c r="E407" s="337"/>
      <c r="F407" s="338"/>
      <c r="G407" s="336"/>
      <c r="H407" s="337"/>
      <c r="I407" s="338"/>
      <c r="J407" s="97"/>
      <c r="K407" s="339"/>
      <c r="L407" s="339"/>
      <c r="M407" s="339"/>
      <c r="N407" s="339"/>
      <c r="O407" s="339"/>
      <c r="P407" s="339"/>
      <c r="Q407" s="340"/>
      <c r="R407" s="97"/>
      <c r="S407" s="97"/>
      <c r="T407" s="298"/>
      <c r="U407" s="97"/>
      <c r="V407" s="97"/>
      <c r="W407" s="97"/>
      <c r="X407" s="97"/>
      <c r="Y407" s="97"/>
      <c r="Z407" s="97"/>
      <c r="AA407" s="97"/>
    </row>
    <row r="408" ht="15.75" customHeight="1">
      <c r="A408" s="97"/>
      <c r="B408" s="336"/>
      <c r="C408" s="337"/>
      <c r="D408" s="97"/>
      <c r="E408" s="337"/>
      <c r="F408" s="338"/>
      <c r="G408" s="336"/>
      <c r="H408" s="337"/>
      <c r="I408" s="338"/>
      <c r="J408" s="97"/>
      <c r="K408" s="339"/>
      <c r="L408" s="339"/>
      <c r="M408" s="339"/>
      <c r="N408" s="339"/>
      <c r="O408" s="339"/>
      <c r="P408" s="339"/>
      <c r="Q408" s="340"/>
      <c r="R408" s="97"/>
      <c r="S408" s="97"/>
      <c r="T408" s="298"/>
      <c r="U408" s="97"/>
      <c r="V408" s="97"/>
      <c r="W408" s="97"/>
      <c r="X408" s="97"/>
      <c r="Y408" s="97"/>
      <c r="Z408" s="97"/>
      <c r="AA408" s="97"/>
    </row>
    <row r="409" ht="15.75" customHeight="1">
      <c r="A409" s="97"/>
      <c r="B409" s="336"/>
      <c r="C409" s="337"/>
      <c r="D409" s="97"/>
      <c r="E409" s="337"/>
      <c r="F409" s="338"/>
      <c r="G409" s="336"/>
      <c r="H409" s="337"/>
      <c r="I409" s="338"/>
      <c r="J409" s="97"/>
      <c r="K409" s="339"/>
      <c r="L409" s="339"/>
      <c r="M409" s="339"/>
      <c r="N409" s="339"/>
      <c r="O409" s="339"/>
      <c r="P409" s="339"/>
      <c r="Q409" s="340"/>
      <c r="R409" s="97"/>
      <c r="S409" s="97"/>
      <c r="T409" s="298"/>
      <c r="U409" s="97"/>
      <c r="V409" s="97"/>
      <c r="W409" s="97"/>
      <c r="X409" s="97"/>
      <c r="Y409" s="97"/>
      <c r="Z409" s="97"/>
      <c r="AA409" s="97"/>
    </row>
    <row r="410" ht="15.75" customHeight="1">
      <c r="A410" s="97"/>
      <c r="B410" s="336"/>
      <c r="C410" s="337"/>
      <c r="D410" s="97"/>
      <c r="E410" s="337"/>
      <c r="F410" s="338"/>
      <c r="G410" s="336"/>
      <c r="H410" s="337"/>
      <c r="I410" s="338"/>
      <c r="J410" s="97"/>
      <c r="K410" s="339"/>
      <c r="L410" s="339"/>
      <c r="M410" s="339"/>
      <c r="N410" s="339"/>
      <c r="O410" s="339"/>
      <c r="P410" s="339"/>
      <c r="Q410" s="340"/>
      <c r="R410" s="97"/>
      <c r="S410" s="97"/>
      <c r="T410" s="298"/>
      <c r="U410" s="97"/>
      <c r="V410" s="97"/>
      <c r="W410" s="97"/>
      <c r="X410" s="97"/>
      <c r="Y410" s="97"/>
      <c r="Z410" s="97"/>
      <c r="AA410" s="97"/>
    </row>
    <row r="411" ht="15.75" customHeight="1">
      <c r="A411" s="97"/>
      <c r="B411" s="336"/>
      <c r="C411" s="337"/>
      <c r="D411" s="97"/>
      <c r="E411" s="337"/>
      <c r="F411" s="338"/>
      <c r="G411" s="336"/>
      <c r="H411" s="337"/>
      <c r="I411" s="338"/>
      <c r="J411" s="97"/>
      <c r="K411" s="339"/>
      <c r="L411" s="339"/>
      <c r="M411" s="339"/>
      <c r="N411" s="339"/>
      <c r="O411" s="339"/>
      <c r="P411" s="339"/>
      <c r="Q411" s="340"/>
      <c r="R411" s="97"/>
      <c r="S411" s="97"/>
      <c r="T411" s="298"/>
      <c r="U411" s="97"/>
      <c r="V411" s="97"/>
      <c r="W411" s="97"/>
      <c r="X411" s="97"/>
      <c r="Y411" s="97"/>
      <c r="Z411" s="97"/>
      <c r="AA411" s="97"/>
    </row>
    <row r="412" ht="15.75" customHeight="1">
      <c r="A412" s="97"/>
      <c r="B412" s="336"/>
      <c r="C412" s="337"/>
      <c r="D412" s="97"/>
      <c r="E412" s="337"/>
      <c r="F412" s="338"/>
      <c r="G412" s="336"/>
      <c r="H412" s="337"/>
      <c r="I412" s="338"/>
      <c r="J412" s="97"/>
      <c r="K412" s="339"/>
      <c r="L412" s="339"/>
      <c r="M412" s="339"/>
      <c r="N412" s="339"/>
      <c r="O412" s="339"/>
      <c r="P412" s="339"/>
      <c r="Q412" s="340"/>
      <c r="R412" s="97"/>
      <c r="S412" s="97"/>
      <c r="T412" s="298"/>
      <c r="U412" s="97"/>
      <c r="V412" s="97"/>
      <c r="W412" s="97"/>
      <c r="X412" s="97"/>
      <c r="Y412" s="97"/>
      <c r="Z412" s="97"/>
      <c r="AA412" s="97"/>
    </row>
    <row r="413" ht="15.75" customHeight="1">
      <c r="A413" s="97"/>
      <c r="B413" s="336"/>
      <c r="C413" s="337"/>
      <c r="D413" s="97"/>
      <c r="E413" s="337"/>
      <c r="F413" s="338"/>
      <c r="G413" s="336"/>
      <c r="H413" s="337"/>
      <c r="I413" s="338"/>
      <c r="J413" s="97"/>
      <c r="K413" s="339"/>
      <c r="L413" s="339"/>
      <c r="M413" s="339"/>
      <c r="N413" s="339"/>
      <c r="O413" s="339"/>
      <c r="P413" s="339"/>
      <c r="Q413" s="340"/>
      <c r="R413" s="97"/>
      <c r="S413" s="97"/>
      <c r="T413" s="298"/>
      <c r="U413" s="97"/>
      <c r="V413" s="97"/>
      <c r="W413" s="97"/>
      <c r="X413" s="97"/>
      <c r="Y413" s="97"/>
      <c r="Z413" s="97"/>
      <c r="AA413" s="97"/>
    </row>
    <row r="414" ht="15.75" customHeight="1">
      <c r="A414" s="97"/>
      <c r="B414" s="336"/>
      <c r="C414" s="337"/>
      <c r="D414" s="97"/>
      <c r="E414" s="337"/>
      <c r="F414" s="338"/>
      <c r="G414" s="336"/>
      <c r="H414" s="337"/>
      <c r="I414" s="338"/>
      <c r="J414" s="97"/>
      <c r="K414" s="339"/>
      <c r="L414" s="339"/>
      <c r="M414" s="339"/>
      <c r="N414" s="339"/>
      <c r="O414" s="339"/>
      <c r="P414" s="339"/>
      <c r="Q414" s="340"/>
      <c r="R414" s="97"/>
      <c r="S414" s="97"/>
      <c r="T414" s="298"/>
      <c r="U414" s="97"/>
      <c r="V414" s="97"/>
      <c r="W414" s="97"/>
      <c r="X414" s="97"/>
      <c r="Y414" s="97"/>
      <c r="Z414" s="97"/>
      <c r="AA414" s="97"/>
    </row>
    <row r="415" ht="15.75" customHeight="1">
      <c r="A415" s="97"/>
      <c r="B415" s="336"/>
      <c r="C415" s="337"/>
      <c r="D415" s="97"/>
      <c r="E415" s="337"/>
      <c r="F415" s="338"/>
      <c r="G415" s="336"/>
      <c r="H415" s="337"/>
      <c r="I415" s="338"/>
      <c r="J415" s="97"/>
      <c r="K415" s="339"/>
      <c r="L415" s="339"/>
      <c r="M415" s="339"/>
      <c r="N415" s="339"/>
      <c r="O415" s="339"/>
      <c r="P415" s="339"/>
      <c r="Q415" s="340"/>
      <c r="R415" s="97"/>
      <c r="S415" s="97"/>
      <c r="T415" s="298"/>
      <c r="U415" s="97"/>
      <c r="V415" s="97"/>
      <c r="W415" s="97"/>
      <c r="X415" s="97"/>
      <c r="Y415" s="97"/>
      <c r="Z415" s="97"/>
      <c r="AA415" s="97"/>
    </row>
    <row r="416" ht="15.75" customHeight="1">
      <c r="A416" s="97"/>
      <c r="B416" s="336"/>
      <c r="C416" s="337"/>
      <c r="D416" s="97"/>
      <c r="E416" s="337"/>
      <c r="F416" s="338"/>
      <c r="G416" s="336"/>
      <c r="H416" s="337"/>
      <c r="I416" s="338"/>
      <c r="J416" s="97"/>
      <c r="K416" s="339"/>
      <c r="L416" s="339"/>
      <c r="M416" s="339"/>
      <c r="N416" s="339"/>
      <c r="O416" s="339"/>
      <c r="P416" s="339"/>
      <c r="Q416" s="340"/>
      <c r="R416" s="97"/>
      <c r="S416" s="97"/>
      <c r="T416" s="298"/>
      <c r="U416" s="97"/>
      <c r="V416" s="97"/>
      <c r="W416" s="97"/>
      <c r="X416" s="97"/>
      <c r="Y416" s="97"/>
      <c r="Z416" s="97"/>
      <c r="AA416" s="97"/>
    </row>
    <row r="417" ht="15.75" customHeight="1">
      <c r="A417" s="97"/>
      <c r="B417" s="336"/>
      <c r="C417" s="337"/>
      <c r="D417" s="97"/>
      <c r="E417" s="337"/>
      <c r="F417" s="338"/>
      <c r="G417" s="336"/>
      <c r="H417" s="337"/>
      <c r="I417" s="338"/>
      <c r="J417" s="97"/>
      <c r="K417" s="339"/>
      <c r="L417" s="339"/>
      <c r="M417" s="339"/>
      <c r="N417" s="339"/>
      <c r="O417" s="339"/>
      <c r="P417" s="339"/>
      <c r="Q417" s="340"/>
      <c r="R417" s="97"/>
      <c r="S417" s="97"/>
      <c r="T417" s="298"/>
      <c r="U417" s="97"/>
      <c r="V417" s="97"/>
      <c r="W417" s="97"/>
      <c r="X417" s="97"/>
      <c r="Y417" s="97"/>
      <c r="Z417" s="97"/>
      <c r="AA417" s="97"/>
    </row>
    <row r="418" ht="15.75" customHeight="1">
      <c r="A418" s="97"/>
      <c r="B418" s="336"/>
      <c r="C418" s="337"/>
      <c r="D418" s="97"/>
      <c r="E418" s="337"/>
      <c r="F418" s="338"/>
      <c r="G418" s="336"/>
      <c r="H418" s="337"/>
      <c r="I418" s="338"/>
      <c r="J418" s="97"/>
      <c r="K418" s="339"/>
      <c r="L418" s="339"/>
      <c r="M418" s="339"/>
      <c r="N418" s="339"/>
      <c r="O418" s="339"/>
      <c r="P418" s="339"/>
      <c r="Q418" s="340"/>
      <c r="R418" s="97"/>
      <c r="S418" s="97"/>
      <c r="T418" s="298"/>
      <c r="U418" s="97"/>
      <c r="V418" s="97"/>
      <c r="W418" s="97"/>
      <c r="X418" s="97"/>
      <c r="Y418" s="97"/>
      <c r="Z418" s="97"/>
      <c r="AA418" s="97"/>
    </row>
    <row r="419" ht="15.75" customHeight="1">
      <c r="A419" s="97"/>
      <c r="B419" s="336"/>
      <c r="C419" s="337"/>
      <c r="D419" s="97"/>
      <c r="E419" s="337"/>
      <c r="F419" s="338"/>
      <c r="G419" s="336"/>
      <c r="H419" s="337"/>
      <c r="I419" s="338"/>
      <c r="J419" s="97"/>
      <c r="K419" s="339"/>
      <c r="L419" s="339"/>
      <c r="M419" s="339"/>
      <c r="N419" s="339"/>
      <c r="O419" s="339"/>
      <c r="P419" s="339"/>
      <c r="Q419" s="340"/>
      <c r="R419" s="97"/>
      <c r="S419" s="97"/>
      <c r="T419" s="298"/>
      <c r="U419" s="97"/>
      <c r="V419" s="97"/>
      <c r="W419" s="97"/>
      <c r="X419" s="97"/>
      <c r="Y419" s="97"/>
      <c r="Z419" s="97"/>
      <c r="AA419" s="97"/>
    </row>
    <row r="420" ht="15.75" customHeight="1">
      <c r="A420" s="97"/>
      <c r="B420" s="336"/>
      <c r="C420" s="337"/>
      <c r="D420" s="97"/>
      <c r="E420" s="337"/>
      <c r="F420" s="338"/>
      <c r="G420" s="336"/>
      <c r="H420" s="337"/>
      <c r="I420" s="338"/>
      <c r="J420" s="97"/>
      <c r="K420" s="339"/>
      <c r="L420" s="339"/>
      <c r="M420" s="339"/>
      <c r="N420" s="339"/>
      <c r="O420" s="339"/>
      <c r="P420" s="339"/>
      <c r="Q420" s="340"/>
      <c r="R420" s="97"/>
      <c r="S420" s="97"/>
      <c r="T420" s="298"/>
      <c r="U420" s="97"/>
      <c r="V420" s="97"/>
      <c r="W420" s="97"/>
      <c r="X420" s="97"/>
      <c r="Y420" s="97"/>
      <c r="Z420" s="97"/>
      <c r="AA420" s="97"/>
    </row>
    <row r="421" ht="15.75" customHeight="1">
      <c r="A421" s="97"/>
      <c r="B421" s="336"/>
      <c r="C421" s="337"/>
      <c r="D421" s="97"/>
      <c r="E421" s="337"/>
      <c r="F421" s="338"/>
      <c r="G421" s="336"/>
      <c r="H421" s="337"/>
      <c r="I421" s="338"/>
      <c r="J421" s="97"/>
      <c r="K421" s="339"/>
      <c r="L421" s="339"/>
      <c r="M421" s="339"/>
      <c r="N421" s="339"/>
      <c r="O421" s="339"/>
      <c r="P421" s="339"/>
      <c r="Q421" s="340"/>
      <c r="R421" s="97"/>
      <c r="S421" s="97"/>
      <c r="T421" s="298"/>
      <c r="U421" s="97"/>
      <c r="V421" s="97"/>
      <c r="W421" s="97"/>
      <c r="X421" s="97"/>
      <c r="Y421" s="97"/>
      <c r="Z421" s="97"/>
      <c r="AA421" s="97"/>
    </row>
    <row r="422" ht="15.75" customHeight="1">
      <c r="A422" s="97"/>
      <c r="B422" s="336"/>
      <c r="C422" s="337"/>
      <c r="D422" s="97"/>
      <c r="E422" s="337"/>
      <c r="F422" s="338"/>
      <c r="G422" s="336"/>
      <c r="H422" s="337"/>
      <c r="I422" s="338"/>
      <c r="J422" s="97"/>
      <c r="K422" s="339"/>
      <c r="L422" s="339"/>
      <c r="M422" s="339"/>
      <c r="N422" s="339"/>
      <c r="O422" s="339"/>
      <c r="P422" s="339"/>
      <c r="Q422" s="340"/>
      <c r="R422" s="97"/>
      <c r="S422" s="97"/>
      <c r="T422" s="298"/>
      <c r="U422" s="97"/>
      <c r="V422" s="97"/>
      <c r="W422" s="97"/>
      <c r="X422" s="97"/>
      <c r="Y422" s="97"/>
      <c r="Z422" s="97"/>
      <c r="AA422" s="97"/>
    </row>
    <row r="423" ht="15.75" customHeight="1">
      <c r="A423" s="97"/>
      <c r="B423" s="336"/>
      <c r="C423" s="337"/>
      <c r="D423" s="97"/>
      <c r="E423" s="337"/>
      <c r="F423" s="338"/>
      <c r="G423" s="336"/>
      <c r="H423" s="337"/>
      <c r="I423" s="338"/>
      <c r="J423" s="97"/>
      <c r="K423" s="339"/>
      <c r="L423" s="339"/>
      <c r="M423" s="339"/>
      <c r="N423" s="339"/>
      <c r="O423" s="339"/>
      <c r="P423" s="339"/>
      <c r="Q423" s="340"/>
      <c r="R423" s="97"/>
      <c r="S423" s="97"/>
      <c r="T423" s="298"/>
      <c r="U423" s="97"/>
      <c r="V423" s="97"/>
      <c r="W423" s="97"/>
      <c r="X423" s="97"/>
      <c r="Y423" s="97"/>
      <c r="Z423" s="97"/>
      <c r="AA423" s="97"/>
    </row>
    <row r="424" ht="15.75" customHeight="1">
      <c r="A424" s="97"/>
      <c r="B424" s="336"/>
      <c r="C424" s="337"/>
      <c r="D424" s="97"/>
      <c r="E424" s="337"/>
      <c r="F424" s="338"/>
      <c r="G424" s="336"/>
      <c r="H424" s="337"/>
      <c r="I424" s="338"/>
      <c r="J424" s="97"/>
      <c r="K424" s="339"/>
      <c r="L424" s="339"/>
      <c r="M424" s="339"/>
      <c r="N424" s="339"/>
      <c r="O424" s="339"/>
      <c r="P424" s="339"/>
      <c r="Q424" s="340"/>
      <c r="R424" s="97"/>
      <c r="S424" s="97"/>
      <c r="T424" s="298"/>
      <c r="U424" s="97"/>
      <c r="V424" s="97"/>
      <c r="W424" s="97"/>
      <c r="X424" s="97"/>
      <c r="Y424" s="97"/>
      <c r="Z424" s="97"/>
      <c r="AA424" s="97"/>
    </row>
    <row r="425" ht="15.75" customHeight="1">
      <c r="A425" s="97"/>
      <c r="B425" s="336"/>
      <c r="C425" s="337"/>
      <c r="D425" s="97"/>
      <c r="E425" s="337"/>
      <c r="F425" s="338"/>
      <c r="G425" s="336"/>
      <c r="H425" s="337"/>
      <c r="I425" s="338"/>
      <c r="J425" s="97"/>
      <c r="K425" s="339"/>
      <c r="L425" s="339"/>
      <c r="M425" s="339"/>
      <c r="N425" s="339"/>
      <c r="O425" s="339"/>
      <c r="P425" s="339"/>
      <c r="Q425" s="340"/>
      <c r="R425" s="97"/>
      <c r="S425" s="97"/>
      <c r="T425" s="298"/>
      <c r="U425" s="97"/>
      <c r="V425" s="97"/>
      <c r="W425" s="97"/>
      <c r="X425" s="97"/>
      <c r="Y425" s="97"/>
      <c r="Z425" s="97"/>
      <c r="AA425" s="97"/>
    </row>
    <row r="426" ht="15.75" customHeight="1">
      <c r="A426" s="97"/>
      <c r="B426" s="336"/>
      <c r="C426" s="337"/>
      <c r="D426" s="97"/>
      <c r="E426" s="337"/>
      <c r="F426" s="338"/>
      <c r="G426" s="336"/>
      <c r="H426" s="337"/>
      <c r="I426" s="338"/>
      <c r="J426" s="97"/>
      <c r="K426" s="339"/>
      <c r="L426" s="339"/>
      <c r="M426" s="339"/>
      <c r="N426" s="339"/>
      <c r="O426" s="339"/>
      <c r="P426" s="339"/>
      <c r="Q426" s="340"/>
      <c r="R426" s="97"/>
      <c r="S426" s="97"/>
      <c r="T426" s="298"/>
      <c r="U426" s="97"/>
      <c r="V426" s="97"/>
      <c r="W426" s="97"/>
      <c r="X426" s="97"/>
      <c r="Y426" s="97"/>
      <c r="Z426" s="97"/>
      <c r="AA426" s="97"/>
    </row>
    <row r="427" ht="15.75" customHeight="1">
      <c r="A427" s="97"/>
      <c r="B427" s="336"/>
      <c r="C427" s="337"/>
      <c r="D427" s="97"/>
      <c r="E427" s="337"/>
      <c r="F427" s="338"/>
      <c r="G427" s="336"/>
      <c r="H427" s="337"/>
      <c r="I427" s="338"/>
      <c r="J427" s="97"/>
      <c r="K427" s="339"/>
      <c r="L427" s="339"/>
      <c r="M427" s="339"/>
      <c r="N427" s="339"/>
      <c r="O427" s="339"/>
      <c r="P427" s="339"/>
      <c r="Q427" s="340"/>
      <c r="R427" s="97"/>
      <c r="S427" s="97"/>
      <c r="T427" s="298"/>
      <c r="U427" s="97"/>
      <c r="V427" s="97"/>
      <c r="W427" s="97"/>
      <c r="X427" s="97"/>
      <c r="Y427" s="97"/>
      <c r="Z427" s="97"/>
      <c r="AA427" s="97"/>
    </row>
    <row r="428" ht="15.75" customHeight="1">
      <c r="A428" s="97"/>
      <c r="B428" s="336"/>
      <c r="C428" s="337"/>
      <c r="D428" s="97"/>
      <c r="E428" s="337"/>
      <c r="F428" s="338"/>
      <c r="G428" s="336"/>
      <c r="H428" s="337"/>
      <c r="I428" s="338"/>
      <c r="J428" s="97"/>
      <c r="K428" s="339"/>
      <c r="L428" s="339"/>
      <c r="M428" s="339"/>
      <c r="N428" s="339"/>
      <c r="O428" s="339"/>
      <c r="P428" s="339"/>
      <c r="Q428" s="340"/>
      <c r="R428" s="97"/>
      <c r="S428" s="97"/>
      <c r="T428" s="298"/>
      <c r="U428" s="97"/>
      <c r="V428" s="97"/>
      <c r="W428" s="97"/>
      <c r="X428" s="97"/>
      <c r="Y428" s="97"/>
      <c r="Z428" s="97"/>
      <c r="AA428" s="97"/>
    </row>
    <row r="429" ht="15.75" customHeight="1">
      <c r="A429" s="97"/>
      <c r="B429" s="336"/>
      <c r="C429" s="337"/>
      <c r="D429" s="97"/>
      <c r="E429" s="337"/>
      <c r="F429" s="338"/>
      <c r="G429" s="336"/>
      <c r="H429" s="337"/>
      <c r="I429" s="338"/>
      <c r="J429" s="97"/>
      <c r="K429" s="339"/>
      <c r="L429" s="339"/>
      <c r="M429" s="339"/>
      <c r="N429" s="339"/>
      <c r="O429" s="339"/>
      <c r="P429" s="339"/>
      <c r="Q429" s="340"/>
      <c r="R429" s="97"/>
      <c r="S429" s="97"/>
      <c r="T429" s="298"/>
      <c r="U429" s="97"/>
      <c r="V429" s="97"/>
      <c r="W429" s="97"/>
      <c r="X429" s="97"/>
      <c r="Y429" s="97"/>
      <c r="Z429" s="97"/>
      <c r="AA429" s="97"/>
    </row>
    <row r="430" ht="15.75" customHeight="1">
      <c r="A430" s="97"/>
      <c r="B430" s="336"/>
      <c r="C430" s="337"/>
      <c r="D430" s="97"/>
      <c r="E430" s="337"/>
      <c r="F430" s="338"/>
      <c r="G430" s="336"/>
      <c r="H430" s="337"/>
      <c r="I430" s="338"/>
      <c r="J430" s="97"/>
      <c r="K430" s="339"/>
      <c r="L430" s="339"/>
      <c r="M430" s="339"/>
      <c r="N430" s="339"/>
      <c r="O430" s="339"/>
      <c r="P430" s="339"/>
      <c r="Q430" s="340"/>
      <c r="R430" s="97"/>
      <c r="S430" s="97"/>
      <c r="T430" s="298"/>
      <c r="U430" s="97"/>
      <c r="V430" s="97"/>
      <c r="W430" s="97"/>
      <c r="X430" s="97"/>
      <c r="Y430" s="97"/>
      <c r="Z430" s="97"/>
      <c r="AA430" s="97"/>
    </row>
    <row r="431" ht="15.75" customHeight="1">
      <c r="A431" s="97"/>
      <c r="B431" s="336"/>
      <c r="C431" s="337"/>
      <c r="D431" s="97"/>
      <c r="E431" s="337"/>
      <c r="F431" s="338"/>
      <c r="G431" s="336"/>
      <c r="H431" s="337"/>
      <c r="I431" s="338"/>
      <c r="J431" s="97"/>
      <c r="K431" s="339"/>
      <c r="L431" s="339"/>
      <c r="M431" s="339"/>
      <c r="N431" s="339"/>
      <c r="O431" s="339"/>
      <c r="P431" s="339"/>
      <c r="Q431" s="340"/>
      <c r="R431" s="97"/>
      <c r="S431" s="97"/>
      <c r="T431" s="298"/>
      <c r="U431" s="97"/>
      <c r="V431" s="97"/>
      <c r="W431" s="97"/>
      <c r="X431" s="97"/>
      <c r="Y431" s="97"/>
      <c r="Z431" s="97"/>
      <c r="AA431" s="97"/>
    </row>
    <row r="432" ht="15.75" customHeight="1">
      <c r="A432" s="97"/>
      <c r="B432" s="336"/>
      <c r="C432" s="337"/>
      <c r="D432" s="97"/>
      <c r="E432" s="337"/>
      <c r="F432" s="338"/>
      <c r="G432" s="336"/>
      <c r="H432" s="337"/>
      <c r="I432" s="338"/>
      <c r="J432" s="97"/>
      <c r="K432" s="339"/>
      <c r="L432" s="339"/>
      <c r="M432" s="339"/>
      <c r="N432" s="339"/>
      <c r="O432" s="339"/>
      <c r="P432" s="339"/>
      <c r="Q432" s="340"/>
      <c r="R432" s="97"/>
      <c r="S432" s="97"/>
      <c r="T432" s="298"/>
      <c r="U432" s="97"/>
      <c r="V432" s="97"/>
      <c r="W432" s="97"/>
      <c r="X432" s="97"/>
      <c r="Y432" s="97"/>
      <c r="Z432" s="97"/>
      <c r="AA432" s="97"/>
    </row>
    <row r="433" ht="15.75" customHeight="1">
      <c r="A433" s="97"/>
      <c r="B433" s="336"/>
      <c r="C433" s="337"/>
      <c r="D433" s="97"/>
      <c r="E433" s="337"/>
      <c r="F433" s="338"/>
      <c r="G433" s="336"/>
      <c r="H433" s="337"/>
      <c r="I433" s="338"/>
      <c r="J433" s="97"/>
      <c r="K433" s="339"/>
      <c r="L433" s="339"/>
      <c r="M433" s="339"/>
      <c r="N433" s="339"/>
      <c r="O433" s="339"/>
      <c r="P433" s="339"/>
      <c r="Q433" s="340"/>
      <c r="R433" s="97"/>
      <c r="S433" s="97"/>
      <c r="T433" s="298"/>
      <c r="U433" s="97"/>
      <c r="V433" s="97"/>
      <c r="W433" s="97"/>
      <c r="X433" s="97"/>
      <c r="Y433" s="97"/>
      <c r="Z433" s="97"/>
      <c r="AA433" s="97"/>
    </row>
    <row r="434" ht="15.75" customHeight="1">
      <c r="A434" s="97"/>
      <c r="B434" s="336"/>
      <c r="C434" s="337"/>
      <c r="D434" s="97"/>
      <c r="E434" s="337"/>
      <c r="F434" s="338"/>
      <c r="G434" s="336"/>
      <c r="H434" s="337"/>
      <c r="I434" s="338"/>
      <c r="J434" s="97"/>
      <c r="K434" s="339"/>
      <c r="L434" s="339"/>
      <c r="M434" s="339"/>
      <c r="N434" s="339"/>
      <c r="O434" s="339"/>
      <c r="P434" s="339"/>
      <c r="Q434" s="340"/>
      <c r="R434" s="97"/>
      <c r="S434" s="97"/>
      <c r="T434" s="298"/>
      <c r="U434" s="97"/>
      <c r="V434" s="97"/>
      <c r="W434" s="97"/>
      <c r="X434" s="97"/>
      <c r="Y434" s="97"/>
      <c r="Z434" s="97"/>
      <c r="AA434" s="97"/>
    </row>
    <row r="435" ht="15.75" customHeight="1">
      <c r="A435" s="97"/>
      <c r="B435" s="336"/>
      <c r="C435" s="337"/>
      <c r="D435" s="97"/>
      <c r="E435" s="337"/>
      <c r="F435" s="338"/>
      <c r="G435" s="336"/>
      <c r="H435" s="337"/>
      <c r="I435" s="338"/>
      <c r="J435" s="97"/>
      <c r="K435" s="339"/>
      <c r="L435" s="339"/>
      <c r="M435" s="339"/>
      <c r="N435" s="339"/>
      <c r="O435" s="339"/>
      <c r="P435" s="339"/>
      <c r="Q435" s="340"/>
      <c r="R435" s="97"/>
      <c r="S435" s="97"/>
      <c r="T435" s="298"/>
      <c r="U435" s="97"/>
      <c r="V435" s="97"/>
      <c r="W435" s="97"/>
      <c r="X435" s="97"/>
      <c r="Y435" s="97"/>
      <c r="Z435" s="97"/>
      <c r="AA435" s="97"/>
    </row>
    <row r="436" ht="15.75" customHeight="1">
      <c r="A436" s="97"/>
      <c r="B436" s="336"/>
      <c r="C436" s="337"/>
      <c r="D436" s="97"/>
      <c r="E436" s="337"/>
      <c r="F436" s="338"/>
      <c r="G436" s="336"/>
      <c r="H436" s="337"/>
      <c r="I436" s="338"/>
      <c r="J436" s="97"/>
      <c r="K436" s="339"/>
      <c r="L436" s="339"/>
      <c r="M436" s="339"/>
      <c r="N436" s="339"/>
      <c r="O436" s="339"/>
      <c r="P436" s="339"/>
      <c r="Q436" s="340"/>
      <c r="R436" s="97"/>
      <c r="S436" s="97"/>
      <c r="T436" s="298"/>
      <c r="U436" s="97"/>
      <c r="V436" s="97"/>
      <c r="W436" s="97"/>
      <c r="X436" s="97"/>
      <c r="Y436" s="97"/>
      <c r="Z436" s="97"/>
      <c r="AA436" s="97"/>
    </row>
    <row r="437" ht="15.75" customHeight="1">
      <c r="A437" s="97"/>
      <c r="B437" s="336"/>
      <c r="C437" s="337"/>
      <c r="D437" s="97"/>
      <c r="E437" s="337"/>
      <c r="F437" s="338"/>
      <c r="G437" s="336"/>
      <c r="H437" s="337"/>
      <c r="I437" s="338"/>
      <c r="J437" s="97"/>
      <c r="K437" s="339"/>
      <c r="L437" s="339"/>
      <c r="M437" s="339"/>
      <c r="N437" s="339"/>
      <c r="O437" s="339"/>
      <c r="P437" s="339"/>
      <c r="Q437" s="340"/>
      <c r="R437" s="97"/>
      <c r="S437" s="97"/>
      <c r="T437" s="298"/>
      <c r="U437" s="97"/>
      <c r="V437" s="97"/>
      <c r="W437" s="97"/>
      <c r="X437" s="97"/>
      <c r="Y437" s="97"/>
      <c r="Z437" s="97"/>
      <c r="AA437" s="97"/>
    </row>
    <row r="438" ht="15.75" customHeight="1">
      <c r="A438" s="97"/>
      <c r="B438" s="336"/>
      <c r="C438" s="337"/>
      <c r="D438" s="97"/>
      <c r="E438" s="337"/>
      <c r="F438" s="338"/>
      <c r="G438" s="336"/>
      <c r="H438" s="337"/>
      <c r="I438" s="338"/>
      <c r="J438" s="97"/>
      <c r="K438" s="339"/>
      <c r="L438" s="339"/>
      <c r="M438" s="339"/>
      <c r="N438" s="339"/>
      <c r="O438" s="339"/>
      <c r="P438" s="339"/>
      <c r="Q438" s="340"/>
      <c r="R438" s="97"/>
      <c r="S438" s="97"/>
      <c r="T438" s="298"/>
      <c r="U438" s="97"/>
      <c r="V438" s="97"/>
      <c r="W438" s="97"/>
      <c r="X438" s="97"/>
      <c r="Y438" s="97"/>
      <c r="Z438" s="97"/>
      <c r="AA438" s="97"/>
    </row>
    <row r="439" ht="15.75" customHeight="1">
      <c r="A439" s="97"/>
      <c r="B439" s="336"/>
      <c r="C439" s="337"/>
      <c r="D439" s="97"/>
      <c r="E439" s="337"/>
      <c r="F439" s="338"/>
      <c r="G439" s="336"/>
      <c r="H439" s="337"/>
      <c r="I439" s="338"/>
      <c r="J439" s="97"/>
      <c r="K439" s="339"/>
      <c r="L439" s="339"/>
      <c r="M439" s="339"/>
      <c r="N439" s="339"/>
      <c r="O439" s="339"/>
      <c r="P439" s="339"/>
      <c r="Q439" s="340"/>
      <c r="R439" s="97"/>
      <c r="S439" s="97"/>
      <c r="T439" s="298"/>
      <c r="U439" s="97"/>
      <c r="V439" s="97"/>
      <c r="W439" s="97"/>
      <c r="X439" s="97"/>
      <c r="Y439" s="97"/>
      <c r="Z439" s="97"/>
      <c r="AA439" s="97"/>
    </row>
    <row r="440" ht="15.75" customHeight="1">
      <c r="A440" s="97"/>
      <c r="B440" s="336"/>
      <c r="C440" s="337"/>
      <c r="D440" s="97"/>
      <c r="E440" s="337"/>
      <c r="F440" s="338"/>
      <c r="G440" s="336"/>
      <c r="H440" s="337"/>
      <c r="I440" s="338"/>
      <c r="J440" s="97"/>
      <c r="K440" s="339"/>
      <c r="L440" s="339"/>
      <c r="M440" s="339"/>
      <c r="N440" s="339"/>
      <c r="O440" s="339"/>
      <c r="P440" s="339"/>
      <c r="Q440" s="340"/>
      <c r="R440" s="97"/>
      <c r="S440" s="97"/>
      <c r="T440" s="298"/>
      <c r="U440" s="97"/>
      <c r="V440" s="97"/>
      <c r="W440" s="97"/>
      <c r="X440" s="97"/>
      <c r="Y440" s="97"/>
      <c r="Z440" s="97"/>
      <c r="AA440" s="97"/>
    </row>
    <row r="441" ht="15.75" customHeight="1">
      <c r="A441" s="97"/>
      <c r="B441" s="336"/>
      <c r="C441" s="337"/>
      <c r="D441" s="97"/>
      <c r="E441" s="337"/>
      <c r="F441" s="338"/>
      <c r="G441" s="336"/>
      <c r="H441" s="337"/>
      <c r="I441" s="338"/>
      <c r="J441" s="97"/>
      <c r="K441" s="339"/>
      <c r="L441" s="339"/>
      <c r="M441" s="339"/>
      <c r="N441" s="339"/>
      <c r="O441" s="339"/>
      <c r="P441" s="339"/>
      <c r="Q441" s="340"/>
      <c r="R441" s="97"/>
      <c r="S441" s="97"/>
      <c r="T441" s="298"/>
      <c r="U441" s="97"/>
      <c r="V441" s="97"/>
      <c r="W441" s="97"/>
      <c r="X441" s="97"/>
      <c r="Y441" s="97"/>
      <c r="Z441" s="97"/>
      <c r="AA441" s="97"/>
    </row>
    <row r="442" ht="15.75" customHeight="1">
      <c r="A442" s="97"/>
      <c r="B442" s="336"/>
      <c r="C442" s="337"/>
      <c r="D442" s="97"/>
      <c r="E442" s="337"/>
      <c r="F442" s="338"/>
      <c r="G442" s="336"/>
      <c r="H442" s="337"/>
      <c r="I442" s="338"/>
      <c r="J442" s="97"/>
      <c r="K442" s="339"/>
      <c r="L442" s="339"/>
      <c r="M442" s="339"/>
      <c r="N442" s="339"/>
      <c r="O442" s="339"/>
      <c r="P442" s="339"/>
      <c r="Q442" s="340"/>
      <c r="R442" s="97"/>
      <c r="S442" s="97"/>
      <c r="T442" s="298"/>
      <c r="U442" s="97"/>
      <c r="V442" s="97"/>
      <c r="W442" s="97"/>
      <c r="X442" s="97"/>
      <c r="Y442" s="97"/>
      <c r="Z442" s="97"/>
      <c r="AA442" s="97"/>
    </row>
    <row r="443" ht="15.75" customHeight="1">
      <c r="A443" s="97"/>
      <c r="B443" s="336"/>
      <c r="C443" s="337"/>
      <c r="D443" s="97"/>
      <c r="E443" s="337"/>
      <c r="F443" s="338"/>
      <c r="G443" s="336"/>
      <c r="H443" s="337"/>
      <c r="I443" s="338"/>
      <c r="J443" s="97"/>
      <c r="K443" s="339"/>
      <c r="L443" s="339"/>
      <c r="M443" s="339"/>
      <c r="N443" s="339"/>
      <c r="O443" s="339"/>
      <c r="P443" s="339"/>
      <c r="Q443" s="340"/>
      <c r="R443" s="97"/>
      <c r="S443" s="97"/>
      <c r="T443" s="298"/>
      <c r="U443" s="97"/>
      <c r="V443" s="97"/>
      <c r="W443" s="97"/>
      <c r="X443" s="97"/>
      <c r="Y443" s="97"/>
      <c r="Z443" s="97"/>
      <c r="AA443" s="97"/>
    </row>
    <row r="444" ht="15.75" customHeight="1">
      <c r="A444" s="97"/>
      <c r="B444" s="336"/>
      <c r="C444" s="337"/>
      <c r="D444" s="97"/>
      <c r="E444" s="337"/>
      <c r="F444" s="338"/>
      <c r="G444" s="336"/>
      <c r="H444" s="337"/>
      <c r="I444" s="338"/>
      <c r="J444" s="97"/>
      <c r="K444" s="339"/>
      <c r="L444" s="339"/>
      <c r="M444" s="339"/>
      <c r="N444" s="339"/>
      <c r="O444" s="339"/>
      <c r="P444" s="339"/>
      <c r="Q444" s="340"/>
      <c r="R444" s="97"/>
      <c r="S444" s="97"/>
      <c r="T444" s="298"/>
      <c r="U444" s="97"/>
      <c r="V444" s="97"/>
      <c r="W444" s="97"/>
      <c r="X444" s="97"/>
      <c r="Y444" s="97"/>
      <c r="Z444" s="97"/>
      <c r="AA444" s="97"/>
    </row>
    <row r="445" ht="15.75" customHeight="1">
      <c r="A445" s="97"/>
      <c r="B445" s="336"/>
      <c r="C445" s="337"/>
      <c r="D445" s="97"/>
      <c r="E445" s="337"/>
      <c r="F445" s="338"/>
      <c r="G445" s="336"/>
      <c r="H445" s="337"/>
      <c r="I445" s="338"/>
      <c r="J445" s="97"/>
      <c r="K445" s="339"/>
      <c r="L445" s="339"/>
      <c r="M445" s="339"/>
      <c r="N445" s="339"/>
      <c r="O445" s="339"/>
      <c r="P445" s="339"/>
      <c r="Q445" s="340"/>
      <c r="R445" s="97"/>
      <c r="S445" s="97"/>
      <c r="T445" s="298"/>
      <c r="U445" s="97"/>
      <c r="V445" s="97"/>
      <c r="W445" s="97"/>
      <c r="X445" s="97"/>
      <c r="Y445" s="97"/>
      <c r="Z445" s="97"/>
      <c r="AA445" s="97"/>
    </row>
    <row r="446" ht="15.75" customHeight="1">
      <c r="A446" s="97"/>
      <c r="B446" s="336"/>
      <c r="C446" s="337"/>
      <c r="D446" s="97"/>
      <c r="E446" s="337"/>
      <c r="F446" s="338"/>
      <c r="G446" s="336"/>
      <c r="H446" s="337"/>
      <c r="I446" s="338"/>
      <c r="J446" s="97"/>
      <c r="K446" s="339"/>
      <c r="L446" s="339"/>
      <c r="M446" s="339"/>
      <c r="N446" s="339"/>
      <c r="O446" s="339"/>
      <c r="P446" s="339"/>
      <c r="Q446" s="340"/>
      <c r="R446" s="97"/>
      <c r="S446" s="97"/>
      <c r="T446" s="298"/>
      <c r="U446" s="97"/>
      <c r="V446" s="97"/>
      <c r="W446" s="97"/>
      <c r="X446" s="97"/>
      <c r="Y446" s="97"/>
      <c r="Z446" s="97"/>
      <c r="AA446" s="97"/>
    </row>
    <row r="447" ht="15.75" customHeight="1">
      <c r="A447" s="97"/>
      <c r="B447" s="336"/>
      <c r="C447" s="337"/>
      <c r="D447" s="97"/>
      <c r="E447" s="337"/>
      <c r="F447" s="338"/>
      <c r="G447" s="336"/>
      <c r="H447" s="337"/>
      <c r="I447" s="338"/>
      <c r="J447" s="97"/>
      <c r="K447" s="339"/>
      <c r="L447" s="339"/>
      <c r="M447" s="339"/>
      <c r="N447" s="339"/>
      <c r="O447" s="339"/>
      <c r="P447" s="339"/>
      <c r="Q447" s="340"/>
      <c r="R447" s="97"/>
      <c r="S447" s="97"/>
      <c r="T447" s="298"/>
      <c r="U447" s="97"/>
      <c r="V447" s="97"/>
      <c r="W447" s="97"/>
      <c r="X447" s="97"/>
      <c r="Y447" s="97"/>
      <c r="Z447" s="97"/>
      <c r="AA447" s="97"/>
    </row>
    <row r="448" ht="15.75" customHeight="1">
      <c r="A448" s="97"/>
      <c r="B448" s="336"/>
      <c r="C448" s="337"/>
      <c r="D448" s="97"/>
      <c r="E448" s="337"/>
      <c r="F448" s="338"/>
      <c r="G448" s="336"/>
      <c r="H448" s="337"/>
      <c r="I448" s="338"/>
      <c r="J448" s="97"/>
      <c r="K448" s="339"/>
      <c r="L448" s="339"/>
      <c r="M448" s="339"/>
      <c r="N448" s="339"/>
      <c r="O448" s="339"/>
      <c r="P448" s="339"/>
      <c r="Q448" s="340"/>
      <c r="R448" s="97"/>
      <c r="S448" s="97"/>
      <c r="T448" s="298"/>
      <c r="U448" s="97"/>
      <c r="V448" s="97"/>
      <c r="W448" s="97"/>
      <c r="X448" s="97"/>
      <c r="Y448" s="97"/>
      <c r="Z448" s="97"/>
      <c r="AA448" s="97"/>
    </row>
    <row r="449" ht="15.75" customHeight="1">
      <c r="A449" s="97"/>
      <c r="B449" s="336"/>
      <c r="C449" s="337"/>
      <c r="D449" s="97"/>
      <c r="E449" s="337"/>
      <c r="F449" s="338"/>
      <c r="G449" s="336"/>
      <c r="H449" s="337"/>
      <c r="I449" s="338"/>
      <c r="J449" s="97"/>
      <c r="K449" s="339"/>
      <c r="L449" s="339"/>
      <c r="M449" s="339"/>
      <c r="N449" s="339"/>
      <c r="O449" s="339"/>
      <c r="P449" s="339"/>
      <c r="Q449" s="340"/>
      <c r="R449" s="97"/>
      <c r="S449" s="97"/>
      <c r="T449" s="298"/>
      <c r="U449" s="97"/>
      <c r="V449" s="97"/>
      <c r="W449" s="97"/>
      <c r="X449" s="97"/>
      <c r="Y449" s="97"/>
      <c r="Z449" s="97"/>
      <c r="AA449" s="97"/>
    </row>
    <row r="450" ht="15.75" customHeight="1">
      <c r="A450" s="97"/>
      <c r="B450" s="336"/>
      <c r="C450" s="337"/>
      <c r="D450" s="97"/>
      <c r="E450" s="337"/>
      <c r="F450" s="338"/>
      <c r="G450" s="336"/>
      <c r="H450" s="337"/>
      <c r="I450" s="338"/>
      <c r="J450" s="97"/>
      <c r="K450" s="339"/>
      <c r="L450" s="339"/>
      <c r="M450" s="339"/>
      <c r="N450" s="339"/>
      <c r="O450" s="339"/>
      <c r="P450" s="339"/>
      <c r="Q450" s="340"/>
      <c r="R450" s="97"/>
      <c r="S450" s="97"/>
      <c r="T450" s="298"/>
      <c r="U450" s="97"/>
      <c r="V450" s="97"/>
      <c r="W450" s="97"/>
      <c r="X450" s="97"/>
      <c r="Y450" s="97"/>
      <c r="Z450" s="97"/>
      <c r="AA450" s="97"/>
    </row>
    <row r="451" ht="15.75" customHeight="1">
      <c r="A451" s="97"/>
      <c r="B451" s="336"/>
      <c r="C451" s="337"/>
      <c r="D451" s="97"/>
      <c r="E451" s="337"/>
      <c r="F451" s="338"/>
      <c r="G451" s="336"/>
      <c r="H451" s="337"/>
      <c r="I451" s="338"/>
      <c r="J451" s="97"/>
      <c r="K451" s="339"/>
      <c r="L451" s="339"/>
      <c r="M451" s="339"/>
      <c r="N451" s="339"/>
      <c r="O451" s="339"/>
      <c r="P451" s="339"/>
      <c r="Q451" s="340"/>
      <c r="R451" s="97"/>
      <c r="S451" s="97"/>
      <c r="T451" s="298"/>
      <c r="U451" s="97"/>
      <c r="V451" s="97"/>
      <c r="W451" s="97"/>
      <c r="X451" s="97"/>
      <c r="Y451" s="97"/>
      <c r="Z451" s="97"/>
      <c r="AA451" s="97"/>
    </row>
    <row r="452" ht="15.75" customHeight="1">
      <c r="A452" s="97"/>
      <c r="B452" s="336"/>
      <c r="C452" s="337"/>
      <c r="D452" s="97"/>
      <c r="E452" s="337"/>
      <c r="F452" s="338"/>
      <c r="G452" s="336"/>
      <c r="H452" s="337"/>
      <c r="I452" s="338"/>
      <c r="J452" s="97"/>
      <c r="K452" s="339"/>
      <c r="L452" s="339"/>
      <c r="M452" s="339"/>
      <c r="N452" s="339"/>
      <c r="O452" s="339"/>
      <c r="P452" s="339"/>
      <c r="Q452" s="340"/>
      <c r="R452" s="97"/>
      <c r="S452" s="97"/>
      <c r="T452" s="298"/>
      <c r="U452" s="97"/>
      <c r="V452" s="97"/>
      <c r="W452" s="97"/>
      <c r="X452" s="97"/>
      <c r="Y452" s="97"/>
      <c r="Z452" s="97"/>
      <c r="AA452" s="97"/>
    </row>
    <row r="453" ht="15.75" customHeight="1">
      <c r="A453" s="97"/>
      <c r="B453" s="336"/>
      <c r="C453" s="337"/>
      <c r="D453" s="97"/>
      <c r="E453" s="337"/>
      <c r="F453" s="338"/>
      <c r="G453" s="336"/>
      <c r="H453" s="337"/>
      <c r="I453" s="338"/>
      <c r="J453" s="97"/>
      <c r="K453" s="339"/>
      <c r="L453" s="339"/>
      <c r="M453" s="339"/>
      <c r="N453" s="339"/>
      <c r="O453" s="339"/>
      <c r="P453" s="339"/>
      <c r="Q453" s="340"/>
      <c r="R453" s="97"/>
      <c r="S453" s="97"/>
      <c r="T453" s="298"/>
      <c r="U453" s="97"/>
      <c r="V453" s="97"/>
      <c r="W453" s="97"/>
      <c r="X453" s="97"/>
      <c r="Y453" s="97"/>
      <c r="Z453" s="97"/>
      <c r="AA453" s="97"/>
    </row>
    <row r="454" ht="15.75" customHeight="1">
      <c r="A454" s="97"/>
      <c r="B454" s="336"/>
      <c r="C454" s="337"/>
      <c r="D454" s="97"/>
      <c r="E454" s="337"/>
      <c r="F454" s="338"/>
      <c r="G454" s="336"/>
      <c r="H454" s="337"/>
      <c r="I454" s="338"/>
      <c r="J454" s="97"/>
      <c r="K454" s="339"/>
      <c r="L454" s="339"/>
      <c r="M454" s="339"/>
      <c r="N454" s="339"/>
      <c r="O454" s="339"/>
      <c r="P454" s="339"/>
      <c r="Q454" s="340"/>
      <c r="R454" s="97"/>
      <c r="S454" s="97"/>
      <c r="T454" s="298"/>
      <c r="U454" s="97"/>
      <c r="V454" s="97"/>
      <c r="W454" s="97"/>
      <c r="X454" s="97"/>
      <c r="Y454" s="97"/>
      <c r="Z454" s="97"/>
      <c r="AA454" s="97"/>
    </row>
    <row r="455" ht="15.75" customHeight="1">
      <c r="A455" s="97"/>
      <c r="B455" s="336"/>
      <c r="C455" s="337"/>
      <c r="D455" s="97"/>
      <c r="E455" s="337"/>
      <c r="F455" s="338"/>
      <c r="G455" s="336"/>
      <c r="H455" s="337"/>
      <c r="I455" s="338"/>
      <c r="J455" s="97"/>
      <c r="K455" s="339"/>
      <c r="L455" s="339"/>
      <c r="M455" s="339"/>
      <c r="N455" s="339"/>
      <c r="O455" s="339"/>
      <c r="P455" s="339"/>
      <c r="Q455" s="340"/>
      <c r="R455" s="97"/>
      <c r="S455" s="97"/>
      <c r="T455" s="298"/>
      <c r="U455" s="97"/>
      <c r="V455" s="97"/>
      <c r="W455" s="97"/>
      <c r="X455" s="97"/>
      <c r="Y455" s="97"/>
      <c r="Z455" s="97"/>
      <c r="AA455" s="97"/>
    </row>
    <row r="456" ht="15.75" customHeight="1">
      <c r="A456" s="97"/>
      <c r="B456" s="336"/>
      <c r="C456" s="337"/>
      <c r="D456" s="97"/>
      <c r="E456" s="337"/>
      <c r="F456" s="338"/>
      <c r="G456" s="336"/>
      <c r="H456" s="337"/>
      <c r="I456" s="338"/>
      <c r="J456" s="97"/>
      <c r="K456" s="339"/>
      <c r="L456" s="339"/>
      <c r="M456" s="339"/>
      <c r="N456" s="339"/>
      <c r="O456" s="339"/>
      <c r="P456" s="339"/>
      <c r="Q456" s="340"/>
      <c r="R456" s="97"/>
      <c r="S456" s="97"/>
      <c r="T456" s="298"/>
      <c r="U456" s="97"/>
      <c r="V456" s="97"/>
      <c r="W456" s="97"/>
      <c r="X456" s="97"/>
      <c r="Y456" s="97"/>
      <c r="Z456" s="97"/>
      <c r="AA456" s="97"/>
    </row>
    <row r="457" ht="15.75" customHeight="1">
      <c r="A457" s="97"/>
      <c r="B457" s="336"/>
      <c r="C457" s="337"/>
      <c r="D457" s="97"/>
      <c r="E457" s="337"/>
      <c r="F457" s="338"/>
      <c r="G457" s="336"/>
      <c r="H457" s="337"/>
      <c r="I457" s="338"/>
      <c r="J457" s="97"/>
      <c r="K457" s="339"/>
      <c r="L457" s="339"/>
      <c r="M457" s="339"/>
      <c r="N457" s="339"/>
      <c r="O457" s="339"/>
      <c r="P457" s="339"/>
      <c r="Q457" s="340"/>
      <c r="R457" s="97"/>
      <c r="S457" s="97"/>
      <c r="T457" s="298"/>
      <c r="U457" s="97"/>
      <c r="V457" s="97"/>
      <c r="W457" s="97"/>
      <c r="X457" s="97"/>
      <c r="Y457" s="97"/>
      <c r="Z457" s="97"/>
      <c r="AA457" s="97"/>
    </row>
    <row r="458" ht="15.75" customHeight="1">
      <c r="A458" s="97"/>
      <c r="B458" s="336"/>
      <c r="C458" s="337"/>
      <c r="D458" s="97"/>
      <c r="E458" s="337"/>
      <c r="F458" s="338"/>
      <c r="G458" s="336"/>
      <c r="H458" s="337"/>
      <c r="I458" s="338"/>
      <c r="J458" s="97"/>
      <c r="K458" s="339"/>
      <c r="L458" s="339"/>
      <c r="M458" s="339"/>
      <c r="N458" s="339"/>
      <c r="O458" s="339"/>
      <c r="P458" s="339"/>
      <c r="Q458" s="340"/>
      <c r="R458" s="97"/>
      <c r="S458" s="97"/>
      <c r="T458" s="298"/>
      <c r="U458" s="97"/>
      <c r="V458" s="97"/>
      <c r="W458" s="97"/>
      <c r="X458" s="97"/>
      <c r="Y458" s="97"/>
      <c r="Z458" s="97"/>
      <c r="AA458" s="97"/>
    </row>
    <row r="459" ht="15.75" customHeight="1">
      <c r="A459" s="97"/>
      <c r="B459" s="336"/>
      <c r="C459" s="337"/>
      <c r="D459" s="97"/>
      <c r="E459" s="337"/>
      <c r="F459" s="338"/>
      <c r="G459" s="336"/>
      <c r="H459" s="337"/>
      <c r="I459" s="338"/>
      <c r="J459" s="97"/>
      <c r="K459" s="339"/>
      <c r="L459" s="339"/>
      <c r="M459" s="339"/>
      <c r="N459" s="339"/>
      <c r="O459" s="339"/>
      <c r="P459" s="339"/>
      <c r="Q459" s="340"/>
      <c r="R459" s="97"/>
      <c r="S459" s="97"/>
      <c r="T459" s="298"/>
      <c r="U459" s="97"/>
      <c r="V459" s="97"/>
      <c r="W459" s="97"/>
      <c r="X459" s="97"/>
      <c r="Y459" s="97"/>
      <c r="Z459" s="97"/>
      <c r="AA459" s="97"/>
    </row>
    <row r="460" ht="15.75" customHeight="1">
      <c r="A460" s="97"/>
      <c r="B460" s="336"/>
      <c r="C460" s="337"/>
      <c r="D460" s="97"/>
      <c r="E460" s="337"/>
      <c r="F460" s="338"/>
      <c r="G460" s="336"/>
      <c r="H460" s="337"/>
      <c r="I460" s="338"/>
      <c r="J460" s="97"/>
      <c r="K460" s="339"/>
      <c r="L460" s="339"/>
      <c r="M460" s="339"/>
      <c r="N460" s="339"/>
      <c r="O460" s="339"/>
      <c r="P460" s="339"/>
      <c r="Q460" s="340"/>
      <c r="R460" s="97"/>
      <c r="S460" s="97"/>
      <c r="T460" s="298"/>
      <c r="U460" s="97"/>
      <c r="V460" s="97"/>
      <c r="W460" s="97"/>
      <c r="X460" s="97"/>
      <c r="Y460" s="97"/>
      <c r="Z460" s="97"/>
      <c r="AA460" s="97"/>
    </row>
    <row r="461" ht="15.75" customHeight="1">
      <c r="A461" s="97"/>
      <c r="B461" s="336"/>
      <c r="C461" s="337"/>
      <c r="D461" s="97"/>
      <c r="E461" s="337"/>
      <c r="F461" s="338"/>
      <c r="G461" s="336"/>
      <c r="H461" s="337"/>
      <c r="I461" s="338"/>
      <c r="J461" s="97"/>
      <c r="K461" s="339"/>
      <c r="L461" s="339"/>
      <c r="M461" s="339"/>
      <c r="N461" s="339"/>
      <c r="O461" s="339"/>
      <c r="P461" s="339"/>
      <c r="Q461" s="340"/>
      <c r="R461" s="97"/>
      <c r="S461" s="97"/>
      <c r="T461" s="298"/>
      <c r="U461" s="97"/>
      <c r="V461" s="97"/>
      <c r="W461" s="97"/>
      <c r="X461" s="97"/>
      <c r="Y461" s="97"/>
      <c r="Z461" s="97"/>
      <c r="AA461" s="97"/>
    </row>
    <row r="462" ht="15.75" customHeight="1">
      <c r="A462" s="97"/>
      <c r="B462" s="336"/>
      <c r="C462" s="337"/>
      <c r="D462" s="97"/>
      <c r="E462" s="337"/>
      <c r="F462" s="338"/>
      <c r="G462" s="336"/>
      <c r="H462" s="337"/>
      <c r="I462" s="338"/>
      <c r="J462" s="97"/>
      <c r="K462" s="339"/>
      <c r="L462" s="339"/>
      <c r="M462" s="339"/>
      <c r="N462" s="339"/>
      <c r="O462" s="339"/>
      <c r="P462" s="339"/>
      <c r="Q462" s="340"/>
      <c r="R462" s="97"/>
      <c r="S462" s="97"/>
      <c r="T462" s="298"/>
      <c r="U462" s="97"/>
      <c r="V462" s="97"/>
      <c r="W462" s="97"/>
      <c r="X462" s="97"/>
      <c r="Y462" s="97"/>
      <c r="Z462" s="97"/>
      <c r="AA462" s="97"/>
    </row>
    <row r="463" ht="15.75" customHeight="1">
      <c r="A463" s="97"/>
      <c r="B463" s="336"/>
      <c r="C463" s="337"/>
      <c r="D463" s="97"/>
      <c r="E463" s="337"/>
      <c r="F463" s="338"/>
      <c r="G463" s="336"/>
      <c r="H463" s="337"/>
      <c r="I463" s="338"/>
      <c r="J463" s="97"/>
      <c r="K463" s="339"/>
      <c r="L463" s="339"/>
      <c r="M463" s="339"/>
      <c r="N463" s="339"/>
      <c r="O463" s="339"/>
      <c r="P463" s="339"/>
      <c r="Q463" s="340"/>
      <c r="R463" s="97"/>
      <c r="S463" s="97"/>
      <c r="T463" s="298"/>
      <c r="U463" s="97"/>
      <c r="V463" s="97"/>
      <c r="W463" s="97"/>
      <c r="X463" s="97"/>
      <c r="Y463" s="97"/>
      <c r="Z463" s="97"/>
      <c r="AA463" s="97"/>
    </row>
    <row r="464" ht="15.75" customHeight="1">
      <c r="A464" s="97"/>
      <c r="B464" s="336"/>
      <c r="C464" s="337"/>
      <c r="D464" s="97"/>
      <c r="E464" s="337"/>
      <c r="F464" s="338"/>
      <c r="G464" s="336"/>
      <c r="H464" s="337"/>
      <c r="I464" s="338"/>
      <c r="J464" s="97"/>
      <c r="K464" s="339"/>
      <c r="L464" s="339"/>
      <c r="M464" s="339"/>
      <c r="N464" s="339"/>
      <c r="O464" s="339"/>
      <c r="P464" s="339"/>
      <c r="Q464" s="340"/>
      <c r="R464" s="97"/>
      <c r="S464" s="97"/>
      <c r="T464" s="298"/>
      <c r="U464" s="97"/>
      <c r="V464" s="97"/>
      <c r="W464" s="97"/>
      <c r="X464" s="97"/>
      <c r="Y464" s="97"/>
      <c r="Z464" s="97"/>
      <c r="AA464" s="97"/>
    </row>
    <row r="465" ht="15.75" customHeight="1">
      <c r="A465" s="97"/>
      <c r="B465" s="336"/>
      <c r="C465" s="337"/>
      <c r="D465" s="97"/>
      <c r="E465" s="337"/>
      <c r="F465" s="338"/>
      <c r="G465" s="336"/>
      <c r="H465" s="337"/>
      <c r="I465" s="338"/>
      <c r="J465" s="97"/>
      <c r="K465" s="339"/>
      <c r="L465" s="339"/>
      <c r="M465" s="339"/>
      <c r="N465" s="339"/>
      <c r="O465" s="339"/>
      <c r="P465" s="339"/>
      <c r="Q465" s="340"/>
      <c r="R465" s="97"/>
      <c r="S465" s="97"/>
      <c r="T465" s="298"/>
      <c r="U465" s="97"/>
      <c r="V465" s="97"/>
      <c r="W465" s="97"/>
      <c r="X465" s="97"/>
      <c r="Y465" s="97"/>
      <c r="Z465" s="97"/>
      <c r="AA465" s="97"/>
    </row>
    <row r="466" ht="15.75" customHeight="1">
      <c r="A466" s="97"/>
      <c r="B466" s="336"/>
      <c r="C466" s="337"/>
      <c r="D466" s="97"/>
      <c r="E466" s="337"/>
      <c r="F466" s="338"/>
      <c r="G466" s="336"/>
      <c r="H466" s="337"/>
      <c r="I466" s="338"/>
      <c r="J466" s="97"/>
      <c r="K466" s="339"/>
      <c r="L466" s="339"/>
      <c r="M466" s="339"/>
      <c r="N466" s="339"/>
      <c r="O466" s="339"/>
      <c r="P466" s="339"/>
      <c r="Q466" s="340"/>
      <c r="R466" s="97"/>
      <c r="S466" s="97"/>
      <c r="T466" s="298"/>
      <c r="U466" s="97"/>
      <c r="V466" s="97"/>
      <c r="W466" s="97"/>
      <c r="X466" s="97"/>
      <c r="Y466" s="97"/>
      <c r="Z466" s="97"/>
      <c r="AA466" s="97"/>
    </row>
    <row r="467" ht="15.75" customHeight="1">
      <c r="A467" s="97"/>
      <c r="B467" s="336"/>
      <c r="C467" s="337"/>
      <c r="D467" s="97"/>
      <c r="E467" s="337"/>
      <c r="F467" s="338"/>
      <c r="G467" s="336"/>
      <c r="H467" s="337"/>
      <c r="I467" s="338"/>
      <c r="J467" s="97"/>
      <c r="K467" s="339"/>
      <c r="L467" s="339"/>
      <c r="M467" s="339"/>
      <c r="N467" s="339"/>
      <c r="O467" s="339"/>
      <c r="P467" s="339"/>
      <c r="Q467" s="340"/>
      <c r="R467" s="97"/>
      <c r="S467" s="97"/>
      <c r="T467" s="298"/>
      <c r="U467" s="97"/>
      <c r="V467" s="97"/>
      <c r="W467" s="97"/>
      <c r="X467" s="97"/>
      <c r="Y467" s="97"/>
      <c r="Z467" s="97"/>
      <c r="AA467" s="97"/>
    </row>
    <row r="468" ht="15.75" customHeight="1">
      <c r="A468" s="97"/>
      <c r="B468" s="336"/>
      <c r="C468" s="337"/>
      <c r="D468" s="97"/>
      <c r="E468" s="337"/>
      <c r="F468" s="338"/>
      <c r="G468" s="336"/>
      <c r="H468" s="337"/>
      <c r="I468" s="338"/>
      <c r="J468" s="97"/>
      <c r="K468" s="339"/>
      <c r="L468" s="339"/>
      <c r="M468" s="339"/>
      <c r="N468" s="339"/>
      <c r="O468" s="339"/>
      <c r="P468" s="339"/>
      <c r="Q468" s="340"/>
      <c r="R468" s="97"/>
      <c r="S468" s="97"/>
      <c r="T468" s="298"/>
      <c r="U468" s="97"/>
      <c r="V468" s="97"/>
      <c r="W468" s="97"/>
      <c r="X468" s="97"/>
      <c r="Y468" s="97"/>
      <c r="Z468" s="97"/>
      <c r="AA468" s="97"/>
    </row>
    <row r="469" ht="15.75" customHeight="1">
      <c r="A469" s="97"/>
      <c r="B469" s="336"/>
      <c r="C469" s="337"/>
      <c r="D469" s="97"/>
      <c r="E469" s="337"/>
      <c r="F469" s="338"/>
      <c r="G469" s="336"/>
      <c r="H469" s="337"/>
      <c r="I469" s="338"/>
      <c r="J469" s="97"/>
      <c r="K469" s="339"/>
      <c r="L469" s="339"/>
      <c r="M469" s="339"/>
      <c r="N469" s="339"/>
      <c r="O469" s="339"/>
      <c r="P469" s="339"/>
      <c r="Q469" s="340"/>
      <c r="R469" s="97"/>
      <c r="S469" s="97"/>
      <c r="T469" s="298"/>
      <c r="U469" s="97"/>
      <c r="V469" s="97"/>
      <c r="W469" s="97"/>
      <c r="X469" s="97"/>
      <c r="Y469" s="97"/>
      <c r="Z469" s="97"/>
      <c r="AA469" s="97"/>
    </row>
    <row r="470" ht="15.75" customHeight="1">
      <c r="A470" s="97"/>
      <c r="B470" s="336"/>
      <c r="C470" s="337"/>
      <c r="D470" s="97"/>
      <c r="E470" s="337"/>
      <c r="F470" s="338"/>
      <c r="G470" s="336"/>
      <c r="H470" s="337"/>
      <c r="I470" s="338"/>
      <c r="J470" s="97"/>
      <c r="K470" s="339"/>
      <c r="L470" s="339"/>
      <c r="M470" s="339"/>
      <c r="N470" s="339"/>
      <c r="O470" s="339"/>
      <c r="P470" s="339"/>
      <c r="Q470" s="340"/>
      <c r="R470" s="97"/>
      <c r="S470" s="97"/>
      <c r="T470" s="298"/>
      <c r="U470" s="97"/>
      <c r="V470" s="97"/>
      <c r="W470" s="97"/>
      <c r="X470" s="97"/>
      <c r="Y470" s="97"/>
      <c r="Z470" s="97"/>
      <c r="AA470" s="97"/>
    </row>
    <row r="471" ht="15.75" customHeight="1">
      <c r="A471" s="97"/>
      <c r="B471" s="336"/>
      <c r="C471" s="337"/>
      <c r="D471" s="97"/>
      <c r="E471" s="337"/>
      <c r="F471" s="338"/>
      <c r="G471" s="336"/>
      <c r="H471" s="337"/>
      <c r="I471" s="338"/>
      <c r="J471" s="97"/>
      <c r="K471" s="339"/>
      <c r="L471" s="339"/>
      <c r="M471" s="339"/>
      <c r="N471" s="339"/>
      <c r="O471" s="339"/>
      <c r="P471" s="339"/>
      <c r="Q471" s="340"/>
      <c r="R471" s="97"/>
      <c r="S471" s="97"/>
      <c r="T471" s="298"/>
      <c r="U471" s="97"/>
      <c r="V471" s="97"/>
      <c r="W471" s="97"/>
      <c r="X471" s="97"/>
      <c r="Y471" s="97"/>
      <c r="Z471" s="97"/>
      <c r="AA471" s="97"/>
    </row>
    <row r="472" ht="15.75" customHeight="1">
      <c r="A472" s="97"/>
      <c r="B472" s="336"/>
      <c r="C472" s="337"/>
      <c r="D472" s="97"/>
      <c r="E472" s="337"/>
      <c r="F472" s="338"/>
      <c r="G472" s="336"/>
      <c r="H472" s="337"/>
      <c r="I472" s="338"/>
      <c r="J472" s="97"/>
      <c r="K472" s="339"/>
      <c r="L472" s="339"/>
      <c r="M472" s="339"/>
      <c r="N472" s="339"/>
      <c r="O472" s="339"/>
      <c r="P472" s="339"/>
      <c r="Q472" s="340"/>
      <c r="R472" s="97"/>
      <c r="S472" s="97"/>
      <c r="T472" s="298"/>
      <c r="U472" s="97"/>
      <c r="V472" s="97"/>
      <c r="W472" s="97"/>
      <c r="X472" s="97"/>
      <c r="Y472" s="97"/>
      <c r="Z472" s="97"/>
      <c r="AA472" s="97"/>
    </row>
    <row r="473" ht="15.75" customHeight="1">
      <c r="A473" s="97"/>
      <c r="B473" s="336"/>
      <c r="C473" s="337"/>
      <c r="D473" s="97"/>
      <c r="E473" s="337"/>
      <c r="F473" s="338"/>
      <c r="G473" s="336"/>
      <c r="H473" s="337"/>
      <c r="I473" s="338"/>
      <c r="J473" s="97"/>
      <c r="K473" s="339"/>
      <c r="L473" s="339"/>
      <c r="M473" s="339"/>
      <c r="N473" s="339"/>
      <c r="O473" s="339"/>
      <c r="P473" s="339"/>
      <c r="Q473" s="340"/>
      <c r="R473" s="97"/>
      <c r="S473" s="97"/>
      <c r="T473" s="298"/>
      <c r="U473" s="97"/>
      <c r="V473" s="97"/>
      <c r="W473" s="97"/>
      <c r="X473" s="97"/>
      <c r="Y473" s="97"/>
      <c r="Z473" s="97"/>
      <c r="AA473" s="97"/>
    </row>
    <row r="474" ht="15.75" customHeight="1">
      <c r="A474" s="97"/>
      <c r="B474" s="336"/>
      <c r="C474" s="337"/>
      <c r="D474" s="97"/>
      <c r="E474" s="337"/>
      <c r="F474" s="338"/>
      <c r="G474" s="336"/>
      <c r="H474" s="337"/>
      <c r="I474" s="338"/>
      <c r="J474" s="97"/>
      <c r="K474" s="339"/>
      <c r="L474" s="339"/>
      <c r="M474" s="339"/>
      <c r="N474" s="339"/>
      <c r="O474" s="339"/>
      <c r="P474" s="339"/>
      <c r="Q474" s="340"/>
      <c r="R474" s="97"/>
      <c r="S474" s="97"/>
      <c r="T474" s="298"/>
      <c r="U474" s="97"/>
      <c r="V474" s="97"/>
      <c r="W474" s="97"/>
      <c r="X474" s="97"/>
      <c r="Y474" s="97"/>
      <c r="Z474" s="97"/>
      <c r="AA474" s="97"/>
    </row>
    <row r="475" ht="15.75" customHeight="1">
      <c r="A475" s="97"/>
      <c r="B475" s="336"/>
      <c r="C475" s="337"/>
      <c r="D475" s="97"/>
      <c r="E475" s="337"/>
      <c r="F475" s="338"/>
      <c r="G475" s="336"/>
      <c r="H475" s="337"/>
      <c r="I475" s="338"/>
      <c r="J475" s="97"/>
      <c r="K475" s="339"/>
      <c r="L475" s="339"/>
      <c r="M475" s="339"/>
      <c r="N475" s="339"/>
      <c r="O475" s="339"/>
      <c r="P475" s="339"/>
      <c r="Q475" s="340"/>
      <c r="R475" s="97"/>
      <c r="S475" s="97"/>
      <c r="T475" s="298"/>
      <c r="U475" s="97"/>
      <c r="V475" s="97"/>
      <c r="W475" s="97"/>
      <c r="X475" s="97"/>
      <c r="Y475" s="97"/>
      <c r="Z475" s="97"/>
      <c r="AA475" s="97"/>
    </row>
    <row r="476" ht="15.75" customHeight="1">
      <c r="A476" s="97"/>
      <c r="B476" s="336"/>
      <c r="C476" s="337"/>
      <c r="D476" s="97"/>
      <c r="E476" s="337"/>
      <c r="F476" s="338"/>
      <c r="G476" s="336"/>
      <c r="H476" s="337"/>
      <c r="I476" s="338"/>
      <c r="J476" s="97"/>
      <c r="K476" s="339"/>
      <c r="L476" s="339"/>
      <c r="M476" s="339"/>
      <c r="N476" s="339"/>
      <c r="O476" s="339"/>
      <c r="P476" s="339"/>
      <c r="Q476" s="340"/>
      <c r="R476" s="97"/>
      <c r="S476" s="97"/>
      <c r="T476" s="298"/>
      <c r="U476" s="97"/>
      <c r="V476" s="97"/>
      <c r="W476" s="97"/>
      <c r="X476" s="97"/>
      <c r="Y476" s="97"/>
      <c r="Z476" s="97"/>
      <c r="AA476" s="97"/>
    </row>
    <row r="477" ht="15.75" customHeight="1">
      <c r="A477" s="97"/>
      <c r="B477" s="336"/>
      <c r="C477" s="337"/>
      <c r="D477" s="97"/>
      <c r="E477" s="337"/>
      <c r="F477" s="338"/>
      <c r="G477" s="336"/>
      <c r="H477" s="337"/>
      <c r="I477" s="338"/>
      <c r="J477" s="97"/>
      <c r="K477" s="339"/>
      <c r="L477" s="339"/>
      <c r="M477" s="339"/>
      <c r="N477" s="339"/>
      <c r="O477" s="339"/>
      <c r="P477" s="339"/>
      <c r="Q477" s="340"/>
      <c r="R477" s="97"/>
      <c r="S477" s="97"/>
      <c r="T477" s="298"/>
      <c r="U477" s="97"/>
      <c r="V477" s="97"/>
      <c r="W477" s="97"/>
      <c r="X477" s="97"/>
      <c r="Y477" s="97"/>
      <c r="Z477" s="97"/>
      <c r="AA477" s="97"/>
    </row>
    <row r="478" ht="15.75" customHeight="1">
      <c r="A478" s="97"/>
      <c r="B478" s="336"/>
      <c r="C478" s="337"/>
      <c r="D478" s="97"/>
      <c r="E478" s="337"/>
      <c r="F478" s="338"/>
      <c r="G478" s="336"/>
      <c r="H478" s="337"/>
      <c r="I478" s="338"/>
      <c r="J478" s="97"/>
      <c r="K478" s="339"/>
      <c r="L478" s="339"/>
      <c r="M478" s="339"/>
      <c r="N478" s="339"/>
      <c r="O478" s="339"/>
      <c r="P478" s="339"/>
      <c r="Q478" s="340"/>
      <c r="R478" s="97"/>
      <c r="S478" s="97"/>
      <c r="T478" s="298"/>
      <c r="U478" s="97"/>
      <c r="V478" s="97"/>
      <c r="W478" s="97"/>
      <c r="X478" s="97"/>
      <c r="Y478" s="97"/>
      <c r="Z478" s="97"/>
      <c r="AA478" s="97"/>
    </row>
    <row r="479" ht="15.75" customHeight="1">
      <c r="A479" s="97"/>
      <c r="B479" s="336"/>
      <c r="C479" s="337"/>
      <c r="D479" s="97"/>
      <c r="E479" s="337"/>
      <c r="F479" s="338"/>
      <c r="G479" s="336"/>
      <c r="H479" s="337"/>
      <c r="I479" s="338"/>
      <c r="J479" s="97"/>
      <c r="K479" s="339"/>
      <c r="L479" s="339"/>
      <c r="M479" s="339"/>
      <c r="N479" s="339"/>
      <c r="O479" s="339"/>
      <c r="P479" s="339"/>
      <c r="Q479" s="340"/>
      <c r="R479" s="97"/>
      <c r="S479" s="97"/>
      <c r="T479" s="298"/>
      <c r="U479" s="97"/>
      <c r="V479" s="97"/>
      <c r="W479" s="97"/>
      <c r="X479" s="97"/>
      <c r="Y479" s="97"/>
      <c r="Z479" s="97"/>
      <c r="AA479" s="97"/>
    </row>
    <row r="480" ht="15.75" customHeight="1">
      <c r="A480" s="97"/>
      <c r="B480" s="336"/>
      <c r="C480" s="337"/>
      <c r="D480" s="97"/>
      <c r="E480" s="337"/>
      <c r="F480" s="338"/>
      <c r="G480" s="336"/>
      <c r="H480" s="337"/>
      <c r="I480" s="338"/>
      <c r="J480" s="97"/>
      <c r="K480" s="339"/>
      <c r="L480" s="339"/>
      <c r="M480" s="339"/>
      <c r="N480" s="339"/>
      <c r="O480" s="339"/>
      <c r="P480" s="339"/>
      <c r="Q480" s="340"/>
      <c r="R480" s="97"/>
      <c r="S480" s="97"/>
      <c r="T480" s="298"/>
      <c r="U480" s="97"/>
      <c r="V480" s="97"/>
      <c r="W480" s="97"/>
      <c r="X480" s="97"/>
      <c r="Y480" s="97"/>
      <c r="Z480" s="97"/>
      <c r="AA480" s="97"/>
    </row>
    <row r="481" ht="15.75" customHeight="1">
      <c r="A481" s="97"/>
      <c r="B481" s="336"/>
      <c r="C481" s="337"/>
      <c r="D481" s="97"/>
      <c r="E481" s="337"/>
      <c r="F481" s="338"/>
      <c r="G481" s="336"/>
      <c r="H481" s="337"/>
      <c r="I481" s="338"/>
      <c r="J481" s="97"/>
      <c r="K481" s="339"/>
      <c r="L481" s="339"/>
      <c r="M481" s="339"/>
      <c r="N481" s="339"/>
      <c r="O481" s="339"/>
      <c r="P481" s="339"/>
      <c r="Q481" s="340"/>
      <c r="R481" s="97"/>
      <c r="S481" s="97"/>
      <c r="T481" s="298"/>
      <c r="U481" s="97"/>
      <c r="V481" s="97"/>
      <c r="W481" s="97"/>
      <c r="X481" s="97"/>
      <c r="Y481" s="97"/>
      <c r="Z481" s="97"/>
      <c r="AA481" s="97"/>
    </row>
    <row r="482" ht="15.75" customHeight="1">
      <c r="A482" s="97"/>
      <c r="B482" s="336"/>
      <c r="C482" s="337"/>
      <c r="D482" s="97"/>
      <c r="E482" s="337"/>
      <c r="F482" s="338"/>
      <c r="G482" s="336"/>
      <c r="H482" s="337"/>
      <c r="I482" s="338"/>
      <c r="J482" s="97"/>
      <c r="K482" s="339"/>
      <c r="L482" s="339"/>
      <c r="M482" s="339"/>
      <c r="N482" s="339"/>
      <c r="O482" s="339"/>
      <c r="P482" s="339"/>
      <c r="Q482" s="340"/>
      <c r="R482" s="97"/>
      <c r="S482" s="97"/>
      <c r="T482" s="298"/>
      <c r="U482" s="97"/>
      <c r="V482" s="97"/>
      <c r="W482" s="97"/>
      <c r="X482" s="97"/>
      <c r="Y482" s="97"/>
      <c r="Z482" s="97"/>
      <c r="AA482" s="97"/>
    </row>
    <row r="483" ht="15.75" customHeight="1">
      <c r="A483" s="97"/>
      <c r="B483" s="336"/>
      <c r="C483" s="337"/>
      <c r="D483" s="97"/>
      <c r="E483" s="337"/>
      <c r="F483" s="338"/>
      <c r="G483" s="336"/>
      <c r="H483" s="337"/>
      <c r="I483" s="338"/>
      <c r="J483" s="97"/>
      <c r="K483" s="339"/>
      <c r="L483" s="339"/>
      <c r="M483" s="339"/>
      <c r="N483" s="339"/>
      <c r="O483" s="339"/>
      <c r="P483" s="339"/>
      <c r="Q483" s="340"/>
      <c r="R483" s="97"/>
      <c r="S483" s="97"/>
      <c r="T483" s="298"/>
      <c r="U483" s="97"/>
      <c r="V483" s="97"/>
      <c r="W483" s="97"/>
      <c r="X483" s="97"/>
      <c r="Y483" s="97"/>
      <c r="Z483" s="97"/>
      <c r="AA483" s="97"/>
    </row>
    <row r="484" ht="15.75" customHeight="1">
      <c r="A484" s="97"/>
      <c r="B484" s="336"/>
      <c r="C484" s="337"/>
      <c r="D484" s="97"/>
      <c r="E484" s="337"/>
      <c r="F484" s="338"/>
      <c r="G484" s="336"/>
      <c r="H484" s="337"/>
      <c r="I484" s="338"/>
      <c r="J484" s="97"/>
      <c r="K484" s="339"/>
      <c r="L484" s="339"/>
      <c r="M484" s="339"/>
      <c r="N484" s="339"/>
      <c r="O484" s="339"/>
      <c r="P484" s="339"/>
      <c r="Q484" s="340"/>
      <c r="R484" s="97"/>
      <c r="S484" s="97"/>
      <c r="T484" s="298"/>
      <c r="U484" s="97"/>
      <c r="V484" s="97"/>
      <c r="W484" s="97"/>
      <c r="X484" s="97"/>
      <c r="Y484" s="97"/>
      <c r="Z484" s="97"/>
      <c r="AA484" s="97"/>
    </row>
    <row r="485" ht="15.75" customHeight="1">
      <c r="A485" s="97"/>
      <c r="B485" s="336"/>
      <c r="C485" s="337"/>
      <c r="D485" s="97"/>
      <c r="E485" s="337"/>
      <c r="F485" s="338"/>
      <c r="G485" s="336"/>
      <c r="H485" s="337"/>
      <c r="I485" s="338"/>
      <c r="J485" s="97"/>
      <c r="K485" s="339"/>
      <c r="L485" s="339"/>
      <c r="M485" s="339"/>
      <c r="N485" s="339"/>
      <c r="O485" s="339"/>
      <c r="P485" s="339"/>
      <c r="Q485" s="340"/>
      <c r="R485" s="97"/>
      <c r="S485" s="97"/>
      <c r="T485" s="298"/>
      <c r="U485" s="97"/>
      <c r="V485" s="97"/>
      <c r="W485" s="97"/>
      <c r="X485" s="97"/>
      <c r="Y485" s="97"/>
      <c r="Z485" s="97"/>
      <c r="AA485" s="97"/>
    </row>
    <row r="486" ht="15.75" customHeight="1">
      <c r="A486" s="97"/>
      <c r="B486" s="336"/>
      <c r="C486" s="337"/>
      <c r="D486" s="97"/>
      <c r="E486" s="337"/>
      <c r="F486" s="338"/>
      <c r="G486" s="336"/>
      <c r="H486" s="337"/>
      <c r="I486" s="338"/>
      <c r="J486" s="97"/>
      <c r="K486" s="339"/>
      <c r="L486" s="339"/>
      <c r="M486" s="339"/>
      <c r="N486" s="339"/>
      <c r="O486" s="339"/>
      <c r="P486" s="339"/>
      <c r="Q486" s="340"/>
      <c r="R486" s="97"/>
      <c r="S486" s="97"/>
      <c r="T486" s="298"/>
      <c r="U486" s="97"/>
      <c r="V486" s="97"/>
      <c r="W486" s="97"/>
      <c r="X486" s="97"/>
      <c r="Y486" s="97"/>
      <c r="Z486" s="97"/>
      <c r="AA486" s="97"/>
    </row>
    <row r="487" ht="15.75" customHeight="1">
      <c r="A487" s="97"/>
      <c r="B487" s="336"/>
      <c r="C487" s="337"/>
      <c r="D487" s="97"/>
      <c r="E487" s="337"/>
      <c r="F487" s="338"/>
      <c r="G487" s="336"/>
      <c r="H487" s="337"/>
      <c r="I487" s="338"/>
      <c r="J487" s="97"/>
      <c r="K487" s="339"/>
      <c r="L487" s="339"/>
      <c r="M487" s="339"/>
      <c r="N487" s="339"/>
      <c r="O487" s="339"/>
      <c r="P487" s="339"/>
      <c r="Q487" s="340"/>
      <c r="R487" s="97"/>
      <c r="S487" s="97"/>
      <c r="T487" s="298"/>
      <c r="U487" s="97"/>
      <c r="V487" s="97"/>
      <c r="W487" s="97"/>
      <c r="X487" s="97"/>
      <c r="Y487" s="97"/>
      <c r="Z487" s="97"/>
      <c r="AA487" s="97"/>
    </row>
    <row r="488" ht="15.75" customHeight="1">
      <c r="A488" s="97"/>
      <c r="B488" s="336"/>
      <c r="C488" s="337"/>
      <c r="D488" s="97"/>
      <c r="E488" s="337"/>
      <c r="F488" s="338"/>
      <c r="G488" s="336"/>
      <c r="H488" s="337"/>
      <c r="I488" s="338"/>
      <c r="J488" s="97"/>
      <c r="K488" s="339"/>
      <c r="L488" s="339"/>
      <c r="M488" s="339"/>
      <c r="N488" s="339"/>
      <c r="O488" s="339"/>
      <c r="P488" s="339"/>
      <c r="Q488" s="340"/>
      <c r="R488" s="97"/>
      <c r="S488" s="97"/>
      <c r="T488" s="298"/>
      <c r="U488" s="97"/>
      <c r="V488" s="97"/>
      <c r="W488" s="97"/>
      <c r="X488" s="97"/>
      <c r="Y488" s="97"/>
      <c r="Z488" s="97"/>
      <c r="AA488" s="97"/>
    </row>
    <row r="489" ht="15.75" customHeight="1">
      <c r="A489" s="97"/>
      <c r="B489" s="336"/>
      <c r="C489" s="337"/>
      <c r="D489" s="97"/>
      <c r="E489" s="337"/>
      <c r="F489" s="338"/>
      <c r="G489" s="336"/>
      <c r="H489" s="337"/>
      <c r="I489" s="338"/>
      <c r="J489" s="97"/>
      <c r="K489" s="339"/>
      <c r="L489" s="339"/>
      <c r="M489" s="339"/>
      <c r="N489" s="339"/>
      <c r="O489" s="339"/>
      <c r="P489" s="339"/>
      <c r="Q489" s="340"/>
      <c r="R489" s="97"/>
      <c r="S489" s="97"/>
      <c r="T489" s="298"/>
      <c r="U489" s="97"/>
      <c r="V489" s="97"/>
      <c r="W489" s="97"/>
      <c r="X489" s="97"/>
      <c r="Y489" s="97"/>
      <c r="Z489" s="97"/>
      <c r="AA489" s="97"/>
    </row>
    <row r="490" ht="15.75" customHeight="1">
      <c r="A490" s="97"/>
      <c r="B490" s="336"/>
      <c r="C490" s="337"/>
      <c r="D490" s="97"/>
      <c r="E490" s="337"/>
      <c r="F490" s="338"/>
      <c r="G490" s="336"/>
      <c r="H490" s="337"/>
      <c r="I490" s="338"/>
      <c r="J490" s="97"/>
      <c r="K490" s="339"/>
      <c r="L490" s="339"/>
      <c r="M490" s="339"/>
      <c r="N490" s="339"/>
      <c r="O490" s="339"/>
      <c r="P490" s="339"/>
      <c r="Q490" s="340"/>
      <c r="R490" s="97"/>
      <c r="S490" s="97"/>
      <c r="T490" s="298"/>
      <c r="U490" s="97"/>
      <c r="V490" s="97"/>
      <c r="W490" s="97"/>
      <c r="X490" s="97"/>
      <c r="Y490" s="97"/>
      <c r="Z490" s="97"/>
      <c r="AA490" s="97"/>
    </row>
    <row r="491" ht="15.75" customHeight="1">
      <c r="A491" s="97"/>
      <c r="B491" s="336"/>
      <c r="C491" s="337"/>
      <c r="D491" s="97"/>
      <c r="E491" s="337"/>
      <c r="F491" s="338"/>
      <c r="G491" s="336"/>
      <c r="H491" s="337"/>
      <c r="I491" s="338"/>
      <c r="J491" s="97"/>
      <c r="K491" s="339"/>
      <c r="L491" s="339"/>
      <c r="M491" s="339"/>
      <c r="N491" s="339"/>
      <c r="O491" s="339"/>
      <c r="P491" s="339"/>
      <c r="Q491" s="340"/>
      <c r="R491" s="97"/>
      <c r="S491" s="97"/>
      <c r="T491" s="298"/>
      <c r="U491" s="97"/>
      <c r="V491" s="97"/>
      <c r="W491" s="97"/>
      <c r="X491" s="97"/>
      <c r="Y491" s="97"/>
      <c r="Z491" s="97"/>
      <c r="AA491" s="97"/>
    </row>
    <row r="492" ht="15.75" customHeight="1">
      <c r="A492" s="97"/>
      <c r="B492" s="336"/>
      <c r="C492" s="337"/>
      <c r="D492" s="97"/>
      <c r="E492" s="337"/>
      <c r="F492" s="338"/>
      <c r="G492" s="336"/>
      <c r="H492" s="337"/>
      <c r="I492" s="338"/>
      <c r="J492" s="97"/>
      <c r="K492" s="339"/>
      <c r="L492" s="339"/>
      <c r="M492" s="339"/>
      <c r="N492" s="339"/>
      <c r="O492" s="339"/>
      <c r="P492" s="339"/>
      <c r="Q492" s="340"/>
      <c r="R492" s="97"/>
      <c r="S492" s="97"/>
      <c r="T492" s="298"/>
      <c r="U492" s="97"/>
      <c r="V492" s="97"/>
      <c r="W492" s="97"/>
      <c r="X492" s="97"/>
      <c r="Y492" s="97"/>
      <c r="Z492" s="97"/>
      <c r="AA492" s="97"/>
    </row>
    <row r="493" ht="15.75" customHeight="1">
      <c r="A493" s="97"/>
      <c r="B493" s="336"/>
      <c r="C493" s="337"/>
      <c r="D493" s="97"/>
      <c r="E493" s="337"/>
      <c r="F493" s="338"/>
      <c r="G493" s="336"/>
      <c r="H493" s="337"/>
      <c r="I493" s="338"/>
      <c r="J493" s="97"/>
      <c r="K493" s="339"/>
      <c r="L493" s="339"/>
      <c r="M493" s="339"/>
      <c r="N493" s="339"/>
      <c r="O493" s="339"/>
      <c r="P493" s="339"/>
      <c r="Q493" s="340"/>
      <c r="R493" s="97"/>
      <c r="S493" s="97"/>
      <c r="T493" s="298"/>
      <c r="U493" s="97"/>
      <c r="V493" s="97"/>
      <c r="W493" s="97"/>
      <c r="X493" s="97"/>
      <c r="Y493" s="97"/>
      <c r="Z493" s="97"/>
      <c r="AA493" s="97"/>
    </row>
    <row r="494" ht="15.75" customHeight="1">
      <c r="A494" s="97"/>
      <c r="B494" s="336"/>
      <c r="C494" s="337"/>
      <c r="D494" s="97"/>
      <c r="E494" s="337"/>
      <c r="F494" s="338"/>
      <c r="G494" s="336"/>
      <c r="H494" s="337"/>
      <c r="I494" s="338"/>
      <c r="J494" s="97"/>
      <c r="K494" s="339"/>
      <c r="L494" s="339"/>
      <c r="M494" s="339"/>
      <c r="N494" s="339"/>
      <c r="O494" s="339"/>
      <c r="P494" s="339"/>
      <c r="Q494" s="340"/>
      <c r="R494" s="97"/>
      <c r="S494" s="97"/>
      <c r="T494" s="298"/>
      <c r="U494" s="97"/>
      <c r="V494" s="97"/>
      <c r="W494" s="97"/>
      <c r="X494" s="97"/>
      <c r="Y494" s="97"/>
      <c r="Z494" s="97"/>
      <c r="AA494" s="97"/>
    </row>
    <row r="495" ht="15.75" customHeight="1">
      <c r="A495" s="97"/>
      <c r="B495" s="336"/>
      <c r="C495" s="337"/>
      <c r="D495" s="97"/>
      <c r="E495" s="337"/>
      <c r="F495" s="338"/>
      <c r="G495" s="336"/>
      <c r="H495" s="337"/>
      <c r="I495" s="338"/>
      <c r="J495" s="97"/>
      <c r="K495" s="339"/>
      <c r="L495" s="339"/>
      <c r="M495" s="339"/>
      <c r="N495" s="339"/>
      <c r="O495" s="339"/>
      <c r="P495" s="339"/>
      <c r="Q495" s="340"/>
      <c r="R495" s="97"/>
      <c r="S495" s="97"/>
      <c r="T495" s="298"/>
      <c r="U495" s="97"/>
      <c r="V495" s="97"/>
      <c r="W495" s="97"/>
      <c r="X495" s="97"/>
      <c r="Y495" s="97"/>
      <c r="Z495" s="97"/>
      <c r="AA495" s="97"/>
    </row>
    <row r="496" ht="15.75" customHeight="1">
      <c r="A496" s="97"/>
      <c r="B496" s="336"/>
      <c r="C496" s="337"/>
      <c r="D496" s="97"/>
      <c r="E496" s="337"/>
      <c r="F496" s="338"/>
      <c r="G496" s="336"/>
      <c r="H496" s="337"/>
      <c r="I496" s="338"/>
      <c r="J496" s="97"/>
      <c r="K496" s="339"/>
      <c r="L496" s="339"/>
      <c r="M496" s="339"/>
      <c r="N496" s="339"/>
      <c r="O496" s="339"/>
      <c r="P496" s="339"/>
      <c r="Q496" s="340"/>
      <c r="R496" s="97"/>
      <c r="S496" s="97"/>
      <c r="T496" s="298"/>
      <c r="U496" s="97"/>
      <c r="V496" s="97"/>
      <c r="W496" s="97"/>
      <c r="X496" s="97"/>
      <c r="Y496" s="97"/>
      <c r="Z496" s="97"/>
      <c r="AA496" s="97"/>
    </row>
    <row r="497" ht="15.75" customHeight="1">
      <c r="A497" s="97"/>
      <c r="B497" s="336"/>
      <c r="C497" s="337"/>
      <c r="D497" s="97"/>
      <c r="E497" s="337"/>
      <c r="F497" s="338"/>
      <c r="G497" s="336"/>
      <c r="H497" s="337"/>
      <c r="I497" s="338"/>
      <c r="J497" s="97"/>
      <c r="K497" s="339"/>
      <c r="L497" s="339"/>
      <c r="M497" s="339"/>
      <c r="N497" s="339"/>
      <c r="O497" s="339"/>
      <c r="P497" s="339"/>
      <c r="Q497" s="340"/>
      <c r="R497" s="97"/>
      <c r="S497" s="97"/>
      <c r="T497" s="298"/>
      <c r="U497" s="97"/>
      <c r="V497" s="97"/>
      <c r="W497" s="97"/>
      <c r="X497" s="97"/>
      <c r="Y497" s="97"/>
      <c r="Z497" s="97"/>
      <c r="AA497" s="97"/>
    </row>
    <row r="498" ht="15.75" customHeight="1">
      <c r="A498" s="97"/>
      <c r="B498" s="336"/>
      <c r="C498" s="337"/>
      <c r="D498" s="97"/>
      <c r="E498" s="337"/>
      <c r="F498" s="338"/>
      <c r="G498" s="336"/>
      <c r="H498" s="337"/>
      <c r="I498" s="338"/>
      <c r="J498" s="97"/>
      <c r="K498" s="339"/>
      <c r="L498" s="339"/>
      <c r="M498" s="339"/>
      <c r="N498" s="339"/>
      <c r="O498" s="339"/>
      <c r="P498" s="339"/>
      <c r="Q498" s="340"/>
      <c r="R498" s="97"/>
      <c r="S498" s="97"/>
      <c r="T498" s="298"/>
      <c r="U498" s="97"/>
      <c r="V498" s="97"/>
      <c r="W498" s="97"/>
      <c r="X498" s="97"/>
      <c r="Y498" s="97"/>
      <c r="Z498" s="97"/>
      <c r="AA498" s="97"/>
    </row>
    <row r="499" ht="15.75" customHeight="1">
      <c r="A499" s="97"/>
      <c r="B499" s="336"/>
      <c r="C499" s="337"/>
      <c r="D499" s="97"/>
      <c r="E499" s="337"/>
      <c r="F499" s="338"/>
      <c r="G499" s="336"/>
      <c r="H499" s="337"/>
      <c r="I499" s="338"/>
      <c r="J499" s="97"/>
      <c r="K499" s="339"/>
      <c r="L499" s="339"/>
      <c r="M499" s="339"/>
      <c r="N499" s="339"/>
      <c r="O499" s="339"/>
      <c r="P499" s="339"/>
      <c r="Q499" s="340"/>
      <c r="R499" s="97"/>
      <c r="S499" s="97"/>
      <c r="T499" s="298"/>
      <c r="U499" s="97"/>
      <c r="V499" s="97"/>
      <c r="W499" s="97"/>
      <c r="X499" s="97"/>
      <c r="Y499" s="97"/>
      <c r="Z499" s="97"/>
      <c r="AA499" s="97"/>
    </row>
    <row r="500" ht="15.75" customHeight="1">
      <c r="A500" s="97"/>
      <c r="B500" s="336"/>
      <c r="C500" s="337"/>
      <c r="D500" s="97"/>
      <c r="E500" s="337"/>
      <c r="F500" s="338"/>
      <c r="G500" s="336"/>
      <c r="H500" s="337"/>
      <c r="I500" s="338"/>
      <c r="J500" s="97"/>
      <c r="K500" s="339"/>
      <c r="L500" s="339"/>
      <c r="M500" s="339"/>
      <c r="N500" s="339"/>
      <c r="O500" s="339"/>
      <c r="P500" s="339"/>
      <c r="Q500" s="340"/>
      <c r="R500" s="97"/>
      <c r="S500" s="97"/>
      <c r="T500" s="298"/>
      <c r="U500" s="97"/>
      <c r="V500" s="97"/>
      <c r="W500" s="97"/>
      <c r="X500" s="97"/>
      <c r="Y500" s="97"/>
      <c r="Z500" s="97"/>
      <c r="AA500" s="97"/>
    </row>
    <row r="501" ht="15.75" customHeight="1">
      <c r="A501" s="97"/>
      <c r="B501" s="336"/>
      <c r="C501" s="337"/>
      <c r="D501" s="97"/>
      <c r="E501" s="337"/>
      <c r="F501" s="338"/>
      <c r="G501" s="336"/>
      <c r="H501" s="337"/>
      <c r="I501" s="338"/>
      <c r="J501" s="97"/>
      <c r="K501" s="339"/>
      <c r="L501" s="339"/>
      <c r="M501" s="339"/>
      <c r="N501" s="339"/>
      <c r="O501" s="339"/>
      <c r="P501" s="339"/>
      <c r="Q501" s="340"/>
      <c r="R501" s="97"/>
      <c r="S501" s="97"/>
      <c r="T501" s="298"/>
      <c r="U501" s="97"/>
      <c r="V501" s="97"/>
      <c r="W501" s="97"/>
      <c r="X501" s="97"/>
      <c r="Y501" s="97"/>
      <c r="Z501" s="97"/>
      <c r="AA501" s="97"/>
    </row>
    <row r="502" ht="15.75" customHeight="1">
      <c r="A502" s="97"/>
      <c r="B502" s="336"/>
      <c r="C502" s="337"/>
      <c r="D502" s="97"/>
      <c r="E502" s="337"/>
      <c r="F502" s="338"/>
      <c r="G502" s="336"/>
      <c r="H502" s="337"/>
      <c r="I502" s="338"/>
      <c r="J502" s="97"/>
      <c r="K502" s="339"/>
      <c r="L502" s="339"/>
      <c r="M502" s="339"/>
      <c r="N502" s="339"/>
      <c r="O502" s="339"/>
      <c r="P502" s="339"/>
      <c r="Q502" s="340"/>
      <c r="R502" s="97"/>
      <c r="S502" s="97"/>
      <c r="T502" s="298"/>
      <c r="U502" s="97"/>
      <c r="V502" s="97"/>
      <c r="W502" s="97"/>
      <c r="X502" s="97"/>
      <c r="Y502" s="97"/>
      <c r="Z502" s="97"/>
      <c r="AA502" s="97"/>
    </row>
    <row r="503" ht="15.75" customHeight="1">
      <c r="A503" s="97"/>
      <c r="B503" s="336"/>
      <c r="C503" s="337"/>
      <c r="D503" s="97"/>
      <c r="E503" s="337"/>
      <c r="F503" s="338"/>
      <c r="G503" s="336"/>
      <c r="H503" s="337"/>
      <c r="I503" s="338"/>
      <c r="J503" s="97"/>
      <c r="K503" s="339"/>
      <c r="L503" s="339"/>
      <c r="M503" s="339"/>
      <c r="N503" s="339"/>
      <c r="O503" s="339"/>
      <c r="P503" s="339"/>
      <c r="Q503" s="340"/>
      <c r="R503" s="97"/>
      <c r="S503" s="97"/>
      <c r="T503" s="298"/>
      <c r="U503" s="97"/>
      <c r="V503" s="97"/>
      <c r="W503" s="97"/>
      <c r="X503" s="97"/>
      <c r="Y503" s="97"/>
      <c r="Z503" s="97"/>
      <c r="AA503" s="97"/>
    </row>
    <row r="504" ht="15.75" customHeight="1">
      <c r="A504" s="97"/>
      <c r="B504" s="336"/>
      <c r="C504" s="337"/>
      <c r="D504" s="97"/>
      <c r="E504" s="337"/>
      <c r="F504" s="338"/>
      <c r="G504" s="336"/>
      <c r="H504" s="337"/>
      <c r="I504" s="338"/>
      <c r="J504" s="97"/>
      <c r="K504" s="339"/>
      <c r="L504" s="339"/>
      <c r="M504" s="339"/>
      <c r="N504" s="339"/>
      <c r="O504" s="339"/>
      <c r="P504" s="339"/>
      <c r="Q504" s="340"/>
      <c r="R504" s="97"/>
      <c r="S504" s="97"/>
      <c r="T504" s="298"/>
      <c r="U504" s="97"/>
      <c r="V504" s="97"/>
      <c r="W504" s="97"/>
      <c r="X504" s="97"/>
      <c r="Y504" s="97"/>
      <c r="Z504" s="97"/>
      <c r="AA504" s="97"/>
    </row>
    <row r="505" ht="15.75" customHeight="1">
      <c r="A505" s="97"/>
      <c r="B505" s="336"/>
      <c r="C505" s="337"/>
      <c r="D505" s="97"/>
      <c r="E505" s="337"/>
      <c r="F505" s="338"/>
      <c r="G505" s="336"/>
      <c r="H505" s="337"/>
      <c r="I505" s="338"/>
      <c r="J505" s="97"/>
      <c r="K505" s="339"/>
      <c r="L505" s="339"/>
      <c r="M505" s="339"/>
      <c r="N505" s="339"/>
      <c r="O505" s="339"/>
      <c r="P505" s="339"/>
      <c r="Q505" s="340"/>
      <c r="R505" s="97"/>
      <c r="S505" s="97"/>
      <c r="T505" s="298"/>
      <c r="U505" s="97"/>
      <c r="V505" s="97"/>
      <c r="W505" s="97"/>
      <c r="X505" s="97"/>
      <c r="Y505" s="97"/>
      <c r="Z505" s="97"/>
      <c r="AA505" s="97"/>
    </row>
    <row r="506" ht="15.75" customHeight="1">
      <c r="A506" s="97"/>
      <c r="B506" s="336"/>
      <c r="C506" s="337"/>
      <c r="D506" s="97"/>
      <c r="E506" s="337"/>
      <c r="F506" s="338"/>
      <c r="G506" s="336"/>
      <c r="H506" s="337"/>
      <c r="I506" s="338"/>
      <c r="J506" s="97"/>
      <c r="K506" s="339"/>
      <c r="L506" s="339"/>
      <c r="M506" s="339"/>
      <c r="N506" s="339"/>
      <c r="O506" s="339"/>
      <c r="P506" s="339"/>
      <c r="Q506" s="340"/>
      <c r="R506" s="97"/>
      <c r="S506" s="97"/>
      <c r="T506" s="298"/>
      <c r="U506" s="97"/>
      <c r="V506" s="97"/>
      <c r="W506" s="97"/>
      <c r="X506" s="97"/>
      <c r="Y506" s="97"/>
      <c r="Z506" s="97"/>
      <c r="AA506" s="97"/>
    </row>
    <row r="507" ht="15.75" customHeight="1">
      <c r="A507" s="97"/>
      <c r="B507" s="336"/>
      <c r="C507" s="337"/>
      <c r="D507" s="97"/>
      <c r="E507" s="337"/>
      <c r="F507" s="338"/>
      <c r="G507" s="336"/>
      <c r="H507" s="337"/>
      <c r="I507" s="338"/>
      <c r="J507" s="97"/>
      <c r="K507" s="339"/>
      <c r="L507" s="339"/>
      <c r="M507" s="339"/>
      <c r="N507" s="339"/>
      <c r="O507" s="339"/>
      <c r="P507" s="339"/>
      <c r="Q507" s="340"/>
      <c r="R507" s="97"/>
      <c r="S507" s="97"/>
      <c r="T507" s="298"/>
      <c r="U507" s="97"/>
      <c r="V507" s="97"/>
      <c r="W507" s="97"/>
      <c r="X507" s="97"/>
      <c r="Y507" s="97"/>
      <c r="Z507" s="97"/>
      <c r="AA507" s="97"/>
    </row>
    <row r="508" ht="15.75" customHeight="1">
      <c r="A508" s="97"/>
      <c r="B508" s="336"/>
      <c r="C508" s="337"/>
      <c r="D508" s="97"/>
      <c r="E508" s="337"/>
      <c r="F508" s="338"/>
      <c r="G508" s="336"/>
      <c r="H508" s="337"/>
      <c r="I508" s="338"/>
      <c r="J508" s="97"/>
      <c r="K508" s="339"/>
      <c r="L508" s="339"/>
      <c r="M508" s="339"/>
      <c r="N508" s="339"/>
      <c r="O508" s="339"/>
      <c r="P508" s="339"/>
      <c r="Q508" s="340"/>
      <c r="R508" s="97"/>
      <c r="S508" s="97"/>
      <c r="T508" s="298"/>
      <c r="U508" s="97"/>
      <c r="V508" s="97"/>
      <c r="W508" s="97"/>
      <c r="X508" s="97"/>
      <c r="Y508" s="97"/>
      <c r="Z508" s="97"/>
      <c r="AA508" s="97"/>
    </row>
    <row r="509" ht="15.75" customHeight="1">
      <c r="A509" s="97"/>
      <c r="B509" s="336"/>
      <c r="C509" s="337"/>
      <c r="D509" s="97"/>
      <c r="E509" s="337"/>
      <c r="F509" s="338"/>
      <c r="G509" s="336"/>
      <c r="H509" s="337"/>
      <c r="I509" s="338"/>
      <c r="J509" s="97"/>
      <c r="K509" s="339"/>
      <c r="L509" s="339"/>
      <c r="M509" s="339"/>
      <c r="N509" s="339"/>
      <c r="O509" s="339"/>
      <c r="P509" s="339"/>
      <c r="Q509" s="340"/>
      <c r="R509" s="97"/>
      <c r="S509" s="97"/>
      <c r="T509" s="298"/>
      <c r="U509" s="97"/>
      <c r="V509" s="97"/>
      <c r="W509" s="97"/>
      <c r="X509" s="97"/>
      <c r="Y509" s="97"/>
      <c r="Z509" s="97"/>
      <c r="AA509" s="97"/>
    </row>
    <row r="510" ht="15.75" customHeight="1">
      <c r="A510" s="97"/>
      <c r="B510" s="336"/>
      <c r="C510" s="337"/>
      <c r="D510" s="97"/>
      <c r="E510" s="337"/>
      <c r="F510" s="338"/>
      <c r="G510" s="336"/>
      <c r="H510" s="337"/>
      <c r="I510" s="338"/>
      <c r="J510" s="97"/>
      <c r="K510" s="339"/>
      <c r="L510" s="339"/>
      <c r="M510" s="339"/>
      <c r="N510" s="339"/>
      <c r="O510" s="339"/>
      <c r="P510" s="339"/>
      <c r="Q510" s="340"/>
      <c r="R510" s="97"/>
      <c r="S510" s="97"/>
      <c r="T510" s="298"/>
      <c r="U510" s="97"/>
      <c r="V510" s="97"/>
      <c r="W510" s="97"/>
      <c r="X510" s="97"/>
      <c r="Y510" s="97"/>
      <c r="Z510" s="97"/>
      <c r="AA510" s="97"/>
    </row>
    <row r="511" ht="15.75" customHeight="1">
      <c r="A511" s="97"/>
      <c r="B511" s="336"/>
      <c r="C511" s="337"/>
      <c r="D511" s="97"/>
      <c r="E511" s="337"/>
      <c r="F511" s="338"/>
      <c r="G511" s="336"/>
      <c r="H511" s="337"/>
      <c r="I511" s="338"/>
      <c r="J511" s="97"/>
      <c r="K511" s="339"/>
      <c r="L511" s="339"/>
      <c r="M511" s="339"/>
      <c r="N511" s="339"/>
      <c r="O511" s="339"/>
      <c r="P511" s="339"/>
      <c r="Q511" s="340"/>
      <c r="R511" s="97"/>
      <c r="S511" s="97"/>
      <c r="T511" s="298"/>
      <c r="U511" s="97"/>
      <c r="V511" s="97"/>
      <c r="W511" s="97"/>
      <c r="X511" s="97"/>
      <c r="Y511" s="97"/>
      <c r="Z511" s="97"/>
      <c r="AA511" s="97"/>
    </row>
    <row r="512" ht="15.75" customHeight="1">
      <c r="A512" s="97"/>
      <c r="B512" s="336"/>
      <c r="C512" s="337"/>
      <c r="D512" s="97"/>
      <c r="E512" s="337"/>
      <c r="F512" s="338"/>
      <c r="G512" s="336"/>
      <c r="H512" s="337"/>
      <c r="I512" s="338"/>
      <c r="J512" s="97"/>
      <c r="K512" s="339"/>
      <c r="L512" s="339"/>
      <c r="M512" s="339"/>
      <c r="N512" s="339"/>
      <c r="O512" s="339"/>
      <c r="P512" s="339"/>
      <c r="Q512" s="340"/>
      <c r="R512" s="97"/>
      <c r="S512" s="97"/>
      <c r="T512" s="298"/>
      <c r="U512" s="97"/>
      <c r="V512" s="97"/>
      <c r="W512" s="97"/>
      <c r="X512" s="97"/>
      <c r="Y512" s="97"/>
      <c r="Z512" s="97"/>
      <c r="AA512" s="97"/>
    </row>
    <row r="513" ht="15.75" customHeight="1">
      <c r="A513" s="97"/>
      <c r="B513" s="336"/>
      <c r="C513" s="337"/>
      <c r="D513" s="97"/>
      <c r="E513" s="337"/>
      <c r="F513" s="338"/>
      <c r="G513" s="336"/>
      <c r="H513" s="337"/>
      <c r="I513" s="338"/>
      <c r="J513" s="97"/>
      <c r="K513" s="339"/>
      <c r="L513" s="339"/>
      <c r="M513" s="339"/>
      <c r="N513" s="339"/>
      <c r="O513" s="339"/>
      <c r="P513" s="339"/>
      <c r="Q513" s="340"/>
      <c r="R513" s="97"/>
      <c r="S513" s="97"/>
      <c r="T513" s="298"/>
      <c r="U513" s="97"/>
      <c r="V513" s="97"/>
      <c r="W513" s="97"/>
      <c r="X513" s="97"/>
      <c r="Y513" s="97"/>
      <c r="Z513" s="97"/>
      <c r="AA513" s="97"/>
    </row>
    <row r="514" ht="15.75" customHeight="1">
      <c r="A514" s="97"/>
      <c r="B514" s="336"/>
      <c r="C514" s="337"/>
      <c r="D514" s="97"/>
      <c r="E514" s="337"/>
      <c r="F514" s="338"/>
      <c r="G514" s="336"/>
      <c r="H514" s="337"/>
      <c r="I514" s="338"/>
      <c r="J514" s="97"/>
      <c r="K514" s="339"/>
      <c r="L514" s="339"/>
      <c r="M514" s="339"/>
      <c r="N514" s="339"/>
      <c r="O514" s="339"/>
      <c r="P514" s="339"/>
      <c r="Q514" s="340"/>
      <c r="R514" s="97"/>
      <c r="S514" s="97"/>
      <c r="T514" s="298"/>
      <c r="U514" s="97"/>
      <c r="V514" s="97"/>
      <c r="W514" s="97"/>
      <c r="X514" s="97"/>
      <c r="Y514" s="97"/>
      <c r="Z514" s="97"/>
      <c r="AA514" s="97"/>
    </row>
    <row r="515" ht="15.75" customHeight="1">
      <c r="A515" s="97"/>
      <c r="B515" s="336"/>
      <c r="C515" s="337"/>
      <c r="D515" s="97"/>
      <c r="E515" s="337"/>
      <c r="F515" s="338"/>
      <c r="G515" s="336"/>
      <c r="H515" s="337"/>
      <c r="I515" s="338"/>
      <c r="J515" s="97"/>
      <c r="K515" s="339"/>
      <c r="L515" s="339"/>
      <c r="M515" s="339"/>
      <c r="N515" s="339"/>
      <c r="O515" s="339"/>
      <c r="P515" s="339"/>
      <c r="Q515" s="340"/>
      <c r="R515" s="97"/>
      <c r="S515" s="97"/>
      <c r="T515" s="298"/>
      <c r="U515" s="97"/>
      <c r="V515" s="97"/>
      <c r="W515" s="97"/>
      <c r="X515" s="97"/>
      <c r="Y515" s="97"/>
      <c r="Z515" s="97"/>
      <c r="AA515" s="97"/>
    </row>
    <row r="516" ht="15.75" customHeight="1">
      <c r="A516" s="97"/>
      <c r="B516" s="336"/>
      <c r="C516" s="337"/>
      <c r="D516" s="97"/>
      <c r="E516" s="337"/>
      <c r="F516" s="338"/>
      <c r="G516" s="336"/>
      <c r="H516" s="337"/>
      <c r="I516" s="338"/>
      <c r="J516" s="97"/>
      <c r="K516" s="339"/>
      <c r="L516" s="339"/>
      <c r="M516" s="339"/>
      <c r="N516" s="339"/>
      <c r="O516" s="339"/>
      <c r="P516" s="339"/>
      <c r="Q516" s="340"/>
      <c r="R516" s="97"/>
      <c r="S516" s="97"/>
      <c r="T516" s="298"/>
      <c r="U516" s="97"/>
      <c r="V516" s="97"/>
      <c r="W516" s="97"/>
      <c r="X516" s="97"/>
      <c r="Y516" s="97"/>
      <c r="Z516" s="97"/>
      <c r="AA516" s="97"/>
    </row>
    <row r="517" ht="15.75" customHeight="1">
      <c r="A517" s="97"/>
      <c r="B517" s="336"/>
      <c r="C517" s="337"/>
      <c r="D517" s="97"/>
      <c r="E517" s="337"/>
      <c r="F517" s="338"/>
      <c r="G517" s="336"/>
      <c r="H517" s="337"/>
      <c r="I517" s="338"/>
      <c r="J517" s="97"/>
      <c r="K517" s="339"/>
      <c r="L517" s="339"/>
      <c r="M517" s="339"/>
      <c r="N517" s="339"/>
      <c r="O517" s="339"/>
      <c r="P517" s="339"/>
      <c r="Q517" s="340"/>
      <c r="R517" s="97"/>
      <c r="S517" s="97"/>
      <c r="T517" s="298"/>
      <c r="U517" s="97"/>
      <c r="V517" s="97"/>
      <c r="W517" s="97"/>
      <c r="X517" s="97"/>
      <c r="Y517" s="97"/>
      <c r="Z517" s="97"/>
      <c r="AA517" s="97"/>
    </row>
    <row r="518" ht="15.75" customHeight="1">
      <c r="A518" s="97"/>
      <c r="B518" s="336"/>
      <c r="C518" s="337"/>
      <c r="D518" s="97"/>
      <c r="E518" s="337"/>
      <c r="F518" s="338"/>
      <c r="G518" s="336"/>
      <c r="H518" s="337"/>
      <c r="I518" s="338"/>
      <c r="J518" s="97"/>
      <c r="K518" s="339"/>
      <c r="L518" s="339"/>
      <c r="M518" s="339"/>
      <c r="N518" s="339"/>
      <c r="O518" s="339"/>
      <c r="P518" s="339"/>
      <c r="Q518" s="340"/>
      <c r="R518" s="97"/>
      <c r="S518" s="97"/>
      <c r="T518" s="298"/>
      <c r="U518" s="97"/>
      <c r="V518" s="97"/>
      <c r="W518" s="97"/>
      <c r="X518" s="97"/>
      <c r="Y518" s="97"/>
      <c r="Z518" s="97"/>
      <c r="AA518" s="97"/>
    </row>
    <row r="519" ht="15.75" customHeight="1">
      <c r="A519" s="97"/>
      <c r="B519" s="336"/>
      <c r="C519" s="337"/>
      <c r="D519" s="97"/>
      <c r="E519" s="337"/>
      <c r="F519" s="338"/>
      <c r="G519" s="336"/>
      <c r="H519" s="337"/>
      <c r="I519" s="338"/>
      <c r="J519" s="97"/>
      <c r="K519" s="339"/>
      <c r="L519" s="339"/>
      <c r="M519" s="339"/>
      <c r="N519" s="339"/>
      <c r="O519" s="339"/>
      <c r="P519" s="339"/>
      <c r="Q519" s="340"/>
      <c r="R519" s="97"/>
      <c r="S519" s="97"/>
      <c r="T519" s="298"/>
      <c r="U519" s="97"/>
      <c r="V519" s="97"/>
      <c r="W519" s="97"/>
      <c r="X519" s="97"/>
      <c r="Y519" s="97"/>
      <c r="Z519" s="97"/>
      <c r="AA519" s="97"/>
    </row>
    <row r="520" ht="15.75" customHeight="1">
      <c r="A520" s="97"/>
      <c r="B520" s="336"/>
      <c r="C520" s="337"/>
      <c r="D520" s="97"/>
      <c r="E520" s="337"/>
      <c r="F520" s="338"/>
      <c r="G520" s="336"/>
      <c r="H520" s="337"/>
      <c r="I520" s="338"/>
      <c r="J520" s="97"/>
      <c r="K520" s="339"/>
      <c r="L520" s="339"/>
      <c r="M520" s="339"/>
      <c r="N520" s="339"/>
      <c r="O520" s="339"/>
      <c r="P520" s="339"/>
      <c r="Q520" s="340"/>
      <c r="R520" s="97"/>
      <c r="S520" s="97"/>
      <c r="T520" s="298"/>
      <c r="U520" s="97"/>
      <c r="V520" s="97"/>
      <c r="W520" s="97"/>
      <c r="X520" s="97"/>
      <c r="Y520" s="97"/>
      <c r="Z520" s="97"/>
      <c r="AA520" s="97"/>
    </row>
    <row r="521" ht="15.75" customHeight="1">
      <c r="A521" s="97"/>
      <c r="B521" s="336"/>
      <c r="C521" s="337"/>
      <c r="D521" s="97"/>
      <c r="E521" s="337"/>
      <c r="F521" s="338"/>
      <c r="G521" s="336"/>
      <c r="H521" s="337"/>
      <c r="I521" s="338"/>
      <c r="J521" s="97"/>
      <c r="K521" s="339"/>
      <c r="L521" s="339"/>
      <c r="M521" s="339"/>
      <c r="N521" s="339"/>
      <c r="O521" s="339"/>
      <c r="P521" s="339"/>
      <c r="Q521" s="340"/>
      <c r="R521" s="97"/>
      <c r="S521" s="97"/>
      <c r="T521" s="298"/>
      <c r="U521" s="97"/>
      <c r="V521" s="97"/>
      <c r="W521" s="97"/>
      <c r="X521" s="97"/>
      <c r="Y521" s="97"/>
      <c r="Z521" s="97"/>
      <c r="AA521" s="97"/>
    </row>
    <row r="522" ht="15.75" customHeight="1">
      <c r="A522" s="97"/>
      <c r="B522" s="336"/>
      <c r="C522" s="337"/>
      <c r="D522" s="97"/>
      <c r="E522" s="337"/>
      <c r="F522" s="338"/>
      <c r="G522" s="336"/>
      <c r="H522" s="337"/>
      <c r="I522" s="338"/>
      <c r="J522" s="97"/>
      <c r="K522" s="339"/>
      <c r="L522" s="339"/>
      <c r="M522" s="339"/>
      <c r="N522" s="339"/>
      <c r="O522" s="339"/>
      <c r="P522" s="339"/>
      <c r="Q522" s="340"/>
      <c r="R522" s="97"/>
      <c r="S522" s="97"/>
      <c r="T522" s="298"/>
      <c r="U522" s="97"/>
      <c r="V522" s="97"/>
      <c r="W522" s="97"/>
      <c r="X522" s="97"/>
      <c r="Y522" s="97"/>
      <c r="Z522" s="97"/>
      <c r="AA522" s="97"/>
    </row>
    <row r="523" ht="15.75" customHeight="1">
      <c r="A523" s="97"/>
      <c r="B523" s="336"/>
      <c r="C523" s="337"/>
      <c r="D523" s="97"/>
      <c r="E523" s="337"/>
      <c r="F523" s="338"/>
      <c r="G523" s="336"/>
      <c r="H523" s="337"/>
      <c r="I523" s="338"/>
      <c r="J523" s="97"/>
      <c r="K523" s="339"/>
      <c r="L523" s="339"/>
      <c r="M523" s="339"/>
      <c r="N523" s="339"/>
      <c r="O523" s="339"/>
      <c r="P523" s="339"/>
      <c r="Q523" s="340"/>
      <c r="R523" s="97"/>
      <c r="S523" s="97"/>
      <c r="T523" s="298"/>
      <c r="U523" s="97"/>
      <c r="V523" s="97"/>
      <c r="W523" s="97"/>
      <c r="X523" s="97"/>
      <c r="Y523" s="97"/>
      <c r="Z523" s="97"/>
      <c r="AA523" s="97"/>
    </row>
    <row r="524" ht="15.75" customHeight="1">
      <c r="A524" s="97"/>
      <c r="B524" s="336"/>
      <c r="C524" s="337"/>
      <c r="D524" s="97"/>
      <c r="E524" s="337"/>
      <c r="F524" s="338"/>
      <c r="G524" s="336"/>
      <c r="H524" s="337"/>
      <c r="I524" s="338"/>
      <c r="J524" s="97"/>
      <c r="K524" s="339"/>
      <c r="L524" s="339"/>
      <c r="M524" s="339"/>
      <c r="N524" s="339"/>
      <c r="O524" s="339"/>
      <c r="P524" s="339"/>
      <c r="Q524" s="340"/>
      <c r="R524" s="97"/>
      <c r="S524" s="97"/>
      <c r="T524" s="298"/>
      <c r="U524" s="97"/>
      <c r="V524" s="97"/>
      <c r="W524" s="97"/>
      <c r="X524" s="97"/>
      <c r="Y524" s="97"/>
      <c r="Z524" s="97"/>
      <c r="AA524" s="97"/>
    </row>
    <row r="525" ht="15.75" customHeight="1">
      <c r="A525" s="97"/>
      <c r="B525" s="336"/>
      <c r="C525" s="337"/>
      <c r="D525" s="97"/>
      <c r="E525" s="337"/>
      <c r="F525" s="338"/>
      <c r="G525" s="336"/>
      <c r="H525" s="337"/>
      <c r="I525" s="338"/>
      <c r="J525" s="97"/>
      <c r="K525" s="339"/>
      <c r="L525" s="339"/>
      <c r="M525" s="339"/>
      <c r="N525" s="339"/>
      <c r="O525" s="339"/>
      <c r="P525" s="339"/>
      <c r="Q525" s="340"/>
      <c r="R525" s="97"/>
      <c r="S525" s="97"/>
      <c r="T525" s="298"/>
      <c r="U525" s="97"/>
      <c r="V525" s="97"/>
      <c r="W525" s="97"/>
      <c r="X525" s="97"/>
      <c r="Y525" s="97"/>
      <c r="Z525" s="97"/>
      <c r="AA525" s="97"/>
    </row>
    <row r="526" ht="15.75" customHeight="1">
      <c r="A526" s="97"/>
      <c r="B526" s="336"/>
      <c r="C526" s="337"/>
      <c r="D526" s="97"/>
      <c r="E526" s="337"/>
      <c r="F526" s="338"/>
      <c r="G526" s="336"/>
      <c r="H526" s="337"/>
      <c r="I526" s="338"/>
      <c r="J526" s="97"/>
      <c r="K526" s="339"/>
      <c r="L526" s="339"/>
      <c r="M526" s="339"/>
      <c r="N526" s="339"/>
      <c r="O526" s="339"/>
      <c r="P526" s="339"/>
      <c r="Q526" s="340"/>
      <c r="R526" s="97"/>
      <c r="S526" s="97"/>
      <c r="T526" s="298"/>
      <c r="U526" s="97"/>
      <c r="V526" s="97"/>
      <c r="W526" s="97"/>
      <c r="X526" s="97"/>
      <c r="Y526" s="97"/>
      <c r="Z526" s="97"/>
      <c r="AA526" s="97"/>
    </row>
    <row r="527" ht="15.75" customHeight="1">
      <c r="A527" s="97"/>
      <c r="B527" s="336"/>
      <c r="C527" s="337"/>
      <c r="D527" s="97"/>
      <c r="E527" s="337"/>
      <c r="F527" s="338"/>
      <c r="G527" s="336"/>
      <c r="H527" s="337"/>
      <c r="I527" s="338"/>
      <c r="J527" s="97"/>
      <c r="K527" s="339"/>
      <c r="L527" s="339"/>
      <c r="M527" s="339"/>
      <c r="N527" s="339"/>
      <c r="O527" s="339"/>
      <c r="P527" s="339"/>
      <c r="Q527" s="340"/>
      <c r="R527" s="97"/>
      <c r="S527" s="97"/>
      <c r="T527" s="298"/>
      <c r="U527" s="97"/>
      <c r="V527" s="97"/>
      <c r="W527" s="97"/>
      <c r="X527" s="97"/>
      <c r="Y527" s="97"/>
      <c r="Z527" s="97"/>
      <c r="AA527" s="97"/>
    </row>
    <row r="528" ht="15.75" customHeight="1">
      <c r="A528" s="97"/>
      <c r="B528" s="336"/>
      <c r="C528" s="337"/>
      <c r="D528" s="97"/>
      <c r="E528" s="337"/>
      <c r="F528" s="338"/>
      <c r="G528" s="336"/>
      <c r="H528" s="337"/>
      <c r="I528" s="338"/>
      <c r="J528" s="97"/>
      <c r="K528" s="339"/>
      <c r="L528" s="339"/>
      <c r="M528" s="339"/>
      <c r="N528" s="339"/>
      <c r="O528" s="339"/>
      <c r="P528" s="339"/>
      <c r="Q528" s="340"/>
      <c r="R528" s="97"/>
      <c r="S528" s="97"/>
      <c r="T528" s="298"/>
      <c r="U528" s="97"/>
      <c r="V528" s="97"/>
      <c r="W528" s="97"/>
      <c r="X528" s="97"/>
      <c r="Y528" s="97"/>
      <c r="Z528" s="97"/>
      <c r="AA528" s="97"/>
    </row>
    <row r="529" ht="15.75" customHeight="1">
      <c r="A529" s="97"/>
      <c r="B529" s="336"/>
      <c r="C529" s="337"/>
      <c r="D529" s="97"/>
      <c r="E529" s="337"/>
      <c r="F529" s="338"/>
      <c r="G529" s="336"/>
      <c r="H529" s="337"/>
      <c r="I529" s="338"/>
      <c r="J529" s="97"/>
      <c r="K529" s="339"/>
      <c r="L529" s="339"/>
      <c r="M529" s="339"/>
      <c r="N529" s="339"/>
      <c r="O529" s="339"/>
      <c r="P529" s="339"/>
      <c r="Q529" s="340"/>
      <c r="R529" s="97"/>
      <c r="S529" s="97"/>
      <c r="T529" s="298"/>
      <c r="U529" s="97"/>
      <c r="V529" s="97"/>
      <c r="W529" s="97"/>
      <c r="X529" s="97"/>
      <c r="Y529" s="97"/>
      <c r="Z529" s="97"/>
      <c r="AA529" s="97"/>
    </row>
    <row r="530" ht="15.75" customHeight="1">
      <c r="A530" s="97"/>
      <c r="B530" s="336"/>
      <c r="C530" s="337"/>
      <c r="D530" s="97"/>
      <c r="E530" s="337"/>
      <c r="F530" s="338"/>
      <c r="G530" s="336"/>
      <c r="H530" s="337"/>
      <c r="I530" s="338"/>
      <c r="J530" s="97"/>
      <c r="K530" s="339"/>
      <c r="L530" s="339"/>
      <c r="M530" s="339"/>
      <c r="N530" s="339"/>
      <c r="O530" s="339"/>
      <c r="P530" s="339"/>
      <c r="Q530" s="340"/>
      <c r="R530" s="97"/>
      <c r="S530" s="97"/>
      <c r="T530" s="298"/>
      <c r="U530" s="97"/>
      <c r="V530" s="97"/>
      <c r="W530" s="97"/>
      <c r="X530" s="97"/>
      <c r="Y530" s="97"/>
      <c r="Z530" s="97"/>
      <c r="AA530" s="97"/>
    </row>
    <row r="531" ht="15.75" customHeight="1">
      <c r="A531" s="97"/>
      <c r="B531" s="336"/>
      <c r="C531" s="337"/>
      <c r="D531" s="97"/>
      <c r="E531" s="337"/>
      <c r="F531" s="338"/>
      <c r="G531" s="336"/>
      <c r="H531" s="337"/>
      <c r="I531" s="338"/>
      <c r="J531" s="97"/>
      <c r="K531" s="339"/>
      <c r="L531" s="339"/>
      <c r="M531" s="339"/>
      <c r="N531" s="339"/>
      <c r="O531" s="339"/>
      <c r="P531" s="339"/>
      <c r="Q531" s="340"/>
      <c r="R531" s="97"/>
      <c r="S531" s="97"/>
      <c r="T531" s="298"/>
      <c r="U531" s="97"/>
      <c r="V531" s="97"/>
      <c r="W531" s="97"/>
      <c r="X531" s="97"/>
      <c r="Y531" s="97"/>
      <c r="Z531" s="97"/>
      <c r="AA531" s="97"/>
    </row>
    <row r="532" ht="15.75" customHeight="1">
      <c r="A532" s="97"/>
      <c r="B532" s="336"/>
      <c r="C532" s="337"/>
      <c r="D532" s="97"/>
      <c r="E532" s="337"/>
      <c r="F532" s="338"/>
      <c r="G532" s="336"/>
      <c r="H532" s="337"/>
      <c r="I532" s="338"/>
      <c r="J532" s="97"/>
      <c r="K532" s="339"/>
      <c r="L532" s="339"/>
      <c r="M532" s="339"/>
      <c r="N532" s="339"/>
      <c r="O532" s="339"/>
      <c r="P532" s="339"/>
      <c r="Q532" s="340"/>
      <c r="R532" s="97"/>
      <c r="S532" s="97"/>
      <c r="T532" s="298"/>
      <c r="U532" s="97"/>
      <c r="V532" s="97"/>
      <c r="W532" s="97"/>
      <c r="X532" s="97"/>
      <c r="Y532" s="97"/>
      <c r="Z532" s="97"/>
      <c r="AA532" s="97"/>
    </row>
    <row r="533" ht="15.75" customHeight="1">
      <c r="A533" s="97"/>
      <c r="B533" s="336"/>
      <c r="C533" s="337"/>
      <c r="D533" s="97"/>
      <c r="E533" s="337"/>
      <c r="F533" s="338"/>
      <c r="G533" s="336"/>
      <c r="H533" s="337"/>
      <c r="I533" s="338"/>
      <c r="J533" s="97"/>
      <c r="K533" s="339"/>
      <c r="L533" s="339"/>
      <c r="M533" s="339"/>
      <c r="N533" s="339"/>
      <c r="O533" s="339"/>
      <c r="P533" s="339"/>
      <c r="Q533" s="340"/>
      <c r="R533" s="97"/>
      <c r="S533" s="97"/>
      <c r="T533" s="298"/>
      <c r="U533" s="97"/>
      <c r="V533" s="97"/>
      <c r="W533" s="97"/>
      <c r="X533" s="97"/>
      <c r="Y533" s="97"/>
      <c r="Z533" s="97"/>
      <c r="AA533" s="97"/>
    </row>
    <row r="534" ht="15.75" customHeight="1">
      <c r="A534" s="97"/>
      <c r="B534" s="336"/>
      <c r="C534" s="337"/>
      <c r="D534" s="97"/>
      <c r="E534" s="337"/>
      <c r="F534" s="338"/>
      <c r="G534" s="336"/>
      <c r="H534" s="337"/>
      <c r="I534" s="338"/>
      <c r="J534" s="97"/>
      <c r="K534" s="339"/>
      <c r="L534" s="339"/>
      <c r="M534" s="339"/>
      <c r="N534" s="339"/>
      <c r="O534" s="339"/>
      <c r="P534" s="339"/>
      <c r="Q534" s="340"/>
      <c r="R534" s="97"/>
      <c r="S534" s="97"/>
      <c r="T534" s="298"/>
      <c r="U534" s="97"/>
      <c r="V534" s="97"/>
      <c r="W534" s="97"/>
      <c r="X534" s="97"/>
      <c r="Y534" s="97"/>
      <c r="Z534" s="97"/>
      <c r="AA534" s="97"/>
    </row>
    <row r="535" ht="15.75" customHeight="1">
      <c r="A535" s="97"/>
      <c r="B535" s="336"/>
      <c r="C535" s="337"/>
      <c r="D535" s="97"/>
      <c r="E535" s="337"/>
      <c r="F535" s="338"/>
      <c r="G535" s="336"/>
      <c r="H535" s="337"/>
      <c r="I535" s="338"/>
      <c r="J535" s="97"/>
      <c r="K535" s="339"/>
      <c r="L535" s="339"/>
      <c r="M535" s="339"/>
      <c r="N535" s="339"/>
      <c r="O535" s="339"/>
      <c r="P535" s="339"/>
      <c r="Q535" s="340"/>
      <c r="R535" s="97"/>
      <c r="S535" s="97"/>
      <c r="T535" s="298"/>
      <c r="U535" s="97"/>
      <c r="V535" s="97"/>
      <c r="W535" s="97"/>
      <c r="X535" s="97"/>
      <c r="Y535" s="97"/>
      <c r="Z535" s="97"/>
      <c r="AA535" s="97"/>
    </row>
    <row r="536" ht="15.75" customHeight="1">
      <c r="A536" s="97"/>
      <c r="B536" s="336"/>
      <c r="C536" s="337"/>
      <c r="D536" s="97"/>
      <c r="E536" s="337"/>
      <c r="F536" s="338"/>
      <c r="G536" s="336"/>
      <c r="H536" s="337"/>
      <c r="I536" s="338"/>
      <c r="J536" s="97"/>
      <c r="K536" s="339"/>
      <c r="L536" s="339"/>
      <c r="M536" s="339"/>
      <c r="N536" s="339"/>
      <c r="O536" s="339"/>
      <c r="P536" s="339"/>
      <c r="Q536" s="340"/>
      <c r="R536" s="97"/>
      <c r="S536" s="97"/>
      <c r="T536" s="298"/>
      <c r="U536" s="97"/>
      <c r="V536" s="97"/>
      <c r="W536" s="97"/>
      <c r="X536" s="97"/>
      <c r="Y536" s="97"/>
      <c r="Z536" s="97"/>
      <c r="AA536" s="97"/>
    </row>
    <row r="537" ht="15.75" customHeight="1">
      <c r="A537" s="97"/>
      <c r="B537" s="336"/>
      <c r="C537" s="337"/>
      <c r="D537" s="97"/>
      <c r="E537" s="337"/>
      <c r="F537" s="338"/>
      <c r="G537" s="336"/>
      <c r="H537" s="337"/>
      <c r="I537" s="338"/>
      <c r="J537" s="97"/>
      <c r="K537" s="339"/>
      <c r="L537" s="339"/>
      <c r="M537" s="339"/>
      <c r="N537" s="339"/>
      <c r="O537" s="339"/>
      <c r="P537" s="339"/>
      <c r="Q537" s="340"/>
      <c r="R537" s="97"/>
      <c r="S537" s="97"/>
      <c r="T537" s="298"/>
      <c r="U537" s="97"/>
      <c r="V537" s="97"/>
      <c r="W537" s="97"/>
      <c r="X537" s="97"/>
      <c r="Y537" s="97"/>
      <c r="Z537" s="97"/>
      <c r="AA537" s="97"/>
    </row>
    <row r="538" ht="15.75" customHeight="1">
      <c r="A538" s="97"/>
      <c r="B538" s="336"/>
      <c r="C538" s="337"/>
      <c r="D538" s="97"/>
      <c r="E538" s="337"/>
      <c r="F538" s="338"/>
      <c r="G538" s="336"/>
      <c r="H538" s="337"/>
      <c r="I538" s="338"/>
      <c r="J538" s="97"/>
      <c r="K538" s="339"/>
      <c r="L538" s="339"/>
      <c r="M538" s="339"/>
      <c r="N538" s="339"/>
      <c r="O538" s="339"/>
      <c r="P538" s="339"/>
      <c r="Q538" s="340"/>
      <c r="R538" s="97"/>
      <c r="S538" s="97"/>
      <c r="T538" s="298"/>
      <c r="U538" s="97"/>
      <c r="V538" s="97"/>
      <c r="W538" s="97"/>
      <c r="X538" s="97"/>
      <c r="Y538" s="97"/>
      <c r="Z538" s="97"/>
      <c r="AA538" s="97"/>
    </row>
    <row r="539" ht="15.75" customHeight="1">
      <c r="A539" s="97"/>
      <c r="B539" s="336"/>
      <c r="C539" s="337"/>
      <c r="D539" s="97"/>
      <c r="E539" s="337"/>
      <c r="F539" s="338"/>
      <c r="G539" s="336"/>
      <c r="H539" s="337"/>
      <c r="I539" s="338"/>
      <c r="J539" s="97"/>
      <c r="K539" s="339"/>
      <c r="L539" s="339"/>
      <c r="M539" s="339"/>
      <c r="N539" s="339"/>
      <c r="O539" s="339"/>
      <c r="P539" s="339"/>
      <c r="Q539" s="340"/>
      <c r="R539" s="97"/>
      <c r="S539" s="97"/>
      <c r="T539" s="298"/>
      <c r="U539" s="97"/>
      <c r="V539" s="97"/>
      <c r="W539" s="97"/>
      <c r="X539" s="97"/>
      <c r="Y539" s="97"/>
      <c r="Z539" s="97"/>
      <c r="AA539" s="97"/>
    </row>
    <row r="540" ht="15.75" customHeight="1">
      <c r="A540" s="97"/>
      <c r="B540" s="336"/>
      <c r="C540" s="337"/>
      <c r="D540" s="97"/>
      <c r="E540" s="337"/>
      <c r="F540" s="338"/>
      <c r="G540" s="336"/>
      <c r="H540" s="337"/>
      <c r="I540" s="338"/>
      <c r="J540" s="97"/>
      <c r="K540" s="339"/>
      <c r="L540" s="339"/>
      <c r="M540" s="339"/>
      <c r="N540" s="339"/>
      <c r="O540" s="339"/>
      <c r="P540" s="339"/>
      <c r="Q540" s="340"/>
      <c r="R540" s="97"/>
      <c r="S540" s="97"/>
      <c r="T540" s="298"/>
      <c r="U540" s="97"/>
      <c r="V540" s="97"/>
      <c r="W540" s="97"/>
      <c r="X540" s="97"/>
      <c r="Y540" s="97"/>
      <c r="Z540" s="97"/>
      <c r="AA540" s="97"/>
    </row>
    <row r="541" ht="15.75" customHeight="1">
      <c r="A541" s="97"/>
      <c r="B541" s="336"/>
      <c r="C541" s="337"/>
      <c r="D541" s="97"/>
      <c r="E541" s="337"/>
      <c r="F541" s="338"/>
      <c r="G541" s="336"/>
      <c r="H541" s="337"/>
      <c r="I541" s="338"/>
      <c r="J541" s="97"/>
      <c r="K541" s="339"/>
      <c r="L541" s="339"/>
      <c r="M541" s="339"/>
      <c r="N541" s="339"/>
      <c r="O541" s="339"/>
      <c r="P541" s="339"/>
      <c r="Q541" s="340"/>
      <c r="R541" s="97"/>
      <c r="S541" s="97"/>
      <c r="T541" s="298"/>
      <c r="U541" s="97"/>
      <c r="V541" s="97"/>
      <c r="W541" s="97"/>
      <c r="X541" s="97"/>
      <c r="Y541" s="97"/>
      <c r="Z541" s="97"/>
      <c r="AA541" s="97"/>
    </row>
    <row r="542" ht="15.75" customHeight="1">
      <c r="A542" s="97"/>
      <c r="B542" s="336"/>
      <c r="C542" s="337"/>
      <c r="D542" s="97"/>
      <c r="E542" s="337"/>
      <c r="F542" s="338"/>
      <c r="G542" s="336"/>
      <c r="H542" s="337"/>
      <c r="I542" s="338"/>
      <c r="J542" s="97"/>
      <c r="K542" s="339"/>
      <c r="L542" s="339"/>
      <c r="M542" s="339"/>
      <c r="N542" s="339"/>
      <c r="O542" s="339"/>
      <c r="P542" s="339"/>
      <c r="Q542" s="340"/>
      <c r="R542" s="97"/>
      <c r="S542" s="97"/>
      <c r="T542" s="298"/>
      <c r="U542" s="97"/>
      <c r="V542" s="97"/>
      <c r="W542" s="97"/>
      <c r="X542" s="97"/>
      <c r="Y542" s="97"/>
      <c r="Z542" s="97"/>
      <c r="AA542" s="97"/>
    </row>
    <row r="543" ht="15.75" customHeight="1">
      <c r="A543" s="97"/>
      <c r="B543" s="336"/>
      <c r="C543" s="337"/>
      <c r="D543" s="97"/>
      <c r="E543" s="337"/>
      <c r="F543" s="338"/>
      <c r="G543" s="336"/>
      <c r="H543" s="337"/>
      <c r="I543" s="338"/>
      <c r="J543" s="97"/>
      <c r="K543" s="339"/>
      <c r="L543" s="339"/>
      <c r="M543" s="339"/>
      <c r="N543" s="339"/>
      <c r="O543" s="339"/>
      <c r="P543" s="339"/>
      <c r="Q543" s="340"/>
      <c r="R543" s="97"/>
      <c r="S543" s="97"/>
      <c r="T543" s="298"/>
      <c r="U543" s="97"/>
      <c r="V543" s="97"/>
      <c r="W543" s="97"/>
      <c r="X543" s="97"/>
      <c r="Y543" s="97"/>
      <c r="Z543" s="97"/>
      <c r="AA543" s="97"/>
    </row>
    <row r="544" ht="15.75" customHeight="1">
      <c r="A544" s="97"/>
      <c r="B544" s="336"/>
      <c r="C544" s="337"/>
      <c r="D544" s="97"/>
      <c r="E544" s="337"/>
      <c r="F544" s="338"/>
      <c r="G544" s="336"/>
      <c r="H544" s="337"/>
      <c r="I544" s="338"/>
      <c r="J544" s="97"/>
      <c r="K544" s="339"/>
      <c r="L544" s="339"/>
      <c r="M544" s="339"/>
      <c r="N544" s="339"/>
      <c r="O544" s="339"/>
      <c r="P544" s="339"/>
      <c r="Q544" s="340"/>
      <c r="R544" s="97"/>
      <c r="S544" s="97"/>
      <c r="T544" s="298"/>
      <c r="U544" s="97"/>
      <c r="V544" s="97"/>
      <c r="W544" s="97"/>
      <c r="X544" s="97"/>
      <c r="Y544" s="97"/>
      <c r="Z544" s="97"/>
      <c r="AA544" s="97"/>
    </row>
    <row r="545" ht="15.75" customHeight="1">
      <c r="A545" s="97"/>
      <c r="B545" s="336"/>
      <c r="C545" s="337"/>
      <c r="D545" s="97"/>
      <c r="E545" s="337"/>
      <c r="F545" s="338"/>
      <c r="G545" s="336"/>
      <c r="H545" s="337"/>
      <c r="I545" s="338"/>
      <c r="J545" s="97"/>
      <c r="K545" s="339"/>
      <c r="L545" s="339"/>
      <c r="M545" s="339"/>
      <c r="N545" s="339"/>
      <c r="O545" s="339"/>
      <c r="P545" s="339"/>
      <c r="Q545" s="340"/>
      <c r="R545" s="97"/>
      <c r="S545" s="97"/>
      <c r="T545" s="298"/>
      <c r="U545" s="97"/>
      <c r="V545" s="97"/>
      <c r="W545" s="97"/>
      <c r="X545" s="97"/>
      <c r="Y545" s="97"/>
      <c r="Z545" s="97"/>
      <c r="AA545" s="97"/>
    </row>
    <row r="546" ht="15.75" customHeight="1">
      <c r="A546" s="97"/>
      <c r="B546" s="336"/>
      <c r="C546" s="337"/>
      <c r="D546" s="97"/>
      <c r="E546" s="337"/>
      <c r="F546" s="338"/>
      <c r="G546" s="336"/>
      <c r="H546" s="337"/>
      <c r="I546" s="338"/>
      <c r="J546" s="97"/>
      <c r="K546" s="339"/>
      <c r="L546" s="339"/>
      <c r="M546" s="339"/>
      <c r="N546" s="339"/>
      <c r="O546" s="339"/>
      <c r="P546" s="339"/>
      <c r="Q546" s="340"/>
      <c r="R546" s="97"/>
      <c r="S546" s="97"/>
      <c r="T546" s="298"/>
      <c r="U546" s="97"/>
      <c r="V546" s="97"/>
      <c r="W546" s="97"/>
      <c r="X546" s="97"/>
      <c r="Y546" s="97"/>
      <c r="Z546" s="97"/>
      <c r="AA546" s="97"/>
    </row>
    <row r="547" ht="15.75" customHeight="1">
      <c r="A547" s="97"/>
      <c r="B547" s="336"/>
      <c r="C547" s="337"/>
      <c r="D547" s="97"/>
      <c r="E547" s="337"/>
      <c r="F547" s="338"/>
      <c r="G547" s="336"/>
      <c r="H547" s="337"/>
      <c r="I547" s="338"/>
      <c r="J547" s="97"/>
      <c r="K547" s="339"/>
      <c r="L547" s="339"/>
      <c r="M547" s="339"/>
      <c r="N547" s="339"/>
      <c r="O547" s="339"/>
      <c r="P547" s="339"/>
      <c r="Q547" s="340"/>
      <c r="R547" s="97"/>
      <c r="S547" s="97"/>
      <c r="T547" s="298"/>
      <c r="U547" s="97"/>
      <c r="V547" s="97"/>
      <c r="W547" s="97"/>
      <c r="X547" s="97"/>
      <c r="Y547" s="97"/>
      <c r="Z547" s="97"/>
      <c r="AA547" s="97"/>
    </row>
    <row r="548" ht="15.75" customHeight="1">
      <c r="A548" s="97"/>
      <c r="B548" s="336"/>
      <c r="C548" s="337"/>
      <c r="D548" s="97"/>
      <c r="E548" s="337"/>
      <c r="F548" s="338"/>
      <c r="G548" s="336"/>
      <c r="H548" s="337"/>
      <c r="I548" s="338"/>
      <c r="J548" s="97"/>
      <c r="K548" s="339"/>
      <c r="L548" s="339"/>
      <c r="M548" s="339"/>
      <c r="N548" s="339"/>
      <c r="O548" s="339"/>
      <c r="P548" s="339"/>
      <c r="Q548" s="340"/>
      <c r="R548" s="97"/>
      <c r="S548" s="97"/>
      <c r="T548" s="298"/>
      <c r="U548" s="97"/>
      <c r="V548" s="97"/>
      <c r="W548" s="97"/>
      <c r="X548" s="97"/>
      <c r="Y548" s="97"/>
      <c r="Z548" s="97"/>
      <c r="AA548" s="97"/>
    </row>
    <row r="549" ht="15.75" customHeight="1">
      <c r="A549" s="97"/>
      <c r="B549" s="336"/>
      <c r="C549" s="337"/>
      <c r="D549" s="97"/>
      <c r="E549" s="337"/>
      <c r="F549" s="338"/>
      <c r="G549" s="336"/>
      <c r="H549" s="337"/>
      <c r="I549" s="338"/>
      <c r="J549" s="97"/>
      <c r="K549" s="339"/>
      <c r="L549" s="339"/>
      <c r="M549" s="339"/>
      <c r="N549" s="339"/>
      <c r="O549" s="339"/>
      <c r="P549" s="339"/>
      <c r="Q549" s="340"/>
      <c r="R549" s="97"/>
      <c r="S549" s="97"/>
      <c r="T549" s="298"/>
      <c r="U549" s="97"/>
      <c r="V549" s="97"/>
      <c r="W549" s="97"/>
      <c r="X549" s="97"/>
      <c r="Y549" s="97"/>
      <c r="Z549" s="97"/>
      <c r="AA549" s="97"/>
    </row>
    <row r="550" ht="15.75" customHeight="1">
      <c r="A550" s="97"/>
      <c r="B550" s="336"/>
      <c r="C550" s="337"/>
      <c r="D550" s="97"/>
      <c r="E550" s="337"/>
      <c r="F550" s="338"/>
      <c r="G550" s="336"/>
      <c r="H550" s="337"/>
      <c r="I550" s="338"/>
      <c r="J550" s="97"/>
      <c r="K550" s="339"/>
      <c r="L550" s="339"/>
      <c r="M550" s="339"/>
      <c r="N550" s="339"/>
      <c r="O550" s="339"/>
      <c r="P550" s="339"/>
      <c r="Q550" s="340"/>
      <c r="R550" s="97"/>
      <c r="S550" s="97"/>
      <c r="T550" s="298"/>
      <c r="U550" s="97"/>
      <c r="V550" s="97"/>
      <c r="W550" s="97"/>
      <c r="X550" s="97"/>
      <c r="Y550" s="97"/>
      <c r="Z550" s="97"/>
      <c r="AA550" s="97"/>
    </row>
    <row r="551" ht="15.75" customHeight="1">
      <c r="A551" s="97"/>
      <c r="B551" s="336"/>
      <c r="C551" s="337"/>
      <c r="D551" s="97"/>
      <c r="E551" s="337"/>
      <c r="F551" s="338"/>
      <c r="G551" s="336"/>
      <c r="H551" s="337"/>
      <c r="I551" s="338"/>
      <c r="J551" s="97"/>
      <c r="K551" s="339"/>
      <c r="L551" s="339"/>
      <c r="M551" s="339"/>
      <c r="N551" s="339"/>
      <c r="O551" s="339"/>
      <c r="P551" s="339"/>
      <c r="Q551" s="340"/>
      <c r="R551" s="97"/>
      <c r="S551" s="97"/>
      <c r="T551" s="298"/>
      <c r="U551" s="97"/>
      <c r="V551" s="97"/>
      <c r="W551" s="97"/>
      <c r="X551" s="97"/>
      <c r="Y551" s="97"/>
      <c r="Z551" s="97"/>
      <c r="AA551" s="97"/>
    </row>
    <row r="552" ht="15.75" customHeight="1">
      <c r="A552" s="97"/>
      <c r="B552" s="336"/>
      <c r="C552" s="337"/>
      <c r="D552" s="97"/>
      <c r="E552" s="337"/>
      <c r="F552" s="338"/>
      <c r="G552" s="336"/>
      <c r="H552" s="337"/>
      <c r="I552" s="338"/>
      <c r="J552" s="97"/>
      <c r="K552" s="339"/>
      <c r="L552" s="339"/>
      <c r="M552" s="339"/>
      <c r="N552" s="339"/>
      <c r="O552" s="339"/>
      <c r="P552" s="339"/>
      <c r="Q552" s="340"/>
      <c r="R552" s="97"/>
      <c r="S552" s="97"/>
      <c r="T552" s="298"/>
      <c r="U552" s="97"/>
      <c r="V552" s="97"/>
      <c r="W552" s="97"/>
      <c r="X552" s="97"/>
      <c r="Y552" s="97"/>
      <c r="Z552" s="97"/>
      <c r="AA552" s="97"/>
    </row>
    <row r="553" ht="15.75" customHeight="1">
      <c r="A553" s="97"/>
      <c r="B553" s="336"/>
      <c r="C553" s="337"/>
      <c r="D553" s="97"/>
      <c r="E553" s="337"/>
      <c r="F553" s="338"/>
      <c r="G553" s="336"/>
      <c r="H553" s="337"/>
      <c r="I553" s="338"/>
      <c r="J553" s="97"/>
      <c r="K553" s="339"/>
      <c r="L553" s="339"/>
      <c r="M553" s="339"/>
      <c r="N553" s="339"/>
      <c r="O553" s="339"/>
      <c r="P553" s="339"/>
      <c r="Q553" s="340"/>
      <c r="R553" s="97"/>
      <c r="S553" s="97"/>
      <c r="T553" s="298"/>
      <c r="U553" s="97"/>
      <c r="V553" s="97"/>
      <c r="W553" s="97"/>
      <c r="X553" s="97"/>
      <c r="Y553" s="97"/>
      <c r="Z553" s="97"/>
      <c r="AA553" s="97"/>
    </row>
    <row r="554" ht="15.75" customHeight="1">
      <c r="A554" s="97"/>
      <c r="B554" s="336"/>
      <c r="C554" s="337"/>
      <c r="D554" s="97"/>
      <c r="E554" s="337"/>
      <c r="F554" s="338"/>
      <c r="G554" s="336"/>
      <c r="H554" s="337"/>
      <c r="I554" s="338"/>
      <c r="J554" s="97"/>
      <c r="K554" s="339"/>
      <c r="L554" s="339"/>
      <c r="M554" s="339"/>
      <c r="N554" s="339"/>
      <c r="O554" s="339"/>
      <c r="P554" s="339"/>
      <c r="Q554" s="340"/>
      <c r="R554" s="97"/>
      <c r="S554" s="97"/>
      <c r="T554" s="298"/>
      <c r="U554" s="97"/>
      <c r="V554" s="97"/>
      <c r="W554" s="97"/>
      <c r="X554" s="97"/>
      <c r="Y554" s="97"/>
      <c r="Z554" s="97"/>
      <c r="AA554" s="97"/>
    </row>
    <row r="555" ht="15.75" customHeight="1">
      <c r="A555" s="97"/>
      <c r="B555" s="336"/>
      <c r="C555" s="337"/>
      <c r="D555" s="97"/>
      <c r="E555" s="337"/>
      <c r="F555" s="338"/>
      <c r="G555" s="336"/>
      <c r="H555" s="337"/>
      <c r="I555" s="338"/>
      <c r="J555" s="97"/>
      <c r="K555" s="339"/>
      <c r="L555" s="339"/>
      <c r="M555" s="339"/>
      <c r="N555" s="339"/>
      <c r="O555" s="339"/>
      <c r="P555" s="339"/>
      <c r="Q555" s="340"/>
      <c r="R555" s="97"/>
      <c r="S555" s="97"/>
      <c r="T555" s="298"/>
      <c r="U555" s="97"/>
      <c r="V555" s="97"/>
      <c r="W555" s="97"/>
      <c r="X555" s="97"/>
      <c r="Y555" s="97"/>
      <c r="Z555" s="97"/>
      <c r="AA555" s="97"/>
    </row>
    <row r="556" ht="15.75" customHeight="1">
      <c r="A556" s="97"/>
      <c r="B556" s="336"/>
      <c r="C556" s="337"/>
      <c r="D556" s="97"/>
      <c r="E556" s="337"/>
      <c r="F556" s="338"/>
      <c r="G556" s="336"/>
      <c r="H556" s="337"/>
      <c r="I556" s="338"/>
      <c r="J556" s="97"/>
      <c r="K556" s="339"/>
      <c r="L556" s="339"/>
      <c r="M556" s="339"/>
      <c r="N556" s="339"/>
      <c r="O556" s="339"/>
      <c r="P556" s="339"/>
      <c r="Q556" s="340"/>
      <c r="R556" s="97"/>
      <c r="S556" s="97"/>
      <c r="T556" s="298"/>
      <c r="U556" s="97"/>
      <c r="V556" s="97"/>
      <c r="W556" s="97"/>
      <c r="X556" s="97"/>
      <c r="Y556" s="97"/>
      <c r="Z556" s="97"/>
      <c r="AA556" s="97"/>
    </row>
    <row r="557" ht="15.75" customHeight="1">
      <c r="A557" s="97"/>
      <c r="B557" s="336"/>
      <c r="C557" s="337"/>
      <c r="D557" s="97"/>
      <c r="E557" s="337"/>
      <c r="F557" s="338"/>
      <c r="G557" s="336"/>
      <c r="H557" s="337"/>
      <c r="I557" s="338"/>
      <c r="J557" s="97"/>
      <c r="K557" s="339"/>
      <c r="L557" s="339"/>
      <c r="M557" s="339"/>
      <c r="N557" s="339"/>
      <c r="O557" s="339"/>
      <c r="P557" s="339"/>
      <c r="Q557" s="340"/>
      <c r="R557" s="97"/>
      <c r="S557" s="97"/>
      <c r="T557" s="298"/>
      <c r="U557" s="97"/>
      <c r="V557" s="97"/>
      <c r="W557" s="97"/>
      <c r="X557" s="97"/>
      <c r="Y557" s="97"/>
      <c r="Z557" s="97"/>
      <c r="AA557" s="97"/>
    </row>
    <row r="558" ht="15.75" customHeight="1">
      <c r="A558" s="97"/>
      <c r="B558" s="336"/>
      <c r="C558" s="337"/>
      <c r="D558" s="97"/>
      <c r="E558" s="337"/>
      <c r="F558" s="338"/>
      <c r="G558" s="336"/>
      <c r="H558" s="337"/>
      <c r="I558" s="338"/>
      <c r="J558" s="97"/>
      <c r="K558" s="339"/>
      <c r="L558" s="339"/>
      <c r="M558" s="339"/>
      <c r="N558" s="339"/>
      <c r="O558" s="339"/>
      <c r="P558" s="339"/>
      <c r="Q558" s="340"/>
      <c r="R558" s="97"/>
      <c r="S558" s="97"/>
      <c r="T558" s="298"/>
      <c r="U558" s="97"/>
      <c r="V558" s="97"/>
      <c r="W558" s="97"/>
      <c r="X558" s="97"/>
      <c r="Y558" s="97"/>
      <c r="Z558" s="97"/>
      <c r="AA558" s="97"/>
    </row>
    <row r="559" ht="15.75" customHeight="1">
      <c r="A559" s="97"/>
      <c r="B559" s="336"/>
      <c r="C559" s="337"/>
      <c r="D559" s="97"/>
      <c r="E559" s="337"/>
      <c r="F559" s="338"/>
      <c r="G559" s="336"/>
      <c r="H559" s="337"/>
      <c r="I559" s="338"/>
      <c r="J559" s="97"/>
      <c r="K559" s="339"/>
      <c r="L559" s="339"/>
      <c r="M559" s="339"/>
      <c r="N559" s="339"/>
      <c r="O559" s="339"/>
      <c r="P559" s="339"/>
      <c r="Q559" s="340"/>
      <c r="R559" s="97"/>
      <c r="S559" s="97"/>
      <c r="T559" s="298"/>
      <c r="U559" s="97"/>
      <c r="V559" s="97"/>
      <c r="W559" s="97"/>
      <c r="X559" s="97"/>
      <c r="Y559" s="97"/>
      <c r="Z559" s="97"/>
      <c r="AA559" s="97"/>
    </row>
    <row r="560" ht="15.75" customHeight="1">
      <c r="A560" s="97"/>
      <c r="B560" s="336"/>
      <c r="C560" s="337"/>
      <c r="D560" s="97"/>
      <c r="E560" s="337"/>
      <c r="F560" s="338"/>
      <c r="G560" s="336"/>
      <c r="H560" s="337"/>
      <c r="I560" s="338"/>
      <c r="J560" s="97"/>
      <c r="K560" s="339"/>
      <c r="L560" s="339"/>
      <c r="M560" s="339"/>
      <c r="N560" s="339"/>
      <c r="O560" s="339"/>
      <c r="P560" s="339"/>
      <c r="Q560" s="340"/>
      <c r="R560" s="97"/>
      <c r="S560" s="97"/>
      <c r="T560" s="298"/>
      <c r="U560" s="97"/>
      <c r="V560" s="97"/>
      <c r="W560" s="97"/>
      <c r="X560" s="97"/>
      <c r="Y560" s="97"/>
      <c r="Z560" s="97"/>
      <c r="AA560" s="97"/>
    </row>
    <row r="561" ht="15.75" customHeight="1">
      <c r="A561" s="97"/>
      <c r="B561" s="336"/>
      <c r="C561" s="337"/>
      <c r="D561" s="97"/>
      <c r="E561" s="337"/>
      <c r="F561" s="338"/>
      <c r="G561" s="336"/>
      <c r="H561" s="337"/>
      <c r="I561" s="338"/>
      <c r="J561" s="97"/>
      <c r="K561" s="339"/>
      <c r="L561" s="339"/>
      <c r="M561" s="339"/>
      <c r="N561" s="339"/>
      <c r="O561" s="339"/>
      <c r="P561" s="339"/>
      <c r="Q561" s="340"/>
      <c r="R561" s="97"/>
      <c r="S561" s="97"/>
      <c r="T561" s="298"/>
      <c r="U561" s="97"/>
      <c r="V561" s="97"/>
      <c r="W561" s="97"/>
      <c r="X561" s="97"/>
      <c r="Y561" s="97"/>
      <c r="Z561" s="97"/>
      <c r="AA561" s="97"/>
    </row>
    <row r="562" ht="15.75" customHeight="1">
      <c r="A562" s="97"/>
      <c r="B562" s="336"/>
      <c r="C562" s="337"/>
      <c r="D562" s="97"/>
      <c r="E562" s="337"/>
      <c r="F562" s="338"/>
      <c r="G562" s="336"/>
      <c r="H562" s="337"/>
      <c r="I562" s="338"/>
      <c r="J562" s="97"/>
      <c r="K562" s="339"/>
      <c r="L562" s="339"/>
      <c r="M562" s="339"/>
      <c r="N562" s="339"/>
      <c r="O562" s="339"/>
      <c r="P562" s="339"/>
      <c r="Q562" s="340"/>
      <c r="R562" s="97"/>
      <c r="S562" s="97"/>
      <c r="T562" s="298"/>
      <c r="U562" s="97"/>
      <c r="V562" s="97"/>
      <c r="W562" s="97"/>
      <c r="X562" s="97"/>
      <c r="Y562" s="97"/>
      <c r="Z562" s="97"/>
      <c r="AA562" s="97"/>
    </row>
    <row r="563" ht="15.75" customHeight="1">
      <c r="A563" s="97"/>
      <c r="B563" s="336"/>
      <c r="C563" s="337"/>
      <c r="D563" s="97"/>
      <c r="E563" s="337"/>
      <c r="F563" s="338"/>
      <c r="G563" s="336"/>
      <c r="H563" s="337"/>
      <c r="I563" s="338"/>
      <c r="J563" s="97"/>
      <c r="K563" s="339"/>
      <c r="L563" s="339"/>
      <c r="M563" s="339"/>
      <c r="N563" s="339"/>
      <c r="O563" s="339"/>
      <c r="P563" s="339"/>
      <c r="Q563" s="340"/>
      <c r="R563" s="97"/>
      <c r="S563" s="97"/>
      <c r="T563" s="298"/>
      <c r="U563" s="97"/>
      <c r="V563" s="97"/>
      <c r="W563" s="97"/>
      <c r="X563" s="97"/>
      <c r="Y563" s="97"/>
      <c r="Z563" s="97"/>
      <c r="AA563" s="97"/>
    </row>
    <row r="564" ht="15.75" customHeight="1">
      <c r="A564" s="97"/>
      <c r="B564" s="336"/>
      <c r="C564" s="337"/>
      <c r="D564" s="97"/>
      <c r="E564" s="337"/>
      <c r="F564" s="338"/>
      <c r="G564" s="336"/>
      <c r="H564" s="337"/>
      <c r="I564" s="338"/>
      <c r="J564" s="97"/>
      <c r="K564" s="339"/>
      <c r="L564" s="339"/>
      <c r="M564" s="339"/>
      <c r="N564" s="339"/>
      <c r="O564" s="339"/>
      <c r="P564" s="339"/>
      <c r="Q564" s="340"/>
      <c r="R564" s="97"/>
      <c r="S564" s="97"/>
      <c r="T564" s="298"/>
      <c r="U564" s="97"/>
      <c r="V564" s="97"/>
      <c r="W564" s="97"/>
      <c r="X564" s="97"/>
      <c r="Y564" s="97"/>
      <c r="Z564" s="97"/>
      <c r="AA564" s="97"/>
    </row>
    <row r="565" ht="15.75" customHeight="1">
      <c r="A565" s="97"/>
      <c r="B565" s="336"/>
      <c r="C565" s="337"/>
      <c r="D565" s="97"/>
      <c r="E565" s="337"/>
      <c r="F565" s="338"/>
      <c r="G565" s="336"/>
      <c r="H565" s="337"/>
      <c r="I565" s="338"/>
      <c r="J565" s="97"/>
      <c r="K565" s="339"/>
      <c r="L565" s="339"/>
      <c r="M565" s="339"/>
      <c r="N565" s="339"/>
      <c r="O565" s="339"/>
      <c r="P565" s="339"/>
      <c r="Q565" s="340"/>
      <c r="R565" s="97"/>
      <c r="S565" s="97"/>
      <c r="T565" s="298"/>
      <c r="U565" s="97"/>
      <c r="V565" s="97"/>
      <c r="W565" s="97"/>
      <c r="X565" s="97"/>
      <c r="Y565" s="97"/>
      <c r="Z565" s="97"/>
      <c r="AA565" s="97"/>
    </row>
    <row r="566" ht="15.75" customHeight="1">
      <c r="A566" s="97"/>
      <c r="B566" s="336"/>
      <c r="C566" s="337"/>
      <c r="D566" s="97"/>
      <c r="E566" s="337"/>
      <c r="F566" s="338"/>
      <c r="G566" s="336"/>
      <c r="H566" s="337"/>
      <c r="I566" s="338"/>
      <c r="J566" s="97"/>
      <c r="K566" s="339"/>
      <c r="L566" s="339"/>
      <c r="M566" s="339"/>
      <c r="N566" s="339"/>
      <c r="O566" s="339"/>
      <c r="P566" s="339"/>
      <c r="Q566" s="340"/>
      <c r="R566" s="97"/>
      <c r="S566" s="97"/>
      <c r="T566" s="298"/>
      <c r="U566" s="97"/>
      <c r="V566" s="97"/>
      <c r="W566" s="97"/>
      <c r="X566" s="97"/>
      <c r="Y566" s="97"/>
      <c r="Z566" s="97"/>
      <c r="AA566" s="97"/>
    </row>
    <row r="567" ht="15.75" customHeight="1">
      <c r="A567" s="97"/>
      <c r="B567" s="336"/>
      <c r="C567" s="337"/>
      <c r="D567" s="97"/>
      <c r="E567" s="337"/>
      <c r="F567" s="338"/>
      <c r="G567" s="336"/>
      <c r="H567" s="337"/>
      <c r="I567" s="338"/>
      <c r="J567" s="97"/>
      <c r="K567" s="339"/>
      <c r="L567" s="339"/>
      <c r="M567" s="339"/>
      <c r="N567" s="339"/>
      <c r="O567" s="339"/>
      <c r="P567" s="339"/>
      <c r="Q567" s="340"/>
      <c r="R567" s="97"/>
      <c r="S567" s="97"/>
      <c r="T567" s="298"/>
      <c r="U567" s="97"/>
      <c r="V567" s="97"/>
      <c r="W567" s="97"/>
      <c r="X567" s="97"/>
      <c r="Y567" s="97"/>
      <c r="Z567" s="97"/>
      <c r="AA567" s="97"/>
    </row>
    <row r="568" ht="15.75" customHeight="1">
      <c r="A568" s="97"/>
      <c r="B568" s="336"/>
      <c r="C568" s="337"/>
      <c r="D568" s="97"/>
      <c r="E568" s="337"/>
      <c r="F568" s="338"/>
      <c r="G568" s="336"/>
      <c r="H568" s="337"/>
      <c r="I568" s="338"/>
      <c r="J568" s="97"/>
      <c r="K568" s="339"/>
      <c r="L568" s="339"/>
      <c r="M568" s="339"/>
      <c r="N568" s="339"/>
      <c r="O568" s="339"/>
      <c r="P568" s="339"/>
      <c r="Q568" s="340"/>
      <c r="R568" s="97"/>
      <c r="S568" s="97"/>
      <c r="T568" s="298"/>
      <c r="U568" s="97"/>
      <c r="V568" s="97"/>
      <c r="W568" s="97"/>
      <c r="X568" s="97"/>
      <c r="Y568" s="97"/>
      <c r="Z568" s="97"/>
      <c r="AA568" s="97"/>
    </row>
    <row r="569" ht="15.75" customHeight="1">
      <c r="A569" s="97"/>
      <c r="B569" s="336"/>
      <c r="C569" s="337"/>
      <c r="D569" s="97"/>
      <c r="E569" s="337"/>
      <c r="F569" s="338"/>
      <c r="G569" s="336"/>
      <c r="H569" s="337"/>
      <c r="I569" s="338"/>
      <c r="J569" s="97"/>
      <c r="K569" s="339"/>
      <c r="L569" s="339"/>
      <c r="M569" s="339"/>
      <c r="N569" s="339"/>
      <c r="O569" s="339"/>
      <c r="P569" s="339"/>
      <c r="Q569" s="340"/>
      <c r="R569" s="97"/>
      <c r="S569" s="97"/>
      <c r="T569" s="298"/>
      <c r="U569" s="97"/>
      <c r="V569" s="97"/>
      <c r="W569" s="97"/>
      <c r="X569" s="97"/>
      <c r="Y569" s="97"/>
      <c r="Z569" s="97"/>
      <c r="AA569" s="97"/>
    </row>
    <row r="570" ht="15.75" customHeight="1">
      <c r="A570" s="97"/>
      <c r="B570" s="336"/>
      <c r="C570" s="337"/>
      <c r="D570" s="97"/>
      <c r="E570" s="337"/>
      <c r="F570" s="338"/>
      <c r="G570" s="336"/>
      <c r="H570" s="337"/>
      <c r="I570" s="338"/>
      <c r="J570" s="97"/>
      <c r="K570" s="339"/>
      <c r="L570" s="339"/>
      <c r="M570" s="339"/>
      <c r="N570" s="339"/>
      <c r="O570" s="339"/>
      <c r="P570" s="339"/>
      <c r="Q570" s="340"/>
      <c r="R570" s="97"/>
      <c r="S570" s="97"/>
      <c r="T570" s="298"/>
      <c r="U570" s="97"/>
      <c r="V570" s="97"/>
      <c r="W570" s="97"/>
      <c r="X570" s="97"/>
      <c r="Y570" s="97"/>
      <c r="Z570" s="97"/>
      <c r="AA570" s="97"/>
    </row>
    <row r="571" ht="15.75" customHeight="1">
      <c r="A571" s="97"/>
      <c r="B571" s="336"/>
      <c r="C571" s="337"/>
      <c r="D571" s="97"/>
      <c r="E571" s="337"/>
      <c r="F571" s="338"/>
      <c r="G571" s="336"/>
      <c r="H571" s="337"/>
      <c r="I571" s="338"/>
      <c r="J571" s="97"/>
      <c r="K571" s="339"/>
      <c r="L571" s="339"/>
      <c r="M571" s="339"/>
      <c r="N571" s="339"/>
      <c r="O571" s="339"/>
      <c r="P571" s="339"/>
      <c r="Q571" s="340"/>
      <c r="R571" s="97"/>
      <c r="S571" s="97"/>
      <c r="T571" s="298"/>
      <c r="U571" s="97"/>
      <c r="V571" s="97"/>
      <c r="W571" s="97"/>
      <c r="X571" s="97"/>
      <c r="Y571" s="97"/>
      <c r="Z571" s="97"/>
      <c r="AA571" s="97"/>
    </row>
    <row r="572" ht="15.75" customHeight="1">
      <c r="A572" s="97"/>
      <c r="B572" s="336"/>
      <c r="C572" s="337"/>
      <c r="D572" s="97"/>
      <c r="E572" s="337"/>
      <c r="F572" s="338"/>
      <c r="G572" s="336"/>
      <c r="H572" s="337"/>
      <c r="I572" s="338"/>
      <c r="J572" s="97"/>
      <c r="K572" s="339"/>
      <c r="L572" s="339"/>
      <c r="M572" s="339"/>
      <c r="N572" s="339"/>
      <c r="O572" s="339"/>
      <c r="P572" s="339"/>
      <c r="Q572" s="340"/>
      <c r="R572" s="97"/>
      <c r="S572" s="97"/>
      <c r="T572" s="298"/>
      <c r="U572" s="97"/>
      <c r="V572" s="97"/>
      <c r="W572" s="97"/>
      <c r="X572" s="97"/>
      <c r="Y572" s="97"/>
      <c r="Z572" s="97"/>
      <c r="AA572" s="97"/>
    </row>
    <row r="573" ht="15.75" customHeight="1">
      <c r="A573" s="97"/>
      <c r="B573" s="336"/>
      <c r="C573" s="337"/>
      <c r="D573" s="97"/>
      <c r="E573" s="337"/>
      <c r="F573" s="338"/>
      <c r="G573" s="336"/>
      <c r="H573" s="337"/>
      <c r="I573" s="338"/>
      <c r="J573" s="97"/>
      <c r="K573" s="339"/>
      <c r="L573" s="339"/>
      <c r="M573" s="339"/>
      <c r="N573" s="339"/>
      <c r="O573" s="339"/>
      <c r="P573" s="339"/>
      <c r="Q573" s="340"/>
      <c r="R573" s="97"/>
      <c r="S573" s="97"/>
      <c r="T573" s="298"/>
      <c r="U573" s="97"/>
      <c r="V573" s="97"/>
      <c r="W573" s="97"/>
      <c r="X573" s="97"/>
      <c r="Y573" s="97"/>
      <c r="Z573" s="97"/>
      <c r="AA573" s="97"/>
    </row>
    <row r="574" ht="15.75" customHeight="1">
      <c r="A574" s="97"/>
      <c r="B574" s="336"/>
      <c r="C574" s="337"/>
      <c r="D574" s="97"/>
      <c r="E574" s="337"/>
      <c r="F574" s="338"/>
      <c r="G574" s="336"/>
      <c r="H574" s="337"/>
      <c r="I574" s="338"/>
      <c r="J574" s="97"/>
      <c r="K574" s="339"/>
      <c r="L574" s="339"/>
      <c r="M574" s="339"/>
      <c r="N574" s="339"/>
      <c r="O574" s="339"/>
      <c r="P574" s="339"/>
      <c r="Q574" s="340"/>
      <c r="R574" s="97"/>
      <c r="S574" s="97"/>
      <c r="T574" s="298"/>
      <c r="U574" s="97"/>
      <c r="V574" s="97"/>
      <c r="W574" s="97"/>
      <c r="X574" s="97"/>
      <c r="Y574" s="97"/>
      <c r="Z574" s="97"/>
      <c r="AA574" s="97"/>
    </row>
    <row r="575" ht="15.75" customHeight="1">
      <c r="A575" s="97"/>
      <c r="B575" s="336"/>
      <c r="C575" s="337"/>
      <c r="D575" s="97"/>
      <c r="E575" s="337"/>
      <c r="F575" s="338"/>
      <c r="G575" s="336"/>
      <c r="H575" s="337"/>
      <c r="I575" s="338"/>
      <c r="J575" s="97"/>
      <c r="K575" s="339"/>
      <c r="L575" s="339"/>
      <c r="M575" s="339"/>
      <c r="N575" s="339"/>
      <c r="O575" s="339"/>
      <c r="P575" s="339"/>
      <c r="Q575" s="340"/>
      <c r="R575" s="97"/>
      <c r="S575" s="97"/>
      <c r="T575" s="298"/>
      <c r="U575" s="97"/>
      <c r="V575" s="97"/>
      <c r="W575" s="97"/>
      <c r="X575" s="97"/>
      <c r="Y575" s="97"/>
      <c r="Z575" s="97"/>
      <c r="AA575" s="97"/>
    </row>
    <row r="576" ht="15.75" customHeight="1">
      <c r="A576" s="97"/>
      <c r="B576" s="336"/>
      <c r="C576" s="337"/>
      <c r="D576" s="97"/>
      <c r="E576" s="337"/>
      <c r="F576" s="338"/>
      <c r="G576" s="336"/>
      <c r="H576" s="337"/>
      <c r="I576" s="338"/>
      <c r="J576" s="97"/>
      <c r="K576" s="339"/>
      <c r="L576" s="339"/>
      <c r="M576" s="339"/>
      <c r="N576" s="339"/>
      <c r="O576" s="339"/>
      <c r="P576" s="339"/>
      <c r="Q576" s="340"/>
      <c r="R576" s="97"/>
      <c r="S576" s="97"/>
      <c r="T576" s="298"/>
      <c r="U576" s="97"/>
      <c r="V576" s="97"/>
      <c r="W576" s="97"/>
      <c r="X576" s="97"/>
      <c r="Y576" s="97"/>
      <c r="Z576" s="97"/>
      <c r="AA576" s="97"/>
    </row>
    <row r="577" ht="15.75" customHeight="1">
      <c r="A577" s="97"/>
      <c r="B577" s="336"/>
      <c r="C577" s="337"/>
      <c r="D577" s="97"/>
      <c r="E577" s="337"/>
      <c r="F577" s="338"/>
      <c r="G577" s="336"/>
      <c r="H577" s="337"/>
      <c r="I577" s="338"/>
      <c r="J577" s="97"/>
      <c r="K577" s="339"/>
      <c r="L577" s="339"/>
      <c r="M577" s="339"/>
      <c r="N577" s="339"/>
      <c r="O577" s="339"/>
      <c r="P577" s="339"/>
      <c r="Q577" s="340"/>
      <c r="R577" s="97"/>
      <c r="S577" s="97"/>
      <c r="T577" s="298"/>
      <c r="U577" s="97"/>
      <c r="V577" s="97"/>
      <c r="W577" s="97"/>
      <c r="X577" s="97"/>
      <c r="Y577" s="97"/>
      <c r="Z577" s="97"/>
      <c r="AA577" s="97"/>
    </row>
    <row r="578" ht="15.75" customHeight="1">
      <c r="A578" s="97"/>
      <c r="B578" s="336"/>
      <c r="C578" s="337"/>
      <c r="D578" s="97"/>
      <c r="E578" s="337"/>
      <c r="F578" s="338"/>
      <c r="G578" s="336"/>
      <c r="H578" s="337"/>
      <c r="I578" s="338"/>
      <c r="J578" s="97"/>
      <c r="K578" s="339"/>
      <c r="L578" s="339"/>
      <c r="M578" s="339"/>
      <c r="N578" s="339"/>
      <c r="O578" s="339"/>
      <c r="P578" s="339"/>
      <c r="Q578" s="340"/>
      <c r="R578" s="97"/>
      <c r="S578" s="97"/>
      <c r="T578" s="298"/>
      <c r="U578" s="97"/>
      <c r="V578" s="97"/>
      <c r="W578" s="97"/>
      <c r="X578" s="97"/>
      <c r="Y578" s="97"/>
      <c r="Z578" s="97"/>
      <c r="AA578" s="97"/>
    </row>
    <row r="579" ht="15.75" customHeight="1">
      <c r="A579" s="97"/>
      <c r="B579" s="336"/>
      <c r="C579" s="337"/>
      <c r="D579" s="97"/>
      <c r="E579" s="337"/>
      <c r="F579" s="338"/>
      <c r="G579" s="336"/>
      <c r="H579" s="337"/>
      <c r="I579" s="338"/>
      <c r="J579" s="97"/>
      <c r="K579" s="339"/>
      <c r="L579" s="339"/>
      <c r="M579" s="339"/>
      <c r="N579" s="339"/>
      <c r="O579" s="339"/>
      <c r="P579" s="339"/>
      <c r="Q579" s="340"/>
      <c r="R579" s="97"/>
      <c r="S579" s="97"/>
      <c r="T579" s="298"/>
      <c r="U579" s="97"/>
      <c r="V579" s="97"/>
      <c r="W579" s="97"/>
      <c r="X579" s="97"/>
      <c r="Y579" s="97"/>
      <c r="Z579" s="97"/>
      <c r="AA579" s="97"/>
    </row>
    <row r="580" ht="15.75" customHeight="1">
      <c r="A580" s="97"/>
      <c r="B580" s="336"/>
      <c r="C580" s="337"/>
      <c r="D580" s="97"/>
      <c r="E580" s="337"/>
      <c r="F580" s="338"/>
      <c r="G580" s="336"/>
      <c r="H580" s="337"/>
      <c r="I580" s="338"/>
      <c r="J580" s="97"/>
      <c r="K580" s="339"/>
      <c r="L580" s="339"/>
      <c r="M580" s="339"/>
      <c r="N580" s="339"/>
      <c r="O580" s="339"/>
      <c r="P580" s="339"/>
      <c r="Q580" s="340"/>
      <c r="R580" s="97"/>
      <c r="S580" s="97"/>
      <c r="T580" s="298"/>
      <c r="U580" s="97"/>
      <c r="V580" s="97"/>
      <c r="W580" s="97"/>
      <c r="X580" s="97"/>
      <c r="Y580" s="97"/>
      <c r="Z580" s="97"/>
      <c r="AA580" s="97"/>
    </row>
    <row r="581" ht="15.75" customHeight="1">
      <c r="A581" s="97"/>
      <c r="B581" s="336"/>
      <c r="C581" s="337"/>
      <c r="D581" s="97"/>
      <c r="E581" s="337"/>
      <c r="F581" s="338"/>
      <c r="G581" s="336"/>
      <c r="H581" s="337"/>
      <c r="I581" s="338"/>
      <c r="J581" s="97"/>
      <c r="K581" s="339"/>
      <c r="L581" s="339"/>
      <c r="M581" s="339"/>
      <c r="N581" s="339"/>
      <c r="O581" s="339"/>
      <c r="P581" s="339"/>
      <c r="Q581" s="340"/>
      <c r="R581" s="97"/>
      <c r="S581" s="97"/>
      <c r="T581" s="298"/>
      <c r="U581" s="97"/>
      <c r="V581" s="97"/>
      <c r="W581" s="97"/>
      <c r="X581" s="97"/>
      <c r="Y581" s="97"/>
      <c r="Z581" s="97"/>
      <c r="AA581" s="97"/>
    </row>
    <row r="582" ht="15.75" customHeight="1">
      <c r="A582" s="97"/>
      <c r="B582" s="336"/>
      <c r="C582" s="337"/>
      <c r="D582" s="97"/>
      <c r="E582" s="337"/>
      <c r="F582" s="338"/>
      <c r="G582" s="336"/>
      <c r="H582" s="337"/>
      <c r="I582" s="338"/>
      <c r="J582" s="97"/>
      <c r="K582" s="339"/>
      <c r="L582" s="339"/>
      <c r="M582" s="339"/>
      <c r="N582" s="339"/>
      <c r="O582" s="339"/>
      <c r="P582" s="339"/>
      <c r="Q582" s="340"/>
      <c r="R582" s="97"/>
      <c r="S582" s="97"/>
      <c r="T582" s="298"/>
      <c r="U582" s="97"/>
      <c r="V582" s="97"/>
      <c r="W582" s="97"/>
      <c r="X582" s="97"/>
      <c r="Y582" s="97"/>
      <c r="Z582" s="97"/>
      <c r="AA582" s="97"/>
    </row>
    <row r="583" ht="15.75" customHeight="1">
      <c r="A583" s="97"/>
      <c r="B583" s="336"/>
      <c r="C583" s="337"/>
      <c r="D583" s="97"/>
      <c r="E583" s="337"/>
      <c r="F583" s="338"/>
      <c r="G583" s="336"/>
      <c r="H583" s="337"/>
      <c r="I583" s="338"/>
      <c r="J583" s="97"/>
      <c r="K583" s="339"/>
      <c r="L583" s="339"/>
      <c r="M583" s="339"/>
      <c r="N583" s="339"/>
      <c r="O583" s="339"/>
      <c r="P583" s="339"/>
      <c r="Q583" s="340"/>
      <c r="R583" s="97"/>
      <c r="S583" s="97"/>
      <c r="T583" s="298"/>
      <c r="U583" s="97"/>
      <c r="V583" s="97"/>
      <c r="W583" s="97"/>
      <c r="X583" s="97"/>
      <c r="Y583" s="97"/>
      <c r="Z583" s="97"/>
      <c r="AA583" s="97"/>
    </row>
    <row r="584" ht="15.75" customHeight="1">
      <c r="A584" s="97"/>
      <c r="B584" s="336"/>
      <c r="C584" s="337"/>
      <c r="D584" s="97"/>
      <c r="E584" s="337"/>
      <c r="F584" s="338"/>
      <c r="G584" s="336"/>
      <c r="H584" s="337"/>
      <c r="I584" s="338"/>
      <c r="J584" s="97"/>
      <c r="K584" s="339"/>
      <c r="L584" s="339"/>
      <c r="M584" s="339"/>
      <c r="N584" s="339"/>
      <c r="O584" s="339"/>
      <c r="P584" s="339"/>
      <c r="Q584" s="340"/>
      <c r="R584" s="97"/>
      <c r="S584" s="97"/>
      <c r="T584" s="298"/>
      <c r="U584" s="97"/>
      <c r="V584" s="97"/>
      <c r="W584" s="97"/>
      <c r="X584" s="97"/>
      <c r="Y584" s="97"/>
      <c r="Z584" s="97"/>
      <c r="AA584" s="97"/>
    </row>
    <row r="585" ht="15.75" customHeight="1">
      <c r="A585" s="97"/>
      <c r="B585" s="336"/>
      <c r="C585" s="337"/>
      <c r="D585" s="97"/>
      <c r="E585" s="337"/>
      <c r="F585" s="338"/>
      <c r="G585" s="336"/>
      <c r="H585" s="337"/>
      <c r="I585" s="338"/>
      <c r="J585" s="97"/>
      <c r="K585" s="339"/>
      <c r="L585" s="339"/>
      <c r="M585" s="339"/>
      <c r="N585" s="339"/>
      <c r="O585" s="339"/>
      <c r="P585" s="339"/>
      <c r="Q585" s="340"/>
      <c r="R585" s="97"/>
      <c r="S585" s="97"/>
      <c r="T585" s="298"/>
      <c r="U585" s="97"/>
      <c r="V585" s="97"/>
      <c r="W585" s="97"/>
      <c r="X585" s="97"/>
      <c r="Y585" s="97"/>
      <c r="Z585" s="97"/>
      <c r="AA585" s="97"/>
    </row>
    <row r="586" ht="15.75" customHeight="1">
      <c r="A586" s="97"/>
      <c r="B586" s="336"/>
      <c r="C586" s="337"/>
      <c r="D586" s="97"/>
      <c r="E586" s="337"/>
      <c r="F586" s="338"/>
      <c r="G586" s="336"/>
      <c r="H586" s="337"/>
      <c r="I586" s="338"/>
      <c r="J586" s="97"/>
      <c r="K586" s="339"/>
      <c r="L586" s="339"/>
      <c r="M586" s="339"/>
      <c r="N586" s="339"/>
      <c r="O586" s="339"/>
      <c r="P586" s="339"/>
      <c r="Q586" s="340"/>
      <c r="R586" s="97"/>
      <c r="S586" s="97"/>
      <c r="T586" s="298"/>
      <c r="U586" s="97"/>
      <c r="V586" s="97"/>
      <c r="W586" s="97"/>
      <c r="X586" s="97"/>
      <c r="Y586" s="97"/>
      <c r="Z586" s="97"/>
      <c r="AA586" s="97"/>
    </row>
    <row r="587" ht="15.75" customHeight="1">
      <c r="A587" s="97"/>
      <c r="B587" s="336"/>
      <c r="C587" s="337"/>
      <c r="D587" s="97"/>
      <c r="E587" s="337"/>
      <c r="F587" s="338"/>
      <c r="G587" s="336"/>
      <c r="H587" s="337"/>
      <c r="I587" s="338"/>
      <c r="J587" s="97"/>
      <c r="K587" s="339"/>
      <c r="L587" s="339"/>
      <c r="M587" s="339"/>
      <c r="N587" s="339"/>
      <c r="O587" s="339"/>
      <c r="P587" s="339"/>
      <c r="Q587" s="340"/>
      <c r="R587" s="97"/>
      <c r="S587" s="97"/>
      <c r="T587" s="298"/>
      <c r="U587" s="97"/>
      <c r="V587" s="97"/>
      <c r="W587" s="97"/>
      <c r="X587" s="97"/>
      <c r="Y587" s="97"/>
      <c r="Z587" s="97"/>
      <c r="AA587" s="97"/>
    </row>
    <row r="588" ht="15.75" customHeight="1">
      <c r="A588" s="97"/>
      <c r="B588" s="336"/>
      <c r="C588" s="337"/>
      <c r="D588" s="97"/>
      <c r="E588" s="337"/>
      <c r="F588" s="338"/>
      <c r="G588" s="336"/>
      <c r="H588" s="337"/>
      <c r="I588" s="338"/>
      <c r="J588" s="97"/>
      <c r="K588" s="339"/>
      <c r="L588" s="339"/>
      <c r="M588" s="339"/>
      <c r="N588" s="339"/>
      <c r="O588" s="339"/>
      <c r="P588" s="339"/>
      <c r="Q588" s="340"/>
      <c r="R588" s="97"/>
      <c r="S588" s="97"/>
      <c r="T588" s="298"/>
      <c r="U588" s="97"/>
      <c r="V588" s="97"/>
      <c r="W588" s="97"/>
      <c r="X588" s="97"/>
      <c r="Y588" s="97"/>
      <c r="Z588" s="97"/>
      <c r="AA588" s="97"/>
    </row>
    <row r="589" ht="15.75" customHeight="1">
      <c r="A589" s="97"/>
      <c r="B589" s="336"/>
      <c r="C589" s="337"/>
      <c r="D589" s="97"/>
      <c r="E589" s="337"/>
      <c r="F589" s="338"/>
      <c r="G589" s="336"/>
      <c r="H589" s="337"/>
      <c r="I589" s="338"/>
      <c r="J589" s="97"/>
      <c r="K589" s="339"/>
      <c r="L589" s="339"/>
      <c r="M589" s="339"/>
      <c r="N589" s="339"/>
      <c r="O589" s="339"/>
      <c r="P589" s="339"/>
      <c r="Q589" s="340"/>
      <c r="R589" s="97"/>
      <c r="S589" s="97"/>
      <c r="T589" s="298"/>
      <c r="U589" s="97"/>
      <c r="V589" s="97"/>
      <c r="W589" s="97"/>
      <c r="X589" s="97"/>
      <c r="Y589" s="97"/>
      <c r="Z589" s="97"/>
      <c r="AA589" s="97"/>
    </row>
    <row r="590" ht="15.75" customHeight="1">
      <c r="A590" s="97"/>
      <c r="B590" s="336"/>
      <c r="C590" s="337"/>
      <c r="D590" s="97"/>
      <c r="E590" s="337"/>
      <c r="F590" s="338"/>
      <c r="G590" s="336"/>
      <c r="H590" s="337"/>
      <c r="I590" s="338"/>
      <c r="J590" s="97"/>
      <c r="K590" s="339"/>
      <c r="L590" s="339"/>
      <c r="M590" s="339"/>
      <c r="N590" s="339"/>
      <c r="O590" s="339"/>
      <c r="P590" s="339"/>
      <c r="Q590" s="340"/>
      <c r="R590" s="97"/>
      <c r="S590" s="97"/>
      <c r="T590" s="298"/>
      <c r="U590" s="97"/>
      <c r="V590" s="97"/>
      <c r="W590" s="97"/>
      <c r="X590" s="97"/>
      <c r="Y590" s="97"/>
      <c r="Z590" s="97"/>
      <c r="AA590" s="97"/>
    </row>
    <row r="591" ht="15.75" customHeight="1">
      <c r="A591" s="97"/>
      <c r="B591" s="336"/>
      <c r="C591" s="337"/>
      <c r="D591" s="97"/>
      <c r="E591" s="337"/>
      <c r="F591" s="338"/>
      <c r="G591" s="336"/>
      <c r="H591" s="337"/>
      <c r="I591" s="338"/>
      <c r="J591" s="97"/>
      <c r="K591" s="339"/>
      <c r="L591" s="339"/>
      <c r="M591" s="339"/>
      <c r="N591" s="339"/>
      <c r="O591" s="339"/>
      <c r="P591" s="339"/>
      <c r="Q591" s="340"/>
      <c r="R591" s="97"/>
      <c r="S591" s="97"/>
      <c r="T591" s="298"/>
      <c r="U591" s="97"/>
      <c r="V591" s="97"/>
      <c r="W591" s="97"/>
      <c r="X591" s="97"/>
      <c r="Y591" s="97"/>
      <c r="Z591" s="97"/>
      <c r="AA591" s="97"/>
    </row>
    <row r="592" ht="15.75" customHeight="1">
      <c r="A592" s="97"/>
      <c r="B592" s="336"/>
      <c r="C592" s="337"/>
      <c r="D592" s="97"/>
      <c r="E592" s="337"/>
      <c r="F592" s="338"/>
      <c r="G592" s="336"/>
      <c r="H592" s="337"/>
      <c r="I592" s="338"/>
      <c r="J592" s="97"/>
      <c r="K592" s="339"/>
      <c r="L592" s="339"/>
      <c r="M592" s="339"/>
      <c r="N592" s="339"/>
      <c r="O592" s="339"/>
      <c r="P592" s="339"/>
      <c r="Q592" s="340"/>
      <c r="R592" s="97"/>
      <c r="S592" s="97"/>
      <c r="T592" s="298"/>
      <c r="U592" s="97"/>
      <c r="V592" s="97"/>
      <c r="W592" s="97"/>
      <c r="X592" s="97"/>
      <c r="Y592" s="97"/>
      <c r="Z592" s="97"/>
      <c r="AA592" s="97"/>
    </row>
    <row r="593" ht="15.75" customHeight="1">
      <c r="A593" s="97"/>
      <c r="B593" s="336"/>
      <c r="C593" s="337"/>
      <c r="D593" s="97"/>
      <c r="E593" s="337"/>
      <c r="F593" s="338"/>
      <c r="G593" s="336"/>
      <c r="H593" s="337"/>
      <c r="I593" s="338"/>
      <c r="J593" s="97"/>
      <c r="K593" s="339"/>
      <c r="L593" s="339"/>
      <c r="M593" s="339"/>
      <c r="N593" s="339"/>
      <c r="O593" s="339"/>
      <c r="P593" s="339"/>
      <c r="Q593" s="340"/>
      <c r="R593" s="97"/>
      <c r="S593" s="97"/>
      <c r="T593" s="298"/>
      <c r="U593" s="97"/>
      <c r="V593" s="97"/>
      <c r="W593" s="97"/>
      <c r="X593" s="97"/>
      <c r="Y593" s="97"/>
      <c r="Z593" s="97"/>
      <c r="AA593" s="97"/>
    </row>
    <row r="594" ht="15.75" customHeight="1">
      <c r="A594" s="97"/>
      <c r="B594" s="336"/>
      <c r="C594" s="337"/>
      <c r="D594" s="97"/>
      <c r="E594" s="337"/>
      <c r="F594" s="338"/>
      <c r="G594" s="336"/>
      <c r="H594" s="337"/>
      <c r="I594" s="338"/>
      <c r="J594" s="97"/>
      <c r="K594" s="339"/>
      <c r="L594" s="339"/>
      <c r="M594" s="339"/>
      <c r="N594" s="339"/>
      <c r="O594" s="339"/>
      <c r="P594" s="339"/>
      <c r="Q594" s="340"/>
      <c r="R594" s="97"/>
      <c r="S594" s="97"/>
      <c r="T594" s="298"/>
      <c r="U594" s="97"/>
      <c r="V594" s="97"/>
      <c r="W594" s="97"/>
      <c r="X594" s="97"/>
      <c r="Y594" s="97"/>
      <c r="Z594" s="97"/>
      <c r="AA594" s="97"/>
    </row>
    <row r="595" ht="15.75" customHeight="1">
      <c r="A595" s="97"/>
      <c r="B595" s="336"/>
      <c r="C595" s="337"/>
      <c r="D595" s="97"/>
      <c r="E595" s="337"/>
      <c r="F595" s="338"/>
      <c r="G595" s="336"/>
      <c r="H595" s="337"/>
      <c r="I595" s="338"/>
      <c r="J595" s="97"/>
      <c r="K595" s="339"/>
      <c r="L595" s="339"/>
      <c r="M595" s="339"/>
      <c r="N595" s="339"/>
      <c r="O595" s="339"/>
      <c r="P595" s="339"/>
      <c r="Q595" s="340"/>
      <c r="R595" s="97"/>
      <c r="S595" s="97"/>
      <c r="T595" s="298"/>
      <c r="U595" s="97"/>
      <c r="V595" s="97"/>
      <c r="W595" s="97"/>
      <c r="X595" s="97"/>
      <c r="Y595" s="97"/>
      <c r="Z595" s="97"/>
      <c r="AA595" s="97"/>
    </row>
    <row r="596" ht="15.75" customHeight="1">
      <c r="A596" s="97"/>
      <c r="B596" s="336"/>
      <c r="C596" s="337"/>
      <c r="D596" s="97"/>
      <c r="E596" s="337"/>
      <c r="F596" s="338"/>
      <c r="G596" s="336"/>
      <c r="H596" s="337"/>
      <c r="I596" s="338"/>
      <c r="J596" s="97"/>
      <c r="K596" s="339"/>
      <c r="L596" s="339"/>
      <c r="M596" s="339"/>
      <c r="N596" s="339"/>
      <c r="O596" s="339"/>
      <c r="P596" s="339"/>
      <c r="Q596" s="340"/>
      <c r="R596" s="97"/>
      <c r="S596" s="97"/>
      <c r="T596" s="298"/>
      <c r="U596" s="97"/>
      <c r="V596" s="97"/>
      <c r="W596" s="97"/>
      <c r="X596" s="97"/>
      <c r="Y596" s="97"/>
      <c r="Z596" s="97"/>
      <c r="AA596" s="97"/>
    </row>
    <row r="597" ht="15.75" customHeight="1">
      <c r="A597" s="97"/>
      <c r="B597" s="336"/>
      <c r="C597" s="337"/>
      <c r="D597" s="97"/>
      <c r="E597" s="337"/>
      <c r="F597" s="338"/>
      <c r="G597" s="336"/>
      <c r="H597" s="337"/>
      <c r="I597" s="338"/>
      <c r="J597" s="97"/>
      <c r="K597" s="339"/>
      <c r="L597" s="339"/>
      <c r="M597" s="339"/>
      <c r="N597" s="339"/>
      <c r="O597" s="339"/>
      <c r="P597" s="339"/>
      <c r="Q597" s="340"/>
      <c r="R597" s="97"/>
      <c r="S597" s="97"/>
      <c r="T597" s="298"/>
      <c r="U597" s="97"/>
      <c r="V597" s="97"/>
      <c r="W597" s="97"/>
      <c r="X597" s="97"/>
      <c r="Y597" s="97"/>
      <c r="Z597" s="97"/>
      <c r="AA597" s="97"/>
    </row>
    <row r="598" ht="15.75" customHeight="1">
      <c r="A598" s="97"/>
      <c r="B598" s="336"/>
      <c r="C598" s="337"/>
      <c r="D598" s="97"/>
      <c r="E598" s="337"/>
      <c r="F598" s="338"/>
      <c r="G598" s="336"/>
      <c r="H598" s="337"/>
      <c r="I598" s="338"/>
      <c r="J598" s="97"/>
      <c r="K598" s="339"/>
      <c r="L598" s="339"/>
      <c r="M598" s="339"/>
      <c r="N598" s="339"/>
      <c r="O598" s="339"/>
      <c r="P598" s="339"/>
      <c r="Q598" s="340"/>
      <c r="R598" s="97"/>
      <c r="S598" s="97"/>
      <c r="T598" s="298"/>
      <c r="U598" s="97"/>
      <c r="V598" s="97"/>
      <c r="W598" s="97"/>
      <c r="X598" s="97"/>
      <c r="Y598" s="97"/>
      <c r="Z598" s="97"/>
      <c r="AA598" s="97"/>
    </row>
    <row r="599" ht="15.75" customHeight="1">
      <c r="A599" s="97"/>
      <c r="B599" s="336"/>
      <c r="C599" s="337"/>
      <c r="D599" s="97"/>
      <c r="E599" s="337"/>
      <c r="F599" s="338"/>
      <c r="G599" s="336"/>
      <c r="H599" s="337"/>
      <c r="I599" s="338"/>
      <c r="J599" s="97"/>
      <c r="K599" s="339"/>
      <c r="L599" s="339"/>
      <c r="M599" s="339"/>
      <c r="N599" s="339"/>
      <c r="O599" s="339"/>
      <c r="P599" s="339"/>
      <c r="Q599" s="340"/>
      <c r="R599" s="97"/>
      <c r="S599" s="97"/>
      <c r="T599" s="298"/>
      <c r="U599" s="97"/>
      <c r="V599" s="97"/>
      <c r="W599" s="97"/>
      <c r="X599" s="97"/>
      <c r="Y599" s="97"/>
      <c r="Z599" s="97"/>
      <c r="AA599" s="97"/>
    </row>
    <row r="600" ht="15.75" customHeight="1">
      <c r="A600" s="97"/>
      <c r="B600" s="336"/>
      <c r="C600" s="337"/>
      <c r="D600" s="97"/>
      <c r="E600" s="337"/>
      <c r="F600" s="338"/>
      <c r="G600" s="336"/>
      <c r="H600" s="337"/>
      <c r="I600" s="338"/>
      <c r="J600" s="97"/>
      <c r="K600" s="339"/>
      <c r="L600" s="339"/>
      <c r="M600" s="339"/>
      <c r="N600" s="339"/>
      <c r="O600" s="339"/>
      <c r="P600" s="339"/>
      <c r="Q600" s="340"/>
      <c r="R600" s="97"/>
      <c r="S600" s="97"/>
      <c r="T600" s="298"/>
      <c r="U600" s="97"/>
      <c r="V600" s="97"/>
      <c r="W600" s="97"/>
      <c r="X600" s="97"/>
      <c r="Y600" s="97"/>
      <c r="Z600" s="97"/>
      <c r="AA600" s="97"/>
    </row>
    <row r="601" ht="15.75" customHeight="1">
      <c r="A601" s="97"/>
      <c r="B601" s="336"/>
      <c r="C601" s="337"/>
      <c r="D601" s="97"/>
      <c r="E601" s="337"/>
      <c r="F601" s="338"/>
      <c r="G601" s="336"/>
      <c r="H601" s="337"/>
      <c r="I601" s="338"/>
      <c r="J601" s="97"/>
      <c r="K601" s="339"/>
      <c r="L601" s="339"/>
      <c r="M601" s="339"/>
      <c r="N601" s="339"/>
      <c r="O601" s="339"/>
      <c r="P601" s="339"/>
      <c r="Q601" s="340"/>
      <c r="R601" s="97"/>
      <c r="S601" s="97"/>
      <c r="T601" s="298"/>
      <c r="U601" s="97"/>
      <c r="V601" s="97"/>
      <c r="W601" s="97"/>
      <c r="X601" s="97"/>
      <c r="Y601" s="97"/>
      <c r="Z601" s="97"/>
      <c r="AA601" s="97"/>
    </row>
    <row r="602" ht="15.75" customHeight="1">
      <c r="A602" s="97"/>
      <c r="B602" s="336"/>
      <c r="C602" s="337"/>
      <c r="D602" s="97"/>
      <c r="E602" s="337"/>
      <c r="F602" s="338"/>
      <c r="G602" s="336"/>
      <c r="H602" s="337"/>
      <c r="I602" s="338"/>
      <c r="J602" s="97"/>
      <c r="K602" s="339"/>
      <c r="L602" s="339"/>
      <c r="M602" s="339"/>
      <c r="N602" s="339"/>
      <c r="O602" s="339"/>
      <c r="P602" s="339"/>
      <c r="Q602" s="340"/>
      <c r="R602" s="97"/>
      <c r="S602" s="97"/>
      <c r="T602" s="298"/>
      <c r="U602" s="97"/>
      <c r="V602" s="97"/>
      <c r="W602" s="97"/>
      <c r="X602" s="97"/>
      <c r="Y602" s="97"/>
      <c r="Z602" s="97"/>
      <c r="AA602" s="97"/>
    </row>
    <row r="603" ht="15.75" customHeight="1">
      <c r="A603" s="97"/>
      <c r="B603" s="336"/>
      <c r="C603" s="337"/>
      <c r="D603" s="97"/>
      <c r="E603" s="337"/>
      <c r="F603" s="338"/>
      <c r="G603" s="336"/>
      <c r="H603" s="337"/>
      <c r="I603" s="338"/>
      <c r="J603" s="97"/>
      <c r="K603" s="339"/>
      <c r="L603" s="339"/>
      <c r="M603" s="339"/>
      <c r="N603" s="339"/>
      <c r="O603" s="339"/>
      <c r="P603" s="339"/>
      <c r="Q603" s="340"/>
      <c r="R603" s="97"/>
      <c r="S603" s="97"/>
      <c r="T603" s="298"/>
      <c r="U603" s="97"/>
      <c r="V603" s="97"/>
      <c r="W603" s="97"/>
      <c r="X603" s="97"/>
      <c r="Y603" s="97"/>
      <c r="Z603" s="97"/>
      <c r="AA603" s="97"/>
    </row>
    <row r="604" ht="15.75" customHeight="1">
      <c r="A604" s="97"/>
      <c r="B604" s="336"/>
      <c r="C604" s="337"/>
      <c r="D604" s="97"/>
      <c r="E604" s="337"/>
      <c r="F604" s="338"/>
      <c r="G604" s="336"/>
      <c r="H604" s="337"/>
      <c r="I604" s="338"/>
      <c r="J604" s="97"/>
      <c r="K604" s="339"/>
      <c r="L604" s="339"/>
      <c r="M604" s="339"/>
      <c r="N604" s="339"/>
      <c r="O604" s="339"/>
      <c r="P604" s="339"/>
      <c r="Q604" s="340"/>
      <c r="R604" s="97"/>
      <c r="S604" s="97"/>
      <c r="T604" s="298"/>
      <c r="U604" s="97"/>
      <c r="V604" s="97"/>
      <c r="W604" s="97"/>
      <c r="X604" s="97"/>
      <c r="Y604" s="97"/>
      <c r="Z604" s="97"/>
      <c r="AA604" s="97"/>
    </row>
    <row r="605" ht="15.75" customHeight="1">
      <c r="A605" s="97"/>
      <c r="B605" s="336"/>
      <c r="C605" s="337"/>
      <c r="D605" s="97"/>
      <c r="E605" s="337"/>
      <c r="F605" s="338"/>
      <c r="G605" s="336"/>
      <c r="H605" s="337"/>
      <c r="I605" s="338"/>
      <c r="J605" s="97"/>
      <c r="K605" s="339"/>
      <c r="L605" s="339"/>
      <c r="M605" s="339"/>
      <c r="N605" s="339"/>
      <c r="O605" s="339"/>
      <c r="P605" s="339"/>
      <c r="Q605" s="340"/>
      <c r="R605" s="97"/>
      <c r="S605" s="97"/>
      <c r="T605" s="298"/>
      <c r="U605" s="97"/>
      <c r="V605" s="97"/>
      <c r="W605" s="97"/>
      <c r="X605" s="97"/>
      <c r="Y605" s="97"/>
      <c r="Z605" s="97"/>
      <c r="AA605" s="97"/>
    </row>
    <row r="606" ht="15.75" customHeight="1">
      <c r="A606" s="97"/>
      <c r="B606" s="336"/>
      <c r="C606" s="337"/>
      <c r="D606" s="97"/>
      <c r="E606" s="337"/>
      <c r="F606" s="338"/>
      <c r="G606" s="336"/>
      <c r="H606" s="337"/>
      <c r="I606" s="338"/>
      <c r="J606" s="97"/>
      <c r="K606" s="339"/>
      <c r="L606" s="339"/>
      <c r="M606" s="339"/>
      <c r="N606" s="339"/>
      <c r="O606" s="339"/>
      <c r="P606" s="339"/>
      <c r="Q606" s="340"/>
      <c r="R606" s="97"/>
      <c r="S606" s="97"/>
      <c r="T606" s="298"/>
      <c r="U606" s="97"/>
      <c r="V606" s="97"/>
      <c r="W606" s="97"/>
      <c r="X606" s="97"/>
      <c r="Y606" s="97"/>
      <c r="Z606" s="97"/>
      <c r="AA606" s="97"/>
    </row>
    <row r="607" ht="15.75" customHeight="1">
      <c r="A607" s="97"/>
      <c r="B607" s="336"/>
      <c r="C607" s="337"/>
      <c r="D607" s="97"/>
      <c r="E607" s="337"/>
      <c r="F607" s="338"/>
      <c r="G607" s="336"/>
      <c r="H607" s="337"/>
      <c r="I607" s="338"/>
      <c r="J607" s="97"/>
      <c r="K607" s="339"/>
      <c r="L607" s="339"/>
      <c r="M607" s="339"/>
      <c r="N607" s="339"/>
      <c r="O607" s="339"/>
      <c r="P607" s="339"/>
      <c r="Q607" s="340"/>
      <c r="R607" s="97"/>
      <c r="S607" s="97"/>
      <c r="T607" s="298"/>
      <c r="U607" s="97"/>
      <c r="V607" s="97"/>
      <c r="W607" s="97"/>
      <c r="X607" s="97"/>
      <c r="Y607" s="97"/>
      <c r="Z607" s="97"/>
      <c r="AA607" s="97"/>
    </row>
    <row r="608" ht="15.75" customHeight="1">
      <c r="A608" s="97"/>
      <c r="B608" s="336"/>
      <c r="C608" s="337"/>
      <c r="D608" s="97"/>
      <c r="E608" s="337"/>
      <c r="F608" s="338"/>
      <c r="G608" s="336"/>
      <c r="H608" s="337"/>
      <c r="I608" s="338"/>
      <c r="J608" s="97"/>
      <c r="K608" s="339"/>
      <c r="L608" s="339"/>
      <c r="M608" s="339"/>
      <c r="N608" s="339"/>
      <c r="O608" s="339"/>
      <c r="P608" s="339"/>
      <c r="Q608" s="340"/>
      <c r="R608" s="97"/>
      <c r="S608" s="97"/>
      <c r="T608" s="298"/>
      <c r="U608" s="97"/>
      <c r="V608" s="97"/>
      <c r="W608" s="97"/>
      <c r="X608" s="97"/>
      <c r="Y608" s="97"/>
      <c r="Z608" s="97"/>
      <c r="AA608" s="97"/>
    </row>
    <row r="609" ht="15.75" customHeight="1">
      <c r="A609" s="97"/>
      <c r="B609" s="336"/>
      <c r="C609" s="337"/>
      <c r="D609" s="97"/>
      <c r="E609" s="337"/>
      <c r="F609" s="338"/>
      <c r="G609" s="336"/>
      <c r="H609" s="337"/>
      <c r="I609" s="338"/>
      <c r="J609" s="97"/>
      <c r="K609" s="339"/>
      <c r="L609" s="339"/>
      <c r="M609" s="339"/>
      <c r="N609" s="339"/>
      <c r="O609" s="339"/>
      <c r="P609" s="339"/>
      <c r="Q609" s="340"/>
      <c r="R609" s="97"/>
      <c r="S609" s="97"/>
      <c r="T609" s="298"/>
      <c r="U609" s="97"/>
      <c r="V609" s="97"/>
      <c r="W609" s="97"/>
      <c r="X609" s="97"/>
      <c r="Y609" s="97"/>
      <c r="Z609" s="97"/>
      <c r="AA609" s="97"/>
    </row>
    <row r="610" ht="15.75" customHeight="1">
      <c r="A610" s="97"/>
      <c r="B610" s="336"/>
      <c r="C610" s="337"/>
      <c r="D610" s="97"/>
      <c r="E610" s="337"/>
      <c r="F610" s="338"/>
      <c r="G610" s="336"/>
      <c r="H610" s="337"/>
      <c r="I610" s="338"/>
      <c r="J610" s="97"/>
      <c r="K610" s="339"/>
      <c r="L610" s="339"/>
      <c r="M610" s="339"/>
      <c r="N610" s="339"/>
      <c r="O610" s="339"/>
      <c r="P610" s="339"/>
      <c r="Q610" s="340"/>
      <c r="R610" s="97"/>
      <c r="S610" s="97"/>
      <c r="T610" s="298"/>
      <c r="U610" s="97"/>
      <c r="V610" s="97"/>
      <c r="W610" s="97"/>
      <c r="X610" s="97"/>
      <c r="Y610" s="97"/>
      <c r="Z610" s="97"/>
      <c r="AA610" s="97"/>
    </row>
    <row r="611" ht="15.75" customHeight="1">
      <c r="A611" s="97"/>
      <c r="B611" s="336"/>
      <c r="C611" s="337"/>
      <c r="D611" s="97"/>
      <c r="E611" s="337"/>
      <c r="F611" s="338"/>
      <c r="G611" s="336"/>
      <c r="H611" s="337"/>
      <c r="I611" s="338"/>
      <c r="J611" s="97"/>
      <c r="K611" s="339"/>
      <c r="L611" s="339"/>
      <c r="M611" s="339"/>
      <c r="N611" s="339"/>
      <c r="O611" s="339"/>
      <c r="P611" s="339"/>
      <c r="Q611" s="340"/>
      <c r="R611" s="97"/>
      <c r="S611" s="97"/>
      <c r="T611" s="298"/>
      <c r="U611" s="97"/>
      <c r="V611" s="97"/>
      <c r="W611" s="97"/>
      <c r="X611" s="97"/>
      <c r="Y611" s="97"/>
      <c r="Z611" s="97"/>
      <c r="AA611" s="97"/>
    </row>
    <row r="612" ht="15.75" customHeight="1">
      <c r="A612" s="97"/>
      <c r="B612" s="336"/>
      <c r="C612" s="337"/>
      <c r="D612" s="97"/>
      <c r="E612" s="337"/>
      <c r="F612" s="338"/>
      <c r="G612" s="336"/>
      <c r="H612" s="337"/>
      <c r="I612" s="338"/>
      <c r="J612" s="97"/>
      <c r="K612" s="339"/>
      <c r="L612" s="339"/>
      <c r="M612" s="339"/>
      <c r="N612" s="339"/>
      <c r="O612" s="339"/>
      <c r="P612" s="339"/>
      <c r="Q612" s="340"/>
      <c r="R612" s="97"/>
      <c r="S612" s="97"/>
      <c r="T612" s="298"/>
      <c r="U612" s="97"/>
      <c r="V612" s="97"/>
      <c r="W612" s="97"/>
      <c r="X612" s="97"/>
      <c r="Y612" s="97"/>
      <c r="Z612" s="97"/>
      <c r="AA612" s="97"/>
    </row>
    <row r="613" ht="15.75" customHeight="1">
      <c r="A613" s="97"/>
      <c r="B613" s="336"/>
      <c r="C613" s="337"/>
      <c r="D613" s="97"/>
      <c r="E613" s="337"/>
      <c r="F613" s="338"/>
      <c r="G613" s="336"/>
      <c r="H613" s="337"/>
      <c r="I613" s="338"/>
      <c r="J613" s="97"/>
      <c r="K613" s="339"/>
      <c r="L613" s="339"/>
      <c r="M613" s="339"/>
      <c r="N613" s="339"/>
      <c r="O613" s="339"/>
      <c r="P613" s="339"/>
      <c r="Q613" s="340"/>
      <c r="R613" s="97"/>
      <c r="S613" s="97"/>
      <c r="T613" s="298"/>
      <c r="U613" s="97"/>
      <c r="V613" s="97"/>
      <c r="W613" s="97"/>
      <c r="X613" s="97"/>
      <c r="Y613" s="97"/>
      <c r="Z613" s="97"/>
      <c r="AA613" s="97"/>
    </row>
    <row r="614" ht="15.75" customHeight="1">
      <c r="A614" s="97"/>
      <c r="B614" s="336"/>
      <c r="C614" s="337"/>
      <c r="D614" s="97"/>
      <c r="E614" s="337"/>
      <c r="F614" s="338"/>
      <c r="G614" s="336"/>
      <c r="H614" s="337"/>
      <c r="I614" s="338"/>
      <c r="J614" s="97"/>
      <c r="K614" s="339"/>
      <c r="L614" s="339"/>
      <c r="M614" s="339"/>
      <c r="N614" s="339"/>
      <c r="O614" s="339"/>
      <c r="P614" s="339"/>
      <c r="Q614" s="340"/>
      <c r="R614" s="97"/>
      <c r="S614" s="97"/>
      <c r="T614" s="298"/>
      <c r="U614" s="97"/>
      <c r="V614" s="97"/>
      <c r="W614" s="97"/>
      <c r="X614" s="97"/>
      <c r="Y614" s="97"/>
      <c r="Z614" s="97"/>
      <c r="AA614" s="97"/>
    </row>
    <row r="615" ht="15.75" customHeight="1">
      <c r="A615" s="97"/>
      <c r="B615" s="336"/>
      <c r="C615" s="337"/>
      <c r="D615" s="97"/>
      <c r="E615" s="337"/>
      <c r="F615" s="338"/>
      <c r="G615" s="336"/>
      <c r="H615" s="337"/>
      <c r="I615" s="338"/>
      <c r="J615" s="97"/>
      <c r="K615" s="339"/>
      <c r="L615" s="339"/>
      <c r="M615" s="339"/>
      <c r="N615" s="339"/>
      <c r="O615" s="339"/>
      <c r="P615" s="339"/>
      <c r="Q615" s="340"/>
      <c r="R615" s="97"/>
      <c r="S615" s="97"/>
      <c r="T615" s="298"/>
      <c r="U615" s="97"/>
      <c r="V615" s="97"/>
      <c r="W615" s="97"/>
      <c r="X615" s="97"/>
      <c r="Y615" s="97"/>
      <c r="Z615" s="97"/>
      <c r="AA615" s="97"/>
    </row>
    <row r="616" ht="15.75" customHeight="1">
      <c r="A616" s="97"/>
      <c r="B616" s="336"/>
      <c r="C616" s="337"/>
      <c r="D616" s="97"/>
      <c r="E616" s="337"/>
      <c r="F616" s="338"/>
      <c r="G616" s="336"/>
      <c r="H616" s="337"/>
      <c r="I616" s="338"/>
      <c r="J616" s="97"/>
      <c r="K616" s="339"/>
      <c r="L616" s="339"/>
      <c r="M616" s="339"/>
      <c r="N616" s="339"/>
      <c r="O616" s="339"/>
      <c r="P616" s="339"/>
      <c r="Q616" s="340"/>
      <c r="R616" s="97"/>
      <c r="S616" s="97"/>
      <c r="T616" s="298"/>
      <c r="U616" s="97"/>
      <c r="V616" s="97"/>
      <c r="W616" s="97"/>
      <c r="X616" s="97"/>
      <c r="Y616" s="97"/>
      <c r="Z616" s="97"/>
      <c r="AA616" s="97"/>
    </row>
    <row r="617" ht="15.75" customHeight="1">
      <c r="A617" s="97"/>
      <c r="B617" s="336"/>
      <c r="C617" s="337"/>
      <c r="D617" s="97"/>
      <c r="E617" s="337"/>
      <c r="F617" s="338"/>
      <c r="G617" s="336"/>
      <c r="H617" s="337"/>
      <c r="I617" s="338"/>
      <c r="J617" s="97"/>
      <c r="K617" s="339"/>
      <c r="L617" s="339"/>
      <c r="M617" s="339"/>
      <c r="N617" s="339"/>
      <c r="O617" s="339"/>
      <c r="P617" s="339"/>
      <c r="Q617" s="340"/>
      <c r="R617" s="97"/>
      <c r="S617" s="97"/>
      <c r="T617" s="298"/>
      <c r="U617" s="97"/>
      <c r="V617" s="97"/>
      <c r="W617" s="97"/>
      <c r="X617" s="97"/>
      <c r="Y617" s="97"/>
      <c r="Z617" s="97"/>
      <c r="AA617" s="97"/>
    </row>
    <row r="618" ht="15.75" customHeight="1">
      <c r="A618" s="97"/>
      <c r="B618" s="336"/>
      <c r="C618" s="337"/>
      <c r="D618" s="97"/>
      <c r="E618" s="337"/>
      <c r="F618" s="338"/>
      <c r="G618" s="336"/>
      <c r="H618" s="337"/>
      <c r="I618" s="338"/>
      <c r="J618" s="97"/>
      <c r="K618" s="339"/>
      <c r="L618" s="339"/>
      <c r="M618" s="339"/>
      <c r="N618" s="339"/>
      <c r="O618" s="339"/>
      <c r="P618" s="339"/>
      <c r="Q618" s="340"/>
      <c r="R618" s="97"/>
      <c r="S618" s="97"/>
      <c r="T618" s="298"/>
      <c r="U618" s="97"/>
      <c r="V618" s="97"/>
      <c r="W618" s="97"/>
      <c r="X618" s="97"/>
      <c r="Y618" s="97"/>
      <c r="Z618" s="97"/>
      <c r="AA618" s="97"/>
    </row>
    <row r="619" ht="15.75" customHeight="1">
      <c r="A619" s="97"/>
      <c r="B619" s="336"/>
      <c r="C619" s="337"/>
      <c r="D619" s="97"/>
      <c r="E619" s="337"/>
      <c r="F619" s="338"/>
      <c r="G619" s="336"/>
      <c r="H619" s="337"/>
      <c r="I619" s="338"/>
      <c r="J619" s="97"/>
      <c r="K619" s="339"/>
      <c r="L619" s="339"/>
      <c r="M619" s="339"/>
      <c r="N619" s="339"/>
      <c r="O619" s="339"/>
      <c r="P619" s="339"/>
      <c r="Q619" s="340"/>
      <c r="R619" s="97"/>
      <c r="S619" s="97"/>
      <c r="T619" s="298"/>
      <c r="U619" s="97"/>
      <c r="V619" s="97"/>
      <c r="W619" s="97"/>
      <c r="X619" s="97"/>
      <c r="Y619" s="97"/>
      <c r="Z619" s="97"/>
      <c r="AA619" s="97"/>
    </row>
    <row r="620" ht="15.75" customHeight="1">
      <c r="A620" s="97"/>
      <c r="B620" s="336"/>
      <c r="C620" s="337"/>
      <c r="D620" s="97"/>
      <c r="E620" s="337"/>
      <c r="F620" s="338"/>
      <c r="G620" s="336"/>
      <c r="H620" s="337"/>
      <c r="I620" s="338"/>
      <c r="J620" s="97"/>
      <c r="K620" s="339"/>
      <c r="L620" s="339"/>
      <c r="M620" s="339"/>
      <c r="N620" s="339"/>
      <c r="O620" s="339"/>
      <c r="P620" s="339"/>
      <c r="Q620" s="340"/>
      <c r="R620" s="97"/>
      <c r="S620" s="97"/>
      <c r="T620" s="298"/>
      <c r="U620" s="97"/>
      <c r="V620" s="97"/>
      <c r="W620" s="97"/>
      <c r="X620" s="97"/>
      <c r="Y620" s="97"/>
      <c r="Z620" s="97"/>
      <c r="AA620" s="97"/>
    </row>
    <row r="621" ht="15.75" customHeight="1">
      <c r="A621" s="97"/>
      <c r="B621" s="336"/>
      <c r="C621" s="337"/>
      <c r="D621" s="97"/>
      <c r="E621" s="337"/>
      <c r="F621" s="338"/>
      <c r="G621" s="336"/>
      <c r="H621" s="337"/>
      <c r="I621" s="338"/>
      <c r="J621" s="97"/>
      <c r="K621" s="339"/>
      <c r="L621" s="339"/>
      <c r="M621" s="339"/>
      <c r="N621" s="339"/>
      <c r="O621" s="339"/>
      <c r="P621" s="339"/>
      <c r="Q621" s="340"/>
      <c r="R621" s="97"/>
      <c r="S621" s="97"/>
      <c r="T621" s="298"/>
      <c r="U621" s="97"/>
      <c r="V621" s="97"/>
      <c r="W621" s="97"/>
      <c r="X621" s="97"/>
      <c r="Y621" s="97"/>
      <c r="Z621" s="97"/>
      <c r="AA621" s="97"/>
    </row>
    <row r="622" ht="15.75" customHeight="1">
      <c r="A622" s="97"/>
      <c r="B622" s="336"/>
      <c r="C622" s="337"/>
      <c r="D622" s="97"/>
      <c r="E622" s="337"/>
      <c r="F622" s="338"/>
      <c r="G622" s="336"/>
      <c r="H622" s="337"/>
      <c r="I622" s="338"/>
      <c r="J622" s="97"/>
      <c r="K622" s="339"/>
      <c r="L622" s="339"/>
      <c r="M622" s="339"/>
      <c r="N622" s="339"/>
      <c r="O622" s="339"/>
      <c r="P622" s="339"/>
      <c r="Q622" s="340"/>
      <c r="R622" s="97"/>
      <c r="S622" s="97"/>
      <c r="T622" s="298"/>
      <c r="U622" s="97"/>
      <c r="V622" s="97"/>
      <c r="W622" s="97"/>
      <c r="X622" s="97"/>
      <c r="Y622" s="97"/>
      <c r="Z622" s="97"/>
      <c r="AA622" s="97"/>
    </row>
    <row r="623" ht="15.75" customHeight="1">
      <c r="A623" s="97"/>
      <c r="B623" s="336"/>
      <c r="C623" s="337"/>
      <c r="D623" s="97"/>
      <c r="E623" s="337"/>
      <c r="F623" s="338"/>
      <c r="G623" s="336"/>
      <c r="H623" s="337"/>
      <c r="I623" s="338"/>
      <c r="J623" s="97"/>
      <c r="K623" s="339"/>
      <c r="L623" s="339"/>
      <c r="M623" s="339"/>
      <c r="N623" s="339"/>
      <c r="O623" s="339"/>
      <c r="P623" s="339"/>
      <c r="Q623" s="340"/>
      <c r="R623" s="97"/>
      <c r="S623" s="97"/>
      <c r="T623" s="298"/>
      <c r="U623" s="97"/>
      <c r="V623" s="97"/>
      <c r="W623" s="97"/>
      <c r="X623" s="97"/>
      <c r="Y623" s="97"/>
      <c r="Z623" s="97"/>
      <c r="AA623" s="97"/>
    </row>
    <row r="624" ht="15.75" customHeight="1">
      <c r="A624" s="97"/>
      <c r="B624" s="336"/>
      <c r="C624" s="337"/>
      <c r="D624" s="97"/>
      <c r="E624" s="337"/>
      <c r="F624" s="338"/>
      <c r="G624" s="336"/>
      <c r="H624" s="337"/>
      <c r="I624" s="338"/>
      <c r="J624" s="97"/>
      <c r="K624" s="339"/>
      <c r="L624" s="339"/>
      <c r="M624" s="339"/>
      <c r="N624" s="339"/>
      <c r="O624" s="339"/>
      <c r="P624" s="339"/>
      <c r="Q624" s="340"/>
      <c r="R624" s="97"/>
      <c r="S624" s="97"/>
      <c r="T624" s="298"/>
      <c r="U624" s="97"/>
      <c r="V624" s="97"/>
      <c r="W624" s="97"/>
      <c r="X624" s="97"/>
      <c r="Y624" s="97"/>
      <c r="Z624" s="97"/>
      <c r="AA624" s="97"/>
    </row>
    <row r="625" ht="15.75" customHeight="1">
      <c r="A625" s="97"/>
      <c r="B625" s="336"/>
      <c r="C625" s="337"/>
      <c r="D625" s="97"/>
      <c r="E625" s="337"/>
      <c r="F625" s="338"/>
      <c r="G625" s="336"/>
      <c r="H625" s="337"/>
      <c r="I625" s="338"/>
      <c r="J625" s="97"/>
      <c r="K625" s="339"/>
      <c r="L625" s="339"/>
      <c r="M625" s="339"/>
      <c r="N625" s="339"/>
      <c r="O625" s="339"/>
      <c r="P625" s="339"/>
      <c r="Q625" s="340"/>
      <c r="R625" s="97"/>
      <c r="S625" s="97"/>
      <c r="T625" s="298"/>
      <c r="U625" s="97"/>
      <c r="V625" s="97"/>
      <c r="W625" s="97"/>
      <c r="X625" s="97"/>
      <c r="Y625" s="97"/>
      <c r="Z625" s="97"/>
      <c r="AA625" s="97"/>
    </row>
    <row r="626" ht="15.75" customHeight="1">
      <c r="A626" s="97"/>
      <c r="B626" s="336"/>
      <c r="C626" s="337"/>
      <c r="D626" s="97"/>
      <c r="E626" s="337"/>
      <c r="F626" s="338"/>
      <c r="G626" s="336"/>
      <c r="H626" s="337"/>
      <c r="I626" s="338"/>
      <c r="J626" s="97"/>
      <c r="K626" s="339"/>
      <c r="L626" s="339"/>
      <c r="M626" s="339"/>
      <c r="N626" s="339"/>
      <c r="O626" s="339"/>
      <c r="P626" s="339"/>
      <c r="Q626" s="340"/>
      <c r="R626" s="97"/>
      <c r="S626" s="97"/>
      <c r="T626" s="298"/>
      <c r="U626" s="97"/>
      <c r="V626" s="97"/>
      <c r="W626" s="97"/>
      <c r="X626" s="97"/>
      <c r="Y626" s="97"/>
      <c r="Z626" s="97"/>
      <c r="AA626" s="97"/>
    </row>
    <row r="627" ht="15.75" customHeight="1">
      <c r="A627" s="97"/>
      <c r="B627" s="336"/>
      <c r="C627" s="337"/>
      <c r="D627" s="97"/>
      <c r="E627" s="337"/>
      <c r="F627" s="338"/>
      <c r="G627" s="336"/>
      <c r="H627" s="337"/>
      <c r="I627" s="338"/>
      <c r="J627" s="97"/>
      <c r="K627" s="339"/>
      <c r="L627" s="339"/>
      <c r="M627" s="339"/>
      <c r="N627" s="339"/>
      <c r="O627" s="339"/>
      <c r="P627" s="339"/>
      <c r="Q627" s="340"/>
      <c r="R627" s="97"/>
      <c r="S627" s="97"/>
      <c r="T627" s="298"/>
      <c r="U627" s="97"/>
      <c r="V627" s="97"/>
      <c r="W627" s="97"/>
      <c r="X627" s="97"/>
      <c r="Y627" s="97"/>
      <c r="Z627" s="97"/>
      <c r="AA627" s="97"/>
    </row>
    <row r="628" ht="15.75" customHeight="1">
      <c r="A628" s="97"/>
      <c r="B628" s="336"/>
      <c r="C628" s="337"/>
      <c r="D628" s="97"/>
      <c r="E628" s="337"/>
      <c r="F628" s="338"/>
      <c r="G628" s="336"/>
      <c r="H628" s="337"/>
      <c r="I628" s="338"/>
      <c r="J628" s="97"/>
      <c r="K628" s="339"/>
      <c r="L628" s="339"/>
      <c r="M628" s="339"/>
      <c r="N628" s="339"/>
      <c r="O628" s="339"/>
      <c r="P628" s="339"/>
      <c r="Q628" s="340"/>
      <c r="R628" s="97"/>
      <c r="S628" s="97"/>
      <c r="T628" s="298"/>
      <c r="U628" s="97"/>
      <c r="V628" s="97"/>
      <c r="W628" s="97"/>
      <c r="X628" s="97"/>
      <c r="Y628" s="97"/>
      <c r="Z628" s="97"/>
      <c r="AA628" s="97"/>
    </row>
    <row r="629" ht="15.75" customHeight="1">
      <c r="A629" s="97"/>
      <c r="B629" s="336"/>
      <c r="C629" s="337"/>
      <c r="D629" s="97"/>
      <c r="E629" s="337"/>
      <c r="F629" s="338"/>
      <c r="G629" s="336"/>
      <c r="H629" s="337"/>
      <c r="I629" s="338"/>
      <c r="J629" s="97"/>
      <c r="K629" s="339"/>
      <c r="L629" s="339"/>
      <c r="M629" s="339"/>
      <c r="N629" s="339"/>
      <c r="O629" s="339"/>
      <c r="P629" s="339"/>
      <c r="Q629" s="340"/>
      <c r="R629" s="97"/>
      <c r="S629" s="97"/>
      <c r="T629" s="298"/>
      <c r="U629" s="97"/>
      <c r="V629" s="97"/>
      <c r="W629" s="97"/>
      <c r="X629" s="97"/>
      <c r="Y629" s="97"/>
      <c r="Z629" s="97"/>
      <c r="AA629" s="97"/>
    </row>
    <row r="630" ht="15.75" customHeight="1">
      <c r="A630" s="97"/>
      <c r="B630" s="336"/>
      <c r="C630" s="337"/>
      <c r="D630" s="97"/>
      <c r="E630" s="337"/>
      <c r="F630" s="338"/>
      <c r="G630" s="336"/>
      <c r="H630" s="337"/>
      <c r="I630" s="338"/>
      <c r="J630" s="97"/>
      <c r="K630" s="339"/>
      <c r="L630" s="339"/>
      <c r="M630" s="339"/>
      <c r="N630" s="339"/>
      <c r="O630" s="339"/>
      <c r="P630" s="339"/>
      <c r="Q630" s="340"/>
      <c r="R630" s="97"/>
      <c r="S630" s="97"/>
      <c r="T630" s="298"/>
      <c r="U630" s="97"/>
      <c r="V630" s="97"/>
      <c r="W630" s="97"/>
      <c r="X630" s="97"/>
      <c r="Y630" s="97"/>
      <c r="Z630" s="97"/>
      <c r="AA630" s="97"/>
    </row>
    <row r="631" ht="15.75" customHeight="1">
      <c r="A631" s="97"/>
      <c r="B631" s="336"/>
      <c r="C631" s="337"/>
      <c r="D631" s="97"/>
      <c r="E631" s="337"/>
      <c r="F631" s="338"/>
      <c r="G631" s="336"/>
      <c r="H631" s="337"/>
      <c r="I631" s="338"/>
      <c r="J631" s="97"/>
      <c r="K631" s="339"/>
      <c r="L631" s="339"/>
      <c r="M631" s="339"/>
      <c r="N631" s="339"/>
      <c r="O631" s="339"/>
      <c r="P631" s="339"/>
      <c r="Q631" s="340"/>
      <c r="R631" s="97"/>
      <c r="S631" s="97"/>
      <c r="T631" s="298"/>
      <c r="U631" s="97"/>
      <c r="V631" s="97"/>
      <c r="W631" s="97"/>
      <c r="X631" s="97"/>
      <c r="Y631" s="97"/>
      <c r="Z631" s="97"/>
      <c r="AA631" s="97"/>
    </row>
    <row r="632" ht="15.75" customHeight="1">
      <c r="A632" s="97"/>
      <c r="B632" s="336"/>
      <c r="C632" s="337"/>
      <c r="D632" s="97"/>
      <c r="E632" s="337"/>
      <c r="F632" s="338"/>
      <c r="G632" s="336"/>
      <c r="H632" s="337"/>
      <c r="I632" s="338"/>
      <c r="J632" s="97"/>
      <c r="K632" s="339"/>
      <c r="L632" s="339"/>
      <c r="M632" s="339"/>
      <c r="N632" s="339"/>
      <c r="O632" s="339"/>
      <c r="P632" s="339"/>
      <c r="Q632" s="340"/>
      <c r="R632" s="97"/>
      <c r="S632" s="97"/>
      <c r="T632" s="298"/>
      <c r="U632" s="97"/>
      <c r="V632" s="97"/>
      <c r="W632" s="97"/>
      <c r="X632" s="97"/>
      <c r="Y632" s="97"/>
      <c r="Z632" s="97"/>
      <c r="AA632" s="97"/>
    </row>
    <row r="633" ht="15.75" customHeight="1">
      <c r="A633" s="97"/>
      <c r="B633" s="336"/>
      <c r="C633" s="337"/>
      <c r="D633" s="97"/>
      <c r="E633" s="337"/>
      <c r="F633" s="338"/>
      <c r="G633" s="336"/>
      <c r="H633" s="337"/>
      <c r="I633" s="338"/>
      <c r="J633" s="97"/>
      <c r="K633" s="339"/>
      <c r="L633" s="339"/>
      <c r="M633" s="339"/>
      <c r="N633" s="339"/>
      <c r="O633" s="339"/>
      <c r="P633" s="339"/>
      <c r="Q633" s="340"/>
      <c r="R633" s="97"/>
      <c r="S633" s="97"/>
      <c r="T633" s="298"/>
      <c r="U633" s="97"/>
      <c r="V633" s="97"/>
      <c r="W633" s="97"/>
      <c r="X633" s="97"/>
      <c r="Y633" s="97"/>
      <c r="Z633" s="97"/>
      <c r="AA633" s="97"/>
    </row>
    <row r="634" ht="15.75" customHeight="1">
      <c r="A634" s="97"/>
      <c r="B634" s="336"/>
      <c r="C634" s="337"/>
      <c r="D634" s="97"/>
      <c r="E634" s="337"/>
      <c r="F634" s="338"/>
      <c r="G634" s="336"/>
      <c r="H634" s="337"/>
      <c r="I634" s="338"/>
      <c r="J634" s="97"/>
      <c r="K634" s="339"/>
      <c r="L634" s="339"/>
      <c r="M634" s="339"/>
      <c r="N634" s="339"/>
      <c r="O634" s="339"/>
      <c r="P634" s="339"/>
      <c r="Q634" s="340"/>
      <c r="R634" s="97"/>
      <c r="S634" s="97"/>
      <c r="T634" s="298"/>
      <c r="U634" s="97"/>
      <c r="V634" s="97"/>
      <c r="W634" s="97"/>
      <c r="X634" s="97"/>
      <c r="Y634" s="97"/>
      <c r="Z634" s="97"/>
      <c r="AA634" s="97"/>
    </row>
    <row r="635" ht="15.75" customHeight="1">
      <c r="A635" s="97"/>
      <c r="B635" s="336"/>
      <c r="C635" s="337"/>
      <c r="D635" s="97"/>
      <c r="E635" s="337"/>
      <c r="F635" s="338"/>
      <c r="G635" s="336"/>
      <c r="H635" s="337"/>
      <c r="I635" s="338"/>
      <c r="J635" s="97"/>
      <c r="K635" s="339"/>
      <c r="L635" s="339"/>
      <c r="M635" s="339"/>
      <c r="N635" s="339"/>
      <c r="O635" s="339"/>
      <c r="P635" s="339"/>
      <c r="Q635" s="340"/>
      <c r="R635" s="97"/>
      <c r="S635" s="97"/>
      <c r="T635" s="298"/>
      <c r="U635" s="97"/>
      <c r="V635" s="97"/>
      <c r="W635" s="97"/>
      <c r="X635" s="97"/>
      <c r="Y635" s="97"/>
      <c r="Z635" s="97"/>
      <c r="AA635" s="97"/>
    </row>
    <row r="636" ht="15.75" customHeight="1">
      <c r="A636" s="97"/>
      <c r="B636" s="336"/>
      <c r="C636" s="337"/>
      <c r="D636" s="97"/>
      <c r="E636" s="337"/>
      <c r="F636" s="338"/>
      <c r="G636" s="336"/>
      <c r="H636" s="337"/>
      <c r="I636" s="338"/>
      <c r="J636" s="97"/>
      <c r="K636" s="339"/>
      <c r="L636" s="339"/>
      <c r="M636" s="339"/>
      <c r="N636" s="339"/>
      <c r="O636" s="339"/>
      <c r="P636" s="339"/>
      <c r="Q636" s="340"/>
      <c r="R636" s="97"/>
      <c r="S636" s="97"/>
      <c r="T636" s="298"/>
      <c r="U636" s="97"/>
      <c r="V636" s="97"/>
      <c r="W636" s="97"/>
      <c r="X636" s="97"/>
      <c r="Y636" s="97"/>
      <c r="Z636" s="97"/>
      <c r="AA636" s="97"/>
    </row>
    <row r="637" ht="15.75" customHeight="1">
      <c r="A637" s="97"/>
      <c r="B637" s="336"/>
      <c r="C637" s="337"/>
      <c r="D637" s="97"/>
      <c r="E637" s="337"/>
      <c r="F637" s="338"/>
      <c r="G637" s="336"/>
      <c r="H637" s="337"/>
      <c r="I637" s="338"/>
      <c r="J637" s="97"/>
      <c r="K637" s="339"/>
      <c r="L637" s="339"/>
      <c r="M637" s="339"/>
      <c r="N637" s="339"/>
      <c r="O637" s="339"/>
      <c r="P637" s="339"/>
      <c r="Q637" s="340"/>
      <c r="R637" s="97"/>
      <c r="S637" s="97"/>
      <c r="T637" s="298"/>
      <c r="U637" s="97"/>
      <c r="V637" s="97"/>
      <c r="W637" s="97"/>
      <c r="X637" s="97"/>
      <c r="Y637" s="97"/>
      <c r="Z637" s="97"/>
      <c r="AA637" s="97"/>
    </row>
    <row r="638" ht="15.75" customHeight="1">
      <c r="A638" s="97"/>
      <c r="B638" s="336"/>
      <c r="C638" s="337"/>
      <c r="D638" s="97"/>
      <c r="E638" s="337"/>
      <c r="F638" s="338"/>
      <c r="G638" s="336"/>
      <c r="H638" s="337"/>
      <c r="I638" s="338"/>
      <c r="J638" s="97"/>
      <c r="K638" s="339"/>
      <c r="L638" s="339"/>
      <c r="M638" s="339"/>
      <c r="N638" s="339"/>
      <c r="O638" s="339"/>
      <c r="P638" s="339"/>
      <c r="Q638" s="340"/>
      <c r="R638" s="97"/>
      <c r="S638" s="97"/>
      <c r="T638" s="298"/>
      <c r="U638" s="97"/>
      <c r="V638" s="97"/>
      <c r="W638" s="97"/>
      <c r="X638" s="97"/>
      <c r="Y638" s="97"/>
      <c r="Z638" s="97"/>
      <c r="AA638" s="97"/>
    </row>
    <row r="639" ht="15.75" customHeight="1">
      <c r="A639" s="97"/>
      <c r="B639" s="336"/>
      <c r="C639" s="337"/>
      <c r="D639" s="97"/>
      <c r="E639" s="337"/>
      <c r="F639" s="338"/>
      <c r="G639" s="336"/>
      <c r="H639" s="337"/>
      <c r="I639" s="338"/>
      <c r="J639" s="97"/>
      <c r="K639" s="339"/>
      <c r="L639" s="339"/>
      <c r="M639" s="339"/>
      <c r="N639" s="339"/>
      <c r="O639" s="339"/>
      <c r="P639" s="339"/>
      <c r="Q639" s="340"/>
      <c r="R639" s="97"/>
      <c r="S639" s="97"/>
      <c r="T639" s="298"/>
      <c r="U639" s="97"/>
      <c r="V639" s="97"/>
      <c r="W639" s="97"/>
      <c r="X639" s="97"/>
      <c r="Y639" s="97"/>
      <c r="Z639" s="97"/>
      <c r="AA639" s="97"/>
    </row>
    <row r="640" ht="15.75" customHeight="1">
      <c r="A640" s="97"/>
      <c r="B640" s="336"/>
      <c r="C640" s="337"/>
      <c r="D640" s="97"/>
      <c r="E640" s="337"/>
      <c r="F640" s="338"/>
      <c r="G640" s="336"/>
      <c r="H640" s="337"/>
      <c r="I640" s="338"/>
      <c r="J640" s="97"/>
      <c r="K640" s="339"/>
      <c r="L640" s="339"/>
      <c r="M640" s="339"/>
      <c r="N640" s="339"/>
      <c r="O640" s="339"/>
      <c r="P640" s="339"/>
      <c r="Q640" s="340"/>
      <c r="R640" s="97"/>
      <c r="S640" s="97"/>
      <c r="T640" s="298"/>
      <c r="U640" s="97"/>
      <c r="V640" s="97"/>
      <c r="W640" s="97"/>
      <c r="X640" s="97"/>
      <c r="Y640" s="97"/>
      <c r="Z640" s="97"/>
      <c r="AA640" s="97"/>
    </row>
    <row r="641" ht="15.75" customHeight="1">
      <c r="A641" s="97"/>
      <c r="B641" s="336"/>
      <c r="C641" s="337"/>
      <c r="D641" s="97"/>
      <c r="E641" s="337"/>
      <c r="F641" s="338"/>
      <c r="G641" s="336"/>
      <c r="H641" s="337"/>
      <c r="I641" s="338"/>
      <c r="J641" s="97"/>
      <c r="K641" s="339"/>
      <c r="L641" s="339"/>
      <c r="M641" s="339"/>
      <c r="N641" s="339"/>
      <c r="O641" s="339"/>
      <c r="P641" s="339"/>
      <c r="Q641" s="340"/>
      <c r="R641" s="97"/>
      <c r="S641" s="97"/>
      <c r="T641" s="298"/>
      <c r="U641" s="97"/>
      <c r="V641" s="97"/>
      <c r="W641" s="97"/>
      <c r="X641" s="97"/>
      <c r="Y641" s="97"/>
      <c r="Z641" s="97"/>
      <c r="AA641" s="97"/>
    </row>
    <row r="642" ht="15.75" customHeight="1">
      <c r="A642" s="97"/>
      <c r="B642" s="336"/>
      <c r="C642" s="337"/>
      <c r="D642" s="97"/>
      <c r="E642" s="337"/>
      <c r="F642" s="338"/>
      <c r="G642" s="336"/>
      <c r="H642" s="337"/>
      <c r="I642" s="338"/>
      <c r="J642" s="97"/>
      <c r="K642" s="339"/>
      <c r="L642" s="339"/>
      <c r="M642" s="339"/>
      <c r="N642" s="339"/>
      <c r="O642" s="339"/>
      <c r="P642" s="339"/>
      <c r="Q642" s="340"/>
      <c r="R642" s="97"/>
      <c r="S642" s="97"/>
      <c r="T642" s="298"/>
      <c r="U642" s="97"/>
      <c r="V642" s="97"/>
      <c r="W642" s="97"/>
      <c r="X642" s="97"/>
      <c r="Y642" s="97"/>
      <c r="Z642" s="97"/>
      <c r="AA642" s="97"/>
    </row>
    <row r="643" ht="15.75" customHeight="1">
      <c r="A643" s="97"/>
      <c r="B643" s="336"/>
      <c r="C643" s="337"/>
      <c r="D643" s="97"/>
      <c r="E643" s="337"/>
      <c r="F643" s="338"/>
      <c r="G643" s="336"/>
      <c r="H643" s="337"/>
      <c r="I643" s="338"/>
      <c r="J643" s="97"/>
      <c r="K643" s="339"/>
      <c r="L643" s="339"/>
      <c r="M643" s="339"/>
      <c r="N643" s="339"/>
      <c r="O643" s="339"/>
      <c r="P643" s="339"/>
      <c r="Q643" s="340"/>
      <c r="R643" s="97"/>
      <c r="S643" s="97"/>
      <c r="T643" s="298"/>
      <c r="U643" s="97"/>
      <c r="V643" s="97"/>
      <c r="W643" s="97"/>
      <c r="X643" s="97"/>
      <c r="Y643" s="97"/>
      <c r="Z643" s="97"/>
      <c r="AA643" s="97"/>
    </row>
    <row r="644" ht="15.75" customHeight="1">
      <c r="A644" s="97"/>
      <c r="B644" s="336"/>
      <c r="C644" s="337"/>
      <c r="D644" s="97"/>
      <c r="E644" s="337"/>
      <c r="F644" s="338"/>
      <c r="G644" s="336"/>
      <c r="H644" s="337"/>
      <c r="I644" s="338"/>
      <c r="J644" s="97"/>
      <c r="K644" s="339"/>
      <c r="L644" s="339"/>
      <c r="M644" s="339"/>
      <c r="N644" s="339"/>
      <c r="O644" s="339"/>
      <c r="P644" s="339"/>
      <c r="Q644" s="340"/>
      <c r="R644" s="97"/>
      <c r="S644" s="97"/>
      <c r="T644" s="298"/>
      <c r="U644" s="97"/>
      <c r="V644" s="97"/>
      <c r="W644" s="97"/>
      <c r="X644" s="97"/>
      <c r="Y644" s="97"/>
      <c r="Z644" s="97"/>
      <c r="AA644" s="97"/>
    </row>
    <row r="645" ht="15.75" customHeight="1">
      <c r="A645" s="97"/>
      <c r="B645" s="336"/>
      <c r="C645" s="337"/>
      <c r="D645" s="97"/>
      <c r="E645" s="337"/>
      <c r="F645" s="338"/>
      <c r="G645" s="336"/>
      <c r="H645" s="337"/>
      <c r="I645" s="338"/>
      <c r="J645" s="97"/>
      <c r="K645" s="339"/>
      <c r="L645" s="339"/>
      <c r="M645" s="339"/>
      <c r="N645" s="339"/>
      <c r="O645" s="339"/>
      <c r="P645" s="339"/>
      <c r="Q645" s="340"/>
      <c r="R645" s="97"/>
      <c r="S645" s="97"/>
      <c r="T645" s="298"/>
      <c r="U645" s="97"/>
      <c r="V645" s="97"/>
      <c r="W645" s="97"/>
      <c r="X645" s="97"/>
      <c r="Y645" s="97"/>
      <c r="Z645" s="97"/>
      <c r="AA645" s="97"/>
    </row>
    <row r="646" ht="15.75" customHeight="1">
      <c r="A646" s="97"/>
      <c r="B646" s="336"/>
      <c r="C646" s="337"/>
      <c r="D646" s="97"/>
      <c r="E646" s="337"/>
      <c r="F646" s="338"/>
      <c r="G646" s="336"/>
      <c r="H646" s="337"/>
      <c r="I646" s="338"/>
      <c r="J646" s="97"/>
      <c r="K646" s="339"/>
      <c r="L646" s="339"/>
      <c r="M646" s="339"/>
      <c r="N646" s="339"/>
      <c r="O646" s="339"/>
      <c r="P646" s="339"/>
      <c r="Q646" s="340"/>
      <c r="R646" s="97"/>
      <c r="S646" s="97"/>
      <c r="T646" s="298"/>
      <c r="U646" s="97"/>
      <c r="V646" s="97"/>
      <c r="W646" s="97"/>
      <c r="X646" s="97"/>
      <c r="Y646" s="97"/>
      <c r="Z646" s="97"/>
      <c r="AA646" s="97"/>
    </row>
    <row r="647" ht="15.75" customHeight="1">
      <c r="A647" s="97"/>
      <c r="B647" s="336"/>
      <c r="C647" s="337"/>
      <c r="D647" s="97"/>
      <c r="E647" s="337"/>
      <c r="F647" s="338"/>
      <c r="G647" s="336"/>
      <c r="H647" s="337"/>
      <c r="I647" s="338"/>
      <c r="J647" s="97"/>
      <c r="K647" s="339"/>
      <c r="L647" s="339"/>
      <c r="M647" s="339"/>
      <c r="N647" s="339"/>
      <c r="O647" s="339"/>
      <c r="P647" s="339"/>
      <c r="Q647" s="340"/>
      <c r="R647" s="97"/>
      <c r="S647" s="97"/>
      <c r="T647" s="298"/>
      <c r="U647" s="97"/>
      <c r="V647" s="97"/>
      <c r="W647" s="97"/>
      <c r="X647" s="97"/>
      <c r="Y647" s="97"/>
      <c r="Z647" s="97"/>
      <c r="AA647" s="97"/>
    </row>
    <row r="648" ht="15.75" customHeight="1">
      <c r="A648" s="97"/>
      <c r="B648" s="336"/>
      <c r="C648" s="337"/>
      <c r="D648" s="97"/>
      <c r="E648" s="337"/>
      <c r="F648" s="338"/>
      <c r="G648" s="336"/>
      <c r="H648" s="337"/>
      <c r="I648" s="338"/>
      <c r="J648" s="97"/>
      <c r="K648" s="339"/>
      <c r="L648" s="339"/>
      <c r="M648" s="339"/>
      <c r="N648" s="339"/>
      <c r="O648" s="339"/>
      <c r="P648" s="339"/>
      <c r="Q648" s="340"/>
      <c r="R648" s="97"/>
      <c r="S648" s="97"/>
      <c r="T648" s="298"/>
      <c r="U648" s="97"/>
      <c r="V648" s="97"/>
      <c r="W648" s="97"/>
      <c r="X648" s="97"/>
      <c r="Y648" s="97"/>
      <c r="Z648" s="97"/>
      <c r="AA648" s="97"/>
    </row>
    <row r="649" ht="15.75" customHeight="1">
      <c r="A649" s="97"/>
      <c r="B649" s="336"/>
      <c r="C649" s="337"/>
      <c r="D649" s="97"/>
      <c r="E649" s="337"/>
      <c r="F649" s="338"/>
      <c r="G649" s="336"/>
      <c r="H649" s="337"/>
      <c r="I649" s="338"/>
      <c r="J649" s="97"/>
      <c r="K649" s="339"/>
      <c r="L649" s="339"/>
      <c r="M649" s="339"/>
      <c r="N649" s="339"/>
      <c r="O649" s="339"/>
      <c r="P649" s="339"/>
      <c r="Q649" s="340"/>
      <c r="R649" s="97"/>
      <c r="S649" s="97"/>
      <c r="T649" s="298"/>
      <c r="U649" s="97"/>
      <c r="V649" s="97"/>
      <c r="W649" s="97"/>
      <c r="X649" s="97"/>
      <c r="Y649" s="97"/>
      <c r="Z649" s="97"/>
      <c r="AA649" s="97"/>
    </row>
    <row r="650" ht="15.75" customHeight="1">
      <c r="A650" s="97"/>
      <c r="B650" s="336"/>
      <c r="C650" s="337"/>
      <c r="D650" s="97"/>
      <c r="E650" s="337"/>
      <c r="F650" s="338"/>
      <c r="G650" s="336"/>
      <c r="H650" s="337"/>
      <c r="I650" s="338"/>
      <c r="J650" s="97"/>
      <c r="K650" s="339"/>
      <c r="L650" s="339"/>
      <c r="M650" s="339"/>
      <c r="N650" s="339"/>
      <c r="O650" s="339"/>
      <c r="P650" s="339"/>
      <c r="Q650" s="340"/>
      <c r="R650" s="97"/>
      <c r="S650" s="97"/>
      <c r="T650" s="298"/>
      <c r="U650" s="97"/>
      <c r="V650" s="97"/>
      <c r="W650" s="97"/>
      <c r="X650" s="97"/>
      <c r="Y650" s="97"/>
      <c r="Z650" s="97"/>
      <c r="AA650" s="97"/>
    </row>
    <row r="651" ht="15.75" customHeight="1">
      <c r="A651" s="97"/>
      <c r="B651" s="336"/>
      <c r="C651" s="337"/>
      <c r="D651" s="97"/>
      <c r="E651" s="337"/>
      <c r="F651" s="338"/>
      <c r="G651" s="336"/>
      <c r="H651" s="337"/>
      <c r="I651" s="338"/>
      <c r="J651" s="97"/>
      <c r="K651" s="339"/>
      <c r="L651" s="339"/>
      <c r="M651" s="339"/>
      <c r="N651" s="339"/>
      <c r="O651" s="339"/>
      <c r="P651" s="339"/>
      <c r="Q651" s="340"/>
      <c r="R651" s="97"/>
      <c r="S651" s="97"/>
      <c r="T651" s="298"/>
      <c r="U651" s="97"/>
      <c r="V651" s="97"/>
      <c r="W651" s="97"/>
      <c r="X651" s="97"/>
      <c r="Y651" s="97"/>
      <c r="Z651" s="97"/>
      <c r="AA651" s="97"/>
    </row>
    <row r="652" ht="15.75" customHeight="1">
      <c r="A652" s="97"/>
      <c r="B652" s="336"/>
      <c r="C652" s="337"/>
      <c r="D652" s="97"/>
      <c r="E652" s="337"/>
      <c r="F652" s="338"/>
      <c r="G652" s="336"/>
      <c r="H652" s="337"/>
      <c r="I652" s="338"/>
      <c r="J652" s="97"/>
      <c r="K652" s="339"/>
      <c r="L652" s="339"/>
      <c r="M652" s="339"/>
      <c r="N652" s="339"/>
      <c r="O652" s="339"/>
      <c r="P652" s="339"/>
      <c r="Q652" s="340"/>
      <c r="R652" s="97"/>
      <c r="S652" s="97"/>
      <c r="T652" s="298"/>
      <c r="U652" s="97"/>
      <c r="V652" s="97"/>
      <c r="W652" s="97"/>
      <c r="X652" s="97"/>
      <c r="Y652" s="97"/>
      <c r="Z652" s="97"/>
      <c r="AA652" s="97"/>
    </row>
    <row r="653" ht="15.75" customHeight="1">
      <c r="A653" s="97"/>
      <c r="B653" s="336"/>
      <c r="C653" s="337"/>
      <c r="D653" s="97"/>
      <c r="E653" s="337"/>
      <c r="F653" s="338"/>
      <c r="G653" s="336"/>
      <c r="H653" s="337"/>
      <c r="I653" s="338"/>
      <c r="J653" s="97"/>
      <c r="K653" s="339"/>
      <c r="L653" s="339"/>
      <c r="M653" s="339"/>
      <c r="N653" s="339"/>
      <c r="O653" s="339"/>
      <c r="P653" s="339"/>
      <c r="Q653" s="340"/>
      <c r="R653" s="97"/>
      <c r="S653" s="97"/>
      <c r="T653" s="298"/>
      <c r="U653" s="97"/>
      <c r="V653" s="97"/>
      <c r="W653" s="97"/>
      <c r="X653" s="97"/>
      <c r="Y653" s="97"/>
      <c r="Z653" s="97"/>
      <c r="AA653" s="97"/>
    </row>
    <row r="654" ht="15.75" customHeight="1">
      <c r="A654" s="97"/>
      <c r="B654" s="336"/>
      <c r="C654" s="337"/>
      <c r="D654" s="97"/>
      <c r="E654" s="337"/>
      <c r="F654" s="338"/>
      <c r="G654" s="336"/>
      <c r="H654" s="337"/>
      <c r="I654" s="338"/>
      <c r="J654" s="97"/>
      <c r="K654" s="339"/>
      <c r="L654" s="339"/>
      <c r="M654" s="339"/>
      <c r="N654" s="339"/>
      <c r="O654" s="339"/>
      <c r="P654" s="339"/>
      <c r="Q654" s="340"/>
      <c r="R654" s="97"/>
      <c r="S654" s="97"/>
      <c r="T654" s="298"/>
      <c r="U654" s="97"/>
      <c r="V654" s="97"/>
      <c r="W654" s="97"/>
      <c r="X654" s="97"/>
      <c r="Y654" s="97"/>
      <c r="Z654" s="97"/>
      <c r="AA654" s="97"/>
    </row>
    <row r="655" ht="15.75" customHeight="1">
      <c r="A655" s="97"/>
      <c r="B655" s="336"/>
      <c r="C655" s="337"/>
      <c r="D655" s="97"/>
      <c r="E655" s="337"/>
      <c r="F655" s="338"/>
      <c r="G655" s="336"/>
      <c r="H655" s="337"/>
      <c r="I655" s="338"/>
      <c r="J655" s="97"/>
      <c r="K655" s="339"/>
      <c r="L655" s="339"/>
      <c r="M655" s="339"/>
      <c r="N655" s="339"/>
      <c r="O655" s="339"/>
      <c r="P655" s="339"/>
      <c r="Q655" s="340"/>
      <c r="R655" s="97"/>
      <c r="S655" s="97"/>
      <c r="T655" s="298"/>
      <c r="U655" s="97"/>
      <c r="V655" s="97"/>
      <c r="W655" s="97"/>
      <c r="X655" s="97"/>
      <c r="Y655" s="97"/>
      <c r="Z655" s="97"/>
      <c r="AA655" s="97"/>
    </row>
    <row r="656" ht="15.75" customHeight="1">
      <c r="A656" s="97"/>
      <c r="B656" s="336"/>
      <c r="C656" s="337"/>
      <c r="D656" s="97"/>
      <c r="E656" s="337"/>
      <c r="F656" s="338"/>
      <c r="G656" s="336"/>
      <c r="H656" s="337"/>
      <c r="I656" s="338"/>
      <c r="J656" s="97"/>
      <c r="K656" s="339"/>
      <c r="L656" s="339"/>
      <c r="M656" s="339"/>
      <c r="N656" s="339"/>
      <c r="O656" s="339"/>
      <c r="P656" s="339"/>
      <c r="Q656" s="340"/>
      <c r="R656" s="97"/>
      <c r="S656" s="97"/>
      <c r="T656" s="298"/>
      <c r="U656" s="97"/>
      <c r="V656" s="97"/>
      <c r="W656" s="97"/>
      <c r="X656" s="97"/>
      <c r="Y656" s="97"/>
      <c r="Z656" s="97"/>
      <c r="AA656" s="97"/>
    </row>
    <row r="657" ht="15.75" customHeight="1">
      <c r="A657" s="97"/>
      <c r="B657" s="336"/>
      <c r="C657" s="337"/>
      <c r="D657" s="97"/>
      <c r="E657" s="337"/>
      <c r="F657" s="338"/>
      <c r="G657" s="336"/>
      <c r="H657" s="337"/>
      <c r="I657" s="338"/>
      <c r="J657" s="97"/>
      <c r="K657" s="339"/>
      <c r="L657" s="339"/>
      <c r="M657" s="339"/>
      <c r="N657" s="339"/>
      <c r="O657" s="339"/>
      <c r="P657" s="339"/>
      <c r="Q657" s="340"/>
      <c r="R657" s="97"/>
      <c r="S657" s="97"/>
      <c r="T657" s="298"/>
      <c r="U657" s="97"/>
      <c r="V657" s="97"/>
      <c r="W657" s="97"/>
      <c r="X657" s="97"/>
      <c r="Y657" s="97"/>
      <c r="Z657" s="97"/>
      <c r="AA657" s="97"/>
    </row>
    <row r="658" ht="15.75" customHeight="1">
      <c r="A658" s="97"/>
      <c r="B658" s="336"/>
      <c r="C658" s="337"/>
      <c r="D658" s="97"/>
      <c r="E658" s="337"/>
      <c r="F658" s="338"/>
      <c r="G658" s="336"/>
      <c r="H658" s="337"/>
      <c r="I658" s="338"/>
      <c r="J658" s="97"/>
      <c r="K658" s="339"/>
      <c r="L658" s="339"/>
      <c r="M658" s="339"/>
      <c r="N658" s="339"/>
      <c r="O658" s="339"/>
      <c r="P658" s="339"/>
      <c r="Q658" s="340"/>
      <c r="R658" s="97"/>
      <c r="S658" s="97"/>
      <c r="T658" s="298"/>
      <c r="U658" s="97"/>
      <c r="V658" s="97"/>
      <c r="W658" s="97"/>
      <c r="X658" s="97"/>
      <c r="Y658" s="97"/>
      <c r="Z658" s="97"/>
      <c r="AA658" s="97"/>
    </row>
    <row r="659" ht="15.75" customHeight="1">
      <c r="A659" s="97"/>
      <c r="B659" s="336"/>
      <c r="C659" s="337"/>
      <c r="D659" s="97"/>
      <c r="E659" s="337"/>
      <c r="F659" s="338"/>
      <c r="G659" s="336"/>
      <c r="H659" s="337"/>
      <c r="I659" s="338"/>
      <c r="J659" s="97"/>
      <c r="K659" s="339"/>
      <c r="L659" s="339"/>
      <c r="M659" s="339"/>
      <c r="N659" s="339"/>
      <c r="O659" s="339"/>
      <c r="P659" s="339"/>
      <c r="Q659" s="340"/>
      <c r="R659" s="97"/>
      <c r="S659" s="97"/>
      <c r="T659" s="298"/>
      <c r="U659" s="97"/>
      <c r="V659" s="97"/>
      <c r="W659" s="97"/>
      <c r="X659" s="97"/>
      <c r="Y659" s="97"/>
      <c r="Z659" s="97"/>
      <c r="AA659" s="97"/>
    </row>
    <row r="660" ht="15.75" customHeight="1">
      <c r="A660" s="97"/>
      <c r="B660" s="336"/>
      <c r="C660" s="337"/>
      <c r="D660" s="97"/>
      <c r="E660" s="337"/>
      <c r="F660" s="338"/>
      <c r="G660" s="336"/>
      <c r="H660" s="337"/>
      <c r="I660" s="338"/>
      <c r="J660" s="97"/>
      <c r="K660" s="339"/>
      <c r="L660" s="339"/>
      <c r="M660" s="339"/>
      <c r="N660" s="339"/>
      <c r="O660" s="339"/>
      <c r="P660" s="339"/>
      <c r="Q660" s="340"/>
      <c r="R660" s="97"/>
      <c r="S660" s="97"/>
      <c r="T660" s="298"/>
      <c r="U660" s="97"/>
      <c r="V660" s="97"/>
      <c r="W660" s="97"/>
      <c r="X660" s="97"/>
      <c r="Y660" s="97"/>
      <c r="Z660" s="97"/>
      <c r="AA660" s="97"/>
    </row>
    <row r="661" ht="15.75" customHeight="1">
      <c r="A661" s="97"/>
      <c r="B661" s="336"/>
      <c r="C661" s="337"/>
      <c r="D661" s="97"/>
      <c r="E661" s="337"/>
      <c r="F661" s="338"/>
      <c r="G661" s="336"/>
      <c r="H661" s="337"/>
      <c r="I661" s="338"/>
      <c r="J661" s="97"/>
      <c r="K661" s="339"/>
      <c r="L661" s="339"/>
      <c r="M661" s="339"/>
      <c r="N661" s="339"/>
      <c r="O661" s="339"/>
      <c r="P661" s="339"/>
      <c r="Q661" s="340"/>
      <c r="R661" s="97"/>
      <c r="S661" s="97"/>
      <c r="T661" s="298"/>
      <c r="U661" s="97"/>
      <c r="V661" s="97"/>
      <c r="W661" s="97"/>
      <c r="X661" s="97"/>
      <c r="Y661" s="97"/>
      <c r="Z661" s="97"/>
      <c r="AA661" s="97"/>
    </row>
    <row r="662" ht="15.75" customHeight="1">
      <c r="A662" s="97"/>
      <c r="B662" s="336"/>
      <c r="C662" s="337"/>
      <c r="D662" s="97"/>
      <c r="E662" s="337"/>
      <c r="F662" s="338"/>
      <c r="G662" s="336"/>
      <c r="H662" s="337"/>
      <c r="I662" s="338"/>
      <c r="J662" s="97"/>
      <c r="K662" s="339"/>
      <c r="L662" s="339"/>
      <c r="M662" s="339"/>
      <c r="N662" s="339"/>
      <c r="O662" s="339"/>
      <c r="P662" s="339"/>
      <c r="Q662" s="340"/>
      <c r="R662" s="97"/>
      <c r="S662" s="97"/>
      <c r="T662" s="298"/>
      <c r="U662" s="97"/>
      <c r="V662" s="97"/>
      <c r="W662" s="97"/>
      <c r="X662" s="97"/>
      <c r="Y662" s="97"/>
      <c r="Z662" s="97"/>
      <c r="AA662" s="97"/>
    </row>
    <row r="663" ht="15.75" customHeight="1">
      <c r="A663" s="97"/>
      <c r="B663" s="336"/>
      <c r="C663" s="337"/>
      <c r="D663" s="97"/>
      <c r="E663" s="337"/>
      <c r="F663" s="338"/>
      <c r="G663" s="336"/>
      <c r="H663" s="337"/>
      <c r="I663" s="338"/>
      <c r="J663" s="97"/>
      <c r="K663" s="339"/>
      <c r="L663" s="339"/>
      <c r="M663" s="339"/>
      <c r="N663" s="339"/>
      <c r="O663" s="339"/>
      <c r="P663" s="339"/>
      <c r="Q663" s="340"/>
      <c r="R663" s="97"/>
      <c r="S663" s="97"/>
      <c r="T663" s="298"/>
      <c r="U663" s="97"/>
      <c r="V663" s="97"/>
      <c r="W663" s="97"/>
      <c r="X663" s="97"/>
      <c r="Y663" s="97"/>
      <c r="Z663" s="97"/>
      <c r="AA663" s="97"/>
    </row>
    <row r="664" ht="15.75" customHeight="1">
      <c r="A664" s="97"/>
      <c r="B664" s="336"/>
      <c r="C664" s="337"/>
      <c r="D664" s="97"/>
      <c r="E664" s="337"/>
      <c r="F664" s="338"/>
      <c r="G664" s="336"/>
      <c r="H664" s="337"/>
      <c r="I664" s="338"/>
      <c r="J664" s="97"/>
      <c r="K664" s="339"/>
      <c r="L664" s="339"/>
      <c r="M664" s="339"/>
      <c r="N664" s="339"/>
      <c r="O664" s="339"/>
      <c r="P664" s="339"/>
      <c r="Q664" s="340"/>
      <c r="R664" s="97"/>
      <c r="S664" s="97"/>
      <c r="T664" s="298"/>
      <c r="U664" s="97"/>
      <c r="V664" s="97"/>
      <c r="W664" s="97"/>
      <c r="X664" s="97"/>
      <c r="Y664" s="97"/>
      <c r="Z664" s="97"/>
      <c r="AA664" s="97"/>
    </row>
    <row r="665" ht="15.75" customHeight="1">
      <c r="A665" s="97"/>
      <c r="B665" s="336"/>
      <c r="C665" s="337"/>
      <c r="D665" s="97"/>
      <c r="E665" s="337"/>
      <c r="F665" s="338"/>
      <c r="G665" s="336"/>
      <c r="H665" s="337"/>
      <c r="I665" s="338"/>
      <c r="J665" s="97"/>
      <c r="K665" s="339"/>
      <c r="L665" s="339"/>
      <c r="M665" s="339"/>
      <c r="N665" s="339"/>
      <c r="O665" s="339"/>
      <c r="P665" s="339"/>
      <c r="Q665" s="340"/>
      <c r="R665" s="97"/>
      <c r="S665" s="97"/>
      <c r="T665" s="298"/>
      <c r="U665" s="97"/>
      <c r="V665" s="97"/>
      <c r="W665" s="97"/>
      <c r="X665" s="97"/>
      <c r="Y665" s="97"/>
      <c r="Z665" s="97"/>
      <c r="AA665" s="97"/>
    </row>
    <row r="666" ht="15.75" customHeight="1">
      <c r="A666" s="97"/>
      <c r="B666" s="336"/>
      <c r="C666" s="337"/>
      <c r="D666" s="97"/>
      <c r="E666" s="337"/>
      <c r="F666" s="338"/>
      <c r="G666" s="336"/>
      <c r="H666" s="337"/>
      <c r="I666" s="338"/>
      <c r="J666" s="97"/>
      <c r="K666" s="339"/>
      <c r="L666" s="339"/>
      <c r="M666" s="339"/>
      <c r="N666" s="339"/>
      <c r="O666" s="339"/>
      <c r="P666" s="339"/>
      <c r="Q666" s="340"/>
      <c r="R666" s="97"/>
      <c r="S666" s="97"/>
      <c r="T666" s="298"/>
      <c r="U666" s="97"/>
      <c r="V666" s="97"/>
      <c r="W666" s="97"/>
      <c r="X666" s="97"/>
      <c r="Y666" s="97"/>
      <c r="Z666" s="97"/>
      <c r="AA666" s="97"/>
    </row>
    <row r="667" ht="15.75" customHeight="1">
      <c r="A667" s="97"/>
      <c r="B667" s="336"/>
      <c r="C667" s="337"/>
      <c r="D667" s="97"/>
      <c r="E667" s="337"/>
      <c r="F667" s="338"/>
      <c r="G667" s="336"/>
      <c r="H667" s="337"/>
      <c r="I667" s="338"/>
      <c r="J667" s="97"/>
      <c r="K667" s="339"/>
      <c r="L667" s="339"/>
      <c r="M667" s="339"/>
      <c r="N667" s="339"/>
      <c r="O667" s="339"/>
      <c r="P667" s="339"/>
      <c r="Q667" s="340"/>
      <c r="R667" s="97"/>
      <c r="S667" s="97"/>
      <c r="T667" s="298"/>
      <c r="U667" s="97"/>
      <c r="V667" s="97"/>
      <c r="W667" s="97"/>
      <c r="X667" s="97"/>
      <c r="Y667" s="97"/>
      <c r="Z667" s="97"/>
      <c r="AA667" s="97"/>
    </row>
    <row r="668" ht="15.75" customHeight="1">
      <c r="A668" s="97"/>
      <c r="B668" s="336"/>
      <c r="C668" s="337"/>
      <c r="D668" s="97"/>
      <c r="E668" s="337"/>
      <c r="F668" s="338"/>
      <c r="G668" s="336"/>
      <c r="H668" s="337"/>
      <c r="I668" s="338"/>
      <c r="J668" s="97"/>
      <c r="K668" s="339"/>
      <c r="L668" s="339"/>
      <c r="M668" s="339"/>
      <c r="N668" s="339"/>
      <c r="O668" s="339"/>
      <c r="P668" s="339"/>
      <c r="Q668" s="340"/>
      <c r="R668" s="97"/>
      <c r="S668" s="97"/>
      <c r="T668" s="298"/>
      <c r="U668" s="97"/>
      <c r="V668" s="97"/>
      <c r="W668" s="97"/>
      <c r="X668" s="97"/>
      <c r="Y668" s="97"/>
      <c r="Z668" s="97"/>
      <c r="AA668" s="97"/>
    </row>
    <row r="669" ht="15.75" customHeight="1">
      <c r="A669" s="97"/>
      <c r="B669" s="336"/>
      <c r="C669" s="337"/>
      <c r="D669" s="97"/>
      <c r="E669" s="337"/>
      <c r="F669" s="338"/>
      <c r="G669" s="336"/>
      <c r="H669" s="337"/>
      <c r="I669" s="338"/>
      <c r="J669" s="97"/>
      <c r="K669" s="339"/>
      <c r="L669" s="339"/>
      <c r="M669" s="339"/>
      <c r="N669" s="339"/>
      <c r="O669" s="339"/>
      <c r="P669" s="339"/>
      <c r="Q669" s="340"/>
      <c r="R669" s="97"/>
      <c r="S669" s="97"/>
      <c r="T669" s="298"/>
      <c r="U669" s="97"/>
      <c r="V669" s="97"/>
      <c r="W669" s="97"/>
      <c r="X669" s="97"/>
      <c r="Y669" s="97"/>
      <c r="Z669" s="97"/>
      <c r="AA669" s="97"/>
    </row>
    <row r="670" ht="15.75" customHeight="1">
      <c r="A670" s="97"/>
      <c r="B670" s="336"/>
      <c r="C670" s="337"/>
      <c r="D670" s="97"/>
      <c r="E670" s="337"/>
      <c r="F670" s="338"/>
      <c r="G670" s="336"/>
      <c r="H670" s="337"/>
      <c r="I670" s="338"/>
      <c r="J670" s="97"/>
      <c r="K670" s="339"/>
      <c r="L670" s="339"/>
      <c r="M670" s="339"/>
      <c r="N670" s="339"/>
      <c r="O670" s="339"/>
      <c r="P670" s="339"/>
      <c r="Q670" s="340"/>
      <c r="R670" s="97"/>
      <c r="S670" s="97"/>
      <c r="T670" s="298"/>
      <c r="U670" s="97"/>
      <c r="V670" s="97"/>
      <c r="W670" s="97"/>
      <c r="X670" s="97"/>
      <c r="Y670" s="97"/>
      <c r="Z670" s="97"/>
      <c r="AA670" s="97"/>
    </row>
    <row r="671" ht="15.75" customHeight="1">
      <c r="A671" s="97"/>
      <c r="B671" s="336"/>
      <c r="C671" s="337"/>
      <c r="D671" s="97"/>
      <c r="E671" s="337"/>
      <c r="F671" s="338"/>
      <c r="G671" s="336"/>
      <c r="H671" s="337"/>
      <c r="I671" s="338"/>
      <c r="J671" s="97"/>
      <c r="K671" s="339"/>
      <c r="L671" s="339"/>
      <c r="M671" s="339"/>
      <c r="N671" s="339"/>
      <c r="O671" s="339"/>
      <c r="P671" s="339"/>
      <c r="Q671" s="340"/>
      <c r="R671" s="97"/>
      <c r="S671" s="97"/>
      <c r="T671" s="298"/>
      <c r="U671" s="97"/>
      <c r="V671" s="97"/>
      <c r="W671" s="97"/>
      <c r="X671" s="97"/>
      <c r="Y671" s="97"/>
      <c r="Z671" s="97"/>
      <c r="AA671" s="97"/>
    </row>
    <row r="672" ht="15.75" customHeight="1">
      <c r="A672" s="97"/>
      <c r="B672" s="336"/>
      <c r="C672" s="337"/>
      <c r="D672" s="97"/>
      <c r="E672" s="337"/>
      <c r="F672" s="338"/>
      <c r="G672" s="336"/>
      <c r="H672" s="337"/>
      <c r="I672" s="338"/>
      <c r="J672" s="97"/>
      <c r="K672" s="339"/>
      <c r="L672" s="339"/>
      <c r="M672" s="339"/>
      <c r="N672" s="339"/>
      <c r="O672" s="339"/>
      <c r="P672" s="339"/>
      <c r="Q672" s="340"/>
      <c r="R672" s="97"/>
      <c r="S672" s="97"/>
      <c r="T672" s="298"/>
      <c r="U672" s="97"/>
      <c r="V672" s="97"/>
      <c r="W672" s="97"/>
      <c r="X672" s="97"/>
      <c r="Y672" s="97"/>
      <c r="Z672" s="97"/>
      <c r="AA672" s="97"/>
    </row>
    <row r="673" ht="15.75" customHeight="1">
      <c r="A673" s="97"/>
      <c r="B673" s="336"/>
      <c r="C673" s="337"/>
      <c r="D673" s="97"/>
      <c r="E673" s="337"/>
      <c r="F673" s="338"/>
      <c r="G673" s="336"/>
      <c r="H673" s="337"/>
      <c r="I673" s="338"/>
      <c r="J673" s="97"/>
      <c r="K673" s="339"/>
      <c r="L673" s="339"/>
      <c r="M673" s="339"/>
      <c r="N673" s="339"/>
      <c r="O673" s="339"/>
      <c r="P673" s="339"/>
      <c r="Q673" s="340"/>
      <c r="R673" s="97"/>
      <c r="S673" s="97"/>
      <c r="T673" s="298"/>
      <c r="U673" s="97"/>
      <c r="V673" s="97"/>
      <c r="W673" s="97"/>
      <c r="X673" s="97"/>
      <c r="Y673" s="97"/>
      <c r="Z673" s="97"/>
      <c r="AA673" s="97"/>
    </row>
    <row r="674" ht="15.75" customHeight="1">
      <c r="A674" s="97"/>
      <c r="B674" s="336"/>
      <c r="C674" s="337"/>
      <c r="D674" s="97"/>
      <c r="E674" s="337"/>
      <c r="F674" s="338"/>
      <c r="G674" s="336"/>
      <c r="H674" s="337"/>
      <c r="I674" s="338"/>
      <c r="J674" s="97"/>
      <c r="K674" s="339"/>
      <c r="L674" s="339"/>
      <c r="M674" s="339"/>
      <c r="N674" s="339"/>
      <c r="O674" s="339"/>
      <c r="P674" s="339"/>
      <c r="Q674" s="340"/>
      <c r="R674" s="97"/>
      <c r="S674" s="97"/>
      <c r="T674" s="298"/>
      <c r="U674" s="97"/>
      <c r="V674" s="97"/>
      <c r="W674" s="97"/>
      <c r="X674" s="97"/>
      <c r="Y674" s="97"/>
      <c r="Z674" s="97"/>
      <c r="AA674" s="97"/>
    </row>
    <row r="675" ht="15.75" customHeight="1">
      <c r="A675" s="97"/>
      <c r="B675" s="336"/>
      <c r="C675" s="337"/>
      <c r="D675" s="97"/>
      <c r="E675" s="337"/>
      <c r="F675" s="338"/>
      <c r="G675" s="336"/>
      <c r="H675" s="337"/>
      <c r="I675" s="338"/>
      <c r="J675" s="97"/>
      <c r="K675" s="339"/>
      <c r="L675" s="339"/>
      <c r="M675" s="339"/>
      <c r="N675" s="339"/>
      <c r="O675" s="339"/>
      <c r="P675" s="339"/>
      <c r="Q675" s="340"/>
      <c r="R675" s="97"/>
      <c r="S675" s="97"/>
      <c r="T675" s="298"/>
      <c r="U675" s="97"/>
      <c r="V675" s="97"/>
      <c r="W675" s="97"/>
      <c r="X675" s="97"/>
      <c r="Y675" s="97"/>
      <c r="Z675" s="97"/>
      <c r="AA675" s="97"/>
    </row>
    <row r="676" ht="15.75" customHeight="1">
      <c r="A676" s="97"/>
      <c r="B676" s="336"/>
      <c r="C676" s="337"/>
      <c r="D676" s="97"/>
      <c r="E676" s="337"/>
      <c r="F676" s="338"/>
      <c r="G676" s="336"/>
      <c r="H676" s="337"/>
      <c r="I676" s="338"/>
      <c r="J676" s="97"/>
      <c r="K676" s="339"/>
      <c r="L676" s="339"/>
      <c r="M676" s="339"/>
      <c r="N676" s="339"/>
      <c r="O676" s="339"/>
      <c r="P676" s="339"/>
      <c r="Q676" s="340"/>
      <c r="R676" s="97"/>
      <c r="S676" s="97"/>
      <c r="T676" s="298"/>
      <c r="U676" s="97"/>
      <c r="V676" s="97"/>
      <c r="W676" s="97"/>
      <c r="X676" s="97"/>
      <c r="Y676" s="97"/>
      <c r="Z676" s="97"/>
      <c r="AA676" s="97"/>
    </row>
    <row r="677" ht="15.75" customHeight="1">
      <c r="A677" s="97"/>
      <c r="B677" s="336"/>
      <c r="C677" s="337"/>
      <c r="D677" s="97"/>
      <c r="E677" s="337"/>
      <c r="F677" s="338"/>
      <c r="G677" s="336"/>
      <c r="H677" s="337"/>
      <c r="I677" s="338"/>
      <c r="J677" s="97"/>
      <c r="K677" s="339"/>
      <c r="L677" s="339"/>
      <c r="M677" s="339"/>
      <c r="N677" s="339"/>
      <c r="O677" s="339"/>
      <c r="P677" s="339"/>
      <c r="Q677" s="340"/>
      <c r="R677" s="97"/>
      <c r="S677" s="97"/>
      <c r="T677" s="298"/>
      <c r="U677" s="97"/>
      <c r="V677" s="97"/>
      <c r="W677" s="97"/>
      <c r="X677" s="97"/>
      <c r="Y677" s="97"/>
      <c r="Z677" s="97"/>
      <c r="AA677" s="97"/>
    </row>
    <row r="678" ht="15.75" customHeight="1">
      <c r="A678" s="97"/>
      <c r="B678" s="336"/>
      <c r="C678" s="337"/>
      <c r="D678" s="97"/>
      <c r="E678" s="337"/>
      <c r="F678" s="338"/>
      <c r="G678" s="336"/>
      <c r="H678" s="337"/>
      <c r="I678" s="338"/>
      <c r="J678" s="97"/>
      <c r="K678" s="339"/>
      <c r="L678" s="339"/>
      <c r="M678" s="339"/>
      <c r="N678" s="339"/>
      <c r="O678" s="339"/>
      <c r="P678" s="339"/>
      <c r="Q678" s="340"/>
      <c r="R678" s="97"/>
      <c r="S678" s="97"/>
      <c r="T678" s="298"/>
      <c r="U678" s="97"/>
      <c r="V678" s="97"/>
      <c r="W678" s="97"/>
      <c r="X678" s="97"/>
      <c r="Y678" s="97"/>
      <c r="Z678" s="97"/>
      <c r="AA678" s="97"/>
    </row>
    <row r="679" ht="15.75" customHeight="1">
      <c r="A679" s="97"/>
      <c r="B679" s="336"/>
      <c r="C679" s="337"/>
      <c r="D679" s="97"/>
      <c r="E679" s="337"/>
      <c r="F679" s="338"/>
      <c r="G679" s="336"/>
      <c r="H679" s="337"/>
      <c r="I679" s="338"/>
      <c r="J679" s="97"/>
      <c r="K679" s="339"/>
      <c r="L679" s="339"/>
      <c r="M679" s="339"/>
      <c r="N679" s="339"/>
      <c r="O679" s="339"/>
      <c r="P679" s="339"/>
      <c r="Q679" s="340"/>
      <c r="R679" s="97"/>
      <c r="S679" s="97"/>
      <c r="T679" s="298"/>
      <c r="U679" s="97"/>
      <c r="V679" s="97"/>
      <c r="W679" s="97"/>
      <c r="X679" s="97"/>
      <c r="Y679" s="97"/>
      <c r="Z679" s="97"/>
      <c r="AA679" s="97"/>
    </row>
    <row r="680" ht="15.75" customHeight="1">
      <c r="A680" s="97"/>
      <c r="B680" s="336"/>
      <c r="C680" s="337"/>
      <c r="D680" s="97"/>
      <c r="E680" s="337"/>
      <c r="F680" s="338"/>
      <c r="G680" s="336"/>
      <c r="H680" s="337"/>
      <c r="I680" s="338"/>
      <c r="J680" s="97"/>
      <c r="K680" s="339"/>
      <c r="L680" s="339"/>
      <c r="M680" s="339"/>
      <c r="N680" s="339"/>
      <c r="O680" s="339"/>
      <c r="P680" s="339"/>
      <c r="Q680" s="340"/>
      <c r="R680" s="97"/>
      <c r="S680" s="97"/>
      <c r="T680" s="298"/>
      <c r="U680" s="97"/>
      <c r="V680" s="97"/>
      <c r="W680" s="97"/>
      <c r="X680" s="97"/>
      <c r="Y680" s="97"/>
      <c r="Z680" s="97"/>
      <c r="AA680" s="97"/>
    </row>
    <row r="681" ht="15.75" customHeight="1">
      <c r="A681" s="97"/>
      <c r="B681" s="336"/>
      <c r="C681" s="337"/>
      <c r="D681" s="97"/>
      <c r="E681" s="337"/>
      <c r="F681" s="338"/>
      <c r="G681" s="336"/>
      <c r="H681" s="337"/>
      <c r="I681" s="338"/>
      <c r="J681" s="97"/>
      <c r="K681" s="339"/>
      <c r="L681" s="339"/>
      <c r="M681" s="339"/>
      <c r="N681" s="339"/>
      <c r="O681" s="339"/>
      <c r="P681" s="339"/>
      <c r="Q681" s="340"/>
      <c r="R681" s="97"/>
      <c r="S681" s="97"/>
      <c r="T681" s="298"/>
      <c r="U681" s="97"/>
      <c r="V681" s="97"/>
      <c r="W681" s="97"/>
      <c r="X681" s="97"/>
      <c r="Y681" s="97"/>
      <c r="Z681" s="97"/>
      <c r="AA681" s="97"/>
    </row>
    <row r="682" ht="15.75" customHeight="1">
      <c r="A682" s="97"/>
      <c r="B682" s="336"/>
      <c r="C682" s="337"/>
      <c r="D682" s="97"/>
      <c r="E682" s="337"/>
      <c r="F682" s="338"/>
      <c r="G682" s="336"/>
      <c r="H682" s="337"/>
      <c r="I682" s="338"/>
      <c r="J682" s="97"/>
      <c r="K682" s="339"/>
      <c r="L682" s="339"/>
      <c r="M682" s="339"/>
      <c r="N682" s="339"/>
      <c r="O682" s="339"/>
      <c r="P682" s="339"/>
      <c r="Q682" s="340"/>
      <c r="R682" s="97"/>
      <c r="S682" s="97"/>
      <c r="T682" s="298"/>
      <c r="U682" s="97"/>
      <c r="V682" s="97"/>
      <c r="W682" s="97"/>
      <c r="X682" s="97"/>
      <c r="Y682" s="97"/>
      <c r="Z682" s="97"/>
      <c r="AA682" s="97"/>
    </row>
    <row r="683" ht="15.75" customHeight="1">
      <c r="A683" s="97"/>
      <c r="B683" s="336"/>
      <c r="C683" s="337"/>
      <c r="D683" s="97"/>
      <c r="E683" s="337"/>
      <c r="F683" s="338"/>
      <c r="G683" s="336"/>
      <c r="H683" s="337"/>
      <c r="I683" s="338"/>
      <c r="J683" s="97"/>
      <c r="K683" s="339"/>
      <c r="L683" s="339"/>
      <c r="M683" s="339"/>
      <c r="N683" s="339"/>
      <c r="O683" s="339"/>
      <c r="P683" s="339"/>
      <c r="Q683" s="340"/>
      <c r="R683" s="97"/>
      <c r="S683" s="97"/>
      <c r="T683" s="298"/>
      <c r="U683" s="97"/>
      <c r="V683" s="97"/>
      <c r="W683" s="97"/>
      <c r="X683" s="97"/>
      <c r="Y683" s="97"/>
      <c r="Z683" s="97"/>
      <c r="AA683" s="97"/>
    </row>
    <row r="684" ht="15.75" customHeight="1">
      <c r="A684" s="97"/>
      <c r="B684" s="336"/>
      <c r="C684" s="337"/>
      <c r="D684" s="97"/>
      <c r="E684" s="337"/>
      <c r="F684" s="338"/>
      <c r="G684" s="336"/>
      <c r="H684" s="337"/>
      <c r="I684" s="338"/>
      <c r="J684" s="97"/>
      <c r="K684" s="339"/>
      <c r="L684" s="339"/>
      <c r="M684" s="339"/>
      <c r="N684" s="339"/>
      <c r="O684" s="339"/>
      <c r="P684" s="339"/>
      <c r="Q684" s="340"/>
      <c r="R684" s="97"/>
      <c r="S684" s="97"/>
      <c r="T684" s="298"/>
      <c r="U684" s="97"/>
      <c r="V684" s="97"/>
      <c r="W684" s="97"/>
      <c r="X684" s="97"/>
      <c r="Y684" s="97"/>
      <c r="Z684" s="97"/>
      <c r="AA684" s="97"/>
    </row>
    <row r="685" ht="15.75" customHeight="1">
      <c r="A685" s="97"/>
      <c r="B685" s="336"/>
      <c r="C685" s="337"/>
      <c r="D685" s="97"/>
      <c r="E685" s="337"/>
      <c r="F685" s="338"/>
      <c r="G685" s="336"/>
      <c r="H685" s="337"/>
      <c r="I685" s="338"/>
      <c r="J685" s="97"/>
      <c r="K685" s="339"/>
      <c r="L685" s="339"/>
      <c r="M685" s="339"/>
      <c r="N685" s="339"/>
      <c r="O685" s="339"/>
      <c r="P685" s="339"/>
      <c r="Q685" s="340"/>
      <c r="R685" s="97"/>
      <c r="S685" s="97"/>
      <c r="T685" s="298"/>
      <c r="U685" s="97"/>
      <c r="V685" s="97"/>
      <c r="W685" s="97"/>
      <c r="X685" s="97"/>
      <c r="Y685" s="97"/>
      <c r="Z685" s="97"/>
      <c r="AA685" s="97"/>
    </row>
    <row r="686" ht="15.75" customHeight="1">
      <c r="A686" s="97"/>
      <c r="B686" s="336"/>
      <c r="C686" s="337"/>
      <c r="D686" s="97"/>
      <c r="E686" s="337"/>
      <c r="F686" s="338"/>
      <c r="G686" s="336"/>
      <c r="H686" s="337"/>
      <c r="I686" s="338"/>
      <c r="J686" s="97"/>
      <c r="K686" s="339"/>
      <c r="L686" s="339"/>
      <c r="M686" s="339"/>
      <c r="N686" s="339"/>
      <c r="O686" s="339"/>
      <c r="P686" s="339"/>
      <c r="Q686" s="340"/>
      <c r="R686" s="97"/>
      <c r="S686" s="97"/>
      <c r="T686" s="298"/>
      <c r="U686" s="97"/>
      <c r="V686" s="97"/>
      <c r="W686" s="97"/>
      <c r="X686" s="97"/>
      <c r="Y686" s="97"/>
      <c r="Z686" s="97"/>
      <c r="AA686" s="97"/>
    </row>
    <row r="687" ht="15.75" customHeight="1">
      <c r="A687" s="97"/>
      <c r="B687" s="336"/>
      <c r="C687" s="337"/>
      <c r="D687" s="97"/>
      <c r="E687" s="337"/>
      <c r="F687" s="338"/>
      <c r="G687" s="336"/>
      <c r="H687" s="337"/>
      <c r="I687" s="338"/>
      <c r="J687" s="97"/>
      <c r="K687" s="339"/>
      <c r="L687" s="339"/>
      <c r="M687" s="339"/>
      <c r="N687" s="339"/>
      <c r="O687" s="339"/>
      <c r="P687" s="339"/>
      <c r="Q687" s="340"/>
      <c r="R687" s="97"/>
      <c r="S687" s="97"/>
      <c r="T687" s="298"/>
      <c r="U687" s="97"/>
      <c r="V687" s="97"/>
      <c r="W687" s="97"/>
      <c r="X687" s="97"/>
      <c r="Y687" s="97"/>
      <c r="Z687" s="97"/>
      <c r="AA687" s="97"/>
    </row>
    <row r="688" ht="15.75" customHeight="1">
      <c r="A688" s="97"/>
      <c r="B688" s="336"/>
      <c r="C688" s="337"/>
      <c r="D688" s="97"/>
      <c r="E688" s="337"/>
      <c r="F688" s="338"/>
      <c r="G688" s="336"/>
      <c r="H688" s="337"/>
      <c r="I688" s="338"/>
      <c r="J688" s="97"/>
      <c r="K688" s="339"/>
      <c r="L688" s="339"/>
      <c r="M688" s="339"/>
      <c r="N688" s="339"/>
      <c r="O688" s="339"/>
      <c r="P688" s="339"/>
      <c r="Q688" s="340"/>
      <c r="R688" s="97"/>
      <c r="S688" s="97"/>
      <c r="T688" s="298"/>
      <c r="U688" s="97"/>
      <c r="V688" s="97"/>
      <c r="W688" s="97"/>
      <c r="X688" s="97"/>
      <c r="Y688" s="97"/>
      <c r="Z688" s="97"/>
      <c r="AA688" s="97"/>
    </row>
    <row r="689" ht="15.75" customHeight="1">
      <c r="A689" s="97"/>
      <c r="B689" s="336"/>
      <c r="C689" s="337"/>
      <c r="D689" s="97"/>
      <c r="E689" s="337"/>
      <c r="F689" s="338"/>
      <c r="G689" s="336"/>
      <c r="H689" s="337"/>
      <c r="I689" s="338"/>
      <c r="J689" s="97"/>
      <c r="K689" s="339"/>
      <c r="L689" s="339"/>
      <c r="M689" s="339"/>
      <c r="N689" s="339"/>
      <c r="O689" s="339"/>
      <c r="P689" s="339"/>
      <c r="Q689" s="340"/>
      <c r="R689" s="97"/>
      <c r="S689" s="97"/>
      <c r="T689" s="298"/>
      <c r="U689" s="97"/>
      <c r="V689" s="97"/>
      <c r="W689" s="97"/>
      <c r="X689" s="97"/>
      <c r="Y689" s="97"/>
      <c r="Z689" s="97"/>
      <c r="AA689" s="97"/>
    </row>
    <row r="690" ht="15.75" customHeight="1">
      <c r="A690" s="97"/>
      <c r="B690" s="336"/>
      <c r="C690" s="337"/>
      <c r="D690" s="97"/>
      <c r="E690" s="337"/>
      <c r="F690" s="338"/>
      <c r="G690" s="336"/>
      <c r="H690" s="337"/>
      <c r="I690" s="338"/>
      <c r="J690" s="97"/>
      <c r="K690" s="339"/>
      <c r="L690" s="339"/>
      <c r="M690" s="339"/>
      <c r="N690" s="339"/>
      <c r="O690" s="339"/>
      <c r="P690" s="339"/>
      <c r="Q690" s="340"/>
      <c r="R690" s="97"/>
      <c r="S690" s="97"/>
      <c r="T690" s="298"/>
      <c r="U690" s="97"/>
      <c r="V690" s="97"/>
      <c r="W690" s="97"/>
      <c r="X690" s="97"/>
      <c r="Y690" s="97"/>
      <c r="Z690" s="97"/>
      <c r="AA690" s="97"/>
    </row>
    <row r="691" ht="15.75" customHeight="1">
      <c r="A691" s="97"/>
      <c r="B691" s="336"/>
      <c r="C691" s="337"/>
      <c r="D691" s="97"/>
      <c r="E691" s="337"/>
      <c r="F691" s="338"/>
      <c r="G691" s="336"/>
      <c r="H691" s="337"/>
      <c r="I691" s="338"/>
      <c r="J691" s="97"/>
      <c r="K691" s="339"/>
      <c r="L691" s="339"/>
      <c r="M691" s="339"/>
      <c r="N691" s="339"/>
      <c r="O691" s="339"/>
      <c r="P691" s="339"/>
      <c r="Q691" s="340"/>
      <c r="R691" s="97"/>
      <c r="S691" s="97"/>
      <c r="T691" s="298"/>
      <c r="U691" s="97"/>
      <c r="V691" s="97"/>
      <c r="W691" s="97"/>
      <c r="X691" s="97"/>
      <c r="Y691" s="97"/>
      <c r="Z691" s="97"/>
      <c r="AA691" s="97"/>
    </row>
    <row r="692" ht="15.75" customHeight="1">
      <c r="A692" s="97"/>
      <c r="B692" s="336"/>
      <c r="C692" s="337"/>
      <c r="D692" s="97"/>
      <c r="E692" s="337"/>
      <c r="F692" s="338"/>
      <c r="G692" s="336"/>
      <c r="H692" s="337"/>
      <c r="I692" s="338"/>
      <c r="J692" s="97"/>
      <c r="K692" s="339"/>
      <c r="L692" s="339"/>
      <c r="M692" s="339"/>
      <c r="N692" s="339"/>
      <c r="O692" s="339"/>
      <c r="P692" s="339"/>
      <c r="Q692" s="340"/>
      <c r="R692" s="97"/>
      <c r="S692" s="97"/>
      <c r="T692" s="298"/>
      <c r="U692" s="97"/>
      <c r="V692" s="97"/>
      <c r="W692" s="97"/>
      <c r="X692" s="97"/>
      <c r="Y692" s="97"/>
      <c r="Z692" s="97"/>
      <c r="AA692" s="97"/>
    </row>
    <row r="693" ht="15.75" customHeight="1">
      <c r="A693" s="97"/>
      <c r="B693" s="336"/>
      <c r="C693" s="337"/>
      <c r="D693" s="97"/>
      <c r="E693" s="337"/>
      <c r="F693" s="338"/>
      <c r="G693" s="336"/>
      <c r="H693" s="337"/>
      <c r="I693" s="338"/>
      <c r="J693" s="97"/>
      <c r="K693" s="339"/>
      <c r="L693" s="339"/>
      <c r="M693" s="339"/>
      <c r="N693" s="339"/>
      <c r="O693" s="339"/>
      <c r="P693" s="339"/>
      <c r="Q693" s="340"/>
      <c r="R693" s="97"/>
      <c r="S693" s="97"/>
      <c r="T693" s="298"/>
      <c r="U693" s="97"/>
      <c r="V693" s="97"/>
      <c r="W693" s="97"/>
      <c r="X693" s="97"/>
      <c r="Y693" s="97"/>
      <c r="Z693" s="97"/>
      <c r="AA693" s="97"/>
    </row>
    <row r="694" ht="15.75" customHeight="1">
      <c r="A694" s="97"/>
      <c r="B694" s="336"/>
      <c r="C694" s="337"/>
      <c r="D694" s="97"/>
      <c r="E694" s="337"/>
      <c r="F694" s="338"/>
      <c r="G694" s="336"/>
      <c r="H694" s="337"/>
      <c r="I694" s="338"/>
      <c r="J694" s="97"/>
      <c r="K694" s="339"/>
      <c r="L694" s="339"/>
      <c r="M694" s="339"/>
      <c r="N694" s="339"/>
      <c r="O694" s="339"/>
      <c r="P694" s="339"/>
      <c r="Q694" s="340"/>
      <c r="R694" s="97"/>
      <c r="S694" s="97"/>
      <c r="T694" s="298"/>
      <c r="U694" s="97"/>
      <c r="V694" s="97"/>
      <c r="W694" s="97"/>
      <c r="X694" s="97"/>
      <c r="Y694" s="97"/>
      <c r="Z694" s="97"/>
      <c r="AA694" s="97"/>
    </row>
    <row r="695" ht="15.75" customHeight="1">
      <c r="A695" s="97"/>
      <c r="B695" s="336"/>
      <c r="C695" s="337"/>
      <c r="D695" s="97"/>
      <c r="E695" s="337"/>
      <c r="F695" s="338"/>
      <c r="G695" s="336"/>
      <c r="H695" s="337"/>
      <c r="I695" s="338"/>
      <c r="J695" s="97"/>
      <c r="K695" s="339"/>
      <c r="L695" s="339"/>
      <c r="M695" s="339"/>
      <c r="N695" s="339"/>
      <c r="O695" s="339"/>
      <c r="P695" s="339"/>
      <c r="Q695" s="340"/>
      <c r="R695" s="97"/>
      <c r="S695" s="97"/>
      <c r="T695" s="298"/>
      <c r="U695" s="97"/>
      <c r="V695" s="97"/>
      <c r="W695" s="97"/>
      <c r="X695" s="97"/>
      <c r="Y695" s="97"/>
      <c r="Z695" s="97"/>
      <c r="AA695" s="97"/>
    </row>
    <row r="696" ht="15.75" customHeight="1">
      <c r="A696" s="97"/>
      <c r="B696" s="336"/>
      <c r="C696" s="337"/>
      <c r="D696" s="97"/>
      <c r="E696" s="337"/>
      <c r="F696" s="338"/>
      <c r="G696" s="336"/>
      <c r="H696" s="337"/>
      <c r="I696" s="338"/>
      <c r="J696" s="97"/>
      <c r="K696" s="339"/>
      <c r="L696" s="339"/>
      <c r="M696" s="339"/>
      <c r="N696" s="339"/>
      <c r="O696" s="339"/>
      <c r="P696" s="339"/>
      <c r="Q696" s="340"/>
      <c r="R696" s="97"/>
      <c r="S696" s="97"/>
      <c r="T696" s="298"/>
      <c r="U696" s="97"/>
      <c r="V696" s="97"/>
      <c r="W696" s="97"/>
      <c r="X696" s="97"/>
      <c r="Y696" s="97"/>
      <c r="Z696" s="97"/>
      <c r="AA696" s="97"/>
    </row>
    <row r="697" ht="15.75" customHeight="1">
      <c r="A697" s="97"/>
      <c r="B697" s="336"/>
      <c r="C697" s="337"/>
      <c r="D697" s="97"/>
      <c r="E697" s="337"/>
      <c r="F697" s="338"/>
      <c r="G697" s="336"/>
      <c r="H697" s="337"/>
      <c r="I697" s="338"/>
      <c r="J697" s="97"/>
      <c r="K697" s="339"/>
      <c r="L697" s="339"/>
      <c r="M697" s="339"/>
      <c r="N697" s="339"/>
      <c r="O697" s="339"/>
      <c r="P697" s="339"/>
      <c r="Q697" s="340"/>
      <c r="R697" s="97"/>
      <c r="S697" s="97"/>
      <c r="T697" s="298"/>
      <c r="U697" s="97"/>
      <c r="V697" s="97"/>
      <c r="W697" s="97"/>
      <c r="X697" s="97"/>
      <c r="Y697" s="97"/>
      <c r="Z697" s="97"/>
      <c r="AA697" s="97"/>
    </row>
    <row r="698" ht="15.75" customHeight="1">
      <c r="A698" s="97"/>
      <c r="B698" s="336"/>
      <c r="C698" s="337"/>
      <c r="D698" s="97"/>
      <c r="E698" s="337"/>
      <c r="F698" s="338"/>
      <c r="G698" s="336"/>
      <c r="H698" s="337"/>
      <c r="I698" s="338"/>
      <c r="J698" s="97"/>
      <c r="K698" s="339"/>
      <c r="L698" s="339"/>
      <c r="M698" s="339"/>
      <c r="N698" s="339"/>
      <c r="O698" s="339"/>
      <c r="P698" s="339"/>
      <c r="Q698" s="340"/>
      <c r="R698" s="97"/>
      <c r="S698" s="97"/>
      <c r="T698" s="298"/>
      <c r="U698" s="97"/>
      <c r="V698" s="97"/>
      <c r="W698" s="97"/>
      <c r="X698" s="97"/>
      <c r="Y698" s="97"/>
      <c r="Z698" s="97"/>
      <c r="AA698" s="97"/>
    </row>
    <row r="699" ht="15.75" customHeight="1">
      <c r="A699" s="97"/>
      <c r="B699" s="336"/>
      <c r="C699" s="337"/>
      <c r="D699" s="97"/>
      <c r="E699" s="337"/>
      <c r="F699" s="338"/>
      <c r="G699" s="336"/>
      <c r="H699" s="337"/>
      <c r="I699" s="338"/>
      <c r="J699" s="97"/>
      <c r="K699" s="339"/>
      <c r="L699" s="339"/>
      <c r="M699" s="339"/>
      <c r="N699" s="339"/>
      <c r="O699" s="339"/>
      <c r="P699" s="339"/>
      <c r="Q699" s="340"/>
      <c r="R699" s="97"/>
      <c r="S699" s="97"/>
      <c r="T699" s="298"/>
      <c r="U699" s="97"/>
      <c r="V699" s="97"/>
      <c r="W699" s="97"/>
      <c r="X699" s="97"/>
      <c r="Y699" s="97"/>
      <c r="Z699" s="97"/>
      <c r="AA699" s="97"/>
    </row>
    <row r="700" ht="15.75" customHeight="1">
      <c r="A700" s="97"/>
      <c r="B700" s="336"/>
      <c r="C700" s="337"/>
      <c r="D700" s="97"/>
      <c r="E700" s="337"/>
      <c r="F700" s="338"/>
      <c r="G700" s="336"/>
      <c r="H700" s="337"/>
      <c r="I700" s="338"/>
      <c r="J700" s="97"/>
      <c r="K700" s="339"/>
      <c r="L700" s="339"/>
      <c r="M700" s="339"/>
      <c r="N700" s="339"/>
      <c r="O700" s="339"/>
      <c r="P700" s="339"/>
      <c r="Q700" s="340"/>
      <c r="R700" s="97"/>
      <c r="S700" s="97"/>
      <c r="T700" s="298"/>
      <c r="U700" s="97"/>
      <c r="V700" s="97"/>
      <c r="W700" s="97"/>
      <c r="X700" s="97"/>
      <c r="Y700" s="97"/>
      <c r="Z700" s="97"/>
      <c r="AA700" s="97"/>
    </row>
    <row r="701" ht="15.75" customHeight="1">
      <c r="A701" s="97"/>
      <c r="B701" s="336"/>
      <c r="C701" s="337"/>
      <c r="D701" s="97"/>
      <c r="E701" s="337"/>
      <c r="F701" s="338"/>
      <c r="G701" s="336"/>
      <c r="H701" s="337"/>
      <c r="I701" s="338"/>
      <c r="J701" s="97"/>
      <c r="K701" s="339"/>
      <c r="L701" s="339"/>
      <c r="M701" s="339"/>
      <c r="N701" s="339"/>
      <c r="O701" s="339"/>
      <c r="P701" s="339"/>
      <c r="Q701" s="340"/>
      <c r="R701" s="97"/>
      <c r="S701" s="97"/>
      <c r="T701" s="298"/>
      <c r="U701" s="97"/>
      <c r="V701" s="97"/>
      <c r="W701" s="97"/>
      <c r="X701" s="97"/>
      <c r="Y701" s="97"/>
      <c r="Z701" s="97"/>
      <c r="AA701" s="97"/>
    </row>
    <row r="702" ht="15.75" customHeight="1">
      <c r="A702" s="97"/>
      <c r="B702" s="336"/>
      <c r="C702" s="337"/>
      <c r="D702" s="97"/>
      <c r="E702" s="337"/>
      <c r="F702" s="338"/>
      <c r="G702" s="336"/>
      <c r="H702" s="337"/>
      <c r="I702" s="338"/>
      <c r="J702" s="97"/>
      <c r="K702" s="339"/>
      <c r="L702" s="339"/>
      <c r="M702" s="339"/>
      <c r="N702" s="339"/>
      <c r="O702" s="339"/>
      <c r="P702" s="339"/>
      <c r="Q702" s="340"/>
      <c r="R702" s="97"/>
      <c r="S702" s="97"/>
      <c r="T702" s="298"/>
      <c r="U702" s="97"/>
      <c r="V702" s="97"/>
      <c r="W702" s="97"/>
      <c r="X702" s="97"/>
      <c r="Y702" s="97"/>
      <c r="Z702" s="97"/>
      <c r="AA702" s="97"/>
    </row>
    <row r="703" ht="15.75" customHeight="1">
      <c r="A703" s="97"/>
      <c r="B703" s="336"/>
      <c r="C703" s="337"/>
      <c r="D703" s="97"/>
      <c r="E703" s="337"/>
      <c r="F703" s="338"/>
      <c r="G703" s="336"/>
      <c r="H703" s="337"/>
      <c r="I703" s="338"/>
      <c r="J703" s="97"/>
      <c r="K703" s="339"/>
      <c r="L703" s="339"/>
      <c r="M703" s="339"/>
      <c r="N703" s="339"/>
      <c r="O703" s="339"/>
      <c r="P703" s="339"/>
      <c r="Q703" s="340"/>
      <c r="R703" s="97"/>
      <c r="S703" s="97"/>
      <c r="T703" s="298"/>
      <c r="U703" s="97"/>
      <c r="V703" s="97"/>
      <c r="W703" s="97"/>
      <c r="X703" s="97"/>
      <c r="Y703" s="97"/>
      <c r="Z703" s="97"/>
      <c r="AA703" s="97"/>
    </row>
    <row r="704" ht="15.75" customHeight="1">
      <c r="A704" s="97"/>
      <c r="B704" s="336"/>
      <c r="C704" s="337"/>
      <c r="D704" s="97"/>
      <c r="E704" s="337"/>
      <c r="F704" s="338"/>
      <c r="G704" s="336"/>
      <c r="H704" s="337"/>
      <c r="I704" s="338"/>
      <c r="J704" s="97"/>
      <c r="K704" s="339"/>
      <c r="L704" s="339"/>
      <c r="M704" s="339"/>
      <c r="N704" s="339"/>
      <c r="O704" s="339"/>
      <c r="P704" s="339"/>
      <c r="Q704" s="340"/>
      <c r="R704" s="97"/>
      <c r="S704" s="97"/>
      <c r="T704" s="298"/>
      <c r="U704" s="97"/>
      <c r="V704" s="97"/>
      <c r="W704" s="97"/>
      <c r="X704" s="97"/>
      <c r="Y704" s="97"/>
      <c r="Z704" s="97"/>
      <c r="AA704" s="97"/>
    </row>
    <row r="705" ht="15.75" customHeight="1">
      <c r="A705" s="97"/>
      <c r="B705" s="336"/>
      <c r="C705" s="337"/>
      <c r="D705" s="97"/>
      <c r="E705" s="337"/>
      <c r="F705" s="338"/>
      <c r="G705" s="336"/>
      <c r="H705" s="337"/>
      <c r="I705" s="338"/>
      <c r="J705" s="97"/>
      <c r="K705" s="339"/>
      <c r="L705" s="339"/>
      <c r="M705" s="339"/>
      <c r="N705" s="339"/>
      <c r="O705" s="339"/>
      <c r="P705" s="339"/>
      <c r="Q705" s="340"/>
      <c r="R705" s="97"/>
      <c r="S705" s="97"/>
      <c r="T705" s="298"/>
      <c r="U705" s="97"/>
      <c r="V705" s="97"/>
      <c r="W705" s="97"/>
      <c r="X705" s="97"/>
      <c r="Y705" s="97"/>
      <c r="Z705" s="97"/>
      <c r="AA705" s="97"/>
    </row>
    <row r="706" ht="15.75" customHeight="1">
      <c r="A706" s="97"/>
      <c r="B706" s="336"/>
      <c r="C706" s="337"/>
      <c r="D706" s="97"/>
      <c r="E706" s="337"/>
      <c r="F706" s="338"/>
      <c r="G706" s="336"/>
      <c r="H706" s="337"/>
      <c r="I706" s="338"/>
      <c r="J706" s="97"/>
      <c r="K706" s="339"/>
      <c r="L706" s="339"/>
      <c r="M706" s="339"/>
      <c r="N706" s="339"/>
      <c r="O706" s="339"/>
      <c r="P706" s="339"/>
      <c r="Q706" s="340"/>
      <c r="R706" s="97"/>
      <c r="S706" s="97"/>
      <c r="T706" s="298"/>
      <c r="U706" s="97"/>
      <c r="V706" s="97"/>
      <c r="W706" s="97"/>
      <c r="X706" s="97"/>
      <c r="Y706" s="97"/>
      <c r="Z706" s="97"/>
      <c r="AA706" s="97"/>
    </row>
    <row r="707" ht="15.75" customHeight="1">
      <c r="A707" s="97"/>
      <c r="B707" s="336"/>
      <c r="C707" s="337"/>
      <c r="D707" s="97"/>
      <c r="E707" s="337"/>
      <c r="F707" s="338"/>
      <c r="G707" s="336"/>
      <c r="H707" s="337"/>
      <c r="I707" s="338"/>
      <c r="J707" s="97"/>
      <c r="K707" s="339"/>
      <c r="L707" s="339"/>
      <c r="M707" s="339"/>
      <c r="N707" s="339"/>
      <c r="O707" s="339"/>
      <c r="P707" s="339"/>
      <c r="Q707" s="340"/>
      <c r="R707" s="97"/>
      <c r="S707" s="97"/>
      <c r="T707" s="298"/>
      <c r="U707" s="97"/>
      <c r="V707" s="97"/>
      <c r="W707" s="97"/>
      <c r="X707" s="97"/>
      <c r="Y707" s="97"/>
      <c r="Z707" s="97"/>
      <c r="AA707" s="97"/>
    </row>
    <row r="708" ht="15.75" customHeight="1">
      <c r="A708" s="97"/>
      <c r="B708" s="336"/>
      <c r="C708" s="337"/>
      <c r="D708" s="97"/>
      <c r="E708" s="337"/>
      <c r="F708" s="338"/>
      <c r="G708" s="336"/>
      <c r="H708" s="337"/>
      <c r="I708" s="338"/>
      <c r="J708" s="97"/>
      <c r="K708" s="339"/>
      <c r="L708" s="339"/>
      <c r="M708" s="339"/>
      <c r="N708" s="339"/>
      <c r="O708" s="339"/>
      <c r="P708" s="339"/>
      <c r="Q708" s="340"/>
      <c r="R708" s="97"/>
      <c r="S708" s="97"/>
      <c r="T708" s="298"/>
      <c r="U708" s="97"/>
      <c r="V708" s="97"/>
      <c r="W708" s="97"/>
      <c r="X708" s="97"/>
      <c r="Y708" s="97"/>
      <c r="Z708" s="97"/>
      <c r="AA708" s="97"/>
    </row>
    <row r="709" ht="15.75" customHeight="1">
      <c r="A709" s="97"/>
      <c r="B709" s="336"/>
      <c r="C709" s="337"/>
      <c r="D709" s="97"/>
      <c r="E709" s="337"/>
      <c r="F709" s="338"/>
      <c r="G709" s="336"/>
      <c r="H709" s="337"/>
      <c r="I709" s="338"/>
      <c r="J709" s="97"/>
      <c r="K709" s="339"/>
      <c r="L709" s="339"/>
      <c r="M709" s="339"/>
      <c r="N709" s="339"/>
      <c r="O709" s="339"/>
      <c r="P709" s="339"/>
      <c r="Q709" s="340"/>
      <c r="R709" s="97"/>
      <c r="S709" s="97"/>
      <c r="T709" s="298"/>
      <c r="U709" s="97"/>
      <c r="V709" s="97"/>
      <c r="W709" s="97"/>
      <c r="X709" s="97"/>
      <c r="Y709" s="97"/>
      <c r="Z709" s="97"/>
      <c r="AA709" s="97"/>
    </row>
    <row r="710" ht="15.75" customHeight="1">
      <c r="A710" s="97"/>
      <c r="B710" s="336"/>
      <c r="C710" s="337"/>
      <c r="D710" s="97"/>
      <c r="E710" s="337"/>
      <c r="F710" s="338"/>
      <c r="G710" s="336"/>
      <c r="H710" s="337"/>
      <c r="I710" s="338"/>
      <c r="J710" s="97"/>
      <c r="K710" s="339"/>
      <c r="L710" s="339"/>
      <c r="M710" s="339"/>
      <c r="N710" s="339"/>
      <c r="O710" s="339"/>
      <c r="P710" s="339"/>
      <c r="Q710" s="340"/>
      <c r="R710" s="97"/>
      <c r="S710" s="97"/>
      <c r="T710" s="298"/>
      <c r="U710" s="97"/>
      <c r="V710" s="97"/>
      <c r="W710" s="97"/>
      <c r="X710" s="97"/>
      <c r="Y710" s="97"/>
      <c r="Z710" s="97"/>
      <c r="AA710" s="97"/>
    </row>
    <row r="711" ht="15.75" customHeight="1">
      <c r="A711" s="97"/>
      <c r="B711" s="336"/>
      <c r="C711" s="337"/>
      <c r="D711" s="97"/>
      <c r="E711" s="337"/>
      <c r="F711" s="338"/>
      <c r="G711" s="336"/>
      <c r="H711" s="337"/>
      <c r="I711" s="338"/>
      <c r="J711" s="97"/>
      <c r="K711" s="339"/>
      <c r="L711" s="339"/>
      <c r="M711" s="339"/>
      <c r="N711" s="339"/>
      <c r="O711" s="339"/>
      <c r="P711" s="339"/>
      <c r="Q711" s="340"/>
      <c r="R711" s="97"/>
      <c r="S711" s="97"/>
      <c r="T711" s="298"/>
      <c r="U711" s="97"/>
      <c r="V711" s="97"/>
      <c r="W711" s="97"/>
      <c r="X711" s="97"/>
      <c r="Y711" s="97"/>
      <c r="Z711" s="97"/>
      <c r="AA711" s="97"/>
    </row>
    <row r="712" ht="15.75" customHeight="1">
      <c r="A712" s="97"/>
      <c r="B712" s="336"/>
      <c r="C712" s="337"/>
      <c r="D712" s="97"/>
      <c r="E712" s="337"/>
      <c r="F712" s="338"/>
      <c r="G712" s="336"/>
      <c r="H712" s="337"/>
      <c r="I712" s="338"/>
      <c r="J712" s="97"/>
      <c r="K712" s="339"/>
      <c r="L712" s="339"/>
      <c r="M712" s="339"/>
      <c r="N712" s="339"/>
      <c r="O712" s="339"/>
      <c r="P712" s="339"/>
      <c r="Q712" s="340"/>
      <c r="R712" s="97"/>
      <c r="S712" s="97"/>
      <c r="T712" s="298"/>
      <c r="U712" s="97"/>
      <c r="V712" s="97"/>
      <c r="W712" s="97"/>
      <c r="X712" s="97"/>
      <c r="Y712" s="97"/>
      <c r="Z712" s="97"/>
      <c r="AA712" s="97"/>
    </row>
    <row r="713" ht="15.75" customHeight="1">
      <c r="A713" s="97"/>
      <c r="B713" s="336"/>
      <c r="C713" s="337"/>
      <c r="D713" s="97"/>
      <c r="E713" s="337"/>
      <c r="F713" s="338"/>
      <c r="G713" s="336"/>
      <c r="H713" s="337"/>
      <c r="I713" s="338"/>
      <c r="J713" s="97"/>
      <c r="K713" s="339"/>
      <c r="L713" s="339"/>
      <c r="M713" s="339"/>
      <c r="N713" s="339"/>
      <c r="O713" s="339"/>
      <c r="P713" s="339"/>
      <c r="Q713" s="340"/>
      <c r="R713" s="97"/>
      <c r="S713" s="97"/>
      <c r="T713" s="298"/>
      <c r="U713" s="97"/>
      <c r="V713" s="97"/>
      <c r="W713" s="97"/>
      <c r="X713" s="97"/>
      <c r="Y713" s="97"/>
      <c r="Z713" s="97"/>
      <c r="AA713" s="97"/>
    </row>
    <row r="714" ht="15.75" customHeight="1">
      <c r="A714" s="97"/>
      <c r="B714" s="336"/>
      <c r="C714" s="337"/>
      <c r="D714" s="97"/>
      <c r="E714" s="337"/>
      <c r="F714" s="338"/>
      <c r="G714" s="336"/>
      <c r="H714" s="337"/>
      <c r="I714" s="338"/>
      <c r="J714" s="97"/>
      <c r="K714" s="339"/>
      <c r="L714" s="339"/>
      <c r="M714" s="339"/>
      <c r="N714" s="339"/>
      <c r="O714" s="339"/>
      <c r="P714" s="339"/>
      <c r="Q714" s="340"/>
      <c r="R714" s="97"/>
      <c r="S714" s="97"/>
      <c r="T714" s="298"/>
      <c r="U714" s="97"/>
      <c r="V714" s="97"/>
      <c r="W714" s="97"/>
      <c r="X714" s="97"/>
      <c r="Y714" s="97"/>
      <c r="Z714" s="97"/>
      <c r="AA714" s="97"/>
    </row>
    <row r="715" ht="15.75" customHeight="1">
      <c r="A715" s="97"/>
      <c r="B715" s="336"/>
      <c r="C715" s="337"/>
      <c r="D715" s="97"/>
      <c r="E715" s="337"/>
      <c r="F715" s="338"/>
      <c r="G715" s="336"/>
      <c r="H715" s="337"/>
      <c r="I715" s="338"/>
      <c r="J715" s="97"/>
      <c r="K715" s="339"/>
      <c r="L715" s="339"/>
      <c r="M715" s="339"/>
      <c r="N715" s="339"/>
      <c r="O715" s="339"/>
      <c r="P715" s="339"/>
      <c r="Q715" s="340"/>
      <c r="R715" s="97"/>
      <c r="S715" s="97"/>
      <c r="T715" s="298"/>
      <c r="U715" s="97"/>
      <c r="V715" s="97"/>
      <c r="W715" s="97"/>
      <c r="X715" s="97"/>
      <c r="Y715" s="97"/>
      <c r="Z715" s="97"/>
      <c r="AA715" s="97"/>
    </row>
    <row r="716" ht="15.75" customHeight="1">
      <c r="A716" s="97"/>
      <c r="B716" s="336"/>
      <c r="C716" s="337"/>
      <c r="D716" s="97"/>
      <c r="E716" s="337"/>
      <c r="F716" s="338"/>
      <c r="G716" s="336"/>
      <c r="H716" s="337"/>
      <c r="I716" s="338"/>
      <c r="J716" s="97"/>
      <c r="K716" s="339"/>
      <c r="L716" s="339"/>
      <c r="M716" s="339"/>
      <c r="N716" s="339"/>
      <c r="O716" s="339"/>
      <c r="P716" s="339"/>
      <c r="Q716" s="340"/>
      <c r="R716" s="97"/>
      <c r="S716" s="97"/>
      <c r="T716" s="298"/>
      <c r="U716" s="97"/>
      <c r="V716" s="97"/>
      <c r="W716" s="97"/>
      <c r="X716" s="97"/>
      <c r="Y716" s="97"/>
      <c r="Z716" s="97"/>
      <c r="AA716" s="97"/>
    </row>
    <row r="717" ht="15.75" customHeight="1">
      <c r="A717" s="97"/>
      <c r="B717" s="336"/>
      <c r="C717" s="337"/>
      <c r="D717" s="97"/>
      <c r="E717" s="337"/>
      <c r="F717" s="338"/>
      <c r="G717" s="336"/>
      <c r="H717" s="337"/>
      <c r="I717" s="338"/>
      <c r="J717" s="97"/>
      <c r="K717" s="339"/>
      <c r="L717" s="339"/>
      <c r="M717" s="339"/>
      <c r="N717" s="339"/>
      <c r="O717" s="339"/>
      <c r="P717" s="339"/>
      <c r="Q717" s="340"/>
      <c r="R717" s="97"/>
      <c r="S717" s="97"/>
      <c r="T717" s="298"/>
      <c r="U717" s="97"/>
      <c r="V717" s="97"/>
      <c r="W717" s="97"/>
      <c r="X717" s="97"/>
      <c r="Y717" s="97"/>
      <c r="Z717" s="97"/>
      <c r="AA717" s="97"/>
    </row>
    <row r="718" ht="15.75" customHeight="1">
      <c r="A718" s="97"/>
      <c r="B718" s="336"/>
      <c r="C718" s="337"/>
      <c r="D718" s="97"/>
      <c r="E718" s="337"/>
      <c r="F718" s="338"/>
      <c r="G718" s="336"/>
      <c r="H718" s="337"/>
      <c r="I718" s="338"/>
      <c r="J718" s="97"/>
      <c r="K718" s="339"/>
      <c r="L718" s="339"/>
      <c r="M718" s="339"/>
      <c r="N718" s="339"/>
      <c r="O718" s="339"/>
      <c r="P718" s="339"/>
      <c r="Q718" s="340"/>
      <c r="R718" s="97"/>
      <c r="S718" s="97"/>
      <c r="T718" s="298"/>
      <c r="U718" s="97"/>
      <c r="V718" s="97"/>
      <c r="W718" s="97"/>
      <c r="X718" s="97"/>
      <c r="Y718" s="97"/>
      <c r="Z718" s="97"/>
      <c r="AA718" s="97"/>
    </row>
    <row r="719" ht="15.75" customHeight="1">
      <c r="A719" s="97"/>
      <c r="B719" s="336"/>
      <c r="C719" s="337"/>
      <c r="D719" s="97"/>
      <c r="E719" s="337"/>
      <c r="F719" s="338"/>
      <c r="G719" s="336"/>
      <c r="H719" s="337"/>
      <c r="I719" s="338"/>
      <c r="J719" s="97"/>
      <c r="K719" s="339"/>
      <c r="L719" s="339"/>
      <c r="M719" s="339"/>
      <c r="N719" s="339"/>
      <c r="O719" s="339"/>
      <c r="P719" s="339"/>
      <c r="Q719" s="340"/>
      <c r="R719" s="97"/>
      <c r="S719" s="97"/>
      <c r="T719" s="298"/>
      <c r="U719" s="97"/>
      <c r="V719" s="97"/>
      <c r="W719" s="97"/>
      <c r="X719" s="97"/>
      <c r="Y719" s="97"/>
      <c r="Z719" s="97"/>
      <c r="AA719" s="97"/>
    </row>
    <row r="720" ht="15.75" customHeight="1">
      <c r="A720" s="97"/>
      <c r="B720" s="336"/>
      <c r="C720" s="337"/>
      <c r="D720" s="97"/>
      <c r="E720" s="337"/>
      <c r="F720" s="338"/>
      <c r="G720" s="336"/>
      <c r="H720" s="337"/>
      <c r="I720" s="338"/>
      <c r="J720" s="97"/>
      <c r="K720" s="339"/>
      <c r="L720" s="339"/>
      <c r="M720" s="339"/>
      <c r="N720" s="339"/>
      <c r="O720" s="339"/>
      <c r="P720" s="339"/>
      <c r="Q720" s="340"/>
      <c r="R720" s="97"/>
      <c r="S720" s="97"/>
      <c r="T720" s="298"/>
      <c r="U720" s="97"/>
      <c r="V720" s="97"/>
      <c r="W720" s="97"/>
      <c r="X720" s="97"/>
      <c r="Y720" s="97"/>
      <c r="Z720" s="97"/>
      <c r="AA720" s="97"/>
    </row>
    <row r="721" ht="15.75" customHeight="1">
      <c r="A721" s="97"/>
      <c r="B721" s="336"/>
      <c r="C721" s="337"/>
      <c r="D721" s="97"/>
      <c r="E721" s="337"/>
      <c r="F721" s="338"/>
      <c r="G721" s="336"/>
      <c r="H721" s="337"/>
      <c r="I721" s="338"/>
      <c r="J721" s="97"/>
      <c r="K721" s="339"/>
      <c r="L721" s="339"/>
      <c r="M721" s="339"/>
      <c r="N721" s="339"/>
      <c r="O721" s="339"/>
      <c r="P721" s="339"/>
      <c r="Q721" s="340"/>
      <c r="R721" s="97"/>
      <c r="S721" s="97"/>
      <c r="T721" s="298"/>
      <c r="U721" s="97"/>
      <c r="V721" s="97"/>
      <c r="W721" s="97"/>
      <c r="X721" s="97"/>
      <c r="Y721" s="97"/>
      <c r="Z721" s="97"/>
      <c r="AA721" s="97"/>
    </row>
    <row r="722" ht="15.75" customHeight="1">
      <c r="A722" s="97"/>
      <c r="B722" s="336"/>
      <c r="C722" s="337"/>
      <c r="D722" s="97"/>
      <c r="E722" s="337"/>
      <c r="F722" s="338"/>
      <c r="G722" s="336"/>
      <c r="H722" s="337"/>
      <c r="I722" s="338"/>
      <c r="J722" s="97"/>
      <c r="K722" s="339"/>
      <c r="L722" s="339"/>
      <c r="M722" s="339"/>
      <c r="N722" s="339"/>
      <c r="O722" s="339"/>
      <c r="P722" s="339"/>
      <c r="Q722" s="340"/>
      <c r="R722" s="97"/>
      <c r="S722" s="97"/>
      <c r="T722" s="298"/>
      <c r="U722" s="97"/>
      <c r="V722" s="97"/>
      <c r="W722" s="97"/>
      <c r="X722" s="97"/>
      <c r="Y722" s="97"/>
      <c r="Z722" s="97"/>
      <c r="AA722" s="97"/>
    </row>
    <row r="723" ht="15.75" customHeight="1">
      <c r="A723" s="97"/>
      <c r="B723" s="336"/>
      <c r="C723" s="337"/>
      <c r="D723" s="97"/>
      <c r="E723" s="337"/>
      <c r="F723" s="338"/>
      <c r="G723" s="336"/>
      <c r="H723" s="337"/>
      <c r="I723" s="338"/>
      <c r="J723" s="97"/>
      <c r="K723" s="339"/>
      <c r="L723" s="339"/>
      <c r="M723" s="339"/>
      <c r="N723" s="339"/>
      <c r="O723" s="339"/>
      <c r="P723" s="339"/>
      <c r="Q723" s="340"/>
      <c r="R723" s="97"/>
      <c r="S723" s="97"/>
      <c r="T723" s="298"/>
      <c r="U723" s="97"/>
      <c r="V723" s="97"/>
      <c r="W723" s="97"/>
      <c r="X723" s="97"/>
      <c r="Y723" s="97"/>
      <c r="Z723" s="97"/>
      <c r="AA723" s="97"/>
    </row>
    <row r="724" ht="15.75" customHeight="1">
      <c r="A724" s="97"/>
      <c r="B724" s="336"/>
      <c r="C724" s="337"/>
      <c r="D724" s="97"/>
      <c r="E724" s="337"/>
      <c r="F724" s="338"/>
      <c r="G724" s="336"/>
      <c r="H724" s="337"/>
      <c r="I724" s="338"/>
      <c r="J724" s="97"/>
      <c r="K724" s="339"/>
      <c r="L724" s="339"/>
      <c r="M724" s="339"/>
      <c r="N724" s="339"/>
      <c r="O724" s="339"/>
      <c r="P724" s="339"/>
      <c r="Q724" s="340"/>
      <c r="R724" s="97"/>
      <c r="S724" s="97"/>
      <c r="T724" s="298"/>
      <c r="U724" s="97"/>
      <c r="V724" s="97"/>
      <c r="W724" s="97"/>
      <c r="X724" s="97"/>
      <c r="Y724" s="97"/>
      <c r="Z724" s="97"/>
      <c r="AA724" s="97"/>
    </row>
    <row r="725" ht="15.75" customHeight="1">
      <c r="A725" s="97"/>
      <c r="B725" s="336"/>
      <c r="C725" s="337"/>
      <c r="D725" s="97"/>
      <c r="E725" s="337"/>
      <c r="F725" s="338"/>
      <c r="G725" s="336"/>
      <c r="H725" s="337"/>
      <c r="I725" s="338"/>
      <c r="J725" s="97"/>
      <c r="K725" s="339"/>
      <c r="L725" s="339"/>
      <c r="M725" s="339"/>
      <c r="N725" s="339"/>
      <c r="O725" s="339"/>
      <c r="P725" s="339"/>
      <c r="Q725" s="340"/>
      <c r="R725" s="97"/>
      <c r="S725" s="97"/>
      <c r="T725" s="298"/>
      <c r="U725" s="97"/>
      <c r="V725" s="97"/>
      <c r="W725" s="97"/>
      <c r="X725" s="97"/>
      <c r="Y725" s="97"/>
      <c r="Z725" s="97"/>
      <c r="AA725" s="97"/>
    </row>
    <row r="726" ht="15.75" customHeight="1">
      <c r="A726" s="97"/>
      <c r="B726" s="336"/>
      <c r="C726" s="337"/>
      <c r="D726" s="97"/>
      <c r="E726" s="337"/>
      <c r="F726" s="338"/>
      <c r="G726" s="336"/>
      <c r="H726" s="337"/>
      <c r="I726" s="338"/>
      <c r="J726" s="97"/>
      <c r="K726" s="339"/>
      <c r="L726" s="339"/>
      <c r="M726" s="339"/>
      <c r="N726" s="339"/>
      <c r="O726" s="339"/>
      <c r="P726" s="339"/>
      <c r="Q726" s="340"/>
      <c r="R726" s="97"/>
      <c r="S726" s="97"/>
      <c r="T726" s="298"/>
      <c r="U726" s="97"/>
      <c r="V726" s="97"/>
      <c r="W726" s="97"/>
      <c r="X726" s="97"/>
      <c r="Y726" s="97"/>
      <c r="Z726" s="97"/>
      <c r="AA726" s="97"/>
    </row>
    <row r="727" ht="15.75" customHeight="1">
      <c r="A727" s="97"/>
      <c r="B727" s="336"/>
      <c r="C727" s="337"/>
      <c r="D727" s="97"/>
      <c r="E727" s="337"/>
      <c r="F727" s="338"/>
      <c r="G727" s="336"/>
      <c r="H727" s="337"/>
      <c r="I727" s="338"/>
      <c r="J727" s="97"/>
      <c r="K727" s="339"/>
      <c r="L727" s="339"/>
      <c r="M727" s="339"/>
      <c r="N727" s="339"/>
      <c r="O727" s="339"/>
      <c r="P727" s="339"/>
      <c r="Q727" s="340"/>
      <c r="R727" s="97"/>
      <c r="S727" s="97"/>
      <c r="T727" s="298"/>
      <c r="U727" s="97"/>
      <c r="V727" s="97"/>
      <c r="W727" s="97"/>
      <c r="X727" s="97"/>
      <c r="Y727" s="97"/>
      <c r="Z727" s="97"/>
      <c r="AA727" s="97"/>
    </row>
    <row r="728" ht="15.75" customHeight="1">
      <c r="A728" s="97"/>
      <c r="B728" s="336"/>
      <c r="C728" s="337"/>
      <c r="D728" s="97"/>
      <c r="E728" s="337"/>
      <c r="F728" s="338"/>
      <c r="G728" s="336"/>
      <c r="H728" s="337"/>
      <c r="I728" s="338"/>
      <c r="J728" s="97"/>
      <c r="K728" s="339"/>
      <c r="L728" s="339"/>
      <c r="M728" s="339"/>
      <c r="N728" s="339"/>
      <c r="O728" s="339"/>
      <c r="P728" s="339"/>
      <c r="Q728" s="340"/>
      <c r="R728" s="97"/>
      <c r="S728" s="97"/>
      <c r="T728" s="298"/>
      <c r="U728" s="97"/>
      <c r="V728" s="97"/>
      <c r="W728" s="97"/>
      <c r="X728" s="97"/>
      <c r="Y728" s="97"/>
      <c r="Z728" s="97"/>
      <c r="AA728" s="97"/>
    </row>
    <row r="729" ht="15.75" customHeight="1">
      <c r="A729" s="97"/>
      <c r="B729" s="336"/>
      <c r="C729" s="337"/>
      <c r="D729" s="97"/>
      <c r="E729" s="337"/>
      <c r="F729" s="338"/>
      <c r="G729" s="336"/>
      <c r="H729" s="337"/>
      <c r="I729" s="338"/>
      <c r="J729" s="97"/>
      <c r="K729" s="339"/>
      <c r="L729" s="339"/>
      <c r="M729" s="339"/>
      <c r="N729" s="339"/>
      <c r="O729" s="339"/>
      <c r="P729" s="339"/>
      <c r="Q729" s="340"/>
      <c r="R729" s="97"/>
      <c r="S729" s="97"/>
      <c r="T729" s="298"/>
      <c r="U729" s="97"/>
      <c r="V729" s="97"/>
      <c r="W729" s="97"/>
      <c r="X729" s="97"/>
      <c r="Y729" s="97"/>
      <c r="Z729" s="97"/>
      <c r="AA729" s="97"/>
    </row>
    <row r="730" ht="15.75" customHeight="1">
      <c r="A730" s="97"/>
      <c r="B730" s="336"/>
      <c r="C730" s="337"/>
      <c r="D730" s="97"/>
      <c r="E730" s="337"/>
      <c r="F730" s="338"/>
      <c r="G730" s="336"/>
      <c r="H730" s="337"/>
      <c r="I730" s="338"/>
      <c r="J730" s="97"/>
      <c r="K730" s="339"/>
      <c r="L730" s="339"/>
      <c r="M730" s="339"/>
      <c r="N730" s="339"/>
      <c r="O730" s="339"/>
      <c r="P730" s="339"/>
      <c r="Q730" s="340"/>
      <c r="R730" s="97"/>
      <c r="S730" s="97"/>
      <c r="T730" s="298"/>
      <c r="U730" s="97"/>
      <c r="V730" s="97"/>
      <c r="W730" s="97"/>
      <c r="X730" s="97"/>
      <c r="Y730" s="97"/>
      <c r="Z730" s="97"/>
      <c r="AA730" s="97"/>
    </row>
    <row r="731" ht="15.75" customHeight="1">
      <c r="A731" s="97"/>
      <c r="B731" s="336"/>
      <c r="C731" s="337"/>
      <c r="D731" s="97"/>
      <c r="E731" s="337"/>
      <c r="F731" s="338"/>
      <c r="G731" s="336"/>
      <c r="H731" s="337"/>
      <c r="I731" s="338"/>
      <c r="J731" s="97"/>
      <c r="K731" s="339"/>
      <c r="L731" s="339"/>
      <c r="M731" s="339"/>
      <c r="N731" s="339"/>
      <c r="O731" s="339"/>
      <c r="P731" s="339"/>
      <c r="Q731" s="340"/>
      <c r="R731" s="97"/>
      <c r="S731" s="97"/>
      <c r="T731" s="298"/>
      <c r="U731" s="97"/>
      <c r="V731" s="97"/>
      <c r="W731" s="97"/>
      <c r="X731" s="97"/>
      <c r="Y731" s="97"/>
      <c r="Z731" s="97"/>
      <c r="AA731" s="97"/>
    </row>
    <row r="732" ht="15.75" customHeight="1">
      <c r="A732" s="97"/>
      <c r="B732" s="336"/>
      <c r="C732" s="337"/>
      <c r="D732" s="97"/>
      <c r="E732" s="337"/>
      <c r="F732" s="338"/>
      <c r="G732" s="336"/>
      <c r="H732" s="337"/>
      <c r="I732" s="338"/>
      <c r="J732" s="97"/>
      <c r="K732" s="339"/>
      <c r="L732" s="339"/>
      <c r="M732" s="339"/>
      <c r="N732" s="339"/>
      <c r="O732" s="339"/>
      <c r="P732" s="339"/>
      <c r="Q732" s="340"/>
      <c r="R732" s="97"/>
      <c r="S732" s="97"/>
      <c r="T732" s="298"/>
      <c r="U732" s="97"/>
      <c r="V732" s="97"/>
      <c r="W732" s="97"/>
      <c r="X732" s="97"/>
      <c r="Y732" s="97"/>
      <c r="Z732" s="97"/>
      <c r="AA732" s="97"/>
    </row>
    <row r="733" ht="15.75" customHeight="1">
      <c r="A733" s="97"/>
      <c r="B733" s="336"/>
      <c r="C733" s="337"/>
      <c r="D733" s="97"/>
      <c r="E733" s="337"/>
      <c r="F733" s="338"/>
      <c r="G733" s="336"/>
      <c r="H733" s="337"/>
      <c r="I733" s="338"/>
      <c r="J733" s="97"/>
      <c r="K733" s="339"/>
      <c r="L733" s="339"/>
      <c r="M733" s="339"/>
      <c r="N733" s="339"/>
      <c r="O733" s="339"/>
      <c r="P733" s="339"/>
      <c r="Q733" s="340"/>
      <c r="R733" s="97"/>
      <c r="S733" s="97"/>
      <c r="T733" s="298"/>
      <c r="U733" s="97"/>
      <c r="V733" s="97"/>
      <c r="W733" s="97"/>
      <c r="X733" s="97"/>
      <c r="Y733" s="97"/>
      <c r="Z733" s="97"/>
      <c r="AA733" s="97"/>
    </row>
    <row r="734" ht="15.75" customHeight="1">
      <c r="A734" s="97"/>
      <c r="B734" s="336"/>
      <c r="C734" s="337"/>
      <c r="D734" s="97"/>
      <c r="E734" s="337"/>
      <c r="F734" s="338"/>
      <c r="G734" s="336"/>
      <c r="H734" s="337"/>
      <c r="I734" s="338"/>
      <c r="J734" s="97"/>
      <c r="K734" s="339"/>
      <c r="L734" s="339"/>
      <c r="M734" s="339"/>
      <c r="N734" s="339"/>
      <c r="O734" s="339"/>
      <c r="P734" s="339"/>
      <c r="Q734" s="340"/>
      <c r="R734" s="97"/>
      <c r="S734" s="97"/>
      <c r="T734" s="298"/>
      <c r="U734" s="97"/>
      <c r="V734" s="97"/>
      <c r="W734" s="97"/>
      <c r="X734" s="97"/>
      <c r="Y734" s="97"/>
      <c r="Z734" s="97"/>
      <c r="AA734" s="97"/>
    </row>
    <row r="735" ht="15.75" customHeight="1">
      <c r="A735" s="97"/>
      <c r="B735" s="336"/>
      <c r="C735" s="337"/>
      <c r="D735" s="97"/>
      <c r="E735" s="337"/>
      <c r="F735" s="338"/>
      <c r="G735" s="336"/>
      <c r="H735" s="337"/>
      <c r="I735" s="338"/>
      <c r="J735" s="97"/>
      <c r="K735" s="339"/>
      <c r="L735" s="339"/>
      <c r="M735" s="339"/>
      <c r="N735" s="339"/>
      <c r="O735" s="339"/>
      <c r="P735" s="339"/>
      <c r="Q735" s="340"/>
      <c r="R735" s="97"/>
      <c r="S735" s="97"/>
      <c r="T735" s="298"/>
      <c r="U735" s="97"/>
      <c r="V735" s="97"/>
      <c r="W735" s="97"/>
      <c r="X735" s="97"/>
      <c r="Y735" s="97"/>
      <c r="Z735" s="97"/>
      <c r="AA735" s="97"/>
    </row>
    <row r="736" ht="15.75" customHeight="1">
      <c r="A736" s="97"/>
      <c r="B736" s="336"/>
      <c r="C736" s="337"/>
      <c r="D736" s="97"/>
      <c r="E736" s="337"/>
      <c r="F736" s="338"/>
      <c r="G736" s="336"/>
      <c r="H736" s="337"/>
      <c r="I736" s="338"/>
      <c r="J736" s="97"/>
      <c r="K736" s="339"/>
      <c r="L736" s="339"/>
      <c r="M736" s="339"/>
      <c r="N736" s="339"/>
      <c r="O736" s="339"/>
      <c r="P736" s="339"/>
      <c r="Q736" s="340"/>
      <c r="R736" s="97"/>
      <c r="S736" s="97"/>
      <c r="T736" s="298"/>
      <c r="U736" s="97"/>
      <c r="V736" s="97"/>
      <c r="W736" s="97"/>
      <c r="X736" s="97"/>
      <c r="Y736" s="97"/>
      <c r="Z736" s="97"/>
      <c r="AA736" s="97"/>
    </row>
    <row r="737" ht="15.75" customHeight="1">
      <c r="A737" s="97"/>
      <c r="B737" s="336"/>
      <c r="C737" s="337"/>
      <c r="D737" s="97"/>
      <c r="E737" s="337"/>
      <c r="F737" s="338"/>
      <c r="G737" s="336"/>
      <c r="H737" s="337"/>
      <c r="I737" s="338"/>
      <c r="J737" s="97"/>
      <c r="K737" s="339"/>
      <c r="L737" s="339"/>
      <c r="M737" s="339"/>
      <c r="N737" s="339"/>
      <c r="O737" s="339"/>
      <c r="P737" s="339"/>
      <c r="Q737" s="340"/>
      <c r="R737" s="97"/>
      <c r="S737" s="97"/>
      <c r="T737" s="298"/>
      <c r="U737" s="97"/>
      <c r="V737" s="97"/>
      <c r="W737" s="97"/>
      <c r="X737" s="97"/>
      <c r="Y737" s="97"/>
      <c r="Z737" s="97"/>
      <c r="AA737" s="97"/>
    </row>
    <row r="738" ht="15.75" customHeight="1">
      <c r="A738" s="97"/>
      <c r="B738" s="336"/>
      <c r="C738" s="337"/>
      <c r="D738" s="97"/>
      <c r="E738" s="337"/>
      <c r="F738" s="338"/>
      <c r="G738" s="336"/>
      <c r="H738" s="337"/>
      <c r="I738" s="338"/>
      <c r="J738" s="97"/>
      <c r="K738" s="339"/>
      <c r="L738" s="339"/>
      <c r="M738" s="339"/>
      <c r="N738" s="339"/>
      <c r="O738" s="339"/>
      <c r="P738" s="339"/>
      <c r="Q738" s="340"/>
      <c r="R738" s="97"/>
      <c r="S738" s="97"/>
      <c r="T738" s="298"/>
      <c r="U738" s="97"/>
      <c r="V738" s="97"/>
      <c r="W738" s="97"/>
      <c r="X738" s="97"/>
      <c r="Y738" s="97"/>
      <c r="Z738" s="97"/>
      <c r="AA738" s="97"/>
    </row>
    <row r="739" ht="15.75" customHeight="1">
      <c r="A739" s="97"/>
      <c r="B739" s="336"/>
      <c r="C739" s="337"/>
      <c r="D739" s="97"/>
      <c r="E739" s="337"/>
      <c r="F739" s="338"/>
      <c r="G739" s="336"/>
      <c r="H739" s="337"/>
      <c r="I739" s="338"/>
      <c r="J739" s="97"/>
      <c r="K739" s="339"/>
      <c r="L739" s="339"/>
      <c r="M739" s="339"/>
      <c r="N739" s="339"/>
      <c r="O739" s="339"/>
      <c r="P739" s="339"/>
      <c r="Q739" s="340"/>
      <c r="R739" s="97"/>
      <c r="S739" s="97"/>
      <c r="T739" s="298"/>
      <c r="U739" s="97"/>
      <c r="V739" s="97"/>
      <c r="W739" s="97"/>
      <c r="X739" s="97"/>
      <c r="Y739" s="97"/>
      <c r="Z739" s="97"/>
      <c r="AA739" s="97"/>
    </row>
    <row r="740" ht="15.75" customHeight="1">
      <c r="A740" s="97"/>
      <c r="B740" s="336"/>
      <c r="C740" s="337"/>
      <c r="D740" s="97"/>
      <c r="E740" s="337"/>
      <c r="F740" s="338"/>
      <c r="G740" s="336"/>
      <c r="H740" s="337"/>
      <c r="I740" s="338"/>
      <c r="J740" s="97"/>
      <c r="K740" s="339"/>
      <c r="L740" s="339"/>
      <c r="M740" s="339"/>
      <c r="N740" s="339"/>
      <c r="O740" s="339"/>
      <c r="P740" s="339"/>
      <c r="Q740" s="340"/>
      <c r="R740" s="97"/>
      <c r="S740" s="97"/>
      <c r="T740" s="298"/>
      <c r="U740" s="97"/>
      <c r="V740" s="97"/>
      <c r="W740" s="97"/>
      <c r="X740" s="97"/>
      <c r="Y740" s="97"/>
      <c r="Z740" s="97"/>
      <c r="AA740" s="97"/>
    </row>
    <row r="741" ht="15.75" customHeight="1">
      <c r="A741" s="97"/>
      <c r="B741" s="336"/>
      <c r="C741" s="337"/>
      <c r="D741" s="97"/>
      <c r="E741" s="337"/>
      <c r="F741" s="338"/>
      <c r="G741" s="336"/>
      <c r="H741" s="337"/>
      <c r="I741" s="338"/>
      <c r="J741" s="97"/>
      <c r="K741" s="339"/>
      <c r="L741" s="339"/>
      <c r="M741" s="339"/>
      <c r="N741" s="339"/>
      <c r="O741" s="339"/>
      <c r="P741" s="339"/>
      <c r="Q741" s="340"/>
      <c r="R741" s="97"/>
      <c r="S741" s="97"/>
      <c r="T741" s="298"/>
      <c r="U741" s="97"/>
      <c r="V741" s="97"/>
      <c r="W741" s="97"/>
      <c r="X741" s="97"/>
      <c r="Y741" s="97"/>
      <c r="Z741" s="97"/>
      <c r="AA741" s="97"/>
    </row>
    <row r="742" ht="15.75" customHeight="1">
      <c r="A742" s="97"/>
      <c r="B742" s="336"/>
      <c r="C742" s="337"/>
      <c r="D742" s="97"/>
      <c r="E742" s="337"/>
      <c r="F742" s="338"/>
      <c r="G742" s="336"/>
      <c r="H742" s="337"/>
      <c r="I742" s="338"/>
      <c r="J742" s="97"/>
      <c r="K742" s="339"/>
      <c r="L742" s="339"/>
      <c r="M742" s="339"/>
      <c r="N742" s="339"/>
      <c r="O742" s="339"/>
      <c r="P742" s="339"/>
      <c r="Q742" s="340"/>
      <c r="R742" s="97"/>
      <c r="S742" s="97"/>
      <c r="T742" s="298"/>
      <c r="U742" s="97"/>
      <c r="V742" s="97"/>
      <c r="W742" s="97"/>
      <c r="X742" s="97"/>
      <c r="Y742" s="97"/>
      <c r="Z742" s="97"/>
      <c r="AA742" s="97"/>
    </row>
    <row r="743" ht="15.75" customHeight="1">
      <c r="A743" s="97"/>
      <c r="B743" s="336"/>
      <c r="C743" s="337"/>
      <c r="D743" s="97"/>
      <c r="E743" s="337"/>
      <c r="F743" s="338"/>
      <c r="G743" s="336"/>
      <c r="H743" s="337"/>
      <c r="I743" s="338"/>
      <c r="J743" s="97"/>
      <c r="K743" s="339"/>
      <c r="L743" s="339"/>
      <c r="M743" s="339"/>
      <c r="N743" s="339"/>
      <c r="O743" s="339"/>
      <c r="P743" s="339"/>
      <c r="Q743" s="340"/>
      <c r="R743" s="97"/>
      <c r="S743" s="97"/>
      <c r="T743" s="298"/>
      <c r="U743" s="97"/>
      <c r="V743" s="97"/>
      <c r="W743" s="97"/>
      <c r="X743" s="97"/>
      <c r="Y743" s="97"/>
      <c r="Z743" s="97"/>
      <c r="AA743" s="97"/>
    </row>
    <row r="744" ht="15.75" customHeight="1">
      <c r="A744" s="97"/>
      <c r="B744" s="336"/>
      <c r="C744" s="337"/>
      <c r="D744" s="97"/>
      <c r="E744" s="337"/>
      <c r="F744" s="338"/>
      <c r="G744" s="336"/>
      <c r="H744" s="337"/>
      <c r="I744" s="338"/>
      <c r="J744" s="97"/>
      <c r="K744" s="339"/>
      <c r="L744" s="339"/>
      <c r="M744" s="339"/>
      <c r="N744" s="339"/>
      <c r="O744" s="339"/>
      <c r="P744" s="339"/>
      <c r="Q744" s="340"/>
      <c r="R744" s="97"/>
      <c r="S744" s="97"/>
      <c r="T744" s="298"/>
      <c r="U744" s="97"/>
      <c r="V744" s="97"/>
      <c r="W744" s="97"/>
      <c r="X744" s="97"/>
      <c r="Y744" s="97"/>
      <c r="Z744" s="97"/>
      <c r="AA744" s="97"/>
    </row>
    <row r="745" ht="15.75" customHeight="1">
      <c r="A745" s="97"/>
      <c r="B745" s="336"/>
      <c r="C745" s="337"/>
      <c r="D745" s="97"/>
      <c r="E745" s="337"/>
      <c r="F745" s="338"/>
      <c r="G745" s="336"/>
      <c r="H745" s="337"/>
      <c r="I745" s="338"/>
      <c r="J745" s="97"/>
      <c r="K745" s="339"/>
      <c r="L745" s="339"/>
      <c r="M745" s="339"/>
      <c r="N745" s="339"/>
      <c r="O745" s="339"/>
      <c r="P745" s="339"/>
      <c r="Q745" s="340"/>
      <c r="R745" s="97"/>
      <c r="S745" s="97"/>
      <c r="T745" s="298"/>
      <c r="U745" s="97"/>
      <c r="V745" s="97"/>
      <c r="W745" s="97"/>
      <c r="X745" s="97"/>
      <c r="Y745" s="97"/>
      <c r="Z745" s="97"/>
      <c r="AA745" s="97"/>
    </row>
    <row r="746" ht="15.75" customHeight="1">
      <c r="A746" s="97"/>
      <c r="B746" s="336"/>
      <c r="C746" s="337"/>
      <c r="D746" s="97"/>
      <c r="E746" s="337"/>
      <c r="F746" s="338"/>
      <c r="G746" s="336"/>
      <c r="H746" s="337"/>
      <c r="I746" s="338"/>
      <c r="J746" s="97"/>
      <c r="K746" s="339"/>
      <c r="L746" s="339"/>
      <c r="M746" s="339"/>
      <c r="N746" s="339"/>
      <c r="O746" s="339"/>
      <c r="P746" s="339"/>
      <c r="Q746" s="340"/>
      <c r="R746" s="97"/>
      <c r="S746" s="97"/>
      <c r="T746" s="298"/>
      <c r="U746" s="97"/>
      <c r="V746" s="97"/>
      <c r="W746" s="97"/>
      <c r="X746" s="97"/>
      <c r="Y746" s="97"/>
      <c r="Z746" s="97"/>
      <c r="AA746" s="97"/>
    </row>
    <row r="747" ht="15.75" customHeight="1">
      <c r="A747" s="97"/>
      <c r="B747" s="336"/>
      <c r="C747" s="337"/>
      <c r="D747" s="97"/>
      <c r="E747" s="337"/>
      <c r="F747" s="338"/>
      <c r="G747" s="336"/>
      <c r="H747" s="337"/>
      <c r="I747" s="338"/>
      <c r="J747" s="97"/>
      <c r="K747" s="339"/>
      <c r="L747" s="339"/>
      <c r="M747" s="339"/>
      <c r="N747" s="339"/>
      <c r="O747" s="339"/>
      <c r="P747" s="339"/>
      <c r="Q747" s="340"/>
      <c r="R747" s="97"/>
      <c r="S747" s="97"/>
      <c r="T747" s="298"/>
      <c r="U747" s="97"/>
      <c r="V747" s="97"/>
      <c r="W747" s="97"/>
      <c r="X747" s="97"/>
      <c r="Y747" s="97"/>
      <c r="Z747" s="97"/>
      <c r="AA747" s="97"/>
    </row>
    <row r="748" ht="15.75" customHeight="1">
      <c r="A748" s="97"/>
      <c r="B748" s="336"/>
      <c r="C748" s="337"/>
      <c r="D748" s="97"/>
      <c r="E748" s="337"/>
      <c r="F748" s="338"/>
      <c r="G748" s="336"/>
      <c r="H748" s="337"/>
      <c r="I748" s="338"/>
      <c r="J748" s="97"/>
      <c r="K748" s="339"/>
      <c r="L748" s="339"/>
      <c r="M748" s="339"/>
      <c r="N748" s="339"/>
      <c r="O748" s="339"/>
      <c r="P748" s="339"/>
      <c r="Q748" s="340"/>
      <c r="R748" s="97"/>
      <c r="S748" s="97"/>
      <c r="T748" s="298"/>
      <c r="U748" s="97"/>
      <c r="V748" s="97"/>
      <c r="W748" s="97"/>
      <c r="X748" s="97"/>
      <c r="Y748" s="97"/>
      <c r="Z748" s="97"/>
      <c r="AA748" s="97"/>
    </row>
    <row r="749" ht="15.75" customHeight="1">
      <c r="A749" s="97"/>
      <c r="B749" s="336"/>
      <c r="C749" s="337"/>
      <c r="D749" s="97"/>
      <c r="E749" s="337"/>
      <c r="F749" s="338"/>
      <c r="G749" s="336"/>
      <c r="H749" s="337"/>
      <c r="I749" s="338"/>
      <c r="J749" s="97"/>
      <c r="K749" s="339"/>
      <c r="L749" s="339"/>
      <c r="M749" s="339"/>
      <c r="N749" s="339"/>
      <c r="O749" s="339"/>
      <c r="P749" s="339"/>
      <c r="Q749" s="340"/>
      <c r="R749" s="97"/>
      <c r="S749" s="97"/>
      <c r="T749" s="298"/>
      <c r="U749" s="97"/>
      <c r="V749" s="97"/>
      <c r="W749" s="97"/>
      <c r="X749" s="97"/>
      <c r="Y749" s="97"/>
      <c r="Z749" s="97"/>
      <c r="AA749" s="97"/>
    </row>
    <row r="750" ht="15.75" customHeight="1">
      <c r="A750" s="97"/>
      <c r="B750" s="336"/>
      <c r="C750" s="337"/>
      <c r="D750" s="97"/>
      <c r="E750" s="337"/>
      <c r="F750" s="338"/>
      <c r="G750" s="336"/>
      <c r="H750" s="337"/>
      <c r="I750" s="338"/>
      <c r="J750" s="97"/>
      <c r="K750" s="339"/>
      <c r="L750" s="339"/>
      <c r="M750" s="339"/>
      <c r="N750" s="339"/>
      <c r="O750" s="339"/>
      <c r="P750" s="339"/>
      <c r="Q750" s="340"/>
      <c r="R750" s="97"/>
      <c r="S750" s="97"/>
      <c r="T750" s="298"/>
      <c r="U750" s="97"/>
      <c r="V750" s="97"/>
      <c r="W750" s="97"/>
      <c r="X750" s="97"/>
      <c r="Y750" s="97"/>
      <c r="Z750" s="97"/>
      <c r="AA750" s="97"/>
    </row>
    <row r="751" ht="15.75" customHeight="1">
      <c r="A751" s="97"/>
      <c r="B751" s="336"/>
      <c r="C751" s="337"/>
      <c r="D751" s="97"/>
      <c r="E751" s="337"/>
      <c r="F751" s="338"/>
      <c r="G751" s="336"/>
      <c r="H751" s="337"/>
      <c r="I751" s="338"/>
      <c r="J751" s="97"/>
      <c r="K751" s="339"/>
      <c r="L751" s="339"/>
      <c r="M751" s="339"/>
      <c r="N751" s="339"/>
      <c r="O751" s="339"/>
      <c r="P751" s="339"/>
      <c r="Q751" s="340"/>
      <c r="R751" s="97"/>
      <c r="S751" s="97"/>
      <c r="T751" s="298"/>
      <c r="U751" s="97"/>
      <c r="V751" s="97"/>
      <c r="W751" s="97"/>
      <c r="X751" s="97"/>
      <c r="Y751" s="97"/>
      <c r="Z751" s="97"/>
      <c r="AA751" s="97"/>
    </row>
    <row r="752" ht="15.75" customHeight="1">
      <c r="A752" s="97"/>
      <c r="B752" s="336"/>
      <c r="C752" s="337"/>
      <c r="D752" s="97"/>
      <c r="E752" s="337"/>
      <c r="F752" s="338"/>
      <c r="G752" s="336"/>
      <c r="H752" s="337"/>
      <c r="I752" s="338"/>
      <c r="J752" s="97"/>
      <c r="K752" s="339"/>
      <c r="L752" s="339"/>
      <c r="M752" s="339"/>
      <c r="N752" s="339"/>
      <c r="O752" s="339"/>
      <c r="P752" s="339"/>
      <c r="Q752" s="340"/>
      <c r="R752" s="97"/>
      <c r="S752" s="97"/>
      <c r="T752" s="298"/>
      <c r="U752" s="97"/>
      <c r="V752" s="97"/>
      <c r="W752" s="97"/>
      <c r="X752" s="97"/>
      <c r="Y752" s="97"/>
      <c r="Z752" s="97"/>
      <c r="AA752" s="97"/>
    </row>
    <row r="753" ht="15.75" customHeight="1">
      <c r="A753" s="97"/>
      <c r="B753" s="336"/>
      <c r="C753" s="337"/>
      <c r="D753" s="97"/>
      <c r="E753" s="337"/>
      <c r="F753" s="338"/>
      <c r="G753" s="336"/>
      <c r="H753" s="337"/>
      <c r="I753" s="338"/>
      <c r="J753" s="97"/>
      <c r="K753" s="339"/>
      <c r="L753" s="339"/>
      <c r="M753" s="339"/>
      <c r="N753" s="339"/>
      <c r="O753" s="339"/>
      <c r="P753" s="339"/>
      <c r="Q753" s="340"/>
      <c r="R753" s="97"/>
      <c r="S753" s="97"/>
      <c r="T753" s="298"/>
      <c r="U753" s="97"/>
      <c r="V753" s="97"/>
      <c r="W753" s="97"/>
      <c r="X753" s="97"/>
      <c r="Y753" s="97"/>
      <c r="Z753" s="97"/>
      <c r="AA753" s="97"/>
    </row>
    <row r="754" ht="15.75" customHeight="1">
      <c r="A754" s="97"/>
      <c r="B754" s="336"/>
      <c r="C754" s="337"/>
      <c r="D754" s="97"/>
      <c r="E754" s="337"/>
      <c r="F754" s="338"/>
      <c r="G754" s="336"/>
      <c r="H754" s="337"/>
      <c r="I754" s="338"/>
      <c r="J754" s="97"/>
      <c r="K754" s="339"/>
      <c r="L754" s="339"/>
      <c r="M754" s="339"/>
      <c r="N754" s="339"/>
      <c r="O754" s="339"/>
      <c r="P754" s="339"/>
      <c r="Q754" s="340"/>
      <c r="R754" s="97"/>
      <c r="S754" s="97"/>
      <c r="T754" s="298"/>
      <c r="U754" s="97"/>
      <c r="V754" s="97"/>
      <c r="W754" s="97"/>
      <c r="X754" s="97"/>
      <c r="Y754" s="97"/>
      <c r="Z754" s="97"/>
      <c r="AA754" s="97"/>
    </row>
    <row r="755" ht="15.75" customHeight="1">
      <c r="A755" s="97"/>
      <c r="B755" s="336"/>
      <c r="C755" s="337"/>
      <c r="D755" s="97"/>
      <c r="E755" s="337"/>
      <c r="F755" s="338"/>
      <c r="G755" s="336"/>
      <c r="H755" s="337"/>
      <c r="I755" s="338"/>
      <c r="J755" s="97"/>
      <c r="K755" s="339"/>
      <c r="L755" s="339"/>
      <c r="M755" s="339"/>
      <c r="N755" s="339"/>
      <c r="O755" s="339"/>
      <c r="P755" s="339"/>
      <c r="Q755" s="340"/>
      <c r="R755" s="97"/>
      <c r="S755" s="97"/>
      <c r="T755" s="298"/>
      <c r="U755" s="97"/>
      <c r="V755" s="97"/>
      <c r="W755" s="97"/>
      <c r="X755" s="97"/>
      <c r="Y755" s="97"/>
      <c r="Z755" s="97"/>
      <c r="AA755" s="97"/>
    </row>
    <row r="756" ht="15.75" customHeight="1">
      <c r="A756" s="97"/>
      <c r="B756" s="336"/>
      <c r="C756" s="337"/>
      <c r="D756" s="97"/>
      <c r="E756" s="337"/>
      <c r="F756" s="338"/>
      <c r="G756" s="336"/>
      <c r="H756" s="337"/>
      <c r="I756" s="338"/>
      <c r="J756" s="97"/>
      <c r="K756" s="339"/>
      <c r="L756" s="339"/>
      <c r="M756" s="339"/>
      <c r="N756" s="339"/>
      <c r="O756" s="339"/>
      <c r="P756" s="339"/>
      <c r="Q756" s="340"/>
      <c r="R756" s="97"/>
      <c r="S756" s="97"/>
      <c r="T756" s="298"/>
      <c r="U756" s="97"/>
      <c r="V756" s="97"/>
      <c r="W756" s="97"/>
      <c r="X756" s="97"/>
      <c r="Y756" s="97"/>
      <c r="Z756" s="97"/>
      <c r="AA756" s="97"/>
    </row>
    <row r="757" ht="15.75" customHeight="1">
      <c r="A757" s="97"/>
      <c r="B757" s="336"/>
      <c r="C757" s="337"/>
      <c r="D757" s="97"/>
      <c r="E757" s="337"/>
      <c r="F757" s="338"/>
      <c r="G757" s="336"/>
      <c r="H757" s="337"/>
      <c r="I757" s="338"/>
      <c r="J757" s="97"/>
      <c r="K757" s="339"/>
      <c r="L757" s="339"/>
      <c r="M757" s="339"/>
      <c r="N757" s="339"/>
      <c r="O757" s="339"/>
      <c r="P757" s="339"/>
      <c r="Q757" s="340"/>
      <c r="R757" s="97"/>
      <c r="S757" s="97"/>
      <c r="T757" s="298"/>
      <c r="U757" s="97"/>
      <c r="V757" s="97"/>
      <c r="W757" s="97"/>
      <c r="X757" s="97"/>
      <c r="Y757" s="97"/>
      <c r="Z757" s="97"/>
      <c r="AA757" s="97"/>
    </row>
    <row r="758" ht="15.75" customHeight="1">
      <c r="A758" s="97"/>
      <c r="B758" s="336"/>
      <c r="C758" s="337"/>
      <c r="D758" s="97"/>
      <c r="E758" s="337"/>
      <c r="F758" s="338"/>
      <c r="G758" s="336"/>
      <c r="H758" s="337"/>
      <c r="I758" s="338"/>
      <c r="J758" s="97"/>
      <c r="K758" s="339"/>
      <c r="L758" s="339"/>
      <c r="M758" s="339"/>
      <c r="N758" s="339"/>
      <c r="O758" s="339"/>
      <c r="P758" s="339"/>
      <c r="Q758" s="340"/>
      <c r="R758" s="97"/>
      <c r="S758" s="97"/>
      <c r="T758" s="298"/>
      <c r="U758" s="97"/>
      <c r="V758" s="97"/>
      <c r="W758" s="97"/>
      <c r="X758" s="97"/>
      <c r="Y758" s="97"/>
      <c r="Z758" s="97"/>
      <c r="AA758" s="97"/>
    </row>
    <row r="759" ht="15.75" customHeight="1">
      <c r="A759" s="97"/>
      <c r="B759" s="336"/>
      <c r="C759" s="337"/>
      <c r="D759" s="97"/>
      <c r="E759" s="337"/>
      <c r="F759" s="338"/>
      <c r="G759" s="336"/>
      <c r="H759" s="337"/>
      <c r="I759" s="338"/>
      <c r="J759" s="97"/>
      <c r="K759" s="339"/>
      <c r="L759" s="339"/>
      <c r="M759" s="339"/>
      <c r="N759" s="339"/>
      <c r="O759" s="339"/>
      <c r="P759" s="339"/>
      <c r="Q759" s="340"/>
      <c r="R759" s="97"/>
      <c r="S759" s="97"/>
      <c r="T759" s="298"/>
      <c r="U759" s="97"/>
      <c r="V759" s="97"/>
      <c r="W759" s="97"/>
      <c r="X759" s="97"/>
      <c r="Y759" s="97"/>
      <c r="Z759" s="97"/>
      <c r="AA759" s="97"/>
    </row>
    <row r="760" ht="15.75" customHeight="1">
      <c r="A760" s="97"/>
      <c r="B760" s="336"/>
      <c r="C760" s="337"/>
      <c r="D760" s="97"/>
      <c r="E760" s="337"/>
      <c r="F760" s="338"/>
      <c r="G760" s="336"/>
      <c r="H760" s="337"/>
      <c r="I760" s="338"/>
      <c r="J760" s="97"/>
      <c r="K760" s="339"/>
      <c r="L760" s="339"/>
      <c r="M760" s="339"/>
      <c r="N760" s="339"/>
      <c r="O760" s="339"/>
      <c r="P760" s="339"/>
      <c r="Q760" s="340"/>
      <c r="R760" s="97"/>
      <c r="S760" s="97"/>
      <c r="T760" s="298"/>
      <c r="U760" s="97"/>
      <c r="V760" s="97"/>
      <c r="W760" s="97"/>
      <c r="X760" s="97"/>
      <c r="Y760" s="97"/>
      <c r="Z760" s="97"/>
      <c r="AA760" s="97"/>
    </row>
    <row r="761" ht="15.75" customHeight="1">
      <c r="A761" s="97"/>
      <c r="B761" s="336"/>
      <c r="C761" s="337"/>
      <c r="D761" s="97"/>
      <c r="E761" s="337"/>
      <c r="F761" s="338"/>
      <c r="G761" s="336"/>
      <c r="H761" s="337"/>
      <c r="I761" s="338"/>
      <c r="J761" s="97"/>
      <c r="K761" s="339"/>
      <c r="L761" s="339"/>
      <c r="M761" s="339"/>
      <c r="N761" s="339"/>
      <c r="O761" s="339"/>
      <c r="P761" s="339"/>
      <c r="Q761" s="340"/>
      <c r="R761" s="97"/>
      <c r="S761" s="97"/>
      <c r="T761" s="298"/>
      <c r="U761" s="97"/>
      <c r="V761" s="97"/>
      <c r="W761" s="97"/>
      <c r="X761" s="97"/>
      <c r="Y761" s="97"/>
      <c r="Z761" s="97"/>
      <c r="AA761" s="97"/>
    </row>
    <row r="762" ht="15.75" customHeight="1">
      <c r="A762" s="97"/>
      <c r="B762" s="336"/>
      <c r="C762" s="337"/>
      <c r="D762" s="97"/>
      <c r="E762" s="337"/>
      <c r="F762" s="338"/>
      <c r="G762" s="336"/>
      <c r="H762" s="337"/>
      <c r="I762" s="338"/>
      <c r="J762" s="97"/>
      <c r="K762" s="339"/>
      <c r="L762" s="339"/>
      <c r="M762" s="339"/>
      <c r="N762" s="339"/>
      <c r="O762" s="339"/>
      <c r="P762" s="339"/>
      <c r="Q762" s="340"/>
      <c r="R762" s="97"/>
      <c r="S762" s="97"/>
      <c r="T762" s="298"/>
      <c r="U762" s="97"/>
      <c r="V762" s="97"/>
      <c r="W762" s="97"/>
      <c r="X762" s="97"/>
      <c r="Y762" s="97"/>
      <c r="Z762" s="97"/>
      <c r="AA762" s="97"/>
    </row>
    <row r="763" ht="15.75" customHeight="1">
      <c r="A763" s="97"/>
      <c r="B763" s="336"/>
      <c r="C763" s="337"/>
      <c r="D763" s="97"/>
      <c r="E763" s="337"/>
      <c r="F763" s="338"/>
      <c r="G763" s="336"/>
      <c r="H763" s="337"/>
      <c r="I763" s="338"/>
      <c r="J763" s="97"/>
      <c r="K763" s="339"/>
      <c r="L763" s="339"/>
      <c r="M763" s="339"/>
      <c r="N763" s="339"/>
      <c r="O763" s="339"/>
      <c r="P763" s="339"/>
      <c r="Q763" s="340"/>
      <c r="R763" s="97"/>
      <c r="S763" s="97"/>
      <c r="T763" s="298"/>
      <c r="U763" s="97"/>
      <c r="V763" s="97"/>
      <c r="W763" s="97"/>
      <c r="X763" s="97"/>
      <c r="Y763" s="97"/>
      <c r="Z763" s="97"/>
      <c r="AA763" s="97"/>
    </row>
    <row r="764" ht="15.75" customHeight="1">
      <c r="A764" s="97"/>
      <c r="B764" s="336"/>
      <c r="C764" s="337"/>
      <c r="D764" s="97"/>
      <c r="E764" s="337"/>
      <c r="F764" s="338"/>
      <c r="G764" s="336"/>
      <c r="H764" s="337"/>
      <c r="I764" s="338"/>
      <c r="J764" s="97"/>
      <c r="K764" s="339"/>
      <c r="L764" s="339"/>
      <c r="M764" s="339"/>
      <c r="N764" s="339"/>
      <c r="O764" s="339"/>
      <c r="P764" s="339"/>
      <c r="Q764" s="340"/>
      <c r="R764" s="97"/>
      <c r="S764" s="97"/>
      <c r="T764" s="298"/>
      <c r="U764" s="97"/>
      <c r="V764" s="97"/>
      <c r="W764" s="97"/>
      <c r="X764" s="97"/>
      <c r="Y764" s="97"/>
      <c r="Z764" s="97"/>
      <c r="AA764" s="97"/>
    </row>
    <row r="765" ht="15.75" customHeight="1">
      <c r="A765" s="97"/>
      <c r="B765" s="336"/>
      <c r="C765" s="337"/>
      <c r="D765" s="97"/>
      <c r="E765" s="337"/>
      <c r="F765" s="338"/>
      <c r="G765" s="336"/>
      <c r="H765" s="337"/>
      <c r="I765" s="338"/>
      <c r="J765" s="97"/>
      <c r="K765" s="339"/>
      <c r="L765" s="339"/>
      <c r="M765" s="339"/>
      <c r="N765" s="339"/>
      <c r="O765" s="339"/>
      <c r="P765" s="339"/>
      <c r="Q765" s="340"/>
      <c r="R765" s="97"/>
      <c r="S765" s="97"/>
      <c r="T765" s="298"/>
      <c r="U765" s="97"/>
      <c r="V765" s="97"/>
      <c r="W765" s="97"/>
      <c r="X765" s="97"/>
      <c r="Y765" s="97"/>
      <c r="Z765" s="97"/>
      <c r="AA765" s="97"/>
    </row>
    <row r="766" ht="15.75" customHeight="1">
      <c r="A766" s="97"/>
      <c r="B766" s="336"/>
      <c r="C766" s="337"/>
      <c r="D766" s="97"/>
      <c r="E766" s="337"/>
      <c r="F766" s="338"/>
      <c r="G766" s="336"/>
      <c r="H766" s="337"/>
      <c r="I766" s="338"/>
      <c r="J766" s="97"/>
      <c r="K766" s="339"/>
      <c r="L766" s="339"/>
      <c r="M766" s="339"/>
      <c r="N766" s="339"/>
      <c r="O766" s="339"/>
      <c r="P766" s="339"/>
      <c r="Q766" s="340"/>
      <c r="R766" s="97"/>
      <c r="S766" s="97"/>
      <c r="T766" s="298"/>
      <c r="U766" s="97"/>
      <c r="V766" s="97"/>
      <c r="W766" s="97"/>
      <c r="X766" s="97"/>
      <c r="Y766" s="97"/>
      <c r="Z766" s="97"/>
      <c r="AA766" s="97"/>
    </row>
    <row r="767" ht="15.75" customHeight="1">
      <c r="A767" s="97"/>
      <c r="B767" s="336"/>
      <c r="C767" s="337"/>
      <c r="D767" s="97"/>
      <c r="E767" s="337"/>
      <c r="F767" s="338"/>
      <c r="G767" s="336"/>
      <c r="H767" s="337"/>
      <c r="I767" s="338"/>
      <c r="J767" s="97"/>
      <c r="K767" s="339"/>
      <c r="L767" s="339"/>
      <c r="M767" s="339"/>
      <c r="N767" s="339"/>
      <c r="O767" s="339"/>
      <c r="P767" s="339"/>
      <c r="Q767" s="340"/>
      <c r="R767" s="97"/>
      <c r="S767" s="97"/>
      <c r="T767" s="298"/>
      <c r="U767" s="97"/>
      <c r="V767" s="97"/>
      <c r="W767" s="97"/>
      <c r="X767" s="97"/>
      <c r="Y767" s="97"/>
      <c r="Z767" s="97"/>
      <c r="AA767" s="97"/>
    </row>
    <row r="768" ht="15.75" customHeight="1">
      <c r="A768" s="97"/>
      <c r="B768" s="336"/>
      <c r="C768" s="337"/>
      <c r="D768" s="97"/>
      <c r="E768" s="337"/>
      <c r="F768" s="338"/>
      <c r="G768" s="336"/>
      <c r="H768" s="337"/>
      <c r="I768" s="338"/>
      <c r="J768" s="97"/>
      <c r="K768" s="339"/>
      <c r="L768" s="339"/>
      <c r="M768" s="339"/>
      <c r="N768" s="339"/>
      <c r="O768" s="339"/>
      <c r="P768" s="339"/>
      <c r="Q768" s="340"/>
      <c r="R768" s="97"/>
      <c r="S768" s="97"/>
      <c r="T768" s="298"/>
      <c r="U768" s="97"/>
      <c r="V768" s="97"/>
      <c r="W768" s="97"/>
      <c r="X768" s="97"/>
      <c r="Y768" s="97"/>
      <c r="Z768" s="97"/>
      <c r="AA768" s="97"/>
    </row>
    <row r="769" ht="15.75" customHeight="1">
      <c r="A769" s="97"/>
      <c r="B769" s="336"/>
      <c r="C769" s="337"/>
      <c r="D769" s="97"/>
      <c r="E769" s="337"/>
      <c r="F769" s="338"/>
      <c r="G769" s="336"/>
      <c r="H769" s="337"/>
      <c r="I769" s="338"/>
      <c r="J769" s="97"/>
      <c r="K769" s="339"/>
      <c r="L769" s="339"/>
      <c r="M769" s="339"/>
      <c r="N769" s="339"/>
      <c r="O769" s="339"/>
      <c r="P769" s="339"/>
      <c r="Q769" s="340"/>
      <c r="R769" s="97"/>
      <c r="S769" s="97"/>
      <c r="T769" s="298"/>
      <c r="U769" s="97"/>
      <c r="V769" s="97"/>
      <c r="W769" s="97"/>
      <c r="X769" s="97"/>
      <c r="Y769" s="97"/>
      <c r="Z769" s="97"/>
      <c r="AA769" s="97"/>
    </row>
    <row r="770" ht="15.75" customHeight="1">
      <c r="A770" s="97"/>
      <c r="B770" s="336"/>
      <c r="C770" s="337"/>
      <c r="D770" s="97"/>
      <c r="E770" s="337"/>
      <c r="F770" s="338"/>
      <c r="G770" s="336"/>
      <c r="H770" s="337"/>
      <c r="I770" s="338"/>
      <c r="J770" s="97"/>
      <c r="K770" s="339"/>
      <c r="L770" s="339"/>
      <c r="M770" s="339"/>
      <c r="N770" s="339"/>
      <c r="O770" s="339"/>
      <c r="P770" s="339"/>
      <c r="Q770" s="340"/>
      <c r="R770" s="97"/>
      <c r="S770" s="97"/>
      <c r="T770" s="298"/>
      <c r="U770" s="97"/>
      <c r="V770" s="97"/>
      <c r="W770" s="97"/>
      <c r="X770" s="97"/>
      <c r="Y770" s="97"/>
      <c r="Z770" s="97"/>
      <c r="AA770" s="97"/>
    </row>
    <row r="771" ht="15.75" customHeight="1">
      <c r="A771" s="97"/>
      <c r="B771" s="336"/>
      <c r="C771" s="337"/>
      <c r="D771" s="97"/>
      <c r="E771" s="337"/>
      <c r="F771" s="338"/>
      <c r="G771" s="336"/>
      <c r="H771" s="337"/>
      <c r="I771" s="338"/>
      <c r="J771" s="97"/>
      <c r="K771" s="339"/>
      <c r="L771" s="339"/>
      <c r="M771" s="339"/>
      <c r="N771" s="339"/>
      <c r="O771" s="339"/>
      <c r="P771" s="339"/>
      <c r="Q771" s="340"/>
      <c r="R771" s="97"/>
      <c r="S771" s="97"/>
      <c r="T771" s="298"/>
      <c r="U771" s="97"/>
      <c r="V771" s="97"/>
      <c r="W771" s="97"/>
      <c r="X771" s="97"/>
      <c r="Y771" s="97"/>
      <c r="Z771" s="97"/>
      <c r="AA771" s="97"/>
    </row>
    <row r="772" ht="15.75" customHeight="1">
      <c r="A772" s="97"/>
      <c r="B772" s="336"/>
      <c r="C772" s="337"/>
      <c r="D772" s="97"/>
      <c r="E772" s="337"/>
      <c r="F772" s="338"/>
      <c r="G772" s="336"/>
      <c r="H772" s="337"/>
      <c r="I772" s="338"/>
      <c r="J772" s="97"/>
      <c r="K772" s="339"/>
      <c r="L772" s="339"/>
      <c r="M772" s="339"/>
      <c r="N772" s="339"/>
      <c r="O772" s="339"/>
      <c r="P772" s="339"/>
      <c r="Q772" s="340"/>
      <c r="R772" s="97"/>
      <c r="S772" s="97"/>
      <c r="T772" s="298"/>
      <c r="U772" s="97"/>
      <c r="V772" s="97"/>
      <c r="W772" s="97"/>
      <c r="X772" s="97"/>
      <c r="Y772" s="97"/>
      <c r="Z772" s="97"/>
      <c r="AA772" s="97"/>
    </row>
    <row r="773" ht="15.75" customHeight="1">
      <c r="A773" s="97"/>
      <c r="B773" s="336"/>
      <c r="C773" s="337"/>
      <c r="D773" s="97"/>
      <c r="E773" s="337"/>
      <c r="F773" s="338"/>
      <c r="G773" s="336"/>
      <c r="H773" s="337"/>
      <c r="I773" s="338"/>
      <c r="J773" s="97"/>
      <c r="K773" s="339"/>
      <c r="L773" s="339"/>
      <c r="M773" s="339"/>
      <c r="N773" s="339"/>
      <c r="O773" s="339"/>
      <c r="P773" s="339"/>
      <c r="Q773" s="340"/>
      <c r="R773" s="97"/>
      <c r="S773" s="97"/>
      <c r="T773" s="298"/>
      <c r="U773" s="97"/>
      <c r="V773" s="97"/>
      <c r="W773" s="97"/>
      <c r="X773" s="97"/>
      <c r="Y773" s="97"/>
      <c r="Z773" s="97"/>
      <c r="AA773" s="97"/>
    </row>
    <row r="774" ht="15.75" customHeight="1">
      <c r="A774" s="97"/>
      <c r="B774" s="336"/>
      <c r="C774" s="337"/>
      <c r="D774" s="97"/>
      <c r="E774" s="337"/>
      <c r="F774" s="338"/>
      <c r="G774" s="336"/>
      <c r="H774" s="337"/>
      <c r="I774" s="338"/>
      <c r="J774" s="97"/>
      <c r="K774" s="339"/>
      <c r="L774" s="339"/>
      <c r="M774" s="339"/>
      <c r="N774" s="339"/>
      <c r="O774" s="339"/>
      <c r="P774" s="339"/>
      <c r="Q774" s="340"/>
      <c r="R774" s="97"/>
      <c r="S774" s="97"/>
      <c r="T774" s="298"/>
      <c r="U774" s="97"/>
      <c r="V774" s="97"/>
      <c r="W774" s="97"/>
      <c r="X774" s="97"/>
      <c r="Y774" s="97"/>
      <c r="Z774" s="97"/>
      <c r="AA774" s="97"/>
    </row>
    <row r="775" ht="15.75" customHeight="1">
      <c r="A775" s="97"/>
      <c r="B775" s="336"/>
      <c r="C775" s="337"/>
      <c r="D775" s="97"/>
      <c r="E775" s="337"/>
      <c r="F775" s="338"/>
      <c r="G775" s="336"/>
      <c r="H775" s="337"/>
      <c r="I775" s="338"/>
      <c r="J775" s="97"/>
      <c r="K775" s="339"/>
      <c r="L775" s="339"/>
      <c r="M775" s="339"/>
      <c r="N775" s="339"/>
      <c r="O775" s="339"/>
      <c r="P775" s="339"/>
      <c r="Q775" s="340"/>
      <c r="R775" s="97"/>
      <c r="S775" s="97"/>
      <c r="T775" s="298"/>
      <c r="U775" s="97"/>
      <c r="V775" s="97"/>
      <c r="W775" s="97"/>
      <c r="X775" s="97"/>
      <c r="Y775" s="97"/>
      <c r="Z775" s="97"/>
      <c r="AA775" s="97"/>
    </row>
    <row r="776" ht="15.75" customHeight="1">
      <c r="A776" s="97"/>
      <c r="B776" s="336"/>
      <c r="C776" s="337"/>
      <c r="D776" s="97"/>
      <c r="E776" s="337"/>
      <c r="F776" s="338"/>
      <c r="G776" s="336"/>
      <c r="H776" s="337"/>
      <c r="I776" s="338"/>
      <c r="J776" s="97"/>
      <c r="K776" s="339"/>
      <c r="L776" s="339"/>
      <c r="M776" s="339"/>
      <c r="N776" s="339"/>
      <c r="O776" s="339"/>
      <c r="P776" s="339"/>
      <c r="Q776" s="340"/>
      <c r="R776" s="97"/>
      <c r="S776" s="97"/>
      <c r="T776" s="298"/>
      <c r="U776" s="97"/>
      <c r="V776" s="97"/>
      <c r="W776" s="97"/>
      <c r="X776" s="97"/>
      <c r="Y776" s="97"/>
      <c r="Z776" s="97"/>
      <c r="AA776" s="97"/>
    </row>
    <row r="777" ht="15.75" customHeight="1">
      <c r="A777" s="97"/>
      <c r="B777" s="336"/>
      <c r="C777" s="337"/>
      <c r="D777" s="97"/>
      <c r="E777" s="337"/>
      <c r="F777" s="338"/>
      <c r="G777" s="336"/>
      <c r="H777" s="337"/>
      <c r="I777" s="338"/>
      <c r="J777" s="97"/>
      <c r="K777" s="339"/>
      <c r="L777" s="339"/>
      <c r="M777" s="339"/>
      <c r="N777" s="339"/>
      <c r="O777" s="339"/>
      <c r="P777" s="339"/>
      <c r="Q777" s="340"/>
      <c r="R777" s="97"/>
      <c r="S777" s="97"/>
      <c r="T777" s="298"/>
      <c r="U777" s="97"/>
      <c r="V777" s="97"/>
      <c r="W777" s="97"/>
      <c r="X777" s="97"/>
      <c r="Y777" s="97"/>
      <c r="Z777" s="97"/>
      <c r="AA777" s="97"/>
    </row>
    <row r="778" ht="15.75" customHeight="1">
      <c r="A778" s="97"/>
      <c r="B778" s="336"/>
      <c r="C778" s="337"/>
      <c r="D778" s="97"/>
      <c r="E778" s="337"/>
      <c r="F778" s="338"/>
      <c r="G778" s="336"/>
      <c r="H778" s="337"/>
      <c r="I778" s="338"/>
      <c r="J778" s="97"/>
      <c r="K778" s="339"/>
      <c r="L778" s="339"/>
      <c r="M778" s="339"/>
      <c r="N778" s="339"/>
      <c r="O778" s="339"/>
      <c r="P778" s="339"/>
      <c r="Q778" s="340"/>
      <c r="R778" s="97"/>
      <c r="S778" s="97"/>
      <c r="T778" s="298"/>
      <c r="U778" s="97"/>
      <c r="V778" s="97"/>
      <c r="W778" s="97"/>
      <c r="X778" s="97"/>
      <c r="Y778" s="97"/>
      <c r="Z778" s="97"/>
      <c r="AA778" s="97"/>
    </row>
    <row r="779" ht="15.75" customHeight="1">
      <c r="A779" s="97"/>
      <c r="B779" s="336"/>
      <c r="C779" s="337"/>
      <c r="D779" s="97"/>
      <c r="E779" s="337"/>
      <c r="F779" s="338"/>
      <c r="G779" s="336"/>
      <c r="H779" s="337"/>
      <c r="I779" s="338"/>
      <c r="J779" s="97"/>
      <c r="K779" s="339"/>
      <c r="L779" s="339"/>
      <c r="M779" s="339"/>
      <c r="N779" s="339"/>
      <c r="O779" s="339"/>
      <c r="P779" s="339"/>
      <c r="Q779" s="340"/>
      <c r="R779" s="97"/>
      <c r="S779" s="97"/>
      <c r="T779" s="298"/>
      <c r="U779" s="97"/>
      <c r="V779" s="97"/>
      <c r="W779" s="97"/>
      <c r="X779" s="97"/>
      <c r="Y779" s="97"/>
      <c r="Z779" s="97"/>
      <c r="AA779" s="97"/>
    </row>
    <row r="780" ht="15.75" customHeight="1">
      <c r="A780" s="97"/>
      <c r="B780" s="336"/>
      <c r="C780" s="337"/>
      <c r="D780" s="97"/>
      <c r="E780" s="337"/>
      <c r="F780" s="338"/>
      <c r="G780" s="336"/>
      <c r="H780" s="337"/>
      <c r="I780" s="338"/>
      <c r="J780" s="97"/>
      <c r="K780" s="339"/>
      <c r="L780" s="339"/>
      <c r="M780" s="339"/>
      <c r="N780" s="339"/>
      <c r="O780" s="339"/>
      <c r="P780" s="339"/>
      <c r="Q780" s="340"/>
      <c r="R780" s="97"/>
      <c r="S780" s="97"/>
      <c r="T780" s="298"/>
      <c r="U780" s="97"/>
      <c r="V780" s="97"/>
      <c r="W780" s="97"/>
      <c r="X780" s="97"/>
      <c r="Y780" s="97"/>
      <c r="Z780" s="97"/>
      <c r="AA780" s="97"/>
    </row>
    <row r="781" ht="15.75" customHeight="1">
      <c r="A781" s="97"/>
      <c r="B781" s="336"/>
      <c r="C781" s="337"/>
      <c r="D781" s="97"/>
      <c r="E781" s="337"/>
      <c r="F781" s="338"/>
      <c r="G781" s="336"/>
      <c r="H781" s="337"/>
      <c r="I781" s="338"/>
      <c r="J781" s="97"/>
      <c r="K781" s="339"/>
      <c r="L781" s="339"/>
      <c r="M781" s="339"/>
      <c r="N781" s="339"/>
      <c r="O781" s="339"/>
      <c r="P781" s="339"/>
      <c r="Q781" s="340"/>
      <c r="R781" s="97"/>
      <c r="S781" s="97"/>
      <c r="T781" s="298"/>
      <c r="U781" s="97"/>
      <c r="V781" s="97"/>
      <c r="W781" s="97"/>
      <c r="X781" s="97"/>
      <c r="Y781" s="97"/>
      <c r="Z781" s="97"/>
      <c r="AA781" s="97"/>
    </row>
    <row r="782" ht="15.75" customHeight="1">
      <c r="A782" s="97"/>
      <c r="B782" s="336"/>
      <c r="C782" s="337"/>
      <c r="D782" s="97"/>
      <c r="E782" s="337"/>
      <c r="F782" s="338"/>
      <c r="G782" s="336"/>
      <c r="H782" s="337"/>
      <c r="I782" s="338"/>
      <c r="J782" s="97"/>
      <c r="K782" s="339"/>
      <c r="L782" s="339"/>
      <c r="M782" s="339"/>
      <c r="N782" s="339"/>
      <c r="O782" s="339"/>
      <c r="P782" s="339"/>
      <c r="Q782" s="340"/>
      <c r="R782" s="97"/>
      <c r="S782" s="97"/>
      <c r="T782" s="298"/>
      <c r="U782" s="97"/>
      <c r="V782" s="97"/>
      <c r="W782" s="97"/>
      <c r="X782" s="97"/>
      <c r="Y782" s="97"/>
      <c r="Z782" s="97"/>
      <c r="AA782" s="97"/>
    </row>
    <row r="783" ht="15.75" customHeight="1">
      <c r="A783" s="97"/>
      <c r="B783" s="336"/>
      <c r="C783" s="337"/>
      <c r="D783" s="97"/>
      <c r="E783" s="337"/>
      <c r="F783" s="338"/>
      <c r="G783" s="336"/>
      <c r="H783" s="337"/>
      <c r="I783" s="338"/>
      <c r="J783" s="97"/>
      <c r="K783" s="339"/>
      <c r="L783" s="339"/>
      <c r="M783" s="339"/>
      <c r="N783" s="339"/>
      <c r="O783" s="339"/>
      <c r="P783" s="339"/>
      <c r="Q783" s="340"/>
      <c r="R783" s="97"/>
      <c r="S783" s="97"/>
      <c r="T783" s="298"/>
      <c r="U783" s="97"/>
      <c r="V783" s="97"/>
      <c r="W783" s="97"/>
      <c r="X783" s="97"/>
      <c r="Y783" s="97"/>
      <c r="Z783" s="97"/>
      <c r="AA783" s="97"/>
    </row>
    <row r="784" ht="15.75" customHeight="1">
      <c r="A784" s="97"/>
      <c r="B784" s="336"/>
      <c r="C784" s="337"/>
      <c r="D784" s="97"/>
      <c r="E784" s="337"/>
      <c r="F784" s="338"/>
      <c r="G784" s="336"/>
      <c r="H784" s="337"/>
      <c r="I784" s="338"/>
      <c r="J784" s="97"/>
      <c r="K784" s="339"/>
      <c r="L784" s="339"/>
      <c r="M784" s="339"/>
      <c r="N784" s="339"/>
      <c r="O784" s="339"/>
      <c r="P784" s="339"/>
      <c r="Q784" s="340"/>
      <c r="R784" s="97"/>
      <c r="S784" s="97"/>
      <c r="T784" s="298"/>
      <c r="U784" s="97"/>
      <c r="V784" s="97"/>
      <c r="W784" s="97"/>
      <c r="X784" s="97"/>
      <c r="Y784" s="97"/>
      <c r="Z784" s="97"/>
      <c r="AA784" s="97"/>
    </row>
    <row r="785" ht="15.75" customHeight="1">
      <c r="A785" s="97"/>
      <c r="B785" s="336"/>
      <c r="C785" s="337"/>
      <c r="D785" s="97"/>
      <c r="E785" s="337"/>
      <c r="F785" s="338"/>
      <c r="G785" s="336"/>
      <c r="H785" s="337"/>
      <c r="I785" s="338"/>
      <c r="J785" s="97"/>
      <c r="K785" s="339"/>
      <c r="L785" s="339"/>
      <c r="M785" s="339"/>
      <c r="N785" s="339"/>
      <c r="O785" s="339"/>
      <c r="P785" s="339"/>
      <c r="Q785" s="340"/>
      <c r="R785" s="97"/>
      <c r="S785" s="97"/>
      <c r="T785" s="298"/>
      <c r="U785" s="97"/>
      <c r="V785" s="97"/>
      <c r="W785" s="97"/>
      <c r="X785" s="97"/>
      <c r="Y785" s="97"/>
      <c r="Z785" s="97"/>
      <c r="AA785" s="97"/>
    </row>
    <row r="786" ht="15.75" customHeight="1">
      <c r="A786" s="97"/>
      <c r="B786" s="336"/>
      <c r="C786" s="337"/>
      <c r="D786" s="97"/>
      <c r="E786" s="337"/>
      <c r="F786" s="338"/>
      <c r="G786" s="336"/>
      <c r="H786" s="337"/>
      <c r="I786" s="338"/>
      <c r="J786" s="97"/>
      <c r="K786" s="339"/>
      <c r="L786" s="339"/>
      <c r="M786" s="339"/>
      <c r="N786" s="339"/>
      <c r="O786" s="339"/>
      <c r="P786" s="339"/>
      <c r="Q786" s="340"/>
      <c r="R786" s="97"/>
      <c r="S786" s="97"/>
      <c r="T786" s="298"/>
      <c r="U786" s="97"/>
      <c r="V786" s="97"/>
      <c r="W786" s="97"/>
      <c r="X786" s="97"/>
      <c r="Y786" s="97"/>
      <c r="Z786" s="97"/>
      <c r="AA786" s="97"/>
    </row>
    <row r="787" ht="15.75" customHeight="1">
      <c r="A787" s="97"/>
      <c r="B787" s="336"/>
      <c r="C787" s="337"/>
      <c r="D787" s="97"/>
      <c r="E787" s="337"/>
      <c r="F787" s="338"/>
      <c r="G787" s="336"/>
      <c r="H787" s="337"/>
      <c r="I787" s="338"/>
      <c r="J787" s="97"/>
      <c r="K787" s="339"/>
      <c r="L787" s="339"/>
      <c r="M787" s="339"/>
      <c r="N787" s="339"/>
      <c r="O787" s="339"/>
      <c r="P787" s="339"/>
      <c r="Q787" s="340"/>
      <c r="R787" s="97"/>
      <c r="S787" s="97"/>
      <c r="T787" s="298"/>
      <c r="U787" s="97"/>
      <c r="V787" s="97"/>
      <c r="W787" s="97"/>
      <c r="X787" s="97"/>
      <c r="Y787" s="97"/>
      <c r="Z787" s="97"/>
      <c r="AA787" s="97"/>
    </row>
    <row r="788" ht="15.75" customHeight="1">
      <c r="A788" s="97"/>
      <c r="B788" s="336"/>
      <c r="C788" s="337"/>
      <c r="D788" s="97"/>
      <c r="E788" s="337"/>
      <c r="F788" s="338"/>
      <c r="G788" s="336"/>
      <c r="H788" s="337"/>
      <c r="I788" s="338"/>
      <c r="J788" s="97"/>
      <c r="K788" s="339"/>
      <c r="L788" s="339"/>
      <c r="M788" s="339"/>
      <c r="N788" s="339"/>
      <c r="O788" s="339"/>
      <c r="P788" s="339"/>
      <c r="Q788" s="340"/>
      <c r="R788" s="97"/>
      <c r="S788" s="97"/>
      <c r="T788" s="298"/>
      <c r="U788" s="97"/>
      <c r="V788" s="97"/>
      <c r="W788" s="97"/>
      <c r="X788" s="97"/>
      <c r="Y788" s="97"/>
      <c r="Z788" s="97"/>
      <c r="AA788" s="97"/>
    </row>
    <row r="789" ht="15.75" customHeight="1">
      <c r="A789" s="97"/>
      <c r="B789" s="336"/>
      <c r="C789" s="337"/>
      <c r="D789" s="97"/>
      <c r="E789" s="337"/>
      <c r="F789" s="338"/>
      <c r="G789" s="336"/>
      <c r="H789" s="337"/>
      <c r="I789" s="338"/>
      <c r="J789" s="97"/>
      <c r="K789" s="339"/>
      <c r="L789" s="339"/>
      <c r="M789" s="339"/>
      <c r="N789" s="339"/>
      <c r="O789" s="339"/>
      <c r="P789" s="339"/>
      <c r="Q789" s="340"/>
      <c r="R789" s="97"/>
      <c r="S789" s="97"/>
      <c r="T789" s="298"/>
      <c r="U789" s="97"/>
      <c r="V789" s="97"/>
      <c r="W789" s="97"/>
      <c r="X789" s="97"/>
      <c r="Y789" s="97"/>
      <c r="Z789" s="97"/>
      <c r="AA789" s="97"/>
    </row>
    <row r="790" ht="15.75" customHeight="1">
      <c r="A790" s="97"/>
      <c r="B790" s="336"/>
      <c r="C790" s="337"/>
      <c r="D790" s="97"/>
      <c r="E790" s="337"/>
      <c r="F790" s="338"/>
      <c r="G790" s="336"/>
      <c r="H790" s="337"/>
      <c r="I790" s="338"/>
      <c r="J790" s="97"/>
      <c r="K790" s="339"/>
      <c r="L790" s="339"/>
      <c r="M790" s="339"/>
      <c r="N790" s="339"/>
      <c r="O790" s="339"/>
      <c r="P790" s="339"/>
      <c r="Q790" s="340"/>
      <c r="R790" s="97"/>
      <c r="S790" s="97"/>
      <c r="T790" s="298"/>
      <c r="U790" s="97"/>
      <c r="V790" s="97"/>
      <c r="W790" s="97"/>
      <c r="X790" s="97"/>
      <c r="Y790" s="97"/>
      <c r="Z790" s="97"/>
      <c r="AA790" s="97"/>
    </row>
    <row r="791" ht="15.75" customHeight="1">
      <c r="A791" s="97"/>
      <c r="B791" s="336"/>
      <c r="C791" s="337"/>
      <c r="D791" s="97"/>
      <c r="E791" s="337"/>
      <c r="F791" s="338"/>
      <c r="G791" s="336"/>
      <c r="H791" s="337"/>
      <c r="I791" s="338"/>
      <c r="J791" s="97"/>
      <c r="K791" s="339"/>
      <c r="L791" s="339"/>
      <c r="M791" s="339"/>
      <c r="N791" s="339"/>
      <c r="O791" s="339"/>
      <c r="P791" s="339"/>
      <c r="Q791" s="340"/>
      <c r="R791" s="97"/>
      <c r="S791" s="97"/>
      <c r="T791" s="298"/>
      <c r="U791" s="97"/>
      <c r="V791" s="97"/>
      <c r="W791" s="97"/>
      <c r="X791" s="97"/>
      <c r="Y791" s="97"/>
      <c r="Z791" s="97"/>
      <c r="AA791" s="97"/>
    </row>
    <row r="792" ht="15.75" customHeight="1">
      <c r="A792" s="97"/>
      <c r="B792" s="336"/>
      <c r="C792" s="337"/>
      <c r="D792" s="97"/>
      <c r="E792" s="337"/>
      <c r="F792" s="338"/>
      <c r="G792" s="336"/>
      <c r="H792" s="337"/>
      <c r="I792" s="338"/>
      <c r="J792" s="97"/>
      <c r="K792" s="339"/>
      <c r="L792" s="339"/>
      <c r="M792" s="339"/>
      <c r="N792" s="339"/>
      <c r="O792" s="339"/>
      <c r="P792" s="339"/>
      <c r="Q792" s="340"/>
      <c r="R792" s="97"/>
      <c r="S792" s="97"/>
      <c r="T792" s="298"/>
      <c r="U792" s="97"/>
      <c r="V792" s="97"/>
      <c r="W792" s="97"/>
      <c r="X792" s="97"/>
      <c r="Y792" s="97"/>
      <c r="Z792" s="97"/>
      <c r="AA792" s="97"/>
    </row>
    <row r="793" ht="15.75" customHeight="1">
      <c r="A793" s="97"/>
      <c r="B793" s="336"/>
      <c r="C793" s="337"/>
      <c r="D793" s="97"/>
      <c r="E793" s="337"/>
      <c r="F793" s="338"/>
      <c r="G793" s="336"/>
      <c r="H793" s="337"/>
      <c r="I793" s="338"/>
      <c r="J793" s="97"/>
      <c r="K793" s="339"/>
      <c r="L793" s="339"/>
      <c r="M793" s="339"/>
      <c r="N793" s="339"/>
      <c r="O793" s="339"/>
      <c r="P793" s="339"/>
      <c r="Q793" s="340"/>
      <c r="R793" s="97"/>
      <c r="S793" s="97"/>
      <c r="T793" s="298"/>
      <c r="U793" s="97"/>
      <c r="V793" s="97"/>
      <c r="W793" s="97"/>
      <c r="X793" s="97"/>
      <c r="Y793" s="97"/>
      <c r="Z793" s="97"/>
      <c r="AA793" s="97"/>
    </row>
    <row r="794" ht="15.75" customHeight="1">
      <c r="A794" s="97"/>
      <c r="B794" s="336"/>
      <c r="C794" s="337"/>
      <c r="D794" s="97"/>
      <c r="E794" s="337"/>
      <c r="F794" s="338"/>
      <c r="G794" s="336"/>
      <c r="H794" s="337"/>
      <c r="I794" s="338"/>
      <c r="J794" s="97"/>
      <c r="K794" s="339"/>
      <c r="L794" s="339"/>
      <c r="M794" s="339"/>
      <c r="N794" s="339"/>
      <c r="O794" s="339"/>
      <c r="P794" s="339"/>
      <c r="Q794" s="340"/>
      <c r="R794" s="97"/>
      <c r="S794" s="97"/>
      <c r="T794" s="298"/>
      <c r="U794" s="97"/>
      <c r="V794" s="97"/>
      <c r="W794" s="97"/>
      <c r="X794" s="97"/>
      <c r="Y794" s="97"/>
      <c r="Z794" s="97"/>
      <c r="AA794" s="97"/>
    </row>
    <row r="795" ht="15.75" customHeight="1">
      <c r="A795" s="97"/>
      <c r="B795" s="336"/>
      <c r="C795" s="337"/>
      <c r="D795" s="97"/>
      <c r="E795" s="337"/>
      <c r="F795" s="338"/>
      <c r="G795" s="336"/>
      <c r="H795" s="337"/>
      <c r="I795" s="338"/>
      <c r="J795" s="97"/>
      <c r="K795" s="339"/>
      <c r="L795" s="339"/>
      <c r="M795" s="339"/>
      <c r="N795" s="339"/>
      <c r="O795" s="339"/>
      <c r="P795" s="339"/>
      <c r="Q795" s="340"/>
      <c r="R795" s="97"/>
      <c r="S795" s="97"/>
      <c r="T795" s="298"/>
      <c r="U795" s="97"/>
      <c r="V795" s="97"/>
      <c r="W795" s="97"/>
      <c r="X795" s="97"/>
      <c r="Y795" s="97"/>
      <c r="Z795" s="97"/>
      <c r="AA795" s="97"/>
    </row>
    <row r="796" ht="15.75" customHeight="1">
      <c r="A796" s="97"/>
      <c r="B796" s="336"/>
      <c r="C796" s="337"/>
      <c r="D796" s="97"/>
      <c r="E796" s="337"/>
      <c r="F796" s="338"/>
      <c r="G796" s="336"/>
      <c r="H796" s="337"/>
      <c r="I796" s="338"/>
      <c r="J796" s="97"/>
      <c r="K796" s="339"/>
      <c r="L796" s="339"/>
      <c r="M796" s="339"/>
      <c r="N796" s="339"/>
      <c r="O796" s="339"/>
      <c r="P796" s="339"/>
      <c r="Q796" s="340"/>
      <c r="R796" s="97"/>
      <c r="S796" s="97"/>
      <c r="T796" s="298"/>
      <c r="U796" s="97"/>
      <c r="V796" s="97"/>
      <c r="W796" s="97"/>
      <c r="X796" s="97"/>
      <c r="Y796" s="97"/>
      <c r="Z796" s="97"/>
      <c r="AA796" s="97"/>
    </row>
    <row r="797" ht="15.75" customHeight="1">
      <c r="A797" s="97"/>
      <c r="B797" s="336"/>
      <c r="C797" s="337"/>
      <c r="D797" s="97"/>
      <c r="E797" s="337"/>
      <c r="F797" s="338"/>
      <c r="G797" s="336"/>
      <c r="H797" s="337"/>
      <c r="I797" s="338"/>
      <c r="J797" s="97"/>
      <c r="K797" s="339"/>
      <c r="L797" s="339"/>
      <c r="M797" s="339"/>
      <c r="N797" s="339"/>
      <c r="O797" s="339"/>
      <c r="P797" s="339"/>
      <c r="Q797" s="340"/>
      <c r="R797" s="97"/>
      <c r="S797" s="97"/>
      <c r="T797" s="298"/>
      <c r="U797" s="97"/>
      <c r="V797" s="97"/>
      <c r="W797" s="97"/>
      <c r="X797" s="97"/>
      <c r="Y797" s="97"/>
      <c r="Z797" s="97"/>
      <c r="AA797" s="97"/>
    </row>
    <row r="798" ht="15.75" customHeight="1">
      <c r="A798" s="97"/>
      <c r="B798" s="336"/>
      <c r="C798" s="337"/>
      <c r="D798" s="97"/>
      <c r="E798" s="337"/>
      <c r="F798" s="338"/>
      <c r="G798" s="336"/>
      <c r="H798" s="337"/>
      <c r="I798" s="338"/>
      <c r="J798" s="97"/>
      <c r="K798" s="339"/>
      <c r="L798" s="339"/>
      <c r="M798" s="339"/>
      <c r="N798" s="339"/>
      <c r="O798" s="339"/>
      <c r="P798" s="339"/>
      <c r="Q798" s="340"/>
      <c r="R798" s="97"/>
      <c r="S798" s="97"/>
      <c r="T798" s="298"/>
      <c r="U798" s="97"/>
      <c r="V798" s="97"/>
      <c r="W798" s="97"/>
      <c r="X798" s="97"/>
      <c r="Y798" s="97"/>
      <c r="Z798" s="97"/>
      <c r="AA798" s="97"/>
    </row>
    <row r="799" ht="15.75" customHeight="1">
      <c r="A799" s="97"/>
      <c r="B799" s="336"/>
      <c r="C799" s="337"/>
      <c r="D799" s="97"/>
      <c r="E799" s="337"/>
      <c r="F799" s="338"/>
      <c r="G799" s="336"/>
      <c r="H799" s="337"/>
      <c r="I799" s="338"/>
      <c r="J799" s="97"/>
      <c r="K799" s="339"/>
      <c r="L799" s="339"/>
      <c r="M799" s="339"/>
      <c r="N799" s="339"/>
      <c r="O799" s="339"/>
      <c r="P799" s="339"/>
      <c r="Q799" s="340"/>
      <c r="R799" s="97"/>
      <c r="S799" s="97"/>
      <c r="T799" s="298"/>
      <c r="U799" s="97"/>
      <c r="V799" s="97"/>
      <c r="W799" s="97"/>
      <c r="X799" s="97"/>
      <c r="Y799" s="97"/>
      <c r="Z799" s="97"/>
      <c r="AA799" s="97"/>
    </row>
    <row r="800" ht="15.75" customHeight="1">
      <c r="A800" s="97"/>
      <c r="B800" s="336"/>
      <c r="C800" s="337"/>
      <c r="D800" s="97"/>
      <c r="E800" s="337"/>
      <c r="F800" s="338"/>
      <c r="G800" s="336"/>
      <c r="H800" s="337"/>
      <c r="I800" s="338"/>
      <c r="J800" s="97"/>
      <c r="K800" s="339"/>
      <c r="L800" s="339"/>
      <c r="M800" s="339"/>
      <c r="N800" s="339"/>
      <c r="O800" s="339"/>
      <c r="P800" s="339"/>
      <c r="Q800" s="340"/>
      <c r="R800" s="97"/>
      <c r="S800" s="97"/>
      <c r="T800" s="298"/>
      <c r="U800" s="97"/>
      <c r="V800" s="97"/>
      <c r="W800" s="97"/>
      <c r="X800" s="97"/>
      <c r="Y800" s="97"/>
      <c r="Z800" s="97"/>
      <c r="AA800" s="97"/>
    </row>
    <row r="801" ht="15.75" customHeight="1">
      <c r="A801" s="97"/>
      <c r="B801" s="336"/>
      <c r="C801" s="337"/>
      <c r="D801" s="97"/>
      <c r="E801" s="337"/>
      <c r="F801" s="338"/>
      <c r="G801" s="336"/>
      <c r="H801" s="337"/>
      <c r="I801" s="338"/>
      <c r="J801" s="97"/>
      <c r="K801" s="339"/>
      <c r="L801" s="339"/>
      <c r="M801" s="339"/>
      <c r="N801" s="339"/>
      <c r="O801" s="339"/>
      <c r="P801" s="339"/>
      <c r="Q801" s="340"/>
      <c r="R801" s="97"/>
      <c r="S801" s="97"/>
      <c r="T801" s="298"/>
      <c r="U801" s="97"/>
      <c r="V801" s="97"/>
      <c r="W801" s="97"/>
      <c r="X801" s="97"/>
      <c r="Y801" s="97"/>
      <c r="Z801" s="97"/>
      <c r="AA801" s="97"/>
    </row>
    <row r="802" ht="15.75" customHeight="1">
      <c r="A802" s="97"/>
      <c r="B802" s="336"/>
      <c r="C802" s="337"/>
      <c r="D802" s="97"/>
      <c r="E802" s="337"/>
      <c r="F802" s="338"/>
      <c r="G802" s="336"/>
      <c r="H802" s="337"/>
      <c r="I802" s="338"/>
      <c r="J802" s="97"/>
      <c r="K802" s="339"/>
      <c r="L802" s="339"/>
      <c r="M802" s="339"/>
      <c r="N802" s="339"/>
      <c r="O802" s="339"/>
      <c r="P802" s="339"/>
      <c r="Q802" s="340"/>
      <c r="R802" s="97"/>
      <c r="S802" s="97"/>
      <c r="T802" s="298"/>
      <c r="U802" s="97"/>
      <c r="V802" s="97"/>
      <c r="W802" s="97"/>
      <c r="X802" s="97"/>
      <c r="Y802" s="97"/>
      <c r="Z802" s="97"/>
      <c r="AA802" s="97"/>
    </row>
    <row r="803" ht="15.75" customHeight="1">
      <c r="A803" s="97"/>
      <c r="B803" s="336"/>
      <c r="C803" s="337"/>
      <c r="D803" s="97"/>
      <c r="E803" s="337"/>
      <c r="F803" s="338"/>
      <c r="G803" s="336"/>
      <c r="H803" s="337"/>
      <c r="I803" s="338"/>
      <c r="J803" s="97"/>
      <c r="K803" s="339"/>
      <c r="L803" s="339"/>
      <c r="M803" s="339"/>
      <c r="N803" s="339"/>
      <c r="O803" s="339"/>
      <c r="P803" s="339"/>
      <c r="Q803" s="340"/>
      <c r="R803" s="97"/>
      <c r="S803" s="97"/>
      <c r="T803" s="298"/>
      <c r="U803" s="97"/>
      <c r="V803" s="97"/>
      <c r="W803" s="97"/>
      <c r="X803" s="97"/>
      <c r="Y803" s="97"/>
      <c r="Z803" s="97"/>
      <c r="AA803" s="97"/>
    </row>
    <row r="804" ht="15.75" customHeight="1">
      <c r="A804" s="97"/>
      <c r="B804" s="336"/>
      <c r="C804" s="337"/>
      <c r="D804" s="97"/>
      <c r="E804" s="337"/>
      <c r="F804" s="338"/>
      <c r="G804" s="336"/>
      <c r="H804" s="337"/>
      <c r="I804" s="338"/>
      <c r="J804" s="97"/>
      <c r="K804" s="339"/>
      <c r="L804" s="339"/>
      <c r="M804" s="339"/>
      <c r="N804" s="339"/>
      <c r="O804" s="339"/>
      <c r="P804" s="339"/>
      <c r="Q804" s="340"/>
      <c r="R804" s="97"/>
      <c r="S804" s="97"/>
      <c r="T804" s="298"/>
      <c r="U804" s="97"/>
      <c r="V804" s="97"/>
      <c r="W804" s="97"/>
      <c r="X804" s="97"/>
      <c r="Y804" s="97"/>
      <c r="Z804" s="97"/>
      <c r="AA804" s="97"/>
    </row>
    <row r="805" ht="15.75" customHeight="1">
      <c r="A805" s="97"/>
      <c r="B805" s="336"/>
      <c r="C805" s="337"/>
      <c r="D805" s="97"/>
      <c r="E805" s="337"/>
      <c r="F805" s="338"/>
      <c r="G805" s="336"/>
      <c r="H805" s="337"/>
      <c r="I805" s="338"/>
      <c r="J805" s="97"/>
      <c r="K805" s="339"/>
      <c r="L805" s="339"/>
      <c r="M805" s="339"/>
      <c r="N805" s="339"/>
      <c r="O805" s="339"/>
      <c r="P805" s="339"/>
      <c r="Q805" s="340"/>
      <c r="R805" s="97"/>
      <c r="S805" s="97"/>
      <c r="T805" s="298"/>
      <c r="U805" s="97"/>
      <c r="V805" s="97"/>
      <c r="W805" s="97"/>
      <c r="X805" s="97"/>
      <c r="Y805" s="97"/>
      <c r="Z805" s="97"/>
      <c r="AA805" s="97"/>
    </row>
    <row r="806" ht="15.75" customHeight="1">
      <c r="A806" s="97"/>
      <c r="B806" s="336"/>
      <c r="C806" s="337"/>
      <c r="D806" s="97"/>
      <c r="E806" s="337"/>
      <c r="F806" s="338"/>
      <c r="G806" s="336"/>
      <c r="H806" s="337"/>
      <c r="I806" s="338"/>
      <c r="J806" s="97"/>
      <c r="K806" s="339"/>
      <c r="L806" s="339"/>
      <c r="M806" s="339"/>
      <c r="N806" s="339"/>
      <c r="O806" s="339"/>
      <c r="P806" s="339"/>
      <c r="Q806" s="340"/>
      <c r="R806" s="97"/>
      <c r="S806" s="97"/>
      <c r="T806" s="298"/>
      <c r="U806" s="97"/>
      <c r="V806" s="97"/>
      <c r="W806" s="97"/>
      <c r="X806" s="97"/>
      <c r="Y806" s="97"/>
      <c r="Z806" s="97"/>
      <c r="AA806" s="97"/>
    </row>
    <row r="807" ht="15.75" customHeight="1">
      <c r="A807" s="97"/>
      <c r="B807" s="336"/>
      <c r="C807" s="337"/>
      <c r="D807" s="97"/>
      <c r="E807" s="337"/>
      <c r="F807" s="338"/>
      <c r="G807" s="336"/>
      <c r="H807" s="337"/>
      <c r="I807" s="338"/>
      <c r="J807" s="97"/>
      <c r="K807" s="339"/>
      <c r="L807" s="339"/>
      <c r="M807" s="339"/>
      <c r="N807" s="339"/>
      <c r="O807" s="339"/>
      <c r="P807" s="339"/>
      <c r="Q807" s="340"/>
      <c r="R807" s="97"/>
      <c r="S807" s="97"/>
      <c r="T807" s="298"/>
      <c r="U807" s="97"/>
      <c r="V807" s="97"/>
      <c r="W807" s="97"/>
      <c r="X807" s="97"/>
      <c r="Y807" s="97"/>
      <c r="Z807" s="97"/>
      <c r="AA807" s="97"/>
    </row>
    <row r="808" ht="15.75" customHeight="1">
      <c r="A808" s="97"/>
      <c r="B808" s="336"/>
      <c r="C808" s="337"/>
      <c r="D808" s="97"/>
      <c r="E808" s="337"/>
      <c r="F808" s="338"/>
      <c r="G808" s="336"/>
      <c r="H808" s="337"/>
      <c r="I808" s="338"/>
      <c r="J808" s="97"/>
      <c r="K808" s="339"/>
      <c r="L808" s="339"/>
      <c r="M808" s="339"/>
      <c r="N808" s="339"/>
      <c r="O808" s="339"/>
      <c r="P808" s="339"/>
      <c r="Q808" s="340"/>
      <c r="R808" s="97"/>
      <c r="S808" s="97"/>
      <c r="T808" s="298"/>
      <c r="U808" s="97"/>
      <c r="V808" s="97"/>
      <c r="W808" s="97"/>
      <c r="X808" s="97"/>
      <c r="Y808" s="97"/>
      <c r="Z808" s="97"/>
      <c r="AA808" s="97"/>
    </row>
    <row r="809" ht="15.75" customHeight="1">
      <c r="A809" s="97"/>
      <c r="B809" s="336"/>
      <c r="C809" s="337"/>
      <c r="D809" s="97"/>
      <c r="E809" s="337"/>
      <c r="F809" s="338"/>
      <c r="G809" s="336"/>
      <c r="H809" s="337"/>
      <c r="I809" s="338"/>
      <c r="J809" s="97"/>
      <c r="K809" s="339"/>
      <c r="L809" s="339"/>
      <c r="M809" s="339"/>
      <c r="N809" s="339"/>
      <c r="O809" s="339"/>
      <c r="P809" s="339"/>
      <c r="Q809" s="340"/>
      <c r="R809" s="97"/>
      <c r="S809" s="97"/>
      <c r="T809" s="298"/>
      <c r="U809" s="97"/>
      <c r="V809" s="97"/>
      <c r="W809" s="97"/>
      <c r="X809" s="97"/>
      <c r="Y809" s="97"/>
      <c r="Z809" s="97"/>
      <c r="AA809" s="97"/>
    </row>
    <row r="810" ht="15.75" customHeight="1">
      <c r="A810" s="97"/>
      <c r="B810" s="336"/>
      <c r="C810" s="337"/>
      <c r="D810" s="97"/>
      <c r="E810" s="337"/>
      <c r="F810" s="338"/>
      <c r="G810" s="336"/>
      <c r="H810" s="337"/>
      <c r="I810" s="338"/>
      <c r="J810" s="97"/>
      <c r="K810" s="339"/>
      <c r="L810" s="339"/>
      <c r="M810" s="339"/>
      <c r="N810" s="339"/>
      <c r="O810" s="339"/>
      <c r="P810" s="339"/>
      <c r="Q810" s="340"/>
      <c r="R810" s="97"/>
      <c r="S810" s="97"/>
      <c r="T810" s="298"/>
      <c r="U810" s="97"/>
      <c r="V810" s="97"/>
      <c r="W810" s="97"/>
      <c r="X810" s="97"/>
      <c r="Y810" s="97"/>
      <c r="Z810" s="97"/>
      <c r="AA810" s="97"/>
    </row>
    <row r="811" ht="15.75" customHeight="1">
      <c r="A811" s="97"/>
      <c r="B811" s="336"/>
      <c r="C811" s="337"/>
      <c r="D811" s="97"/>
      <c r="E811" s="337"/>
      <c r="F811" s="338"/>
      <c r="G811" s="336"/>
      <c r="H811" s="337"/>
      <c r="I811" s="338"/>
      <c r="J811" s="97"/>
      <c r="K811" s="339"/>
      <c r="L811" s="339"/>
      <c r="M811" s="339"/>
      <c r="N811" s="339"/>
      <c r="O811" s="339"/>
      <c r="P811" s="339"/>
      <c r="Q811" s="340"/>
      <c r="R811" s="97"/>
      <c r="S811" s="97"/>
      <c r="T811" s="298"/>
      <c r="U811" s="97"/>
      <c r="V811" s="97"/>
      <c r="W811" s="97"/>
      <c r="X811" s="97"/>
      <c r="Y811" s="97"/>
      <c r="Z811" s="97"/>
      <c r="AA811" s="97"/>
    </row>
    <row r="812" ht="15.75" customHeight="1">
      <c r="A812" s="97"/>
      <c r="B812" s="336"/>
      <c r="C812" s="337"/>
      <c r="D812" s="97"/>
      <c r="E812" s="337"/>
      <c r="F812" s="338"/>
      <c r="G812" s="336"/>
      <c r="H812" s="337"/>
      <c r="I812" s="338"/>
      <c r="J812" s="97"/>
      <c r="K812" s="339"/>
      <c r="L812" s="339"/>
      <c r="M812" s="339"/>
      <c r="N812" s="339"/>
      <c r="O812" s="339"/>
      <c r="P812" s="339"/>
      <c r="Q812" s="340"/>
      <c r="R812" s="97"/>
      <c r="S812" s="97"/>
      <c r="T812" s="298"/>
      <c r="U812" s="97"/>
      <c r="V812" s="97"/>
      <c r="W812" s="97"/>
      <c r="X812" s="97"/>
      <c r="Y812" s="97"/>
      <c r="Z812" s="97"/>
      <c r="AA812" s="97"/>
    </row>
    <row r="813" ht="15.75" customHeight="1">
      <c r="A813" s="97"/>
      <c r="B813" s="336"/>
      <c r="C813" s="337"/>
      <c r="D813" s="97"/>
      <c r="E813" s="337"/>
      <c r="F813" s="338"/>
      <c r="G813" s="336"/>
      <c r="H813" s="337"/>
      <c r="I813" s="338"/>
      <c r="J813" s="97"/>
      <c r="K813" s="339"/>
      <c r="L813" s="339"/>
      <c r="M813" s="339"/>
      <c r="N813" s="339"/>
      <c r="O813" s="339"/>
      <c r="P813" s="339"/>
      <c r="Q813" s="340"/>
      <c r="R813" s="97"/>
      <c r="S813" s="97"/>
      <c r="T813" s="298"/>
      <c r="U813" s="97"/>
      <c r="V813" s="97"/>
      <c r="W813" s="97"/>
      <c r="X813" s="97"/>
      <c r="Y813" s="97"/>
      <c r="Z813" s="97"/>
      <c r="AA813" s="97"/>
    </row>
    <row r="814" ht="15.75" customHeight="1">
      <c r="A814" s="97"/>
      <c r="B814" s="336"/>
      <c r="C814" s="337"/>
      <c r="D814" s="97"/>
      <c r="E814" s="337"/>
      <c r="F814" s="338"/>
      <c r="G814" s="336"/>
      <c r="H814" s="337"/>
      <c r="I814" s="338"/>
      <c r="J814" s="97"/>
      <c r="K814" s="339"/>
      <c r="L814" s="339"/>
      <c r="M814" s="339"/>
      <c r="N814" s="339"/>
      <c r="O814" s="339"/>
      <c r="P814" s="339"/>
      <c r="Q814" s="340"/>
      <c r="R814" s="97"/>
      <c r="S814" s="97"/>
      <c r="T814" s="298"/>
      <c r="U814" s="97"/>
      <c r="V814" s="97"/>
      <c r="W814" s="97"/>
      <c r="X814" s="97"/>
      <c r="Y814" s="97"/>
      <c r="Z814" s="97"/>
      <c r="AA814" s="97"/>
    </row>
    <row r="815" ht="15.75" customHeight="1">
      <c r="A815" s="97"/>
      <c r="B815" s="336"/>
      <c r="C815" s="337"/>
      <c r="D815" s="97"/>
      <c r="E815" s="337"/>
      <c r="F815" s="338"/>
      <c r="G815" s="336"/>
      <c r="H815" s="337"/>
      <c r="I815" s="338"/>
      <c r="J815" s="97"/>
      <c r="K815" s="339"/>
      <c r="L815" s="339"/>
      <c r="M815" s="339"/>
      <c r="N815" s="339"/>
      <c r="O815" s="339"/>
      <c r="P815" s="339"/>
      <c r="Q815" s="340"/>
      <c r="R815" s="97"/>
      <c r="S815" s="97"/>
      <c r="T815" s="298"/>
      <c r="U815" s="97"/>
      <c r="V815" s="97"/>
      <c r="W815" s="97"/>
      <c r="X815" s="97"/>
      <c r="Y815" s="97"/>
      <c r="Z815" s="97"/>
      <c r="AA815" s="97"/>
    </row>
    <row r="816" ht="15.75" customHeight="1">
      <c r="A816" s="97"/>
      <c r="B816" s="336"/>
      <c r="C816" s="337"/>
      <c r="D816" s="97"/>
      <c r="E816" s="337"/>
      <c r="F816" s="338"/>
      <c r="G816" s="336"/>
      <c r="H816" s="337"/>
      <c r="I816" s="338"/>
      <c r="J816" s="97"/>
      <c r="K816" s="339"/>
      <c r="L816" s="339"/>
      <c r="M816" s="339"/>
      <c r="N816" s="339"/>
      <c r="O816" s="339"/>
      <c r="P816" s="339"/>
      <c r="Q816" s="340"/>
      <c r="R816" s="97"/>
      <c r="S816" s="97"/>
      <c r="T816" s="298"/>
      <c r="U816" s="97"/>
      <c r="V816" s="97"/>
      <c r="W816" s="97"/>
      <c r="X816" s="97"/>
      <c r="Y816" s="97"/>
      <c r="Z816" s="97"/>
      <c r="AA816" s="97"/>
    </row>
    <row r="817" ht="15.75" customHeight="1">
      <c r="A817" s="97"/>
      <c r="B817" s="336"/>
      <c r="C817" s="337"/>
      <c r="D817" s="97"/>
      <c r="E817" s="337"/>
      <c r="F817" s="338"/>
      <c r="G817" s="336"/>
      <c r="H817" s="337"/>
      <c r="I817" s="338"/>
      <c r="J817" s="97"/>
      <c r="K817" s="339"/>
      <c r="L817" s="339"/>
      <c r="M817" s="339"/>
      <c r="N817" s="339"/>
      <c r="O817" s="339"/>
      <c r="P817" s="339"/>
      <c r="Q817" s="340"/>
      <c r="R817" s="97"/>
      <c r="S817" s="97"/>
      <c r="T817" s="298"/>
      <c r="U817" s="97"/>
      <c r="V817" s="97"/>
      <c r="W817" s="97"/>
      <c r="X817" s="97"/>
      <c r="Y817" s="97"/>
      <c r="Z817" s="97"/>
      <c r="AA817" s="97"/>
    </row>
    <row r="818" ht="15.75" customHeight="1">
      <c r="A818" s="97"/>
      <c r="B818" s="336"/>
      <c r="C818" s="337"/>
      <c r="D818" s="97"/>
      <c r="E818" s="337"/>
      <c r="F818" s="338"/>
      <c r="G818" s="336"/>
      <c r="H818" s="337"/>
      <c r="I818" s="338"/>
      <c r="J818" s="97"/>
      <c r="K818" s="339"/>
      <c r="L818" s="339"/>
      <c r="M818" s="339"/>
      <c r="N818" s="339"/>
      <c r="O818" s="339"/>
      <c r="P818" s="339"/>
      <c r="Q818" s="340"/>
      <c r="R818" s="97"/>
      <c r="S818" s="97"/>
      <c r="T818" s="298"/>
      <c r="U818" s="97"/>
      <c r="V818" s="97"/>
      <c r="W818" s="97"/>
      <c r="X818" s="97"/>
      <c r="Y818" s="97"/>
      <c r="Z818" s="97"/>
      <c r="AA818" s="97"/>
    </row>
    <row r="819" ht="15.75" customHeight="1">
      <c r="A819" s="97"/>
      <c r="B819" s="336"/>
      <c r="C819" s="337"/>
      <c r="D819" s="97"/>
      <c r="E819" s="337"/>
      <c r="F819" s="338"/>
      <c r="G819" s="336"/>
      <c r="H819" s="337"/>
      <c r="I819" s="338"/>
      <c r="J819" s="97"/>
      <c r="K819" s="339"/>
      <c r="L819" s="339"/>
      <c r="M819" s="339"/>
      <c r="N819" s="339"/>
      <c r="O819" s="339"/>
      <c r="P819" s="339"/>
      <c r="Q819" s="340"/>
      <c r="R819" s="97"/>
      <c r="S819" s="97"/>
      <c r="T819" s="298"/>
      <c r="U819" s="97"/>
      <c r="V819" s="97"/>
      <c r="W819" s="97"/>
      <c r="X819" s="97"/>
      <c r="Y819" s="97"/>
      <c r="Z819" s="97"/>
      <c r="AA819" s="97"/>
    </row>
    <row r="820" ht="15.75" customHeight="1">
      <c r="A820" s="97"/>
      <c r="B820" s="336"/>
      <c r="C820" s="337"/>
      <c r="D820" s="97"/>
      <c r="E820" s="337"/>
      <c r="F820" s="338"/>
      <c r="G820" s="336"/>
      <c r="H820" s="337"/>
      <c r="I820" s="338"/>
      <c r="J820" s="97"/>
      <c r="K820" s="339"/>
      <c r="L820" s="339"/>
      <c r="M820" s="339"/>
      <c r="N820" s="339"/>
      <c r="O820" s="339"/>
      <c r="P820" s="339"/>
      <c r="Q820" s="340"/>
      <c r="R820" s="97"/>
      <c r="S820" s="97"/>
      <c r="T820" s="298"/>
      <c r="U820" s="97"/>
      <c r="V820" s="97"/>
      <c r="W820" s="97"/>
      <c r="X820" s="97"/>
      <c r="Y820" s="97"/>
      <c r="Z820" s="97"/>
      <c r="AA820" s="97"/>
    </row>
    <row r="821" ht="15.75" customHeight="1">
      <c r="A821" s="97"/>
      <c r="B821" s="336"/>
      <c r="C821" s="337"/>
      <c r="D821" s="97"/>
      <c r="E821" s="337"/>
      <c r="F821" s="338"/>
      <c r="G821" s="336"/>
      <c r="H821" s="337"/>
      <c r="I821" s="338"/>
      <c r="J821" s="97"/>
      <c r="K821" s="339"/>
      <c r="L821" s="339"/>
      <c r="M821" s="339"/>
      <c r="N821" s="339"/>
      <c r="O821" s="339"/>
      <c r="P821" s="339"/>
      <c r="Q821" s="340"/>
      <c r="R821" s="97"/>
      <c r="S821" s="97"/>
      <c r="T821" s="298"/>
      <c r="U821" s="97"/>
      <c r="V821" s="97"/>
      <c r="W821" s="97"/>
      <c r="X821" s="97"/>
      <c r="Y821" s="97"/>
      <c r="Z821" s="97"/>
      <c r="AA821" s="97"/>
    </row>
    <row r="822" ht="15.75" customHeight="1">
      <c r="A822" s="97"/>
      <c r="B822" s="336"/>
      <c r="C822" s="337"/>
      <c r="D822" s="97"/>
      <c r="E822" s="337"/>
      <c r="F822" s="338"/>
      <c r="G822" s="336"/>
      <c r="H822" s="337"/>
      <c r="I822" s="338"/>
      <c r="J822" s="97"/>
      <c r="K822" s="339"/>
      <c r="L822" s="339"/>
      <c r="M822" s="339"/>
      <c r="N822" s="339"/>
      <c r="O822" s="339"/>
      <c r="P822" s="339"/>
      <c r="Q822" s="340"/>
      <c r="R822" s="97"/>
      <c r="S822" s="97"/>
      <c r="T822" s="298"/>
      <c r="U822" s="97"/>
      <c r="V822" s="97"/>
      <c r="W822" s="97"/>
      <c r="X822" s="97"/>
      <c r="Y822" s="97"/>
      <c r="Z822" s="97"/>
      <c r="AA822" s="97"/>
    </row>
    <row r="823" ht="15.75" customHeight="1">
      <c r="A823" s="97"/>
      <c r="B823" s="336"/>
      <c r="C823" s="337"/>
      <c r="D823" s="97"/>
      <c r="E823" s="337"/>
      <c r="F823" s="338"/>
      <c r="G823" s="336"/>
      <c r="H823" s="337"/>
      <c r="I823" s="338"/>
      <c r="J823" s="97"/>
      <c r="K823" s="339"/>
      <c r="L823" s="339"/>
      <c r="M823" s="339"/>
      <c r="N823" s="339"/>
      <c r="O823" s="339"/>
      <c r="P823" s="339"/>
      <c r="Q823" s="340"/>
      <c r="R823" s="97"/>
      <c r="S823" s="97"/>
      <c r="T823" s="298"/>
      <c r="U823" s="97"/>
      <c r="V823" s="97"/>
      <c r="W823" s="97"/>
      <c r="X823" s="97"/>
      <c r="Y823" s="97"/>
      <c r="Z823" s="97"/>
      <c r="AA823" s="97"/>
    </row>
    <row r="824" ht="15.75" customHeight="1">
      <c r="A824" s="97"/>
      <c r="B824" s="336"/>
      <c r="C824" s="337"/>
      <c r="D824" s="97"/>
      <c r="E824" s="337"/>
      <c r="F824" s="338"/>
      <c r="G824" s="336"/>
      <c r="H824" s="337"/>
      <c r="I824" s="338"/>
      <c r="J824" s="97"/>
      <c r="K824" s="339"/>
      <c r="L824" s="339"/>
      <c r="M824" s="339"/>
      <c r="N824" s="339"/>
      <c r="O824" s="339"/>
      <c r="P824" s="339"/>
      <c r="Q824" s="340"/>
      <c r="R824" s="97"/>
      <c r="S824" s="97"/>
      <c r="T824" s="298"/>
      <c r="U824" s="97"/>
      <c r="V824" s="97"/>
      <c r="W824" s="97"/>
      <c r="X824" s="97"/>
      <c r="Y824" s="97"/>
      <c r="Z824" s="97"/>
      <c r="AA824" s="97"/>
    </row>
    <row r="825" ht="15.75" customHeight="1">
      <c r="A825" s="97"/>
      <c r="B825" s="336"/>
      <c r="C825" s="337"/>
      <c r="D825" s="97"/>
      <c r="E825" s="337"/>
      <c r="F825" s="338"/>
      <c r="G825" s="336"/>
      <c r="H825" s="337"/>
      <c r="I825" s="338"/>
      <c r="J825" s="97"/>
      <c r="K825" s="339"/>
      <c r="L825" s="339"/>
      <c r="M825" s="339"/>
      <c r="N825" s="339"/>
      <c r="O825" s="339"/>
      <c r="P825" s="339"/>
      <c r="Q825" s="340"/>
      <c r="R825" s="97"/>
      <c r="S825" s="97"/>
      <c r="T825" s="298"/>
      <c r="U825" s="97"/>
      <c r="V825" s="97"/>
      <c r="W825" s="97"/>
      <c r="X825" s="97"/>
      <c r="Y825" s="97"/>
      <c r="Z825" s="97"/>
      <c r="AA825" s="97"/>
    </row>
    <row r="826" ht="15.75" customHeight="1">
      <c r="A826" s="97"/>
      <c r="B826" s="336"/>
      <c r="C826" s="337"/>
      <c r="D826" s="97"/>
      <c r="E826" s="337"/>
      <c r="F826" s="338"/>
      <c r="G826" s="336"/>
      <c r="H826" s="337"/>
      <c r="I826" s="338"/>
      <c r="J826" s="97"/>
      <c r="K826" s="339"/>
      <c r="L826" s="339"/>
      <c r="M826" s="339"/>
      <c r="N826" s="339"/>
      <c r="O826" s="339"/>
      <c r="P826" s="339"/>
      <c r="Q826" s="340"/>
      <c r="R826" s="97"/>
      <c r="S826" s="97"/>
      <c r="T826" s="298"/>
      <c r="U826" s="97"/>
      <c r="V826" s="97"/>
      <c r="W826" s="97"/>
      <c r="X826" s="97"/>
      <c r="Y826" s="97"/>
      <c r="Z826" s="97"/>
      <c r="AA826" s="97"/>
    </row>
    <row r="827" ht="15.75" customHeight="1">
      <c r="A827" s="97"/>
      <c r="B827" s="336"/>
      <c r="C827" s="337"/>
      <c r="D827" s="97"/>
      <c r="E827" s="337"/>
      <c r="F827" s="338"/>
      <c r="G827" s="336"/>
      <c r="H827" s="337"/>
      <c r="I827" s="338"/>
      <c r="J827" s="97"/>
      <c r="K827" s="339"/>
      <c r="L827" s="339"/>
      <c r="M827" s="339"/>
      <c r="N827" s="339"/>
      <c r="O827" s="339"/>
      <c r="P827" s="339"/>
      <c r="Q827" s="340"/>
      <c r="R827" s="97"/>
      <c r="S827" s="97"/>
      <c r="T827" s="298"/>
      <c r="U827" s="97"/>
      <c r="V827" s="97"/>
      <c r="W827" s="97"/>
      <c r="X827" s="97"/>
      <c r="Y827" s="97"/>
      <c r="Z827" s="97"/>
      <c r="AA827" s="97"/>
    </row>
    <row r="828" ht="15.75" customHeight="1">
      <c r="A828" s="97"/>
      <c r="B828" s="336"/>
      <c r="C828" s="337"/>
      <c r="D828" s="97"/>
      <c r="E828" s="337"/>
      <c r="F828" s="338"/>
      <c r="G828" s="336"/>
      <c r="H828" s="337"/>
      <c r="I828" s="338"/>
      <c r="J828" s="97"/>
      <c r="K828" s="339"/>
      <c r="L828" s="339"/>
      <c r="M828" s="339"/>
      <c r="N828" s="339"/>
      <c r="O828" s="339"/>
      <c r="P828" s="339"/>
      <c r="Q828" s="340"/>
      <c r="R828" s="97"/>
      <c r="S828" s="97"/>
      <c r="T828" s="298"/>
      <c r="U828" s="97"/>
      <c r="V828" s="97"/>
      <c r="W828" s="97"/>
      <c r="X828" s="97"/>
      <c r="Y828" s="97"/>
      <c r="Z828" s="97"/>
      <c r="AA828" s="97"/>
    </row>
    <row r="829" ht="15.75" customHeight="1">
      <c r="A829" s="97"/>
      <c r="B829" s="336"/>
      <c r="C829" s="337"/>
      <c r="D829" s="97"/>
      <c r="E829" s="337"/>
      <c r="F829" s="338"/>
      <c r="G829" s="336"/>
      <c r="H829" s="337"/>
      <c r="I829" s="338"/>
      <c r="J829" s="97"/>
      <c r="K829" s="339"/>
      <c r="L829" s="339"/>
      <c r="M829" s="339"/>
      <c r="N829" s="339"/>
      <c r="O829" s="339"/>
      <c r="P829" s="339"/>
      <c r="Q829" s="340"/>
      <c r="R829" s="97"/>
      <c r="S829" s="97"/>
      <c r="T829" s="298"/>
      <c r="U829" s="97"/>
      <c r="V829" s="97"/>
      <c r="W829" s="97"/>
      <c r="X829" s="97"/>
      <c r="Y829" s="97"/>
      <c r="Z829" s="97"/>
      <c r="AA829" s="97"/>
    </row>
    <row r="830" ht="15.75" customHeight="1">
      <c r="A830" s="97"/>
      <c r="B830" s="336"/>
      <c r="C830" s="337"/>
      <c r="D830" s="97"/>
      <c r="E830" s="337"/>
      <c r="F830" s="338"/>
      <c r="G830" s="336"/>
      <c r="H830" s="337"/>
      <c r="I830" s="338"/>
      <c r="J830" s="97"/>
      <c r="K830" s="339"/>
      <c r="L830" s="339"/>
      <c r="M830" s="339"/>
      <c r="N830" s="339"/>
      <c r="O830" s="339"/>
      <c r="P830" s="339"/>
      <c r="Q830" s="340"/>
      <c r="R830" s="97"/>
      <c r="S830" s="97"/>
      <c r="T830" s="298"/>
      <c r="U830" s="97"/>
      <c r="V830" s="97"/>
      <c r="W830" s="97"/>
      <c r="X830" s="97"/>
      <c r="Y830" s="97"/>
      <c r="Z830" s="97"/>
      <c r="AA830" s="97"/>
    </row>
    <row r="831" ht="15.75" customHeight="1">
      <c r="A831" s="97"/>
      <c r="B831" s="336"/>
      <c r="C831" s="337"/>
      <c r="D831" s="97"/>
      <c r="E831" s="337"/>
      <c r="F831" s="338"/>
      <c r="G831" s="336"/>
      <c r="H831" s="337"/>
      <c r="I831" s="338"/>
      <c r="J831" s="97"/>
      <c r="K831" s="339"/>
      <c r="L831" s="339"/>
      <c r="M831" s="339"/>
      <c r="N831" s="339"/>
      <c r="O831" s="339"/>
      <c r="P831" s="339"/>
      <c r="Q831" s="340"/>
      <c r="R831" s="97"/>
      <c r="S831" s="97"/>
      <c r="T831" s="298"/>
      <c r="U831" s="97"/>
      <c r="V831" s="97"/>
      <c r="W831" s="97"/>
      <c r="X831" s="97"/>
      <c r="Y831" s="97"/>
      <c r="Z831" s="97"/>
      <c r="AA831" s="97"/>
    </row>
    <row r="832" ht="15.75" customHeight="1">
      <c r="A832" s="97"/>
      <c r="B832" s="336"/>
      <c r="C832" s="337"/>
      <c r="D832" s="97"/>
      <c r="E832" s="337"/>
      <c r="F832" s="338"/>
      <c r="G832" s="336"/>
      <c r="H832" s="337"/>
      <c r="I832" s="338"/>
      <c r="J832" s="97"/>
      <c r="K832" s="339"/>
      <c r="L832" s="339"/>
      <c r="M832" s="339"/>
      <c r="N832" s="339"/>
      <c r="O832" s="339"/>
      <c r="P832" s="339"/>
      <c r="Q832" s="340"/>
      <c r="R832" s="97"/>
      <c r="S832" s="97"/>
      <c r="T832" s="298"/>
      <c r="U832" s="97"/>
      <c r="V832" s="97"/>
      <c r="W832" s="97"/>
      <c r="X832" s="97"/>
      <c r="Y832" s="97"/>
      <c r="Z832" s="97"/>
      <c r="AA832" s="97"/>
    </row>
    <row r="833" ht="15.75" customHeight="1">
      <c r="A833" s="97"/>
      <c r="B833" s="336"/>
      <c r="C833" s="337"/>
      <c r="D833" s="97"/>
      <c r="E833" s="337"/>
      <c r="F833" s="338"/>
      <c r="G833" s="336"/>
      <c r="H833" s="337"/>
      <c r="I833" s="338"/>
      <c r="J833" s="97"/>
      <c r="K833" s="339"/>
      <c r="L833" s="339"/>
      <c r="M833" s="339"/>
      <c r="N833" s="339"/>
      <c r="O833" s="339"/>
      <c r="P833" s="339"/>
      <c r="Q833" s="340"/>
      <c r="R833" s="97"/>
      <c r="S833" s="97"/>
      <c r="T833" s="298"/>
      <c r="U833" s="97"/>
      <c r="V833" s="97"/>
      <c r="W833" s="97"/>
      <c r="X833" s="97"/>
      <c r="Y833" s="97"/>
      <c r="Z833" s="97"/>
      <c r="AA833" s="97"/>
    </row>
    <row r="834" ht="15.75" customHeight="1">
      <c r="A834" s="97"/>
      <c r="B834" s="336"/>
      <c r="C834" s="337"/>
      <c r="D834" s="97"/>
      <c r="E834" s="337"/>
      <c r="F834" s="338"/>
      <c r="G834" s="336"/>
      <c r="H834" s="337"/>
      <c r="I834" s="338"/>
      <c r="J834" s="97"/>
      <c r="K834" s="339"/>
      <c r="L834" s="339"/>
      <c r="M834" s="339"/>
      <c r="N834" s="339"/>
      <c r="O834" s="339"/>
      <c r="P834" s="339"/>
      <c r="Q834" s="340"/>
      <c r="R834" s="97"/>
      <c r="S834" s="97"/>
      <c r="T834" s="298"/>
      <c r="U834" s="97"/>
      <c r="V834" s="97"/>
      <c r="W834" s="97"/>
      <c r="X834" s="97"/>
      <c r="Y834" s="97"/>
      <c r="Z834" s="97"/>
      <c r="AA834" s="97"/>
    </row>
    <row r="835" ht="15.75" customHeight="1">
      <c r="A835" s="97"/>
      <c r="B835" s="336"/>
      <c r="C835" s="337"/>
      <c r="D835" s="97"/>
      <c r="E835" s="337"/>
      <c r="F835" s="338"/>
      <c r="G835" s="336"/>
      <c r="H835" s="337"/>
      <c r="I835" s="338"/>
      <c r="J835" s="97"/>
      <c r="K835" s="339"/>
      <c r="L835" s="339"/>
      <c r="M835" s="339"/>
      <c r="N835" s="339"/>
      <c r="O835" s="339"/>
      <c r="P835" s="339"/>
      <c r="Q835" s="340"/>
      <c r="R835" s="97"/>
      <c r="S835" s="97"/>
      <c r="T835" s="298"/>
      <c r="U835" s="97"/>
      <c r="V835" s="97"/>
      <c r="W835" s="97"/>
      <c r="X835" s="97"/>
      <c r="Y835" s="97"/>
      <c r="Z835" s="97"/>
      <c r="AA835" s="97"/>
    </row>
    <row r="836" ht="15.75" customHeight="1">
      <c r="A836" s="97"/>
      <c r="B836" s="336"/>
      <c r="C836" s="337"/>
      <c r="D836" s="97"/>
      <c r="E836" s="337"/>
      <c r="F836" s="338"/>
      <c r="G836" s="336"/>
      <c r="H836" s="337"/>
      <c r="I836" s="338"/>
      <c r="J836" s="97"/>
      <c r="K836" s="339"/>
      <c r="L836" s="339"/>
      <c r="M836" s="339"/>
      <c r="N836" s="339"/>
      <c r="O836" s="339"/>
      <c r="P836" s="339"/>
      <c r="Q836" s="340"/>
      <c r="R836" s="97"/>
      <c r="S836" s="97"/>
      <c r="T836" s="298"/>
      <c r="U836" s="97"/>
      <c r="V836" s="97"/>
      <c r="W836" s="97"/>
      <c r="X836" s="97"/>
      <c r="Y836" s="97"/>
      <c r="Z836" s="97"/>
      <c r="AA836" s="97"/>
    </row>
    <row r="837" ht="15.75" customHeight="1">
      <c r="A837" s="97"/>
      <c r="B837" s="336"/>
      <c r="C837" s="337"/>
      <c r="D837" s="97"/>
      <c r="E837" s="337"/>
      <c r="F837" s="338"/>
      <c r="G837" s="336"/>
      <c r="H837" s="337"/>
      <c r="I837" s="338"/>
      <c r="J837" s="97"/>
      <c r="K837" s="339"/>
      <c r="L837" s="339"/>
      <c r="M837" s="339"/>
      <c r="N837" s="339"/>
      <c r="O837" s="339"/>
      <c r="P837" s="339"/>
      <c r="Q837" s="340"/>
      <c r="R837" s="97"/>
      <c r="S837" s="97"/>
      <c r="T837" s="298"/>
      <c r="U837" s="97"/>
      <c r="V837" s="97"/>
      <c r="W837" s="97"/>
      <c r="X837" s="97"/>
      <c r="Y837" s="97"/>
      <c r="Z837" s="97"/>
      <c r="AA837" s="97"/>
    </row>
    <row r="838" ht="15.75" customHeight="1">
      <c r="A838" s="97"/>
      <c r="B838" s="336"/>
      <c r="C838" s="337"/>
      <c r="D838" s="97"/>
      <c r="E838" s="337"/>
      <c r="F838" s="338"/>
      <c r="G838" s="336"/>
      <c r="H838" s="337"/>
      <c r="I838" s="338"/>
      <c r="J838" s="97"/>
      <c r="K838" s="339"/>
      <c r="L838" s="339"/>
      <c r="M838" s="339"/>
      <c r="N838" s="339"/>
      <c r="O838" s="339"/>
      <c r="P838" s="339"/>
      <c r="Q838" s="340"/>
      <c r="R838" s="97"/>
      <c r="S838" s="97"/>
      <c r="T838" s="298"/>
      <c r="U838" s="97"/>
      <c r="V838" s="97"/>
      <c r="W838" s="97"/>
      <c r="X838" s="97"/>
      <c r="Y838" s="97"/>
      <c r="Z838" s="97"/>
      <c r="AA838" s="97"/>
    </row>
    <row r="839" ht="15.75" customHeight="1">
      <c r="A839" s="97"/>
      <c r="B839" s="336"/>
      <c r="C839" s="337"/>
      <c r="D839" s="97"/>
      <c r="E839" s="337"/>
      <c r="F839" s="338"/>
      <c r="G839" s="336"/>
      <c r="H839" s="337"/>
      <c r="I839" s="338"/>
      <c r="J839" s="97"/>
      <c r="K839" s="339"/>
      <c r="L839" s="339"/>
      <c r="M839" s="339"/>
      <c r="N839" s="339"/>
      <c r="O839" s="339"/>
      <c r="P839" s="339"/>
      <c r="Q839" s="340"/>
      <c r="R839" s="97"/>
      <c r="S839" s="97"/>
      <c r="T839" s="298"/>
      <c r="U839" s="97"/>
      <c r="V839" s="97"/>
      <c r="W839" s="97"/>
      <c r="X839" s="97"/>
      <c r="Y839" s="97"/>
      <c r="Z839" s="97"/>
      <c r="AA839" s="97"/>
    </row>
    <row r="840" ht="15.75" customHeight="1">
      <c r="A840" s="97"/>
      <c r="B840" s="336"/>
      <c r="C840" s="337"/>
      <c r="D840" s="97"/>
      <c r="E840" s="337"/>
      <c r="F840" s="338"/>
      <c r="G840" s="336"/>
      <c r="H840" s="337"/>
      <c r="I840" s="338"/>
      <c r="J840" s="97"/>
      <c r="K840" s="339"/>
      <c r="L840" s="339"/>
      <c r="M840" s="339"/>
      <c r="N840" s="339"/>
      <c r="O840" s="339"/>
      <c r="P840" s="339"/>
      <c r="Q840" s="340"/>
      <c r="R840" s="97"/>
      <c r="S840" s="97"/>
      <c r="T840" s="298"/>
      <c r="U840" s="97"/>
      <c r="V840" s="97"/>
      <c r="W840" s="97"/>
      <c r="X840" s="97"/>
      <c r="Y840" s="97"/>
      <c r="Z840" s="97"/>
      <c r="AA840" s="97"/>
    </row>
    <row r="841" ht="15.75" customHeight="1">
      <c r="A841" s="97"/>
      <c r="B841" s="336"/>
      <c r="C841" s="337"/>
      <c r="D841" s="97"/>
      <c r="E841" s="337"/>
      <c r="F841" s="338"/>
      <c r="G841" s="336"/>
      <c r="H841" s="337"/>
      <c r="I841" s="338"/>
      <c r="J841" s="97"/>
      <c r="K841" s="339"/>
      <c r="L841" s="339"/>
      <c r="M841" s="339"/>
      <c r="N841" s="339"/>
      <c r="O841" s="339"/>
      <c r="P841" s="339"/>
      <c r="Q841" s="340"/>
      <c r="R841" s="97"/>
      <c r="S841" s="97"/>
      <c r="T841" s="298"/>
      <c r="U841" s="97"/>
      <c r="V841" s="97"/>
      <c r="W841" s="97"/>
      <c r="X841" s="97"/>
      <c r="Y841" s="97"/>
      <c r="Z841" s="97"/>
      <c r="AA841" s="97"/>
    </row>
    <row r="842" ht="15.75" customHeight="1">
      <c r="A842" s="97"/>
      <c r="B842" s="336"/>
      <c r="C842" s="337"/>
      <c r="D842" s="97"/>
      <c r="E842" s="337"/>
      <c r="F842" s="338"/>
      <c r="G842" s="336"/>
      <c r="H842" s="337"/>
      <c r="I842" s="338"/>
      <c r="J842" s="97"/>
      <c r="K842" s="339"/>
      <c r="L842" s="339"/>
      <c r="M842" s="339"/>
      <c r="N842" s="339"/>
      <c r="O842" s="339"/>
      <c r="P842" s="339"/>
      <c r="Q842" s="340"/>
      <c r="R842" s="97"/>
      <c r="S842" s="97"/>
      <c r="T842" s="298"/>
      <c r="U842" s="97"/>
      <c r="V842" s="97"/>
      <c r="W842" s="97"/>
      <c r="X842" s="97"/>
      <c r="Y842" s="97"/>
      <c r="Z842" s="97"/>
      <c r="AA842" s="97"/>
    </row>
    <row r="843" ht="15.75" customHeight="1">
      <c r="A843" s="97"/>
      <c r="B843" s="336"/>
      <c r="C843" s="337"/>
      <c r="D843" s="97"/>
      <c r="E843" s="337"/>
      <c r="F843" s="338"/>
      <c r="G843" s="336"/>
      <c r="H843" s="337"/>
      <c r="I843" s="338"/>
      <c r="J843" s="97"/>
      <c r="K843" s="339"/>
      <c r="L843" s="339"/>
      <c r="M843" s="339"/>
      <c r="N843" s="339"/>
      <c r="O843" s="339"/>
      <c r="P843" s="339"/>
      <c r="Q843" s="340"/>
      <c r="R843" s="97"/>
      <c r="S843" s="97"/>
      <c r="T843" s="298"/>
      <c r="U843" s="97"/>
      <c r="V843" s="97"/>
      <c r="W843" s="97"/>
      <c r="X843" s="97"/>
      <c r="Y843" s="97"/>
      <c r="Z843" s="97"/>
      <c r="AA843" s="97"/>
    </row>
    <row r="844" ht="15.75" customHeight="1">
      <c r="A844" s="97"/>
      <c r="B844" s="336"/>
      <c r="C844" s="337"/>
      <c r="D844" s="97"/>
      <c r="E844" s="337"/>
      <c r="F844" s="338"/>
      <c r="G844" s="336"/>
      <c r="H844" s="337"/>
      <c r="I844" s="338"/>
      <c r="J844" s="97"/>
      <c r="K844" s="339"/>
      <c r="L844" s="339"/>
      <c r="M844" s="339"/>
      <c r="N844" s="339"/>
      <c r="O844" s="339"/>
      <c r="P844" s="339"/>
      <c r="Q844" s="340"/>
      <c r="R844" s="97"/>
      <c r="S844" s="97"/>
      <c r="T844" s="298"/>
      <c r="U844" s="97"/>
      <c r="V844" s="97"/>
      <c r="W844" s="97"/>
      <c r="X844" s="97"/>
      <c r="Y844" s="97"/>
      <c r="Z844" s="97"/>
      <c r="AA844" s="97"/>
    </row>
    <row r="845" ht="15.75" customHeight="1">
      <c r="A845" s="97"/>
      <c r="B845" s="336"/>
      <c r="C845" s="337"/>
      <c r="D845" s="97"/>
      <c r="E845" s="337"/>
      <c r="F845" s="338"/>
      <c r="G845" s="336"/>
      <c r="H845" s="337"/>
      <c r="I845" s="338"/>
      <c r="J845" s="97"/>
      <c r="K845" s="339"/>
      <c r="L845" s="339"/>
      <c r="M845" s="339"/>
      <c r="N845" s="339"/>
      <c r="O845" s="339"/>
      <c r="P845" s="339"/>
      <c r="Q845" s="340"/>
      <c r="R845" s="97"/>
      <c r="S845" s="97"/>
      <c r="T845" s="298"/>
      <c r="U845" s="97"/>
      <c r="V845" s="97"/>
      <c r="W845" s="97"/>
      <c r="X845" s="97"/>
      <c r="Y845" s="97"/>
      <c r="Z845" s="97"/>
      <c r="AA845" s="97"/>
    </row>
    <row r="846" ht="15.75" customHeight="1">
      <c r="A846" s="97"/>
      <c r="B846" s="336"/>
      <c r="C846" s="337"/>
      <c r="D846" s="97"/>
      <c r="E846" s="337"/>
      <c r="F846" s="338"/>
      <c r="G846" s="336"/>
      <c r="H846" s="337"/>
      <c r="I846" s="338"/>
      <c r="J846" s="97"/>
      <c r="K846" s="339"/>
      <c r="L846" s="339"/>
      <c r="M846" s="339"/>
      <c r="N846" s="339"/>
      <c r="O846" s="339"/>
      <c r="P846" s="339"/>
      <c r="Q846" s="340"/>
      <c r="R846" s="97"/>
      <c r="S846" s="97"/>
      <c r="T846" s="298"/>
      <c r="U846" s="97"/>
      <c r="V846" s="97"/>
      <c r="W846" s="97"/>
      <c r="X846" s="97"/>
      <c r="Y846" s="97"/>
      <c r="Z846" s="97"/>
      <c r="AA846" s="97"/>
    </row>
    <row r="847" ht="15.75" customHeight="1">
      <c r="A847" s="97"/>
      <c r="B847" s="336"/>
      <c r="C847" s="337"/>
      <c r="D847" s="97"/>
      <c r="E847" s="337"/>
      <c r="F847" s="338"/>
      <c r="G847" s="336"/>
      <c r="H847" s="337"/>
      <c r="I847" s="338"/>
      <c r="J847" s="97"/>
      <c r="K847" s="339"/>
      <c r="L847" s="339"/>
      <c r="M847" s="339"/>
      <c r="N847" s="339"/>
      <c r="O847" s="339"/>
      <c r="P847" s="339"/>
      <c r="Q847" s="340"/>
      <c r="R847" s="97"/>
      <c r="S847" s="97"/>
      <c r="T847" s="298"/>
      <c r="U847" s="97"/>
      <c r="V847" s="97"/>
      <c r="W847" s="97"/>
      <c r="X847" s="97"/>
      <c r="Y847" s="97"/>
      <c r="Z847" s="97"/>
      <c r="AA847" s="97"/>
    </row>
    <row r="848" ht="15.75" customHeight="1">
      <c r="A848" s="97"/>
      <c r="B848" s="336"/>
      <c r="C848" s="337"/>
      <c r="D848" s="97"/>
      <c r="E848" s="337"/>
      <c r="F848" s="338"/>
      <c r="G848" s="336"/>
      <c r="H848" s="337"/>
      <c r="I848" s="338"/>
      <c r="J848" s="97"/>
      <c r="K848" s="339"/>
      <c r="L848" s="339"/>
      <c r="M848" s="339"/>
      <c r="N848" s="339"/>
      <c r="O848" s="339"/>
      <c r="P848" s="339"/>
      <c r="Q848" s="340"/>
      <c r="R848" s="97"/>
      <c r="S848" s="97"/>
      <c r="T848" s="298"/>
      <c r="U848" s="97"/>
      <c r="V848" s="97"/>
      <c r="W848" s="97"/>
      <c r="X848" s="97"/>
      <c r="Y848" s="97"/>
      <c r="Z848" s="97"/>
      <c r="AA848" s="97"/>
    </row>
    <row r="849" ht="15.75" customHeight="1">
      <c r="A849" s="97"/>
      <c r="B849" s="336"/>
      <c r="C849" s="337"/>
      <c r="D849" s="97"/>
      <c r="E849" s="337"/>
      <c r="F849" s="338"/>
      <c r="G849" s="336"/>
      <c r="H849" s="337"/>
      <c r="I849" s="338"/>
      <c r="J849" s="97"/>
      <c r="K849" s="339"/>
      <c r="L849" s="339"/>
      <c r="M849" s="339"/>
      <c r="N849" s="339"/>
      <c r="O849" s="339"/>
      <c r="P849" s="339"/>
      <c r="Q849" s="340"/>
      <c r="R849" s="97"/>
      <c r="S849" s="97"/>
      <c r="T849" s="298"/>
      <c r="U849" s="97"/>
      <c r="V849" s="97"/>
      <c r="W849" s="97"/>
      <c r="X849" s="97"/>
      <c r="Y849" s="97"/>
      <c r="Z849" s="97"/>
      <c r="AA849" s="97"/>
    </row>
    <row r="850" ht="15.75" customHeight="1">
      <c r="A850" s="97"/>
      <c r="B850" s="336"/>
      <c r="C850" s="337"/>
      <c r="D850" s="97"/>
      <c r="E850" s="337"/>
      <c r="F850" s="338"/>
      <c r="G850" s="336"/>
      <c r="H850" s="337"/>
      <c r="I850" s="338"/>
      <c r="J850" s="97"/>
      <c r="K850" s="339"/>
      <c r="L850" s="339"/>
      <c r="M850" s="339"/>
      <c r="N850" s="339"/>
      <c r="O850" s="339"/>
      <c r="P850" s="339"/>
      <c r="Q850" s="340"/>
      <c r="R850" s="97"/>
      <c r="S850" s="97"/>
      <c r="T850" s="298"/>
      <c r="U850" s="97"/>
      <c r="V850" s="97"/>
      <c r="W850" s="97"/>
      <c r="X850" s="97"/>
      <c r="Y850" s="97"/>
      <c r="Z850" s="97"/>
      <c r="AA850" s="97"/>
    </row>
    <row r="851" ht="15.75" customHeight="1">
      <c r="A851" s="97"/>
      <c r="B851" s="336"/>
      <c r="C851" s="337"/>
      <c r="D851" s="97"/>
      <c r="E851" s="337"/>
      <c r="F851" s="338"/>
      <c r="G851" s="336"/>
      <c r="H851" s="337"/>
      <c r="I851" s="338"/>
      <c r="J851" s="97"/>
      <c r="K851" s="339"/>
      <c r="L851" s="339"/>
      <c r="M851" s="339"/>
      <c r="N851" s="339"/>
      <c r="O851" s="339"/>
      <c r="P851" s="339"/>
      <c r="Q851" s="340"/>
      <c r="R851" s="97"/>
      <c r="S851" s="97"/>
      <c r="T851" s="298"/>
      <c r="U851" s="97"/>
      <c r="V851" s="97"/>
      <c r="W851" s="97"/>
      <c r="X851" s="97"/>
      <c r="Y851" s="97"/>
      <c r="Z851" s="97"/>
      <c r="AA851" s="97"/>
    </row>
    <row r="852" ht="15.75" customHeight="1">
      <c r="A852" s="97"/>
      <c r="B852" s="336"/>
      <c r="C852" s="337"/>
      <c r="D852" s="97"/>
      <c r="E852" s="337"/>
      <c r="F852" s="338"/>
      <c r="G852" s="336"/>
      <c r="H852" s="337"/>
      <c r="I852" s="338"/>
      <c r="J852" s="97"/>
      <c r="K852" s="339"/>
      <c r="L852" s="339"/>
      <c r="M852" s="339"/>
      <c r="N852" s="339"/>
      <c r="O852" s="339"/>
      <c r="P852" s="339"/>
      <c r="Q852" s="340"/>
      <c r="R852" s="97"/>
      <c r="S852" s="97"/>
      <c r="T852" s="298"/>
      <c r="U852" s="97"/>
      <c r="V852" s="97"/>
      <c r="W852" s="97"/>
      <c r="X852" s="97"/>
      <c r="Y852" s="97"/>
      <c r="Z852" s="97"/>
      <c r="AA852" s="97"/>
    </row>
    <row r="853" ht="15.75" customHeight="1">
      <c r="A853" s="97"/>
      <c r="B853" s="336"/>
      <c r="C853" s="337"/>
      <c r="D853" s="97"/>
      <c r="E853" s="337"/>
      <c r="F853" s="338"/>
      <c r="G853" s="336"/>
      <c r="H853" s="337"/>
      <c r="I853" s="338"/>
      <c r="J853" s="97"/>
      <c r="K853" s="339"/>
      <c r="L853" s="339"/>
      <c r="M853" s="339"/>
      <c r="N853" s="339"/>
      <c r="O853" s="339"/>
      <c r="P853" s="339"/>
      <c r="Q853" s="340"/>
      <c r="R853" s="97"/>
      <c r="S853" s="97"/>
      <c r="T853" s="298"/>
      <c r="U853" s="97"/>
      <c r="V853" s="97"/>
      <c r="W853" s="97"/>
      <c r="X853" s="97"/>
      <c r="Y853" s="97"/>
      <c r="Z853" s="97"/>
      <c r="AA853" s="97"/>
    </row>
    <row r="854" ht="15.75" customHeight="1">
      <c r="A854" s="97"/>
      <c r="B854" s="336"/>
      <c r="C854" s="337"/>
      <c r="D854" s="97"/>
      <c r="E854" s="337"/>
      <c r="F854" s="338"/>
      <c r="G854" s="336"/>
      <c r="H854" s="337"/>
      <c r="I854" s="338"/>
      <c r="J854" s="97"/>
      <c r="K854" s="339"/>
      <c r="L854" s="339"/>
      <c r="M854" s="339"/>
      <c r="N854" s="339"/>
      <c r="O854" s="339"/>
      <c r="P854" s="339"/>
      <c r="Q854" s="340"/>
      <c r="R854" s="97"/>
      <c r="S854" s="97"/>
      <c r="T854" s="298"/>
      <c r="U854" s="97"/>
      <c r="V854" s="97"/>
      <c r="W854" s="97"/>
      <c r="X854" s="97"/>
      <c r="Y854" s="97"/>
      <c r="Z854" s="97"/>
      <c r="AA854" s="97"/>
    </row>
    <row r="855" ht="15.75" customHeight="1">
      <c r="A855" s="97"/>
      <c r="B855" s="336"/>
      <c r="C855" s="337"/>
      <c r="D855" s="97"/>
      <c r="E855" s="337"/>
      <c r="F855" s="338"/>
      <c r="G855" s="336"/>
      <c r="H855" s="337"/>
      <c r="I855" s="338"/>
      <c r="J855" s="97"/>
      <c r="K855" s="339"/>
      <c r="L855" s="339"/>
      <c r="M855" s="339"/>
      <c r="N855" s="339"/>
      <c r="O855" s="339"/>
      <c r="P855" s="339"/>
      <c r="Q855" s="340"/>
      <c r="R855" s="97"/>
      <c r="S855" s="97"/>
      <c r="T855" s="298"/>
      <c r="U855" s="97"/>
      <c r="V855" s="97"/>
      <c r="W855" s="97"/>
      <c r="X855" s="97"/>
      <c r="Y855" s="97"/>
      <c r="Z855" s="97"/>
      <c r="AA855" s="97"/>
    </row>
    <row r="856" ht="15.75" customHeight="1">
      <c r="A856" s="97"/>
      <c r="B856" s="336"/>
      <c r="C856" s="337"/>
      <c r="D856" s="97"/>
      <c r="E856" s="337"/>
      <c r="F856" s="338"/>
      <c r="G856" s="336"/>
      <c r="H856" s="337"/>
      <c r="I856" s="338"/>
      <c r="J856" s="97"/>
      <c r="K856" s="339"/>
      <c r="L856" s="339"/>
      <c r="M856" s="339"/>
      <c r="N856" s="339"/>
      <c r="O856" s="339"/>
      <c r="P856" s="339"/>
      <c r="Q856" s="340"/>
      <c r="R856" s="97"/>
      <c r="S856" s="97"/>
      <c r="T856" s="298"/>
      <c r="U856" s="97"/>
      <c r="V856" s="97"/>
      <c r="W856" s="97"/>
      <c r="X856" s="97"/>
      <c r="Y856" s="97"/>
      <c r="Z856" s="97"/>
      <c r="AA856" s="97"/>
    </row>
    <row r="857" ht="15.75" customHeight="1">
      <c r="A857" s="97"/>
      <c r="B857" s="336"/>
      <c r="C857" s="337"/>
      <c r="D857" s="97"/>
      <c r="E857" s="337"/>
      <c r="F857" s="338"/>
      <c r="G857" s="336"/>
      <c r="H857" s="337"/>
      <c r="I857" s="338"/>
      <c r="J857" s="97"/>
      <c r="K857" s="339"/>
      <c r="L857" s="339"/>
      <c r="M857" s="339"/>
      <c r="N857" s="339"/>
      <c r="O857" s="339"/>
      <c r="P857" s="339"/>
      <c r="Q857" s="340"/>
      <c r="R857" s="97"/>
      <c r="S857" s="97"/>
      <c r="T857" s="298"/>
      <c r="U857" s="97"/>
      <c r="V857" s="97"/>
      <c r="W857" s="97"/>
      <c r="X857" s="97"/>
      <c r="Y857" s="97"/>
      <c r="Z857" s="97"/>
      <c r="AA857" s="97"/>
    </row>
    <row r="858" ht="15.75" customHeight="1">
      <c r="A858" s="97"/>
      <c r="B858" s="336"/>
      <c r="C858" s="337"/>
      <c r="D858" s="97"/>
      <c r="E858" s="337"/>
      <c r="F858" s="338"/>
      <c r="G858" s="336"/>
      <c r="H858" s="337"/>
      <c r="I858" s="338"/>
      <c r="J858" s="97"/>
      <c r="K858" s="339"/>
      <c r="L858" s="339"/>
      <c r="M858" s="339"/>
      <c r="N858" s="339"/>
      <c r="O858" s="339"/>
      <c r="P858" s="339"/>
      <c r="Q858" s="340"/>
      <c r="R858" s="97"/>
      <c r="S858" s="97"/>
      <c r="T858" s="298"/>
      <c r="U858" s="97"/>
      <c r="V858" s="97"/>
      <c r="W858" s="97"/>
      <c r="X858" s="97"/>
      <c r="Y858" s="97"/>
      <c r="Z858" s="97"/>
      <c r="AA858" s="97"/>
    </row>
    <row r="859" ht="15.75" customHeight="1">
      <c r="A859" s="97"/>
      <c r="B859" s="336"/>
      <c r="C859" s="337"/>
      <c r="D859" s="97"/>
      <c r="E859" s="337"/>
      <c r="F859" s="338"/>
      <c r="G859" s="336"/>
      <c r="H859" s="337"/>
      <c r="I859" s="338"/>
      <c r="J859" s="97"/>
      <c r="K859" s="339"/>
      <c r="L859" s="339"/>
      <c r="M859" s="339"/>
      <c r="N859" s="339"/>
      <c r="O859" s="339"/>
      <c r="P859" s="339"/>
      <c r="Q859" s="340"/>
      <c r="R859" s="97"/>
      <c r="S859" s="97"/>
      <c r="T859" s="298"/>
      <c r="U859" s="97"/>
      <c r="V859" s="97"/>
      <c r="W859" s="97"/>
      <c r="X859" s="97"/>
      <c r="Y859" s="97"/>
      <c r="Z859" s="97"/>
      <c r="AA859" s="97"/>
    </row>
    <row r="860" ht="15.75" customHeight="1">
      <c r="A860" s="97"/>
      <c r="B860" s="336"/>
      <c r="C860" s="337"/>
      <c r="D860" s="97"/>
      <c r="E860" s="337"/>
      <c r="F860" s="338"/>
      <c r="G860" s="336"/>
      <c r="H860" s="337"/>
      <c r="I860" s="338"/>
      <c r="J860" s="97"/>
      <c r="K860" s="339"/>
      <c r="L860" s="339"/>
      <c r="M860" s="339"/>
      <c r="N860" s="339"/>
      <c r="O860" s="339"/>
      <c r="P860" s="339"/>
      <c r="Q860" s="340"/>
      <c r="R860" s="97"/>
      <c r="S860" s="97"/>
      <c r="T860" s="298"/>
      <c r="U860" s="97"/>
      <c r="V860" s="97"/>
      <c r="W860" s="97"/>
      <c r="X860" s="97"/>
      <c r="Y860" s="97"/>
      <c r="Z860" s="97"/>
      <c r="AA860" s="97"/>
    </row>
    <row r="861" ht="15.75" customHeight="1">
      <c r="A861" s="97"/>
      <c r="B861" s="336"/>
      <c r="C861" s="337"/>
      <c r="D861" s="97"/>
      <c r="E861" s="337"/>
      <c r="F861" s="338"/>
      <c r="G861" s="336"/>
      <c r="H861" s="337"/>
      <c r="I861" s="338"/>
      <c r="J861" s="97"/>
      <c r="K861" s="339"/>
      <c r="L861" s="339"/>
      <c r="M861" s="339"/>
      <c r="N861" s="339"/>
      <c r="O861" s="339"/>
      <c r="P861" s="339"/>
      <c r="Q861" s="340"/>
      <c r="R861" s="97"/>
      <c r="S861" s="97"/>
      <c r="T861" s="298"/>
      <c r="U861" s="97"/>
      <c r="V861" s="97"/>
      <c r="W861" s="97"/>
      <c r="X861" s="97"/>
      <c r="Y861" s="97"/>
      <c r="Z861" s="97"/>
      <c r="AA861" s="97"/>
    </row>
    <row r="862" ht="15.75" customHeight="1">
      <c r="A862" s="97"/>
      <c r="B862" s="336"/>
      <c r="C862" s="337"/>
      <c r="D862" s="97"/>
      <c r="E862" s="337"/>
      <c r="F862" s="338"/>
      <c r="G862" s="336"/>
      <c r="H862" s="337"/>
      <c r="I862" s="338"/>
      <c r="J862" s="97"/>
      <c r="K862" s="339"/>
      <c r="L862" s="339"/>
      <c r="M862" s="339"/>
      <c r="N862" s="339"/>
      <c r="O862" s="339"/>
      <c r="P862" s="339"/>
      <c r="Q862" s="340"/>
      <c r="R862" s="97"/>
      <c r="S862" s="97"/>
      <c r="T862" s="298"/>
      <c r="U862" s="97"/>
      <c r="V862" s="97"/>
      <c r="W862" s="97"/>
      <c r="X862" s="97"/>
      <c r="Y862" s="97"/>
      <c r="Z862" s="97"/>
      <c r="AA862" s="97"/>
    </row>
    <row r="863" ht="15.75" customHeight="1">
      <c r="A863" s="97"/>
      <c r="B863" s="336"/>
      <c r="C863" s="337"/>
      <c r="D863" s="97"/>
      <c r="E863" s="337"/>
      <c r="F863" s="338"/>
      <c r="G863" s="336"/>
      <c r="H863" s="337"/>
      <c r="I863" s="338"/>
      <c r="J863" s="97"/>
      <c r="K863" s="339"/>
      <c r="L863" s="339"/>
      <c r="M863" s="339"/>
      <c r="N863" s="339"/>
      <c r="O863" s="339"/>
      <c r="P863" s="339"/>
      <c r="Q863" s="340"/>
      <c r="R863" s="97"/>
      <c r="S863" s="97"/>
      <c r="T863" s="298"/>
      <c r="U863" s="97"/>
      <c r="V863" s="97"/>
      <c r="W863" s="97"/>
      <c r="X863" s="97"/>
      <c r="Y863" s="97"/>
      <c r="Z863" s="97"/>
      <c r="AA863" s="97"/>
    </row>
    <row r="864" ht="15.75" customHeight="1">
      <c r="A864" s="97"/>
      <c r="B864" s="336"/>
      <c r="C864" s="337"/>
      <c r="D864" s="97"/>
      <c r="E864" s="337"/>
      <c r="F864" s="338"/>
      <c r="G864" s="336"/>
      <c r="H864" s="337"/>
      <c r="I864" s="338"/>
      <c r="J864" s="97"/>
      <c r="K864" s="339"/>
      <c r="L864" s="339"/>
      <c r="M864" s="339"/>
      <c r="N864" s="339"/>
      <c r="O864" s="339"/>
      <c r="P864" s="339"/>
      <c r="Q864" s="340"/>
      <c r="R864" s="97"/>
      <c r="S864" s="97"/>
      <c r="T864" s="298"/>
      <c r="U864" s="97"/>
      <c r="V864" s="97"/>
      <c r="W864" s="97"/>
      <c r="X864" s="97"/>
      <c r="Y864" s="97"/>
      <c r="Z864" s="97"/>
      <c r="AA864" s="97"/>
    </row>
    <row r="865" ht="15.75" customHeight="1">
      <c r="A865" s="97"/>
      <c r="B865" s="336"/>
      <c r="C865" s="337"/>
      <c r="D865" s="97"/>
      <c r="E865" s="337"/>
      <c r="F865" s="338"/>
      <c r="G865" s="336"/>
      <c r="H865" s="337"/>
      <c r="I865" s="338"/>
      <c r="J865" s="97"/>
      <c r="K865" s="339"/>
      <c r="L865" s="339"/>
      <c r="M865" s="339"/>
      <c r="N865" s="339"/>
      <c r="O865" s="339"/>
      <c r="P865" s="339"/>
      <c r="Q865" s="340"/>
      <c r="R865" s="97"/>
      <c r="S865" s="97"/>
      <c r="T865" s="298"/>
      <c r="U865" s="97"/>
      <c r="V865" s="97"/>
      <c r="W865" s="97"/>
      <c r="X865" s="97"/>
      <c r="Y865" s="97"/>
      <c r="Z865" s="97"/>
      <c r="AA865" s="97"/>
    </row>
    <row r="866" ht="15.75" customHeight="1">
      <c r="A866" s="97"/>
      <c r="B866" s="336"/>
      <c r="C866" s="337"/>
      <c r="D866" s="97"/>
      <c r="E866" s="337"/>
      <c r="F866" s="338"/>
      <c r="G866" s="336"/>
      <c r="H866" s="337"/>
      <c r="I866" s="338"/>
      <c r="J866" s="97"/>
      <c r="K866" s="339"/>
      <c r="L866" s="339"/>
      <c r="M866" s="339"/>
      <c r="N866" s="339"/>
      <c r="O866" s="339"/>
      <c r="P866" s="339"/>
      <c r="Q866" s="340"/>
      <c r="R866" s="97"/>
      <c r="S866" s="97"/>
      <c r="T866" s="298"/>
      <c r="U866" s="97"/>
      <c r="V866" s="97"/>
      <c r="W866" s="97"/>
      <c r="X866" s="97"/>
      <c r="Y866" s="97"/>
      <c r="Z866" s="97"/>
      <c r="AA866" s="97"/>
    </row>
    <row r="867" ht="15.75" customHeight="1">
      <c r="A867" s="97"/>
      <c r="B867" s="336"/>
      <c r="C867" s="337"/>
      <c r="D867" s="97"/>
      <c r="E867" s="337"/>
      <c r="F867" s="338"/>
      <c r="G867" s="336"/>
      <c r="H867" s="337"/>
      <c r="I867" s="338"/>
      <c r="J867" s="97"/>
      <c r="K867" s="339"/>
      <c r="L867" s="339"/>
      <c r="M867" s="339"/>
      <c r="N867" s="339"/>
      <c r="O867" s="339"/>
      <c r="P867" s="339"/>
      <c r="Q867" s="340"/>
      <c r="R867" s="97"/>
      <c r="S867" s="97"/>
      <c r="T867" s="298"/>
      <c r="U867" s="97"/>
      <c r="V867" s="97"/>
      <c r="W867" s="97"/>
      <c r="X867" s="97"/>
      <c r="Y867" s="97"/>
      <c r="Z867" s="97"/>
      <c r="AA867" s="97"/>
    </row>
    <row r="868" ht="15.75" customHeight="1">
      <c r="A868" s="97"/>
      <c r="B868" s="336"/>
      <c r="C868" s="337"/>
      <c r="D868" s="97"/>
      <c r="E868" s="337"/>
      <c r="F868" s="338"/>
      <c r="G868" s="336"/>
      <c r="H868" s="337"/>
      <c r="I868" s="338"/>
      <c r="J868" s="97"/>
      <c r="K868" s="339"/>
      <c r="L868" s="339"/>
      <c r="M868" s="339"/>
      <c r="N868" s="339"/>
      <c r="O868" s="339"/>
      <c r="P868" s="339"/>
      <c r="Q868" s="340"/>
      <c r="R868" s="97"/>
      <c r="S868" s="97"/>
      <c r="T868" s="298"/>
      <c r="U868" s="97"/>
      <c r="V868" s="97"/>
      <c r="W868" s="97"/>
      <c r="X868" s="97"/>
      <c r="Y868" s="97"/>
      <c r="Z868" s="97"/>
      <c r="AA868" s="97"/>
    </row>
    <row r="869" ht="15.75" customHeight="1">
      <c r="A869" s="97"/>
      <c r="B869" s="336"/>
      <c r="C869" s="337"/>
      <c r="D869" s="97"/>
      <c r="E869" s="337"/>
      <c r="F869" s="338"/>
      <c r="G869" s="336"/>
      <c r="H869" s="337"/>
      <c r="I869" s="338"/>
      <c r="J869" s="97"/>
      <c r="K869" s="339"/>
      <c r="L869" s="339"/>
      <c r="M869" s="339"/>
      <c r="N869" s="339"/>
      <c r="O869" s="339"/>
      <c r="P869" s="339"/>
      <c r="Q869" s="340"/>
      <c r="R869" s="97"/>
      <c r="S869" s="97"/>
      <c r="T869" s="298"/>
      <c r="U869" s="97"/>
      <c r="V869" s="97"/>
      <c r="W869" s="97"/>
      <c r="X869" s="97"/>
      <c r="Y869" s="97"/>
      <c r="Z869" s="97"/>
      <c r="AA869" s="97"/>
    </row>
    <row r="870" ht="15.75" customHeight="1">
      <c r="A870" s="97"/>
      <c r="B870" s="336"/>
      <c r="C870" s="337"/>
      <c r="D870" s="97"/>
      <c r="E870" s="337"/>
      <c r="F870" s="338"/>
      <c r="G870" s="336"/>
      <c r="H870" s="337"/>
      <c r="I870" s="338"/>
      <c r="J870" s="97"/>
      <c r="K870" s="339"/>
      <c r="L870" s="339"/>
      <c r="M870" s="339"/>
      <c r="N870" s="339"/>
      <c r="O870" s="339"/>
      <c r="P870" s="339"/>
      <c r="Q870" s="340"/>
      <c r="R870" s="97"/>
      <c r="S870" s="97"/>
      <c r="T870" s="298"/>
      <c r="U870" s="97"/>
      <c r="V870" s="97"/>
      <c r="W870" s="97"/>
      <c r="X870" s="97"/>
      <c r="Y870" s="97"/>
      <c r="Z870" s="97"/>
      <c r="AA870" s="97"/>
    </row>
    <row r="871" ht="15.75" customHeight="1">
      <c r="A871" s="97"/>
      <c r="B871" s="336"/>
      <c r="C871" s="337"/>
      <c r="D871" s="97"/>
      <c r="E871" s="337"/>
      <c r="F871" s="338"/>
      <c r="G871" s="336"/>
      <c r="H871" s="337"/>
      <c r="I871" s="338"/>
      <c r="J871" s="97"/>
      <c r="K871" s="339"/>
      <c r="L871" s="339"/>
      <c r="M871" s="339"/>
      <c r="N871" s="339"/>
      <c r="O871" s="339"/>
      <c r="P871" s="339"/>
      <c r="Q871" s="340"/>
      <c r="R871" s="97"/>
      <c r="S871" s="97"/>
      <c r="T871" s="298"/>
      <c r="U871" s="97"/>
      <c r="V871" s="97"/>
      <c r="W871" s="97"/>
      <c r="X871" s="97"/>
      <c r="Y871" s="97"/>
      <c r="Z871" s="97"/>
      <c r="AA871" s="97"/>
    </row>
    <row r="872" ht="15.75" customHeight="1">
      <c r="A872" s="97"/>
      <c r="B872" s="336"/>
      <c r="C872" s="337"/>
      <c r="D872" s="97"/>
      <c r="E872" s="337"/>
      <c r="F872" s="338"/>
      <c r="G872" s="336"/>
      <c r="H872" s="337"/>
      <c r="I872" s="338"/>
      <c r="J872" s="97"/>
      <c r="K872" s="339"/>
      <c r="L872" s="339"/>
      <c r="M872" s="339"/>
      <c r="N872" s="339"/>
      <c r="O872" s="339"/>
      <c r="P872" s="339"/>
      <c r="Q872" s="340"/>
      <c r="R872" s="97"/>
      <c r="S872" s="97"/>
      <c r="T872" s="298"/>
      <c r="U872" s="97"/>
      <c r="V872" s="97"/>
      <c r="W872" s="97"/>
      <c r="X872" s="97"/>
      <c r="Y872" s="97"/>
      <c r="Z872" s="97"/>
      <c r="AA872" s="97"/>
    </row>
    <row r="873" ht="15.75" customHeight="1">
      <c r="A873" s="97"/>
      <c r="B873" s="336"/>
      <c r="C873" s="337"/>
      <c r="D873" s="97"/>
      <c r="E873" s="337"/>
      <c r="F873" s="338"/>
      <c r="G873" s="336"/>
      <c r="H873" s="337"/>
      <c r="I873" s="338"/>
      <c r="J873" s="97"/>
      <c r="K873" s="339"/>
      <c r="L873" s="339"/>
      <c r="M873" s="339"/>
      <c r="N873" s="339"/>
      <c r="O873" s="339"/>
      <c r="P873" s="339"/>
      <c r="Q873" s="340"/>
      <c r="R873" s="97"/>
      <c r="S873" s="97"/>
      <c r="T873" s="298"/>
      <c r="U873" s="97"/>
      <c r="V873" s="97"/>
      <c r="W873" s="97"/>
      <c r="X873" s="97"/>
      <c r="Y873" s="97"/>
      <c r="Z873" s="97"/>
      <c r="AA873" s="97"/>
    </row>
    <row r="874" ht="15.75" customHeight="1">
      <c r="A874" s="97"/>
      <c r="B874" s="336"/>
      <c r="C874" s="337"/>
      <c r="D874" s="97"/>
      <c r="E874" s="337"/>
      <c r="F874" s="338"/>
      <c r="G874" s="336"/>
      <c r="H874" s="337"/>
      <c r="I874" s="338"/>
      <c r="J874" s="97"/>
      <c r="K874" s="339"/>
      <c r="L874" s="339"/>
      <c r="M874" s="339"/>
      <c r="N874" s="339"/>
      <c r="O874" s="339"/>
      <c r="P874" s="339"/>
      <c r="Q874" s="340"/>
      <c r="R874" s="97"/>
      <c r="S874" s="97"/>
      <c r="T874" s="298"/>
      <c r="U874" s="97"/>
      <c r="V874" s="97"/>
      <c r="W874" s="97"/>
      <c r="X874" s="97"/>
      <c r="Y874" s="97"/>
      <c r="Z874" s="97"/>
      <c r="AA874" s="97"/>
    </row>
    <row r="875" ht="15.75" customHeight="1">
      <c r="A875" s="97"/>
      <c r="B875" s="336"/>
      <c r="C875" s="337"/>
      <c r="D875" s="97"/>
      <c r="E875" s="337"/>
      <c r="F875" s="338"/>
      <c r="G875" s="336"/>
      <c r="H875" s="337"/>
      <c r="I875" s="338"/>
      <c r="J875" s="97"/>
      <c r="K875" s="339"/>
      <c r="L875" s="339"/>
      <c r="M875" s="339"/>
      <c r="N875" s="339"/>
      <c r="O875" s="339"/>
      <c r="P875" s="339"/>
      <c r="Q875" s="340"/>
      <c r="R875" s="97"/>
      <c r="S875" s="97"/>
      <c r="T875" s="298"/>
      <c r="U875" s="97"/>
      <c r="V875" s="97"/>
      <c r="W875" s="97"/>
      <c r="X875" s="97"/>
      <c r="Y875" s="97"/>
      <c r="Z875" s="97"/>
      <c r="AA875" s="97"/>
    </row>
    <row r="876" ht="15.75" customHeight="1">
      <c r="A876" s="97"/>
      <c r="B876" s="336"/>
      <c r="C876" s="337"/>
      <c r="D876" s="97"/>
      <c r="E876" s="337"/>
      <c r="F876" s="338"/>
      <c r="G876" s="336"/>
      <c r="H876" s="337"/>
      <c r="I876" s="338"/>
      <c r="J876" s="97"/>
      <c r="K876" s="339"/>
      <c r="L876" s="339"/>
      <c r="M876" s="339"/>
      <c r="N876" s="339"/>
      <c r="O876" s="339"/>
      <c r="P876" s="339"/>
      <c r="Q876" s="340"/>
      <c r="R876" s="97"/>
      <c r="S876" s="97"/>
      <c r="T876" s="298"/>
      <c r="U876" s="97"/>
      <c r="V876" s="97"/>
      <c r="W876" s="97"/>
      <c r="X876" s="97"/>
      <c r="Y876" s="97"/>
      <c r="Z876" s="97"/>
      <c r="AA876" s="97"/>
    </row>
    <row r="877" ht="15.75" customHeight="1">
      <c r="A877" s="97"/>
      <c r="B877" s="336"/>
      <c r="C877" s="337"/>
      <c r="D877" s="97"/>
      <c r="E877" s="337"/>
      <c r="F877" s="338"/>
      <c r="G877" s="336"/>
      <c r="H877" s="337"/>
      <c r="I877" s="338"/>
      <c r="J877" s="97"/>
      <c r="K877" s="339"/>
      <c r="L877" s="339"/>
      <c r="M877" s="339"/>
      <c r="N877" s="339"/>
      <c r="O877" s="339"/>
      <c r="P877" s="339"/>
      <c r="Q877" s="340"/>
      <c r="R877" s="97"/>
      <c r="S877" s="97"/>
      <c r="T877" s="298"/>
      <c r="U877" s="97"/>
      <c r="V877" s="97"/>
      <c r="W877" s="97"/>
      <c r="X877" s="97"/>
      <c r="Y877" s="97"/>
      <c r="Z877" s="97"/>
      <c r="AA877" s="97"/>
    </row>
    <row r="878" ht="15.75" customHeight="1">
      <c r="A878" s="97"/>
      <c r="B878" s="336"/>
      <c r="C878" s="337"/>
      <c r="D878" s="97"/>
      <c r="E878" s="337"/>
      <c r="F878" s="338"/>
      <c r="G878" s="336"/>
      <c r="H878" s="337"/>
      <c r="I878" s="338"/>
      <c r="J878" s="97"/>
      <c r="K878" s="339"/>
      <c r="L878" s="339"/>
      <c r="M878" s="339"/>
      <c r="N878" s="339"/>
      <c r="O878" s="339"/>
      <c r="P878" s="339"/>
      <c r="Q878" s="340"/>
      <c r="R878" s="97"/>
      <c r="S878" s="97"/>
      <c r="T878" s="298"/>
      <c r="U878" s="97"/>
      <c r="V878" s="97"/>
      <c r="W878" s="97"/>
      <c r="X878" s="97"/>
      <c r="Y878" s="97"/>
      <c r="Z878" s="97"/>
      <c r="AA878" s="97"/>
    </row>
    <row r="879" ht="15.75" customHeight="1">
      <c r="A879" s="97"/>
      <c r="B879" s="336"/>
      <c r="C879" s="337"/>
      <c r="D879" s="97"/>
      <c r="E879" s="337"/>
      <c r="F879" s="338"/>
      <c r="G879" s="336"/>
      <c r="H879" s="337"/>
      <c r="I879" s="338"/>
      <c r="J879" s="97"/>
      <c r="K879" s="339"/>
      <c r="L879" s="339"/>
      <c r="M879" s="339"/>
      <c r="N879" s="339"/>
      <c r="O879" s="339"/>
      <c r="P879" s="339"/>
      <c r="Q879" s="340"/>
      <c r="R879" s="97"/>
      <c r="S879" s="97"/>
      <c r="T879" s="298"/>
      <c r="U879" s="97"/>
      <c r="V879" s="97"/>
      <c r="W879" s="97"/>
      <c r="X879" s="97"/>
      <c r="Y879" s="97"/>
      <c r="Z879" s="97"/>
      <c r="AA879" s="97"/>
    </row>
    <row r="880" ht="15.75" customHeight="1">
      <c r="A880" s="97"/>
      <c r="B880" s="336"/>
      <c r="C880" s="337"/>
      <c r="D880" s="97"/>
      <c r="E880" s="337"/>
      <c r="F880" s="338"/>
      <c r="G880" s="336"/>
      <c r="H880" s="337"/>
      <c r="I880" s="338"/>
      <c r="J880" s="97"/>
      <c r="K880" s="339"/>
      <c r="L880" s="339"/>
      <c r="M880" s="339"/>
      <c r="N880" s="339"/>
      <c r="O880" s="339"/>
      <c r="P880" s="339"/>
      <c r="Q880" s="340"/>
      <c r="R880" s="97"/>
      <c r="S880" s="97"/>
      <c r="T880" s="298"/>
      <c r="U880" s="97"/>
      <c r="V880" s="97"/>
      <c r="W880" s="97"/>
      <c r="X880" s="97"/>
      <c r="Y880" s="97"/>
      <c r="Z880" s="97"/>
      <c r="AA880" s="97"/>
    </row>
    <row r="881" ht="15.75" customHeight="1">
      <c r="A881" s="97"/>
      <c r="B881" s="336"/>
      <c r="C881" s="337"/>
      <c r="D881" s="97"/>
      <c r="E881" s="337"/>
      <c r="F881" s="338"/>
      <c r="G881" s="336"/>
      <c r="H881" s="337"/>
      <c r="I881" s="338"/>
      <c r="J881" s="97"/>
      <c r="K881" s="339"/>
      <c r="L881" s="339"/>
      <c r="M881" s="339"/>
      <c r="N881" s="339"/>
      <c r="O881" s="339"/>
      <c r="P881" s="339"/>
      <c r="Q881" s="340"/>
      <c r="R881" s="97"/>
      <c r="S881" s="97"/>
      <c r="T881" s="298"/>
      <c r="U881" s="97"/>
      <c r="V881" s="97"/>
      <c r="W881" s="97"/>
      <c r="X881" s="97"/>
      <c r="Y881" s="97"/>
      <c r="Z881" s="97"/>
      <c r="AA881" s="97"/>
    </row>
    <row r="882" ht="15.75" customHeight="1">
      <c r="A882" s="97"/>
      <c r="B882" s="336"/>
      <c r="C882" s="337"/>
      <c r="D882" s="97"/>
      <c r="E882" s="337"/>
      <c r="F882" s="338"/>
      <c r="G882" s="336"/>
      <c r="H882" s="337"/>
      <c r="I882" s="338"/>
      <c r="J882" s="97"/>
      <c r="K882" s="339"/>
      <c r="L882" s="339"/>
      <c r="M882" s="339"/>
      <c r="N882" s="339"/>
      <c r="O882" s="339"/>
      <c r="P882" s="339"/>
      <c r="Q882" s="340"/>
      <c r="R882" s="97"/>
      <c r="S882" s="97"/>
      <c r="T882" s="298"/>
      <c r="U882" s="97"/>
      <c r="V882" s="97"/>
      <c r="W882" s="97"/>
      <c r="X882" s="97"/>
      <c r="Y882" s="97"/>
      <c r="Z882" s="97"/>
      <c r="AA882" s="97"/>
    </row>
    <row r="883" ht="15.75" customHeight="1">
      <c r="A883" s="97"/>
      <c r="B883" s="336"/>
      <c r="C883" s="337"/>
      <c r="D883" s="97"/>
      <c r="E883" s="337"/>
      <c r="F883" s="338"/>
      <c r="G883" s="336"/>
      <c r="H883" s="337"/>
      <c r="I883" s="338"/>
      <c r="J883" s="97"/>
      <c r="K883" s="339"/>
      <c r="L883" s="339"/>
      <c r="M883" s="339"/>
      <c r="N883" s="339"/>
      <c r="O883" s="339"/>
      <c r="P883" s="339"/>
      <c r="Q883" s="340"/>
      <c r="R883" s="97"/>
      <c r="S883" s="97"/>
      <c r="T883" s="298"/>
      <c r="U883" s="97"/>
      <c r="V883" s="97"/>
      <c r="W883" s="97"/>
      <c r="X883" s="97"/>
      <c r="Y883" s="97"/>
      <c r="Z883" s="97"/>
      <c r="AA883" s="97"/>
    </row>
    <row r="884" ht="15.75" customHeight="1">
      <c r="A884" s="97"/>
      <c r="B884" s="336"/>
      <c r="C884" s="337"/>
      <c r="D884" s="97"/>
      <c r="E884" s="337"/>
      <c r="F884" s="338"/>
      <c r="G884" s="336"/>
      <c r="H884" s="337"/>
      <c r="I884" s="338"/>
      <c r="J884" s="97"/>
      <c r="K884" s="339"/>
      <c r="L884" s="339"/>
      <c r="M884" s="339"/>
      <c r="N884" s="339"/>
      <c r="O884" s="339"/>
      <c r="P884" s="339"/>
      <c r="Q884" s="340"/>
      <c r="R884" s="97"/>
      <c r="S884" s="97"/>
      <c r="T884" s="298"/>
      <c r="U884" s="97"/>
      <c r="V884" s="97"/>
      <c r="W884" s="97"/>
      <c r="X884" s="97"/>
      <c r="Y884" s="97"/>
      <c r="Z884" s="97"/>
      <c r="AA884" s="97"/>
    </row>
    <row r="885" ht="15.75" customHeight="1">
      <c r="A885" s="97"/>
      <c r="B885" s="336"/>
      <c r="C885" s="337"/>
      <c r="D885" s="97"/>
      <c r="E885" s="337"/>
      <c r="F885" s="338"/>
      <c r="G885" s="336"/>
      <c r="H885" s="337"/>
      <c r="I885" s="338"/>
      <c r="J885" s="97"/>
      <c r="K885" s="339"/>
      <c r="L885" s="339"/>
      <c r="M885" s="339"/>
      <c r="N885" s="339"/>
      <c r="O885" s="339"/>
      <c r="P885" s="339"/>
      <c r="Q885" s="340"/>
      <c r="R885" s="97"/>
      <c r="S885" s="97"/>
      <c r="T885" s="298"/>
      <c r="U885" s="97"/>
      <c r="V885" s="97"/>
      <c r="W885" s="97"/>
      <c r="X885" s="97"/>
      <c r="Y885" s="97"/>
      <c r="Z885" s="97"/>
      <c r="AA885" s="97"/>
    </row>
    <row r="886" ht="15.75" customHeight="1">
      <c r="A886" s="97"/>
      <c r="B886" s="336"/>
      <c r="C886" s="337"/>
      <c r="D886" s="97"/>
      <c r="E886" s="337"/>
      <c r="F886" s="338"/>
      <c r="G886" s="336"/>
      <c r="H886" s="337"/>
      <c r="I886" s="338"/>
      <c r="J886" s="97"/>
      <c r="K886" s="339"/>
      <c r="L886" s="339"/>
      <c r="M886" s="339"/>
      <c r="N886" s="339"/>
      <c r="O886" s="339"/>
      <c r="P886" s="339"/>
      <c r="Q886" s="340"/>
      <c r="R886" s="97"/>
      <c r="S886" s="97"/>
      <c r="T886" s="298"/>
      <c r="U886" s="97"/>
      <c r="V886" s="97"/>
      <c r="W886" s="97"/>
      <c r="X886" s="97"/>
      <c r="Y886" s="97"/>
      <c r="Z886" s="97"/>
      <c r="AA886" s="97"/>
    </row>
    <row r="887" ht="15.75" customHeight="1">
      <c r="A887" s="97"/>
      <c r="B887" s="336"/>
      <c r="C887" s="337"/>
      <c r="D887" s="97"/>
      <c r="E887" s="337"/>
      <c r="F887" s="338"/>
      <c r="G887" s="336"/>
      <c r="H887" s="337"/>
      <c r="I887" s="338"/>
      <c r="J887" s="97"/>
      <c r="K887" s="339"/>
      <c r="L887" s="339"/>
      <c r="M887" s="339"/>
      <c r="N887" s="339"/>
      <c r="O887" s="339"/>
      <c r="P887" s="339"/>
      <c r="Q887" s="340"/>
      <c r="R887" s="97"/>
      <c r="S887" s="97"/>
      <c r="T887" s="298"/>
      <c r="U887" s="97"/>
      <c r="V887" s="97"/>
      <c r="W887" s="97"/>
      <c r="X887" s="97"/>
      <c r="Y887" s="97"/>
      <c r="Z887" s="97"/>
      <c r="AA887" s="97"/>
    </row>
    <row r="888" ht="15.75" customHeight="1">
      <c r="A888" s="97"/>
      <c r="B888" s="336"/>
      <c r="C888" s="337"/>
      <c r="D888" s="97"/>
      <c r="E888" s="337"/>
      <c r="F888" s="338"/>
      <c r="G888" s="336"/>
      <c r="H888" s="337"/>
      <c r="I888" s="338"/>
      <c r="J888" s="97"/>
      <c r="K888" s="339"/>
      <c r="L888" s="339"/>
      <c r="M888" s="339"/>
      <c r="N888" s="339"/>
      <c r="O888" s="339"/>
      <c r="P888" s="339"/>
      <c r="Q888" s="340"/>
      <c r="R888" s="97"/>
      <c r="S888" s="97"/>
      <c r="T888" s="298"/>
      <c r="U888" s="97"/>
      <c r="V888" s="97"/>
      <c r="W888" s="97"/>
      <c r="X888" s="97"/>
      <c r="Y888" s="97"/>
      <c r="Z888" s="97"/>
      <c r="AA888" s="97"/>
    </row>
    <row r="889" ht="15.75" customHeight="1">
      <c r="A889" s="97"/>
      <c r="B889" s="336"/>
      <c r="C889" s="337"/>
      <c r="D889" s="97"/>
      <c r="E889" s="337"/>
      <c r="F889" s="338"/>
      <c r="G889" s="336"/>
      <c r="H889" s="337"/>
      <c r="I889" s="338"/>
      <c r="J889" s="97"/>
      <c r="K889" s="339"/>
      <c r="L889" s="339"/>
      <c r="M889" s="339"/>
      <c r="N889" s="339"/>
      <c r="O889" s="339"/>
      <c r="P889" s="339"/>
      <c r="Q889" s="340"/>
      <c r="R889" s="97"/>
      <c r="S889" s="97"/>
      <c r="T889" s="298"/>
      <c r="U889" s="97"/>
      <c r="V889" s="97"/>
      <c r="W889" s="97"/>
      <c r="X889" s="97"/>
      <c r="Y889" s="97"/>
      <c r="Z889" s="97"/>
      <c r="AA889" s="97"/>
    </row>
    <row r="890" ht="15.75" customHeight="1">
      <c r="A890" s="97"/>
      <c r="B890" s="336"/>
      <c r="C890" s="337"/>
      <c r="D890" s="97"/>
      <c r="E890" s="337"/>
      <c r="F890" s="338"/>
      <c r="G890" s="336"/>
      <c r="H890" s="337"/>
      <c r="I890" s="338"/>
      <c r="J890" s="97"/>
      <c r="K890" s="339"/>
      <c r="L890" s="339"/>
      <c r="M890" s="339"/>
      <c r="N890" s="339"/>
      <c r="O890" s="339"/>
      <c r="P890" s="339"/>
      <c r="Q890" s="340"/>
      <c r="R890" s="97"/>
      <c r="S890" s="97"/>
      <c r="T890" s="298"/>
      <c r="U890" s="97"/>
      <c r="V890" s="97"/>
      <c r="W890" s="97"/>
      <c r="X890" s="97"/>
      <c r="Y890" s="97"/>
      <c r="Z890" s="97"/>
      <c r="AA890" s="97"/>
    </row>
    <row r="891" ht="15.75" customHeight="1">
      <c r="A891" s="97"/>
      <c r="B891" s="336"/>
      <c r="C891" s="337"/>
      <c r="D891" s="97"/>
      <c r="E891" s="337"/>
      <c r="F891" s="338"/>
      <c r="G891" s="336"/>
      <c r="H891" s="337"/>
      <c r="I891" s="338"/>
      <c r="J891" s="97"/>
      <c r="K891" s="339"/>
      <c r="L891" s="339"/>
      <c r="M891" s="339"/>
      <c r="N891" s="339"/>
      <c r="O891" s="339"/>
      <c r="P891" s="339"/>
      <c r="Q891" s="340"/>
      <c r="R891" s="97"/>
      <c r="S891" s="97"/>
      <c r="T891" s="298"/>
      <c r="U891" s="97"/>
      <c r="V891" s="97"/>
      <c r="W891" s="97"/>
      <c r="X891" s="97"/>
      <c r="Y891" s="97"/>
      <c r="Z891" s="97"/>
      <c r="AA891" s="97"/>
    </row>
    <row r="892" ht="15.75" customHeight="1">
      <c r="A892" s="97"/>
      <c r="B892" s="336"/>
      <c r="C892" s="337"/>
      <c r="D892" s="97"/>
      <c r="E892" s="337"/>
      <c r="F892" s="338"/>
      <c r="G892" s="336"/>
      <c r="H892" s="337"/>
      <c r="I892" s="338"/>
      <c r="J892" s="97"/>
      <c r="K892" s="339"/>
      <c r="L892" s="339"/>
      <c r="M892" s="339"/>
      <c r="N892" s="339"/>
      <c r="O892" s="339"/>
      <c r="P892" s="339"/>
      <c r="Q892" s="340"/>
      <c r="R892" s="97"/>
      <c r="S892" s="97"/>
      <c r="T892" s="298"/>
      <c r="U892" s="97"/>
      <c r="V892" s="97"/>
      <c r="W892" s="97"/>
      <c r="X892" s="97"/>
      <c r="Y892" s="97"/>
      <c r="Z892" s="97"/>
      <c r="AA892" s="97"/>
    </row>
    <row r="893" ht="15.75" customHeight="1">
      <c r="A893" s="97"/>
      <c r="B893" s="336"/>
      <c r="C893" s="337"/>
      <c r="D893" s="97"/>
      <c r="E893" s="337"/>
      <c r="F893" s="338"/>
      <c r="G893" s="336"/>
      <c r="H893" s="337"/>
      <c r="I893" s="338"/>
      <c r="J893" s="97"/>
      <c r="K893" s="339"/>
      <c r="L893" s="339"/>
      <c r="M893" s="339"/>
      <c r="N893" s="339"/>
      <c r="O893" s="339"/>
      <c r="P893" s="339"/>
      <c r="Q893" s="340"/>
      <c r="R893" s="97"/>
      <c r="S893" s="97"/>
      <c r="T893" s="298"/>
      <c r="U893" s="97"/>
      <c r="V893" s="97"/>
      <c r="W893" s="97"/>
      <c r="X893" s="97"/>
      <c r="Y893" s="97"/>
      <c r="Z893" s="97"/>
      <c r="AA893" s="97"/>
    </row>
    <row r="894" ht="15.75" customHeight="1">
      <c r="A894" s="97"/>
      <c r="B894" s="336"/>
      <c r="C894" s="337"/>
      <c r="D894" s="97"/>
      <c r="E894" s="337"/>
      <c r="F894" s="338"/>
      <c r="G894" s="336"/>
      <c r="H894" s="337"/>
      <c r="I894" s="338"/>
      <c r="J894" s="97"/>
      <c r="K894" s="339"/>
      <c r="L894" s="339"/>
      <c r="M894" s="339"/>
      <c r="N894" s="339"/>
      <c r="O894" s="339"/>
      <c r="P894" s="339"/>
      <c r="Q894" s="340"/>
      <c r="R894" s="97"/>
      <c r="S894" s="97"/>
      <c r="T894" s="298"/>
      <c r="U894" s="97"/>
      <c r="V894" s="97"/>
      <c r="W894" s="97"/>
      <c r="X894" s="97"/>
      <c r="Y894" s="97"/>
      <c r="Z894" s="97"/>
      <c r="AA894" s="97"/>
    </row>
    <row r="895" ht="15.75" customHeight="1">
      <c r="A895" s="97"/>
      <c r="B895" s="336"/>
      <c r="C895" s="337"/>
      <c r="D895" s="97"/>
      <c r="E895" s="337"/>
      <c r="F895" s="338"/>
      <c r="G895" s="336"/>
      <c r="H895" s="337"/>
      <c r="I895" s="338"/>
      <c r="J895" s="97"/>
      <c r="K895" s="339"/>
      <c r="L895" s="339"/>
      <c r="M895" s="339"/>
      <c r="N895" s="339"/>
      <c r="O895" s="339"/>
      <c r="P895" s="339"/>
      <c r="Q895" s="340"/>
      <c r="R895" s="97"/>
      <c r="S895" s="97"/>
      <c r="T895" s="298"/>
      <c r="U895" s="97"/>
      <c r="V895" s="97"/>
      <c r="W895" s="97"/>
      <c r="X895" s="97"/>
      <c r="Y895" s="97"/>
      <c r="Z895" s="97"/>
      <c r="AA895" s="97"/>
    </row>
    <row r="896" ht="15.75" customHeight="1">
      <c r="A896" s="97"/>
      <c r="B896" s="336"/>
      <c r="C896" s="337"/>
      <c r="D896" s="97"/>
      <c r="E896" s="337"/>
      <c r="F896" s="338"/>
      <c r="G896" s="336"/>
      <c r="H896" s="337"/>
      <c r="I896" s="338"/>
      <c r="J896" s="97"/>
      <c r="K896" s="339"/>
      <c r="L896" s="339"/>
      <c r="M896" s="339"/>
      <c r="N896" s="339"/>
      <c r="O896" s="339"/>
      <c r="P896" s="339"/>
      <c r="Q896" s="340"/>
      <c r="R896" s="97"/>
      <c r="S896" s="97"/>
      <c r="T896" s="298"/>
      <c r="U896" s="97"/>
      <c r="V896" s="97"/>
      <c r="W896" s="97"/>
      <c r="X896" s="97"/>
      <c r="Y896" s="97"/>
      <c r="Z896" s="97"/>
      <c r="AA896" s="97"/>
    </row>
    <row r="897" ht="15.75" customHeight="1">
      <c r="A897" s="97"/>
      <c r="B897" s="336"/>
      <c r="C897" s="337"/>
      <c r="D897" s="97"/>
      <c r="E897" s="337"/>
      <c r="F897" s="338"/>
      <c r="G897" s="336"/>
      <c r="H897" s="337"/>
      <c r="I897" s="338"/>
      <c r="J897" s="97"/>
      <c r="K897" s="339"/>
      <c r="L897" s="339"/>
      <c r="M897" s="339"/>
      <c r="N897" s="339"/>
      <c r="O897" s="339"/>
      <c r="P897" s="339"/>
      <c r="Q897" s="340"/>
      <c r="R897" s="97"/>
      <c r="S897" s="97"/>
      <c r="T897" s="298"/>
      <c r="U897" s="97"/>
      <c r="V897" s="97"/>
      <c r="W897" s="97"/>
      <c r="X897" s="97"/>
      <c r="Y897" s="97"/>
      <c r="Z897" s="97"/>
      <c r="AA897" s="97"/>
    </row>
    <row r="898" ht="15.75" customHeight="1">
      <c r="A898" s="97"/>
      <c r="B898" s="336"/>
      <c r="C898" s="337"/>
      <c r="D898" s="97"/>
      <c r="E898" s="337"/>
      <c r="F898" s="338"/>
      <c r="G898" s="336"/>
      <c r="H898" s="337"/>
      <c r="I898" s="338"/>
      <c r="J898" s="97"/>
      <c r="K898" s="339"/>
      <c r="L898" s="339"/>
      <c r="M898" s="339"/>
      <c r="N898" s="339"/>
      <c r="O898" s="339"/>
      <c r="P898" s="339"/>
      <c r="Q898" s="340"/>
      <c r="R898" s="97"/>
      <c r="S898" s="97"/>
      <c r="T898" s="298"/>
      <c r="U898" s="97"/>
      <c r="V898" s="97"/>
      <c r="W898" s="97"/>
      <c r="X898" s="97"/>
      <c r="Y898" s="97"/>
      <c r="Z898" s="97"/>
      <c r="AA898" s="97"/>
    </row>
    <row r="899" ht="15.75" customHeight="1">
      <c r="A899" s="97"/>
      <c r="B899" s="336"/>
      <c r="C899" s="337"/>
      <c r="D899" s="97"/>
      <c r="E899" s="337"/>
      <c r="F899" s="338"/>
      <c r="G899" s="336"/>
      <c r="H899" s="337"/>
      <c r="I899" s="338"/>
      <c r="J899" s="97"/>
      <c r="K899" s="339"/>
      <c r="L899" s="339"/>
      <c r="M899" s="339"/>
      <c r="N899" s="339"/>
      <c r="O899" s="339"/>
      <c r="P899" s="339"/>
      <c r="Q899" s="340"/>
      <c r="R899" s="97"/>
      <c r="S899" s="97"/>
      <c r="T899" s="298"/>
      <c r="U899" s="97"/>
      <c r="V899" s="97"/>
      <c r="W899" s="97"/>
      <c r="X899" s="97"/>
      <c r="Y899" s="97"/>
      <c r="Z899" s="97"/>
      <c r="AA899" s="97"/>
    </row>
    <row r="900" ht="15.75" customHeight="1">
      <c r="A900" s="97"/>
      <c r="B900" s="336"/>
      <c r="C900" s="337"/>
      <c r="D900" s="97"/>
      <c r="E900" s="337"/>
      <c r="F900" s="338"/>
      <c r="G900" s="336"/>
      <c r="H900" s="337"/>
      <c r="I900" s="338"/>
      <c r="J900" s="97"/>
      <c r="K900" s="339"/>
      <c r="L900" s="339"/>
      <c r="M900" s="339"/>
      <c r="N900" s="339"/>
      <c r="O900" s="339"/>
      <c r="P900" s="339"/>
      <c r="Q900" s="340"/>
      <c r="R900" s="97"/>
      <c r="S900" s="97"/>
      <c r="T900" s="298"/>
      <c r="U900" s="97"/>
      <c r="V900" s="97"/>
      <c r="W900" s="97"/>
      <c r="X900" s="97"/>
      <c r="Y900" s="97"/>
      <c r="Z900" s="97"/>
      <c r="AA900" s="97"/>
    </row>
    <row r="901" ht="15.75" customHeight="1">
      <c r="A901" s="97"/>
      <c r="B901" s="336"/>
      <c r="C901" s="337"/>
      <c r="D901" s="97"/>
      <c r="E901" s="337"/>
      <c r="F901" s="338"/>
      <c r="G901" s="336"/>
      <c r="H901" s="337"/>
      <c r="I901" s="338"/>
      <c r="J901" s="97"/>
      <c r="K901" s="339"/>
      <c r="L901" s="339"/>
      <c r="M901" s="339"/>
      <c r="N901" s="339"/>
      <c r="O901" s="339"/>
      <c r="P901" s="339"/>
      <c r="Q901" s="340"/>
      <c r="R901" s="97"/>
      <c r="S901" s="97"/>
      <c r="T901" s="298"/>
      <c r="U901" s="97"/>
      <c r="V901" s="97"/>
      <c r="W901" s="97"/>
      <c r="X901" s="97"/>
      <c r="Y901" s="97"/>
      <c r="Z901" s="97"/>
      <c r="AA901" s="97"/>
    </row>
    <row r="902" ht="15.75" customHeight="1">
      <c r="A902" s="97"/>
      <c r="B902" s="336"/>
      <c r="C902" s="337"/>
      <c r="D902" s="97"/>
      <c r="E902" s="337"/>
      <c r="F902" s="338"/>
      <c r="G902" s="336"/>
      <c r="H902" s="337"/>
      <c r="I902" s="338"/>
      <c r="J902" s="97"/>
      <c r="K902" s="339"/>
      <c r="L902" s="339"/>
      <c r="M902" s="339"/>
      <c r="N902" s="339"/>
      <c r="O902" s="339"/>
      <c r="P902" s="339"/>
      <c r="Q902" s="340"/>
      <c r="R902" s="97"/>
      <c r="S902" s="97"/>
      <c r="T902" s="298"/>
      <c r="U902" s="97"/>
      <c r="V902" s="97"/>
      <c r="W902" s="97"/>
      <c r="X902" s="97"/>
      <c r="Y902" s="97"/>
      <c r="Z902" s="97"/>
      <c r="AA902" s="97"/>
    </row>
    <row r="903" ht="15.75" customHeight="1">
      <c r="A903" s="97"/>
      <c r="B903" s="336"/>
      <c r="C903" s="337"/>
      <c r="D903" s="97"/>
      <c r="E903" s="337"/>
      <c r="F903" s="338"/>
      <c r="G903" s="336"/>
      <c r="H903" s="337"/>
      <c r="I903" s="338"/>
      <c r="J903" s="97"/>
      <c r="K903" s="339"/>
      <c r="L903" s="339"/>
      <c r="M903" s="339"/>
      <c r="N903" s="339"/>
      <c r="O903" s="339"/>
      <c r="P903" s="339"/>
      <c r="Q903" s="340"/>
      <c r="R903" s="97"/>
      <c r="S903" s="97"/>
      <c r="T903" s="298"/>
      <c r="U903" s="97"/>
      <c r="V903" s="97"/>
      <c r="W903" s="97"/>
      <c r="X903" s="97"/>
      <c r="Y903" s="97"/>
      <c r="Z903" s="97"/>
      <c r="AA903" s="97"/>
    </row>
    <row r="904" ht="15.75" customHeight="1">
      <c r="A904" s="97"/>
      <c r="B904" s="336"/>
      <c r="C904" s="337"/>
      <c r="D904" s="97"/>
      <c r="E904" s="337"/>
      <c r="F904" s="338"/>
      <c r="G904" s="336"/>
      <c r="H904" s="337"/>
      <c r="I904" s="338"/>
      <c r="J904" s="97"/>
      <c r="K904" s="339"/>
      <c r="L904" s="339"/>
      <c r="M904" s="339"/>
      <c r="N904" s="339"/>
      <c r="O904" s="339"/>
      <c r="P904" s="339"/>
      <c r="Q904" s="340"/>
      <c r="R904" s="97"/>
      <c r="S904" s="97"/>
      <c r="T904" s="298"/>
      <c r="U904" s="97"/>
      <c r="V904" s="97"/>
      <c r="W904" s="97"/>
      <c r="X904" s="97"/>
      <c r="Y904" s="97"/>
      <c r="Z904" s="97"/>
      <c r="AA904" s="97"/>
    </row>
    <row r="905" ht="15.75" customHeight="1">
      <c r="A905" s="97"/>
      <c r="B905" s="336"/>
      <c r="C905" s="337"/>
      <c r="D905" s="97"/>
      <c r="E905" s="337"/>
      <c r="F905" s="338"/>
      <c r="G905" s="336"/>
      <c r="H905" s="337"/>
      <c r="I905" s="338"/>
      <c r="J905" s="97"/>
      <c r="K905" s="339"/>
      <c r="L905" s="339"/>
      <c r="M905" s="339"/>
      <c r="N905" s="339"/>
      <c r="O905" s="339"/>
      <c r="P905" s="339"/>
      <c r="Q905" s="340"/>
      <c r="R905" s="97"/>
      <c r="S905" s="97"/>
      <c r="T905" s="298"/>
      <c r="U905" s="97"/>
      <c r="V905" s="97"/>
      <c r="W905" s="97"/>
      <c r="X905" s="97"/>
      <c r="Y905" s="97"/>
      <c r="Z905" s="97"/>
      <c r="AA905" s="97"/>
    </row>
    <row r="906" ht="15.75" customHeight="1">
      <c r="A906" s="97"/>
      <c r="B906" s="336"/>
      <c r="C906" s="337"/>
      <c r="D906" s="97"/>
      <c r="E906" s="337"/>
      <c r="F906" s="338"/>
      <c r="G906" s="336"/>
      <c r="H906" s="337"/>
      <c r="I906" s="338"/>
      <c r="J906" s="97"/>
      <c r="K906" s="339"/>
      <c r="L906" s="339"/>
      <c r="M906" s="339"/>
      <c r="N906" s="339"/>
      <c r="O906" s="339"/>
      <c r="P906" s="339"/>
      <c r="Q906" s="340"/>
      <c r="R906" s="97"/>
      <c r="S906" s="97"/>
      <c r="T906" s="298"/>
      <c r="U906" s="97"/>
      <c r="V906" s="97"/>
      <c r="W906" s="97"/>
      <c r="X906" s="97"/>
      <c r="Y906" s="97"/>
      <c r="Z906" s="97"/>
      <c r="AA906" s="97"/>
    </row>
    <row r="907" ht="15.75" customHeight="1">
      <c r="A907" s="97"/>
      <c r="B907" s="336"/>
      <c r="C907" s="337"/>
      <c r="D907" s="97"/>
      <c r="E907" s="337"/>
      <c r="F907" s="338"/>
      <c r="G907" s="336"/>
      <c r="H907" s="337"/>
      <c r="I907" s="338"/>
      <c r="J907" s="97"/>
      <c r="K907" s="339"/>
      <c r="L907" s="339"/>
      <c r="M907" s="339"/>
      <c r="N907" s="339"/>
      <c r="O907" s="339"/>
      <c r="P907" s="339"/>
      <c r="Q907" s="340"/>
      <c r="R907" s="97"/>
      <c r="S907" s="97"/>
      <c r="T907" s="298"/>
      <c r="U907" s="97"/>
      <c r="V907" s="97"/>
      <c r="W907" s="97"/>
      <c r="X907" s="97"/>
      <c r="Y907" s="97"/>
      <c r="Z907" s="97"/>
      <c r="AA907" s="97"/>
    </row>
    <row r="908" ht="15.75" customHeight="1">
      <c r="A908" s="97"/>
      <c r="B908" s="336"/>
      <c r="C908" s="337"/>
      <c r="D908" s="97"/>
      <c r="E908" s="337"/>
      <c r="F908" s="338"/>
      <c r="G908" s="336"/>
      <c r="H908" s="337"/>
      <c r="I908" s="338"/>
      <c r="J908" s="97"/>
      <c r="K908" s="339"/>
      <c r="L908" s="339"/>
      <c r="M908" s="339"/>
      <c r="N908" s="339"/>
      <c r="O908" s="339"/>
      <c r="P908" s="339"/>
      <c r="Q908" s="340"/>
      <c r="R908" s="97"/>
      <c r="S908" s="97"/>
      <c r="T908" s="298"/>
      <c r="U908" s="97"/>
      <c r="V908" s="97"/>
      <c r="W908" s="97"/>
      <c r="X908" s="97"/>
      <c r="Y908" s="97"/>
      <c r="Z908" s="97"/>
      <c r="AA908" s="97"/>
    </row>
    <row r="909" ht="15.75" customHeight="1">
      <c r="A909" s="97"/>
      <c r="B909" s="336"/>
      <c r="C909" s="337"/>
      <c r="D909" s="97"/>
      <c r="E909" s="337"/>
      <c r="F909" s="338"/>
      <c r="G909" s="336"/>
      <c r="H909" s="337"/>
      <c r="I909" s="338"/>
      <c r="J909" s="97"/>
      <c r="K909" s="339"/>
      <c r="L909" s="339"/>
      <c r="M909" s="339"/>
      <c r="N909" s="339"/>
      <c r="O909" s="339"/>
      <c r="P909" s="339"/>
      <c r="Q909" s="340"/>
      <c r="R909" s="97"/>
      <c r="S909" s="97"/>
      <c r="T909" s="298"/>
      <c r="U909" s="97"/>
      <c r="V909" s="97"/>
      <c r="W909" s="97"/>
      <c r="X909" s="97"/>
      <c r="Y909" s="97"/>
      <c r="Z909" s="97"/>
      <c r="AA909" s="97"/>
    </row>
    <row r="910" ht="15.75" customHeight="1">
      <c r="A910" s="97"/>
      <c r="B910" s="336"/>
      <c r="C910" s="337"/>
      <c r="D910" s="97"/>
      <c r="E910" s="337"/>
      <c r="F910" s="338"/>
      <c r="G910" s="336"/>
      <c r="H910" s="337"/>
      <c r="I910" s="338"/>
      <c r="J910" s="97"/>
      <c r="K910" s="339"/>
      <c r="L910" s="339"/>
      <c r="M910" s="339"/>
      <c r="N910" s="339"/>
      <c r="O910" s="339"/>
      <c r="P910" s="339"/>
      <c r="Q910" s="340"/>
      <c r="R910" s="97"/>
      <c r="S910" s="97"/>
      <c r="T910" s="298"/>
      <c r="U910" s="97"/>
      <c r="V910" s="97"/>
      <c r="W910" s="97"/>
      <c r="X910" s="97"/>
      <c r="Y910" s="97"/>
      <c r="Z910" s="97"/>
      <c r="AA910" s="97"/>
    </row>
    <row r="911" ht="15.75" customHeight="1">
      <c r="A911" s="97"/>
      <c r="B911" s="336"/>
      <c r="C911" s="337"/>
      <c r="D911" s="97"/>
      <c r="E911" s="337"/>
      <c r="F911" s="338"/>
      <c r="G911" s="336"/>
      <c r="H911" s="337"/>
      <c r="I911" s="338"/>
      <c r="J911" s="97"/>
      <c r="K911" s="339"/>
      <c r="L911" s="339"/>
      <c r="M911" s="339"/>
      <c r="N911" s="339"/>
      <c r="O911" s="339"/>
      <c r="P911" s="339"/>
      <c r="Q911" s="340"/>
      <c r="R911" s="97"/>
      <c r="S911" s="97"/>
      <c r="T911" s="298"/>
      <c r="U911" s="97"/>
      <c r="V911" s="97"/>
      <c r="W911" s="97"/>
      <c r="X911" s="97"/>
      <c r="Y911" s="97"/>
      <c r="Z911" s="97"/>
      <c r="AA911" s="97"/>
    </row>
    <row r="912" ht="15.75" customHeight="1">
      <c r="A912" s="97"/>
      <c r="B912" s="336"/>
      <c r="C912" s="337"/>
      <c r="D912" s="97"/>
      <c r="E912" s="337"/>
      <c r="F912" s="338"/>
      <c r="G912" s="336"/>
      <c r="H912" s="337"/>
      <c r="I912" s="338"/>
      <c r="J912" s="97"/>
      <c r="K912" s="339"/>
      <c r="L912" s="339"/>
      <c r="M912" s="339"/>
      <c r="N912" s="339"/>
      <c r="O912" s="339"/>
      <c r="P912" s="339"/>
      <c r="Q912" s="340"/>
      <c r="R912" s="97"/>
      <c r="S912" s="97"/>
      <c r="T912" s="298"/>
      <c r="U912" s="97"/>
      <c r="V912" s="97"/>
      <c r="W912" s="97"/>
      <c r="X912" s="97"/>
      <c r="Y912" s="97"/>
      <c r="Z912" s="97"/>
      <c r="AA912" s="97"/>
    </row>
    <row r="913" ht="15.75" customHeight="1">
      <c r="A913" s="97"/>
      <c r="B913" s="336"/>
      <c r="C913" s="337"/>
      <c r="D913" s="97"/>
      <c r="E913" s="337"/>
      <c r="F913" s="338"/>
      <c r="G913" s="336"/>
      <c r="H913" s="337"/>
      <c r="I913" s="338"/>
      <c r="J913" s="97"/>
      <c r="K913" s="339"/>
      <c r="L913" s="339"/>
      <c r="M913" s="339"/>
      <c r="N913" s="339"/>
      <c r="O913" s="339"/>
      <c r="P913" s="339"/>
      <c r="Q913" s="340"/>
      <c r="R913" s="97"/>
      <c r="S913" s="97"/>
      <c r="T913" s="298"/>
      <c r="U913" s="97"/>
      <c r="V913" s="97"/>
      <c r="W913" s="97"/>
      <c r="X913" s="97"/>
      <c r="Y913" s="97"/>
      <c r="Z913" s="97"/>
      <c r="AA913" s="97"/>
    </row>
    <row r="914" ht="15.75" customHeight="1">
      <c r="A914" s="97"/>
      <c r="B914" s="336"/>
      <c r="C914" s="337"/>
      <c r="D914" s="97"/>
      <c r="E914" s="337"/>
      <c r="F914" s="338"/>
      <c r="G914" s="336"/>
      <c r="H914" s="337"/>
      <c r="I914" s="338"/>
      <c r="J914" s="97"/>
      <c r="K914" s="339"/>
      <c r="L914" s="339"/>
      <c r="M914" s="339"/>
      <c r="N914" s="339"/>
      <c r="O914" s="339"/>
      <c r="P914" s="339"/>
      <c r="Q914" s="340"/>
      <c r="R914" s="97"/>
      <c r="S914" s="97"/>
      <c r="T914" s="298"/>
      <c r="U914" s="97"/>
      <c r="V914" s="97"/>
      <c r="W914" s="97"/>
      <c r="X914" s="97"/>
      <c r="Y914" s="97"/>
      <c r="Z914" s="97"/>
      <c r="AA914" s="97"/>
    </row>
    <row r="915" ht="15.75" customHeight="1">
      <c r="A915" s="97"/>
      <c r="B915" s="336"/>
      <c r="C915" s="337"/>
      <c r="D915" s="97"/>
      <c r="E915" s="337"/>
      <c r="F915" s="338"/>
      <c r="G915" s="336"/>
      <c r="H915" s="337"/>
      <c r="I915" s="338"/>
      <c r="J915" s="97"/>
      <c r="K915" s="339"/>
      <c r="L915" s="339"/>
      <c r="M915" s="339"/>
      <c r="N915" s="339"/>
      <c r="O915" s="339"/>
      <c r="P915" s="339"/>
      <c r="Q915" s="340"/>
      <c r="R915" s="97"/>
      <c r="S915" s="97"/>
      <c r="T915" s="298"/>
      <c r="U915" s="97"/>
      <c r="V915" s="97"/>
      <c r="W915" s="97"/>
      <c r="X915" s="97"/>
      <c r="Y915" s="97"/>
      <c r="Z915" s="97"/>
      <c r="AA915" s="97"/>
    </row>
    <row r="916" ht="15.75" customHeight="1">
      <c r="A916" s="97"/>
      <c r="B916" s="336"/>
      <c r="C916" s="337"/>
      <c r="D916" s="97"/>
      <c r="E916" s="337"/>
      <c r="F916" s="338"/>
      <c r="G916" s="336"/>
      <c r="H916" s="337"/>
      <c r="I916" s="338"/>
      <c r="J916" s="97"/>
      <c r="K916" s="339"/>
      <c r="L916" s="339"/>
      <c r="M916" s="339"/>
      <c r="N916" s="339"/>
      <c r="O916" s="339"/>
      <c r="P916" s="339"/>
      <c r="Q916" s="340"/>
      <c r="R916" s="97"/>
      <c r="S916" s="97"/>
      <c r="T916" s="298"/>
      <c r="U916" s="97"/>
      <c r="V916" s="97"/>
      <c r="W916" s="97"/>
      <c r="X916" s="97"/>
      <c r="Y916" s="97"/>
      <c r="Z916" s="97"/>
      <c r="AA916" s="97"/>
    </row>
    <row r="917" ht="15.75" customHeight="1">
      <c r="A917" s="97"/>
      <c r="B917" s="336"/>
      <c r="C917" s="337"/>
      <c r="D917" s="97"/>
      <c r="E917" s="337"/>
      <c r="F917" s="338"/>
      <c r="G917" s="336"/>
      <c r="H917" s="337"/>
      <c r="I917" s="338"/>
      <c r="J917" s="97"/>
      <c r="K917" s="339"/>
      <c r="L917" s="339"/>
      <c r="M917" s="339"/>
      <c r="N917" s="339"/>
      <c r="O917" s="339"/>
      <c r="P917" s="339"/>
      <c r="Q917" s="340"/>
      <c r="R917" s="97"/>
      <c r="S917" s="97"/>
      <c r="T917" s="298"/>
      <c r="U917" s="97"/>
      <c r="V917" s="97"/>
      <c r="W917" s="97"/>
      <c r="X917" s="97"/>
      <c r="Y917" s="97"/>
      <c r="Z917" s="97"/>
      <c r="AA917" s="97"/>
    </row>
    <row r="918" ht="15.75" customHeight="1">
      <c r="A918" s="97"/>
      <c r="B918" s="336"/>
      <c r="C918" s="337"/>
      <c r="D918" s="97"/>
      <c r="E918" s="337"/>
      <c r="F918" s="338"/>
      <c r="G918" s="336"/>
      <c r="H918" s="337"/>
      <c r="I918" s="338"/>
      <c r="J918" s="97"/>
      <c r="K918" s="339"/>
      <c r="L918" s="339"/>
      <c r="M918" s="339"/>
      <c r="N918" s="339"/>
      <c r="O918" s="339"/>
      <c r="P918" s="339"/>
      <c r="Q918" s="340"/>
      <c r="R918" s="97"/>
      <c r="S918" s="97"/>
      <c r="T918" s="298"/>
      <c r="U918" s="97"/>
      <c r="V918" s="97"/>
      <c r="W918" s="97"/>
      <c r="X918" s="97"/>
      <c r="Y918" s="97"/>
      <c r="Z918" s="97"/>
      <c r="AA918" s="97"/>
    </row>
    <row r="919" ht="15.75" customHeight="1">
      <c r="A919" s="97"/>
      <c r="B919" s="336"/>
      <c r="C919" s="337"/>
      <c r="D919" s="97"/>
      <c r="E919" s="337"/>
      <c r="F919" s="338"/>
      <c r="G919" s="336"/>
      <c r="H919" s="337"/>
      <c r="I919" s="338"/>
      <c r="J919" s="97"/>
      <c r="K919" s="339"/>
      <c r="L919" s="339"/>
      <c r="M919" s="339"/>
      <c r="N919" s="339"/>
      <c r="O919" s="339"/>
      <c r="P919" s="339"/>
      <c r="Q919" s="340"/>
      <c r="R919" s="97"/>
      <c r="S919" s="97"/>
      <c r="T919" s="298"/>
      <c r="U919" s="97"/>
      <c r="V919" s="97"/>
      <c r="W919" s="97"/>
      <c r="X919" s="97"/>
      <c r="Y919" s="97"/>
      <c r="Z919" s="97"/>
      <c r="AA919" s="97"/>
    </row>
    <row r="920" ht="15.75" customHeight="1">
      <c r="A920" s="97"/>
      <c r="B920" s="336"/>
      <c r="C920" s="337"/>
      <c r="D920" s="97"/>
      <c r="E920" s="337"/>
      <c r="F920" s="338"/>
      <c r="G920" s="336"/>
      <c r="H920" s="337"/>
      <c r="I920" s="338"/>
      <c r="J920" s="97"/>
      <c r="K920" s="339"/>
      <c r="L920" s="339"/>
      <c r="M920" s="339"/>
      <c r="N920" s="339"/>
      <c r="O920" s="339"/>
      <c r="P920" s="339"/>
      <c r="Q920" s="340"/>
      <c r="R920" s="97"/>
      <c r="S920" s="97"/>
      <c r="T920" s="298"/>
      <c r="U920" s="97"/>
      <c r="V920" s="97"/>
      <c r="W920" s="97"/>
      <c r="X920" s="97"/>
      <c r="Y920" s="97"/>
      <c r="Z920" s="97"/>
      <c r="AA920" s="97"/>
    </row>
    <row r="921" ht="15.75" customHeight="1">
      <c r="A921" s="97"/>
      <c r="B921" s="336"/>
      <c r="C921" s="337"/>
      <c r="D921" s="97"/>
      <c r="E921" s="337"/>
      <c r="F921" s="338"/>
      <c r="G921" s="336"/>
      <c r="H921" s="337"/>
      <c r="I921" s="338"/>
      <c r="J921" s="97"/>
      <c r="K921" s="339"/>
      <c r="L921" s="339"/>
      <c r="M921" s="339"/>
      <c r="N921" s="339"/>
      <c r="O921" s="339"/>
      <c r="P921" s="339"/>
      <c r="Q921" s="340"/>
      <c r="R921" s="97"/>
      <c r="S921" s="97"/>
      <c r="T921" s="298"/>
      <c r="U921" s="97"/>
      <c r="V921" s="97"/>
      <c r="W921" s="97"/>
      <c r="X921" s="97"/>
      <c r="Y921" s="97"/>
      <c r="Z921" s="97"/>
      <c r="AA921" s="97"/>
    </row>
    <row r="922" ht="15.75" customHeight="1">
      <c r="A922" s="97"/>
      <c r="B922" s="336"/>
      <c r="C922" s="337"/>
      <c r="D922" s="97"/>
      <c r="E922" s="337"/>
      <c r="F922" s="338"/>
      <c r="G922" s="336"/>
      <c r="H922" s="337"/>
      <c r="I922" s="338"/>
      <c r="J922" s="97"/>
      <c r="K922" s="339"/>
      <c r="L922" s="339"/>
      <c r="M922" s="339"/>
      <c r="N922" s="339"/>
      <c r="O922" s="339"/>
      <c r="P922" s="339"/>
      <c r="Q922" s="340"/>
      <c r="R922" s="97"/>
      <c r="S922" s="97"/>
      <c r="T922" s="298"/>
      <c r="U922" s="97"/>
      <c r="V922" s="97"/>
      <c r="W922" s="97"/>
      <c r="X922" s="97"/>
      <c r="Y922" s="97"/>
      <c r="Z922" s="97"/>
      <c r="AA922" s="97"/>
    </row>
    <row r="923" ht="15.75" customHeight="1">
      <c r="A923" s="97"/>
      <c r="B923" s="336"/>
      <c r="C923" s="337"/>
      <c r="D923" s="97"/>
      <c r="E923" s="337"/>
      <c r="F923" s="338"/>
      <c r="G923" s="336"/>
      <c r="H923" s="337"/>
      <c r="I923" s="338"/>
      <c r="J923" s="97"/>
      <c r="K923" s="339"/>
      <c r="L923" s="339"/>
      <c r="M923" s="339"/>
      <c r="N923" s="339"/>
      <c r="O923" s="339"/>
      <c r="P923" s="339"/>
      <c r="Q923" s="340"/>
      <c r="R923" s="97"/>
      <c r="S923" s="97"/>
      <c r="T923" s="298"/>
      <c r="U923" s="97"/>
      <c r="V923" s="97"/>
      <c r="W923" s="97"/>
      <c r="X923" s="97"/>
      <c r="Y923" s="97"/>
      <c r="Z923" s="97"/>
      <c r="AA923" s="97"/>
    </row>
    <row r="924" ht="15.75" customHeight="1">
      <c r="A924" s="97"/>
      <c r="B924" s="336"/>
      <c r="C924" s="337"/>
      <c r="D924" s="97"/>
      <c r="E924" s="337"/>
      <c r="F924" s="338"/>
      <c r="G924" s="336"/>
      <c r="H924" s="337"/>
      <c r="I924" s="338"/>
      <c r="J924" s="97"/>
      <c r="K924" s="339"/>
      <c r="L924" s="339"/>
      <c r="M924" s="339"/>
      <c r="N924" s="339"/>
      <c r="O924" s="339"/>
      <c r="P924" s="339"/>
      <c r="Q924" s="340"/>
      <c r="R924" s="97"/>
      <c r="S924" s="97"/>
      <c r="T924" s="298"/>
      <c r="U924" s="97"/>
      <c r="V924" s="97"/>
      <c r="W924" s="97"/>
      <c r="X924" s="97"/>
      <c r="Y924" s="97"/>
      <c r="Z924" s="97"/>
      <c r="AA924" s="97"/>
    </row>
    <row r="925" ht="15.75" customHeight="1">
      <c r="A925" s="97"/>
      <c r="B925" s="336"/>
      <c r="C925" s="337"/>
      <c r="D925" s="97"/>
      <c r="E925" s="337"/>
      <c r="F925" s="338"/>
      <c r="G925" s="336"/>
      <c r="H925" s="337"/>
      <c r="I925" s="338"/>
      <c r="J925" s="97"/>
      <c r="K925" s="339"/>
      <c r="L925" s="339"/>
      <c r="M925" s="339"/>
      <c r="N925" s="339"/>
      <c r="O925" s="339"/>
      <c r="P925" s="339"/>
      <c r="Q925" s="340"/>
      <c r="R925" s="97"/>
      <c r="S925" s="97"/>
      <c r="T925" s="298"/>
      <c r="U925" s="97"/>
      <c r="V925" s="97"/>
      <c r="W925" s="97"/>
      <c r="X925" s="97"/>
      <c r="Y925" s="97"/>
      <c r="Z925" s="97"/>
      <c r="AA925" s="97"/>
    </row>
    <row r="926" ht="15.75" customHeight="1">
      <c r="A926" s="97"/>
      <c r="B926" s="336"/>
      <c r="C926" s="337"/>
      <c r="D926" s="97"/>
      <c r="E926" s="337"/>
      <c r="F926" s="338"/>
      <c r="G926" s="336"/>
      <c r="H926" s="337"/>
      <c r="I926" s="338"/>
      <c r="J926" s="97"/>
      <c r="K926" s="339"/>
      <c r="L926" s="339"/>
      <c r="M926" s="339"/>
      <c r="N926" s="339"/>
      <c r="O926" s="339"/>
      <c r="P926" s="339"/>
      <c r="Q926" s="340"/>
      <c r="R926" s="97"/>
      <c r="S926" s="97"/>
      <c r="T926" s="298"/>
      <c r="U926" s="97"/>
      <c r="V926" s="97"/>
      <c r="W926" s="97"/>
      <c r="X926" s="97"/>
      <c r="Y926" s="97"/>
      <c r="Z926" s="97"/>
      <c r="AA926" s="97"/>
    </row>
    <row r="927" ht="15.75" customHeight="1">
      <c r="A927" s="97"/>
      <c r="B927" s="336"/>
      <c r="C927" s="337"/>
      <c r="D927" s="97"/>
      <c r="E927" s="337"/>
      <c r="F927" s="338"/>
      <c r="G927" s="336"/>
      <c r="H927" s="337"/>
      <c r="I927" s="338"/>
      <c r="J927" s="97"/>
      <c r="K927" s="339"/>
      <c r="L927" s="339"/>
      <c r="M927" s="339"/>
      <c r="N927" s="339"/>
      <c r="O927" s="339"/>
      <c r="P927" s="339"/>
      <c r="Q927" s="340"/>
      <c r="R927" s="97"/>
      <c r="S927" s="97"/>
      <c r="T927" s="298"/>
      <c r="U927" s="97"/>
      <c r="V927" s="97"/>
      <c r="W927" s="97"/>
      <c r="X927" s="97"/>
      <c r="Y927" s="97"/>
      <c r="Z927" s="97"/>
      <c r="AA927" s="97"/>
    </row>
    <row r="928" ht="15.75" customHeight="1">
      <c r="A928" s="97"/>
      <c r="B928" s="336"/>
      <c r="C928" s="337"/>
      <c r="D928" s="97"/>
      <c r="E928" s="337"/>
      <c r="F928" s="338"/>
      <c r="G928" s="336"/>
      <c r="H928" s="337"/>
      <c r="I928" s="338"/>
      <c r="J928" s="97"/>
      <c r="K928" s="339"/>
      <c r="L928" s="339"/>
      <c r="M928" s="339"/>
      <c r="N928" s="339"/>
      <c r="O928" s="339"/>
      <c r="P928" s="339"/>
      <c r="Q928" s="340"/>
      <c r="R928" s="97"/>
      <c r="S928" s="97"/>
      <c r="T928" s="298"/>
      <c r="U928" s="97"/>
      <c r="V928" s="97"/>
      <c r="W928" s="97"/>
      <c r="X928" s="97"/>
      <c r="Y928" s="97"/>
      <c r="Z928" s="97"/>
      <c r="AA928" s="97"/>
    </row>
    <row r="929" ht="15.75" customHeight="1">
      <c r="A929" s="97"/>
      <c r="B929" s="336"/>
      <c r="C929" s="337"/>
      <c r="D929" s="97"/>
      <c r="E929" s="337"/>
      <c r="F929" s="338"/>
      <c r="G929" s="336"/>
      <c r="H929" s="337"/>
      <c r="I929" s="338"/>
      <c r="J929" s="97"/>
      <c r="K929" s="339"/>
      <c r="L929" s="339"/>
      <c r="M929" s="339"/>
      <c r="N929" s="339"/>
      <c r="O929" s="339"/>
      <c r="P929" s="339"/>
      <c r="Q929" s="340"/>
      <c r="R929" s="97"/>
      <c r="S929" s="97"/>
      <c r="T929" s="298"/>
      <c r="U929" s="97"/>
      <c r="V929" s="97"/>
      <c r="W929" s="97"/>
      <c r="X929" s="97"/>
      <c r="Y929" s="97"/>
      <c r="Z929" s="97"/>
      <c r="AA929" s="97"/>
    </row>
    <row r="930" ht="15.75" customHeight="1">
      <c r="A930" s="97"/>
      <c r="B930" s="336"/>
      <c r="C930" s="337"/>
      <c r="D930" s="97"/>
      <c r="E930" s="337"/>
      <c r="F930" s="338"/>
      <c r="G930" s="336"/>
      <c r="H930" s="337"/>
      <c r="I930" s="338"/>
      <c r="J930" s="97"/>
      <c r="K930" s="339"/>
      <c r="L930" s="339"/>
      <c r="M930" s="339"/>
      <c r="N930" s="339"/>
      <c r="O930" s="339"/>
      <c r="P930" s="339"/>
      <c r="Q930" s="340"/>
      <c r="R930" s="97"/>
      <c r="S930" s="97"/>
      <c r="T930" s="298"/>
      <c r="U930" s="97"/>
      <c r="V930" s="97"/>
      <c r="W930" s="97"/>
      <c r="X930" s="97"/>
      <c r="Y930" s="97"/>
      <c r="Z930" s="97"/>
      <c r="AA930" s="97"/>
    </row>
    <row r="931" ht="15.75" customHeight="1">
      <c r="A931" s="97"/>
      <c r="B931" s="336"/>
      <c r="C931" s="337"/>
      <c r="D931" s="97"/>
      <c r="E931" s="337"/>
      <c r="F931" s="338"/>
      <c r="G931" s="336"/>
      <c r="H931" s="337"/>
      <c r="I931" s="338"/>
      <c r="J931" s="97"/>
      <c r="K931" s="339"/>
      <c r="L931" s="339"/>
      <c r="M931" s="339"/>
      <c r="N931" s="339"/>
      <c r="O931" s="339"/>
      <c r="P931" s="339"/>
      <c r="Q931" s="340"/>
      <c r="R931" s="97"/>
      <c r="S931" s="97"/>
      <c r="T931" s="298"/>
      <c r="U931" s="97"/>
      <c r="V931" s="97"/>
      <c r="W931" s="97"/>
      <c r="X931" s="97"/>
      <c r="Y931" s="97"/>
      <c r="Z931" s="97"/>
      <c r="AA931" s="97"/>
    </row>
    <row r="932" ht="15.75" customHeight="1">
      <c r="A932" s="97"/>
      <c r="B932" s="336"/>
      <c r="C932" s="337"/>
      <c r="D932" s="97"/>
      <c r="E932" s="337"/>
      <c r="F932" s="338"/>
      <c r="G932" s="336"/>
      <c r="H932" s="337"/>
      <c r="I932" s="338"/>
      <c r="J932" s="97"/>
      <c r="K932" s="339"/>
      <c r="L932" s="339"/>
      <c r="M932" s="339"/>
      <c r="N932" s="339"/>
      <c r="O932" s="339"/>
      <c r="P932" s="339"/>
      <c r="Q932" s="340"/>
      <c r="R932" s="97"/>
      <c r="S932" s="97"/>
      <c r="T932" s="298"/>
      <c r="U932" s="97"/>
      <c r="V932" s="97"/>
      <c r="W932" s="97"/>
      <c r="X932" s="97"/>
      <c r="Y932" s="97"/>
      <c r="Z932" s="97"/>
      <c r="AA932" s="97"/>
    </row>
    <row r="933" ht="15.75" customHeight="1">
      <c r="A933" s="97"/>
      <c r="B933" s="336"/>
      <c r="C933" s="337"/>
      <c r="D933" s="97"/>
      <c r="E933" s="337"/>
      <c r="F933" s="338"/>
      <c r="G933" s="336"/>
      <c r="H933" s="337"/>
      <c r="I933" s="338"/>
      <c r="J933" s="97"/>
      <c r="K933" s="339"/>
      <c r="L933" s="339"/>
      <c r="M933" s="339"/>
      <c r="N933" s="339"/>
      <c r="O933" s="339"/>
      <c r="P933" s="339"/>
      <c r="Q933" s="340"/>
      <c r="R933" s="97"/>
      <c r="S933" s="97"/>
      <c r="T933" s="298"/>
      <c r="U933" s="97"/>
      <c r="V933" s="97"/>
      <c r="W933" s="97"/>
      <c r="X933" s="97"/>
      <c r="Y933" s="97"/>
      <c r="Z933" s="97"/>
      <c r="AA933" s="97"/>
    </row>
    <row r="934" ht="15.75" customHeight="1">
      <c r="A934" s="97"/>
      <c r="B934" s="336"/>
      <c r="C934" s="337"/>
      <c r="D934" s="97"/>
      <c r="E934" s="337"/>
      <c r="F934" s="338"/>
      <c r="G934" s="336"/>
      <c r="H934" s="337"/>
      <c r="I934" s="338"/>
      <c r="J934" s="97"/>
      <c r="K934" s="339"/>
      <c r="L934" s="339"/>
      <c r="M934" s="339"/>
      <c r="N934" s="339"/>
      <c r="O934" s="339"/>
      <c r="P934" s="339"/>
      <c r="Q934" s="340"/>
      <c r="R934" s="97"/>
      <c r="S934" s="97"/>
      <c r="T934" s="298"/>
      <c r="U934" s="97"/>
      <c r="V934" s="97"/>
      <c r="W934" s="97"/>
      <c r="X934" s="97"/>
      <c r="Y934" s="97"/>
      <c r="Z934" s="97"/>
      <c r="AA934" s="97"/>
    </row>
    <row r="935" ht="15.75" customHeight="1">
      <c r="A935" s="97"/>
      <c r="B935" s="336"/>
      <c r="C935" s="337"/>
      <c r="D935" s="97"/>
      <c r="E935" s="337"/>
      <c r="F935" s="338"/>
      <c r="G935" s="336"/>
      <c r="H935" s="337"/>
      <c r="I935" s="338"/>
      <c r="J935" s="97"/>
      <c r="K935" s="339"/>
      <c r="L935" s="339"/>
      <c r="M935" s="339"/>
      <c r="N935" s="339"/>
      <c r="O935" s="339"/>
      <c r="P935" s="339"/>
      <c r="Q935" s="340"/>
      <c r="R935" s="97"/>
      <c r="S935" s="97"/>
      <c r="T935" s="298"/>
      <c r="U935" s="97"/>
      <c r="V935" s="97"/>
      <c r="W935" s="97"/>
      <c r="X935" s="97"/>
      <c r="Y935" s="97"/>
      <c r="Z935" s="97"/>
      <c r="AA935" s="97"/>
    </row>
    <row r="936" ht="15.75" customHeight="1">
      <c r="A936" s="97"/>
      <c r="B936" s="336"/>
      <c r="C936" s="337"/>
      <c r="D936" s="97"/>
      <c r="E936" s="337"/>
      <c r="F936" s="338"/>
      <c r="G936" s="336"/>
      <c r="H936" s="337"/>
      <c r="I936" s="338"/>
      <c r="J936" s="97"/>
      <c r="K936" s="339"/>
      <c r="L936" s="339"/>
      <c r="M936" s="339"/>
      <c r="N936" s="339"/>
      <c r="O936" s="339"/>
      <c r="P936" s="339"/>
      <c r="Q936" s="340"/>
      <c r="R936" s="97"/>
      <c r="S936" s="97"/>
      <c r="T936" s="298"/>
      <c r="U936" s="97"/>
      <c r="V936" s="97"/>
      <c r="W936" s="97"/>
      <c r="X936" s="97"/>
      <c r="Y936" s="97"/>
      <c r="Z936" s="97"/>
      <c r="AA936" s="97"/>
    </row>
    <row r="937" ht="15.75" customHeight="1">
      <c r="A937" s="97"/>
      <c r="B937" s="336"/>
      <c r="C937" s="337"/>
      <c r="D937" s="97"/>
      <c r="E937" s="337"/>
      <c r="F937" s="338"/>
      <c r="G937" s="336"/>
      <c r="H937" s="337"/>
      <c r="I937" s="338"/>
      <c r="J937" s="97"/>
      <c r="K937" s="339"/>
      <c r="L937" s="339"/>
      <c r="M937" s="339"/>
      <c r="N937" s="339"/>
      <c r="O937" s="339"/>
      <c r="P937" s="339"/>
      <c r="Q937" s="340"/>
      <c r="R937" s="97"/>
      <c r="S937" s="97"/>
      <c r="T937" s="298"/>
      <c r="U937" s="97"/>
      <c r="V937" s="97"/>
      <c r="W937" s="97"/>
      <c r="X937" s="97"/>
      <c r="Y937" s="97"/>
      <c r="Z937" s="97"/>
      <c r="AA937" s="97"/>
    </row>
    <row r="938" ht="15.75" customHeight="1">
      <c r="A938" s="97"/>
      <c r="B938" s="336"/>
      <c r="C938" s="337"/>
      <c r="D938" s="97"/>
      <c r="E938" s="337"/>
      <c r="F938" s="338"/>
      <c r="G938" s="336"/>
      <c r="H938" s="337"/>
      <c r="I938" s="338"/>
      <c r="J938" s="97"/>
      <c r="K938" s="339"/>
      <c r="L938" s="339"/>
      <c r="M938" s="339"/>
      <c r="N938" s="339"/>
      <c r="O938" s="339"/>
      <c r="P938" s="339"/>
      <c r="Q938" s="340"/>
      <c r="R938" s="97"/>
      <c r="S938" s="97"/>
      <c r="T938" s="298"/>
      <c r="U938" s="97"/>
      <c r="V938" s="97"/>
      <c r="W938" s="97"/>
      <c r="X938" s="97"/>
      <c r="Y938" s="97"/>
      <c r="Z938" s="97"/>
      <c r="AA938" s="97"/>
    </row>
    <row r="939" ht="15.75" customHeight="1">
      <c r="A939" s="97"/>
      <c r="B939" s="336"/>
      <c r="C939" s="337"/>
      <c r="D939" s="97"/>
      <c r="E939" s="337"/>
      <c r="F939" s="338"/>
      <c r="G939" s="336"/>
      <c r="H939" s="337"/>
      <c r="I939" s="338"/>
      <c r="J939" s="97"/>
      <c r="K939" s="339"/>
      <c r="L939" s="339"/>
      <c r="M939" s="339"/>
      <c r="N939" s="339"/>
      <c r="O939" s="339"/>
      <c r="P939" s="339"/>
      <c r="Q939" s="340"/>
      <c r="R939" s="97"/>
      <c r="S939" s="97"/>
      <c r="T939" s="298"/>
      <c r="U939" s="97"/>
      <c r="V939" s="97"/>
      <c r="W939" s="97"/>
      <c r="X939" s="97"/>
      <c r="Y939" s="97"/>
      <c r="Z939" s="97"/>
      <c r="AA939" s="97"/>
    </row>
    <row r="940" ht="15.75" customHeight="1">
      <c r="A940" s="97"/>
      <c r="B940" s="336"/>
      <c r="C940" s="337"/>
      <c r="D940" s="97"/>
      <c r="E940" s="337"/>
      <c r="F940" s="338"/>
      <c r="G940" s="336"/>
      <c r="H940" s="337"/>
      <c r="I940" s="338"/>
      <c r="J940" s="97"/>
      <c r="K940" s="339"/>
      <c r="L940" s="339"/>
      <c r="M940" s="339"/>
      <c r="N940" s="339"/>
      <c r="O940" s="339"/>
      <c r="P940" s="339"/>
      <c r="Q940" s="340"/>
      <c r="R940" s="97"/>
      <c r="S940" s="97"/>
      <c r="T940" s="298"/>
      <c r="U940" s="97"/>
      <c r="V940" s="97"/>
      <c r="W940" s="97"/>
      <c r="X940" s="97"/>
      <c r="Y940" s="97"/>
      <c r="Z940" s="97"/>
      <c r="AA940" s="97"/>
    </row>
    <row r="941" ht="15.75" customHeight="1">
      <c r="A941" s="97"/>
      <c r="B941" s="336"/>
      <c r="C941" s="337"/>
      <c r="D941" s="97"/>
      <c r="E941" s="337"/>
      <c r="F941" s="338"/>
      <c r="G941" s="336"/>
      <c r="H941" s="337"/>
      <c r="I941" s="338"/>
      <c r="J941" s="97"/>
      <c r="K941" s="339"/>
      <c r="L941" s="339"/>
      <c r="M941" s="339"/>
      <c r="N941" s="339"/>
      <c r="O941" s="339"/>
      <c r="P941" s="339"/>
      <c r="Q941" s="340"/>
      <c r="R941" s="97"/>
      <c r="S941" s="97"/>
      <c r="T941" s="298"/>
      <c r="U941" s="97"/>
      <c r="V941" s="97"/>
      <c r="W941" s="97"/>
      <c r="X941" s="97"/>
      <c r="Y941" s="97"/>
      <c r="Z941" s="97"/>
      <c r="AA941" s="97"/>
    </row>
    <row r="942" ht="15.75" customHeight="1">
      <c r="A942" s="97"/>
      <c r="B942" s="336"/>
      <c r="C942" s="337"/>
      <c r="D942" s="97"/>
      <c r="E942" s="337"/>
      <c r="F942" s="338"/>
      <c r="G942" s="336"/>
      <c r="H942" s="337"/>
      <c r="I942" s="338"/>
      <c r="J942" s="97"/>
      <c r="K942" s="339"/>
      <c r="L942" s="339"/>
      <c r="M942" s="339"/>
      <c r="N942" s="339"/>
      <c r="O942" s="339"/>
      <c r="P942" s="339"/>
      <c r="Q942" s="340"/>
      <c r="R942" s="97"/>
      <c r="S942" s="97"/>
      <c r="T942" s="298"/>
      <c r="U942" s="97"/>
      <c r="V942" s="97"/>
      <c r="W942" s="97"/>
      <c r="X942" s="97"/>
      <c r="Y942" s="97"/>
      <c r="Z942" s="97"/>
      <c r="AA942" s="97"/>
    </row>
    <row r="943" ht="15.75" customHeight="1">
      <c r="A943" s="97"/>
      <c r="B943" s="336"/>
      <c r="C943" s="337"/>
      <c r="D943" s="97"/>
      <c r="E943" s="337"/>
      <c r="F943" s="338"/>
      <c r="G943" s="336"/>
      <c r="H943" s="337"/>
      <c r="I943" s="338"/>
      <c r="J943" s="97"/>
      <c r="K943" s="339"/>
      <c r="L943" s="339"/>
      <c r="M943" s="339"/>
      <c r="N943" s="339"/>
      <c r="O943" s="339"/>
      <c r="P943" s="339"/>
      <c r="Q943" s="340"/>
      <c r="R943" s="97"/>
      <c r="S943" s="97"/>
      <c r="T943" s="298"/>
      <c r="U943" s="97"/>
      <c r="V943" s="97"/>
      <c r="W943" s="97"/>
      <c r="X943" s="97"/>
      <c r="Y943" s="97"/>
      <c r="Z943" s="97"/>
      <c r="AA943" s="97"/>
    </row>
    <row r="944" ht="15.75" customHeight="1">
      <c r="A944" s="97"/>
      <c r="B944" s="336"/>
      <c r="C944" s="337"/>
      <c r="D944" s="97"/>
      <c r="E944" s="337"/>
      <c r="F944" s="338"/>
      <c r="G944" s="336"/>
      <c r="H944" s="337"/>
      <c r="I944" s="338"/>
      <c r="J944" s="97"/>
      <c r="K944" s="339"/>
      <c r="L944" s="339"/>
      <c r="M944" s="339"/>
      <c r="N944" s="339"/>
      <c r="O944" s="339"/>
      <c r="P944" s="339"/>
      <c r="Q944" s="340"/>
      <c r="R944" s="97"/>
      <c r="S944" s="97"/>
      <c r="T944" s="298"/>
      <c r="U944" s="97"/>
      <c r="V944" s="97"/>
      <c r="W944" s="97"/>
      <c r="X944" s="97"/>
      <c r="Y944" s="97"/>
      <c r="Z944" s="97"/>
      <c r="AA944" s="97"/>
    </row>
    <row r="945" ht="15.75" customHeight="1">
      <c r="A945" s="97"/>
      <c r="B945" s="336"/>
      <c r="C945" s="337"/>
      <c r="D945" s="97"/>
      <c r="E945" s="337"/>
      <c r="F945" s="338"/>
      <c r="G945" s="336"/>
      <c r="H945" s="337"/>
      <c r="I945" s="338"/>
      <c r="J945" s="97"/>
      <c r="K945" s="339"/>
      <c r="L945" s="339"/>
      <c r="M945" s="339"/>
      <c r="N945" s="339"/>
      <c r="O945" s="339"/>
      <c r="P945" s="339"/>
      <c r="Q945" s="340"/>
      <c r="R945" s="97"/>
      <c r="S945" s="97"/>
      <c r="T945" s="298"/>
      <c r="U945" s="97"/>
      <c r="V945" s="97"/>
      <c r="W945" s="97"/>
      <c r="X945" s="97"/>
      <c r="Y945" s="97"/>
      <c r="Z945" s="97"/>
      <c r="AA945" s="97"/>
    </row>
    <row r="946" ht="15.75" customHeight="1">
      <c r="A946" s="97"/>
      <c r="B946" s="336"/>
      <c r="C946" s="337"/>
      <c r="D946" s="97"/>
      <c r="E946" s="337"/>
      <c r="F946" s="338"/>
      <c r="G946" s="336"/>
      <c r="H946" s="337"/>
      <c r="I946" s="338"/>
      <c r="J946" s="97"/>
      <c r="K946" s="339"/>
      <c r="L946" s="339"/>
      <c r="M946" s="339"/>
      <c r="N946" s="339"/>
      <c r="O946" s="339"/>
      <c r="P946" s="339"/>
      <c r="Q946" s="340"/>
      <c r="R946" s="97"/>
      <c r="S946" s="97"/>
      <c r="T946" s="298"/>
      <c r="U946" s="97"/>
      <c r="V946" s="97"/>
      <c r="W946" s="97"/>
      <c r="X946" s="97"/>
      <c r="Y946" s="97"/>
      <c r="Z946" s="97"/>
      <c r="AA946" s="97"/>
    </row>
    <row r="947" ht="15.75" customHeight="1">
      <c r="A947" s="97"/>
      <c r="B947" s="336"/>
      <c r="C947" s="337"/>
      <c r="D947" s="97"/>
      <c r="E947" s="337"/>
      <c r="F947" s="338"/>
      <c r="G947" s="336"/>
      <c r="H947" s="337"/>
      <c r="I947" s="338"/>
      <c r="J947" s="97"/>
      <c r="K947" s="339"/>
      <c r="L947" s="339"/>
      <c r="M947" s="339"/>
      <c r="N947" s="339"/>
      <c r="O947" s="339"/>
      <c r="P947" s="339"/>
      <c r="Q947" s="340"/>
      <c r="R947" s="97"/>
      <c r="S947" s="97"/>
      <c r="T947" s="298"/>
      <c r="U947" s="97"/>
      <c r="V947" s="97"/>
      <c r="W947" s="97"/>
      <c r="X947" s="97"/>
      <c r="Y947" s="97"/>
      <c r="Z947" s="97"/>
      <c r="AA947" s="97"/>
    </row>
    <row r="948" ht="15.75" customHeight="1">
      <c r="A948" s="97"/>
      <c r="B948" s="336"/>
      <c r="C948" s="337"/>
      <c r="D948" s="97"/>
      <c r="E948" s="337"/>
      <c r="F948" s="338"/>
      <c r="G948" s="336"/>
      <c r="H948" s="337"/>
      <c r="I948" s="338"/>
      <c r="J948" s="97"/>
      <c r="K948" s="339"/>
      <c r="L948" s="339"/>
      <c r="M948" s="339"/>
      <c r="N948" s="339"/>
      <c r="O948" s="339"/>
      <c r="P948" s="339"/>
      <c r="Q948" s="340"/>
      <c r="R948" s="97"/>
      <c r="S948" s="97"/>
      <c r="T948" s="298"/>
      <c r="U948" s="97"/>
      <c r="V948" s="97"/>
      <c r="W948" s="97"/>
      <c r="X948" s="97"/>
      <c r="Y948" s="97"/>
      <c r="Z948" s="97"/>
      <c r="AA948" s="97"/>
    </row>
    <row r="949" ht="15.75" customHeight="1">
      <c r="A949" s="97"/>
      <c r="B949" s="336"/>
      <c r="C949" s="337"/>
      <c r="D949" s="97"/>
      <c r="E949" s="337"/>
      <c r="F949" s="338"/>
      <c r="G949" s="336"/>
      <c r="H949" s="337"/>
      <c r="I949" s="338"/>
      <c r="J949" s="97"/>
      <c r="K949" s="339"/>
      <c r="L949" s="339"/>
      <c r="M949" s="339"/>
      <c r="N949" s="339"/>
      <c r="O949" s="339"/>
      <c r="P949" s="339"/>
      <c r="Q949" s="340"/>
      <c r="R949" s="97"/>
      <c r="S949" s="97"/>
      <c r="T949" s="298"/>
      <c r="U949" s="97"/>
      <c r="V949" s="97"/>
      <c r="W949" s="97"/>
      <c r="X949" s="97"/>
      <c r="Y949" s="97"/>
      <c r="Z949" s="97"/>
      <c r="AA949" s="97"/>
    </row>
    <row r="950" ht="15.75" customHeight="1">
      <c r="A950" s="97"/>
      <c r="B950" s="336"/>
      <c r="C950" s="337"/>
      <c r="D950" s="97"/>
      <c r="E950" s="337"/>
      <c r="F950" s="338"/>
      <c r="G950" s="336"/>
      <c r="H950" s="337"/>
      <c r="I950" s="338"/>
      <c r="J950" s="97"/>
      <c r="K950" s="339"/>
      <c r="L950" s="339"/>
      <c r="M950" s="339"/>
      <c r="N950" s="339"/>
      <c r="O950" s="339"/>
      <c r="P950" s="339"/>
      <c r="Q950" s="340"/>
      <c r="R950" s="97"/>
      <c r="S950" s="97"/>
      <c r="T950" s="298"/>
      <c r="U950" s="97"/>
      <c r="V950" s="97"/>
      <c r="W950" s="97"/>
      <c r="X950" s="97"/>
      <c r="Y950" s="97"/>
      <c r="Z950" s="97"/>
      <c r="AA950" s="97"/>
    </row>
    <row r="951" ht="15.75" customHeight="1">
      <c r="A951" s="97"/>
      <c r="B951" s="336"/>
      <c r="C951" s="337"/>
      <c r="D951" s="97"/>
      <c r="E951" s="337"/>
      <c r="F951" s="338"/>
      <c r="G951" s="336"/>
      <c r="H951" s="337"/>
      <c r="I951" s="338"/>
      <c r="J951" s="97"/>
      <c r="K951" s="339"/>
      <c r="L951" s="339"/>
      <c r="M951" s="339"/>
      <c r="N951" s="339"/>
      <c r="O951" s="339"/>
      <c r="P951" s="339"/>
      <c r="Q951" s="340"/>
      <c r="R951" s="97"/>
      <c r="S951" s="97"/>
      <c r="T951" s="298"/>
      <c r="U951" s="97"/>
      <c r="V951" s="97"/>
      <c r="W951" s="97"/>
      <c r="X951" s="97"/>
      <c r="Y951" s="97"/>
      <c r="Z951" s="97"/>
      <c r="AA951" s="97"/>
    </row>
    <row r="952" ht="15.75" customHeight="1">
      <c r="A952" s="97"/>
      <c r="B952" s="336"/>
      <c r="C952" s="337"/>
      <c r="D952" s="97"/>
      <c r="E952" s="337"/>
      <c r="F952" s="338"/>
      <c r="G952" s="336"/>
      <c r="H952" s="337"/>
      <c r="I952" s="338"/>
      <c r="J952" s="97"/>
      <c r="K952" s="339"/>
      <c r="L952" s="339"/>
      <c r="M952" s="339"/>
      <c r="N952" s="339"/>
      <c r="O952" s="339"/>
      <c r="P952" s="339"/>
      <c r="Q952" s="340"/>
      <c r="R952" s="97"/>
      <c r="S952" s="97"/>
      <c r="T952" s="298"/>
      <c r="U952" s="97"/>
      <c r="V952" s="97"/>
      <c r="W952" s="97"/>
      <c r="X952" s="97"/>
      <c r="Y952" s="97"/>
      <c r="Z952" s="97"/>
      <c r="AA952" s="97"/>
    </row>
    <row r="953" ht="15.75" customHeight="1">
      <c r="A953" s="97"/>
      <c r="B953" s="336"/>
      <c r="C953" s="337"/>
      <c r="D953" s="97"/>
      <c r="E953" s="337"/>
      <c r="F953" s="338"/>
      <c r="G953" s="336"/>
      <c r="H953" s="337"/>
      <c r="I953" s="338"/>
      <c r="J953" s="97"/>
      <c r="K953" s="339"/>
      <c r="L953" s="339"/>
      <c r="M953" s="339"/>
      <c r="N953" s="339"/>
      <c r="O953" s="339"/>
      <c r="P953" s="339"/>
      <c r="Q953" s="340"/>
      <c r="R953" s="97"/>
      <c r="S953" s="97"/>
      <c r="T953" s="298"/>
      <c r="U953" s="97"/>
      <c r="V953" s="97"/>
      <c r="W953" s="97"/>
      <c r="X953" s="97"/>
      <c r="Y953" s="97"/>
      <c r="Z953" s="97"/>
      <c r="AA953" s="97"/>
    </row>
    <row r="954" ht="15.75" customHeight="1">
      <c r="A954" s="97"/>
      <c r="B954" s="336"/>
      <c r="C954" s="337"/>
      <c r="D954" s="97"/>
      <c r="E954" s="337"/>
      <c r="F954" s="338"/>
      <c r="G954" s="336"/>
      <c r="H954" s="337"/>
      <c r="I954" s="338"/>
      <c r="J954" s="97"/>
      <c r="K954" s="339"/>
      <c r="L954" s="339"/>
      <c r="M954" s="339"/>
      <c r="N954" s="339"/>
      <c r="O954" s="339"/>
      <c r="P954" s="339"/>
      <c r="Q954" s="340"/>
      <c r="R954" s="97"/>
      <c r="S954" s="97"/>
      <c r="T954" s="298"/>
      <c r="U954" s="97"/>
      <c r="V954" s="97"/>
      <c r="W954" s="97"/>
      <c r="X954" s="97"/>
      <c r="Y954" s="97"/>
      <c r="Z954" s="97"/>
      <c r="AA954" s="97"/>
    </row>
    <row r="955" ht="15.75" customHeight="1">
      <c r="A955" s="97"/>
      <c r="B955" s="336"/>
      <c r="C955" s="337"/>
      <c r="D955" s="97"/>
      <c r="E955" s="337"/>
      <c r="F955" s="338"/>
      <c r="G955" s="336"/>
      <c r="H955" s="337"/>
      <c r="I955" s="338"/>
      <c r="J955" s="97"/>
      <c r="K955" s="339"/>
      <c r="L955" s="339"/>
      <c r="M955" s="339"/>
      <c r="N955" s="339"/>
      <c r="O955" s="339"/>
      <c r="P955" s="339"/>
      <c r="Q955" s="340"/>
      <c r="R955" s="97"/>
      <c r="S955" s="97"/>
      <c r="T955" s="298"/>
      <c r="U955" s="97"/>
      <c r="V955" s="97"/>
      <c r="W955" s="97"/>
      <c r="X955" s="97"/>
      <c r="Y955" s="97"/>
      <c r="Z955" s="97"/>
      <c r="AA955" s="97"/>
    </row>
    <row r="956" ht="15.75" customHeight="1">
      <c r="A956" s="97"/>
      <c r="B956" s="336"/>
      <c r="C956" s="337"/>
      <c r="D956" s="97"/>
      <c r="E956" s="337"/>
      <c r="F956" s="338"/>
      <c r="G956" s="336"/>
      <c r="H956" s="337"/>
      <c r="I956" s="338"/>
      <c r="J956" s="97"/>
      <c r="K956" s="339"/>
      <c r="L956" s="339"/>
      <c r="M956" s="339"/>
      <c r="N956" s="339"/>
      <c r="O956" s="339"/>
      <c r="P956" s="339"/>
      <c r="Q956" s="340"/>
      <c r="R956" s="97"/>
      <c r="S956" s="97"/>
      <c r="T956" s="298"/>
      <c r="U956" s="97"/>
      <c r="V956" s="97"/>
      <c r="W956" s="97"/>
      <c r="X956" s="97"/>
      <c r="Y956" s="97"/>
      <c r="Z956" s="97"/>
      <c r="AA956" s="97"/>
    </row>
    <row r="957" ht="15.75" customHeight="1">
      <c r="A957" s="97"/>
      <c r="B957" s="336"/>
      <c r="C957" s="337"/>
      <c r="D957" s="97"/>
      <c r="E957" s="337"/>
      <c r="F957" s="338"/>
      <c r="G957" s="336"/>
      <c r="H957" s="337"/>
      <c r="I957" s="338"/>
      <c r="J957" s="97"/>
      <c r="K957" s="339"/>
      <c r="L957" s="339"/>
      <c r="M957" s="339"/>
      <c r="N957" s="339"/>
      <c r="O957" s="339"/>
      <c r="P957" s="339"/>
      <c r="Q957" s="340"/>
      <c r="R957" s="97"/>
      <c r="S957" s="97"/>
      <c r="T957" s="298"/>
      <c r="U957" s="97"/>
      <c r="V957" s="97"/>
      <c r="W957" s="97"/>
      <c r="X957" s="97"/>
      <c r="Y957" s="97"/>
      <c r="Z957" s="97"/>
      <c r="AA957" s="97"/>
    </row>
    <row r="958" ht="15.75" customHeight="1">
      <c r="A958" s="97"/>
      <c r="B958" s="336"/>
      <c r="C958" s="337"/>
      <c r="D958" s="97"/>
      <c r="E958" s="337"/>
      <c r="F958" s="338"/>
      <c r="G958" s="336"/>
      <c r="H958" s="337"/>
      <c r="I958" s="338"/>
      <c r="J958" s="97"/>
      <c r="K958" s="339"/>
      <c r="L958" s="339"/>
      <c r="M958" s="339"/>
      <c r="N958" s="339"/>
      <c r="O958" s="339"/>
      <c r="P958" s="339"/>
      <c r="Q958" s="340"/>
      <c r="R958" s="97"/>
      <c r="S958" s="97"/>
      <c r="T958" s="298"/>
      <c r="U958" s="97"/>
      <c r="V958" s="97"/>
      <c r="W958" s="97"/>
      <c r="X958" s="97"/>
      <c r="Y958" s="97"/>
      <c r="Z958" s="97"/>
      <c r="AA958" s="97"/>
    </row>
    <row r="959" ht="15.75" customHeight="1">
      <c r="A959" s="97"/>
      <c r="B959" s="336"/>
      <c r="C959" s="337"/>
      <c r="D959" s="97"/>
      <c r="E959" s="337"/>
      <c r="F959" s="338"/>
      <c r="G959" s="336"/>
      <c r="H959" s="337"/>
      <c r="I959" s="338"/>
      <c r="J959" s="97"/>
      <c r="K959" s="339"/>
      <c r="L959" s="339"/>
      <c r="M959" s="339"/>
      <c r="N959" s="339"/>
      <c r="O959" s="339"/>
      <c r="P959" s="339"/>
      <c r="Q959" s="340"/>
      <c r="R959" s="97"/>
      <c r="S959" s="97"/>
      <c r="T959" s="298"/>
      <c r="U959" s="97"/>
      <c r="V959" s="97"/>
      <c r="W959" s="97"/>
      <c r="X959" s="97"/>
      <c r="Y959" s="97"/>
      <c r="Z959" s="97"/>
      <c r="AA959" s="97"/>
    </row>
    <row r="960" ht="15.75" customHeight="1">
      <c r="A960" s="97"/>
      <c r="B960" s="336"/>
      <c r="C960" s="337"/>
      <c r="D960" s="97"/>
      <c r="E960" s="337"/>
      <c r="F960" s="338"/>
      <c r="G960" s="336"/>
      <c r="H960" s="337"/>
      <c r="I960" s="338"/>
      <c r="J960" s="97"/>
      <c r="K960" s="339"/>
      <c r="L960" s="339"/>
      <c r="M960" s="339"/>
      <c r="N960" s="339"/>
      <c r="O960" s="339"/>
      <c r="P960" s="339"/>
      <c r="Q960" s="340"/>
      <c r="R960" s="97"/>
      <c r="S960" s="97"/>
      <c r="T960" s="298"/>
      <c r="U960" s="97"/>
      <c r="V960" s="97"/>
      <c r="W960" s="97"/>
      <c r="X960" s="97"/>
      <c r="Y960" s="97"/>
      <c r="Z960" s="97"/>
      <c r="AA960" s="97"/>
    </row>
    <row r="961" ht="15.75" customHeight="1">
      <c r="A961" s="97"/>
      <c r="B961" s="336"/>
      <c r="C961" s="337"/>
      <c r="D961" s="97"/>
      <c r="E961" s="337"/>
      <c r="F961" s="338"/>
      <c r="G961" s="336"/>
      <c r="H961" s="337"/>
      <c r="I961" s="338"/>
      <c r="J961" s="97"/>
      <c r="K961" s="339"/>
      <c r="L961" s="339"/>
      <c r="M961" s="339"/>
      <c r="N961" s="339"/>
      <c r="O961" s="339"/>
      <c r="P961" s="339"/>
      <c r="Q961" s="340"/>
      <c r="R961" s="97"/>
      <c r="S961" s="97"/>
      <c r="T961" s="298"/>
      <c r="U961" s="97"/>
      <c r="V961" s="97"/>
      <c r="W961" s="97"/>
      <c r="X961" s="97"/>
      <c r="Y961" s="97"/>
      <c r="Z961" s="97"/>
      <c r="AA961" s="97"/>
    </row>
    <row r="962" ht="15.75" customHeight="1">
      <c r="A962" s="97"/>
      <c r="B962" s="336"/>
      <c r="C962" s="337"/>
      <c r="D962" s="97"/>
      <c r="E962" s="337"/>
      <c r="F962" s="338"/>
      <c r="G962" s="336"/>
      <c r="H962" s="337"/>
      <c r="I962" s="338"/>
      <c r="J962" s="97"/>
      <c r="K962" s="339"/>
      <c r="L962" s="339"/>
      <c r="M962" s="339"/>
      <c r="N962" s="339"/>
      <c r="O962" s="339"/>
      <c r="P962" s="339"/>
      <c r="Q962" s="340"/>
      <c r="R962" s="97"/>
      <c r="S962" s="97"/>
      <c r="T962" s="298"/>
      <c r="U962" s="97"/>
      <c r="V962" s="97"/>
      <c r="W962" s="97"/>
      <c r="X962" s="97"/>
      <c r="Y962" s="97"/>
      <c r="Z962" s="97"/>
      <c r="AA962" s="97"/>
    </row>
    <row r="963" ht="15.75" customHeight="1">
      <c r="A963" s="97"/>
      <c r="B963" s="336"/>
      <c r="C963" s="337"/>
      <c r="D963" s="97"/>
      <c r="E963" s="337"/>
      <c r="F963" s="338"/>
      <c r="G963" s="336"/>
      <c r="H963" s="337"/>
      <c r="I963" s="338"/>
      <c r="J963" s="97"/>
      <c r="K963" s="339"/>
      <c r="L963" s="339"/>
      <c r="M963" s="339"/>
      <c r="N963" s="339"/>
      <c r="O963" s="339"/>
      <c r="P963" s="339"/>
      <c r="Q963" s="340"/>
      <c r="R963" s="97"/>
      <c r="S963" s="97"/>
      <c r="T963" s="298"/>
      <c r="U963" s="97"/>
      <c r="V963" s="97"/>
      <c r="W963" s="97"/>
      <c r="X963" s="97"/>
      <c r="Y963" s="97"/>
      <c r="Z963" s="97"/>
      <c r="AA963" s="97"/>
    </row>
    <row r="964" ht="15.75" customHeight="1">
      <c r="A964" s="97"/>
      <c r="B964" s="336"/>
      <c r="C964" s="337"/>
      <c r="D964" s="97"/>
      <c r="E964" s="337"/>
      <c r="F964" s="338"/>
      <c r="G964" s="336"/>
      <c r="H964" s="337"/>
      <c r="I964" s="338"/>
      <c r="J964" s="97"/>
      <c r="K964" s="339"/>
      <c r="L964" s="339"/>
      <c r="M964" s="339"/>
      <c r="N964" s="339"/>
      <c r="O964" s="339"/>
      <c r="P964" s="339"/>
      <c r="Q964" s="340"/>
      <c r="R964" s="97"/>
      <c r="S964" s="97"/>
      <c r="T964" s="298"/>
      <c r="U964" s="97"/>
      <c r="V964" s="97"/>
      <c r="W964" s="97"/>
      <c r="X964" s="97"/>
      <c r="Y964" s="97"/>
      <c r="Z964" s="97"/>
      <c r="AA964" s="97"/>
    </row>
    <row r="965" ht="15.75" customHeight="1">
      <c r="A965" s="97"/>
      <c r="B965" s="336"/>
      <c r="C965" s="337"/>
      <c r="D965" s="97"/>
      <c r="E965" s="337"/>
      <c r="F965" s="338"/>
      <c r="G965" s="336"/>
      <c r="H965" s="337"/>
      <c r="I965" s="338"/>
      <c r="J965" s="97"/>
      <c r="K965" s="339"/>
      <c r="L965" s="339"/>
      <c r="M965" s="339"/>
      <c r="N965" s="339"/>
      <c r="O965" s="339"/>
      <c r="P965" s="339"/>
      <c r="Q965" s="340"/>
      <c r="R965" s="97"/>
      <c r="S965" s="97"/>
      <c r="T965" s="298"/>
      <c r="U965" s="97"/>
      <c r="V965" s="97"/>
      <c r="W965" s="97"/>
      <c r="X965" s="97"/>
      <c r="Y965" s="97"/>
      <c r="Z965" s="97"/>
      <c r="AA965" s="97"/>
    </row>
    <row r="966" ht="15.75" customHeight="1">
      <c r="A966" s="97"/>
      <c r="B966" s="336"/>
      <c r="C966" s="337"/>
      <c r="D966" s="97"/>
      <c r="E966" s="337"/>
      <c r="F966" s="338"/>
      <c r="G966" s="336"/>
      <c r="H966" s="337"/>
      <c r="I966" s="338"/>
      <c r="J966" s="97"/>
      <c r="K966" s="339"/>
      <c r="L966" s="339"/>
      <c r="M966" s="339"/>
      <c r="N966" s="339"/>
      <c r="O966" s="339"/>
      <c r="P966" s="339"/>
      <c r="Q966" s="340"/>
      <c r="R966" s="97"/>
      <c r="S966" s="97"/>
      <c r="T966" s="298"/>
      <c r="U966" s="97"/>
      <c r="V966" s="97"/>
      <c r="W966" s="97"/>
      <c r="X966" s="97"/>
      <c r="Y966" s="97"/>
      <c r="Z966" s="97"/>
      <c r="AA966" s="97"/>
    </row>
    <row r="967" ht="15.75" customHeight="1">
      <c r="A967" s="97"/>
      <c r="B967" s="336"/>
      <c r="C967" s="337"/>
      <c r="D967" s="97"/>
      <c r="E967" s="337"/>
      <c r="F967" s="338"/>
      <c r="G967" s="336"/>
      <c r="H967" s="337"/>
      <c r="I967" s="338"/>
      <c r="J967" s="97"/>
      <c r="K967" s="339"/>
      <c r="L967" s="339"/>
      <c r="M967" s="339"/>
      <c r="N967" s="339"/>
      <c r="O967" s="339"/>
      <c r="P967" s="339"/>
      <c r="Q967" s="340"/>
      <c r="R967" s="97"/>
      <c r="S967" s="97"/>
      <c r="T967" s="298"/>
      <c r="U967" s="97"/>
      <c r="V967" s="97"/>
      <c r="W967" s="97"/>
      <c r="X967" s="97"/>
      <c r="Y967" s="97"/>
      <c r="Z967" s="97"/>
      <c r="AA967" s="97"/>
    </row>
    <row r="968" ht="15.75" customHeight="1">
      <c r="A968" s="97"/>
      <c r="B968" s="336"/>
      <c r="C968" s="337"/>
      <c r="D968" s="97"/>
      <c r="E968" s="337"/>
      <c r="F968" s="338"/>
      <c r="G968" s="336"/>
      <c r="H968" s="337"/>
      <c r="I968" s="338"/>
      <c r="J968" s="97"/>
      <c r="K968" s="339"/>
      <c r="L968" s="339"/>
      <c r="M968" s="339"/>
      <c r="N968" s="339"/>
      <c r="O968" s="339"/>
      <c r="P968" s="339"/>
      <c r="Q968" s="340"/>
      <c r="R968" s="97"/>
      <c r="S968" s="97"/>
      <c r="T968" s="298"/>
      <c r="U968" s="97"/>
      <c r="V968" s="97"/>
      <c r="W968" s="97"/>
      <c r="X968" s="97"/>
      <c r="Y968" s="97"/>
      <c r="Z968" s="97"/>
      <c r="AA968" s="97"/>
    </row>
    <row r="969" ht="15.75" customHeight="1">
      <c r="A969" s="97"/>
      <c r="B969" s="336"/>
      <c r="C969" s="337"/>
      <c r="D969" s="97"/>
      <c r="E969" s="337"/>
      <c r="F969" s="338"/>
      <c r="G969" s="336"/>
      <c r="H969" s="337"/>
      <c r="I969" s="338"/>
      <c r="J969" s="97"/>
      <c r="K969" s="339"/>
      <c r="L969" s="339"/>
      <c r="M969" s="339"/>
      <c r="N969" s="339"/>
      <c r="O969" s="339"/>
      <c r="P969" s="339"/>
      <c r="Q969" s="340"/>
      <c r="R969" s="97"/>
      <c r="S969" s="97"/>
      <c r="T969" s="298"/>
      <c r="U969" s="97"/>
      <c r="V969" s="97"/>
      <c r="W969" s="97"/>
      <c r="X969" s="97"/>
      <c r="Y969" s="97"/>
      <c r="Z969" s="97"/>
      <c r="AA969" s="97"/>
    </row>
    <row r="970" ht="15.75" customHeight="1">
      <c r="A970" s="97"/>
      <c r="B970" s="336"/>
      <c r="C970" s="337"/>
      <c r="D970" s="97"/>
      <c r="E970" s="337"/>
      <c r="F970" s="338"/>
      <c r="G970" s="336"/>
      <c r="H970" s="337"/>
      <c r="I970" s="338"/>
      <c r="J970" s="97"/>
      <c r="K970" s="339"/>
      <c r="L970" s="339"/>
      <c r="M970" s="339"/>
      <c r="N970" s="339"/>
      <c r="O970" s="339"/>
      <c r="P970" s="339"/>
      <c r="Q970" s="340"/>
      <c r="R970" s="97"/>
      <c r="S970" s="97"/>
      <c r="T970" s="298"/>
      <c r="U970" s="97"/>
      <c r="V970" s="97"/>
      <c r="W970" s="97"/>
      <c r="X970" s="97"/>
      <c r="Y970" s="97"/>
      <c r="Z970" s="97"/>
      <c r="AA970" s="97"/>
    </row>
    <row r="971" ht="15.75" customHeight="1">
      <c r="A971" s="97"/>
      <c r="B971" s="336"/>
      <c r="C971" s="337"/>
      <c r="D971" s="97"/>
      <c r="E971" s="337"/>
      <c r="F971" s="338"/>
      <c r="G971" s="336"/>
      <c r="H971" s="337"/>
      <c r="I971" s="338"/>
      <c r="J971" s="97"/>
      <c r="K971" s="339"/>
      <c r="L971" s="339"/>
      <c r="M971" s="339"/>
      <c r="N971" s="339"/>
      <c r="O971" s="339"/>
      <c r="P971" s="339"/>
      <c r="Q971" s="340"/>
      <c r="R971" s="97"/>
      <c r="S971" s="97"/>
      <c r="T971" s="298"/>
      <c r="U971" s="97"/>
      <c r="V971" s="97"/>
      <c r="W971" s="97"/>
      <c r="X971" s="97"/>
      <c r="Y971" s="97"/>
      <c r="Z971" s="97"/>
      <c r="AA971" s="97"/>
    </row>
    <row r="972" ht="15.75" customHeight="1">
      <c r="A972" s="97"/>
      <c r="B972" s="336"/>
      <c r="C972" s="337"/>
      <c r="D972" s="97"/>
      <c r="E972" s="337"/>
      <c r="F972" s="338"/>
      <c r="G972" s="336"/>
      <c r="H972" s="337"/>
      <c r="I972" s="338"/>
      <c r="J972" s="97"/>
      <c r="K972" s="339"/>
      <c r="L972" s="339"/>
      <c r="M972" s="339"/>
      <c r="N972" s="339"/>
      <c r="O972" s="339"/>
      <c r="P972" s="339"/>
      <c r="Q972" s="340"/>
      <c r="R972" s="97"/>
      <c r="S972" s="97"/>
      <c r="T972" s="298"/>
      <c r="U972" s="97"/>
      <c r="V972" s="97"/>
      <c r="W972" s="97"/>
      <c r="X972" s="97"/>
      <c r="Y972" s="97"/>
      <c r="Z972" s="97"/>
      <c r="AA972" s="97"/>
    </row>
    <row r="973" ht="15.75" customHeight="1">
      <c r="A973" s="97"/>
      <c r="B973" s="336"/>
      <c r="C973" s="337"/>
      <c r="D973" s="97"/>
      <c r="E973" s="337"/>
      <c r="F973" s="338"/>
      <c r="G973" s="336"/>
      <c r="H973" s="337"/>
      <c r="I973" s="338"/>
      <c r="J973" s="97"/>
      <c r="K973" s="339"/>
      <c r="L973" s="339"/>
      <c r="M973" s="339"/>
      <c r="N973" s="339"/>
      <c r="O973" s="339"/>
      <c r="P973" s="339"/>
      <c r="Q973" s="340"/>
      <c r="R973" s="97"/>
      <c r="S973" s="97"/>
      <c r="T973" s="298"/>
      <c r="U973" s="97"/>
      <c r="V973" s="97"/>
      <c r="W973" s="97"/>
      <c r="X973" s="97"/>
      <c r="Y973" s="97"/>
      <c r="Z973" s="97"/>
      <c r="AA973" s="97"/>
    </row>
    <row r="974" ht="15.75" customHeight="1">
      <c r="A974" s="97"/>
      <c r="B974" s="336"/>
      <c r="C974" s="337"/>
      <c r="D974" s="97"/>
      <c r="E974" s="337"/>
      <c r="F974" s="338"/>
      <c r="G974" s="336"/>
      <c r="H974" s="337"/>
      <c r="I974" s="338"/>
      <c r="J974" s="97"/>
      <c r="K974" s="339"/>
      <c r="L974" s="339"/>
      <c r="M974" s="339"/>
      <c r="N974" s="339"/>
      <c r="O974" s="339"/>
      <c r="P974" s="339"/>
      <c r="Q974" s="340"/>
      <c r="R974" s="97"/>
      <c r="S974" s="97"/>
      <c r="T974" s="298"/>
      <c r="U974" s="97"/>
      <c r="V974" s="97"/>
      <c r="W974" s="97"/>
      <c r="X974" s="97"/>
      <c r="Y974" s="97"/>
      <c r="Z974" s="97"/>
      <c r="AA974" s="97"/>
    </row>
    <row r="975" ht="15.75" customHeight="1">
      <c r="A975" s="97"/>
      <c r="B975" s="336"/>
      <c r="C975" s="337"/>
      <c r="D975" s="97"/>
      <c r="E975" s="337"/>
      <c r="F975" s="338"/>
      <c r="G975" s="336"/>
      <c r="H975" s="337"/>
      <c r="I975" s="338"/>
      <c r="J975" s="97"/>
      <c r="K975" s="339"/>
      <c r="L975" s="339"/>
      <c r="M975" s="339"/>
      <c r="N975" s="339"/>
      <c r="O975" s="339"/>
      <c r="P975" s="339"/>
      <c r="Q975" s="340"/>
      <c r="R975" s="97"/>
      <c r="S975" s="97"/>
      <c r="T975" s="298"/>
      <c r="U975" s="97"/>
      <c r="V975" s="97"/>
      <c r="W975" s="97"/>
      <c r="X975" s="97"/>
      <c r="Y975" s="97"/>
      <c r="Z975" s="97"/>
      <c r="AA975" s="97"/>
    </row>
    <row r="976" ht="15.75" customHeight="1">
      <c r="A976" s="97"/>
      <c r="B976" s="336"/>
      <c r="C976" s="337"/>
      <c r="D976" s="97"/>
      <c r="E976" s="337"/>
      <c r="F976" s="338"/>
      <c r="G976" s="336"/>
      <c r="H976" s="337"/>
      <c r="I976" s="338"/>
      <c r="J976" s="97"/>
      <c r="K976" s="339"/>
      <c r="L976" s="339"/>
      <c r="M976" s="339"/>
      <c r="N976" s="339"/>
      <c r="O976" s="339"/>
      <c r="P976" s="339"/>
      <c r="Q976" s="340"/>
      <c r="R976" s="97"/>
      <c r="S976" s="97"/>
      <c r="T976" s="298"/>
      <c r="U976" s="97"/>
      <c r="V976" s="97"/>
      <c r="W976" s="97"/>
      <c r="X976" s="97"/>
      <c r="Y976" s="97"/>
      <c r="Z976" s="97"/>
      <c r="AA976" s="97"/>
    </row>
    <row r="977" ht="15.75" customHeight="1">
      <c r="A977" s="97"/>
      <c r="B977" s="336"/>
      <c r="C977" s="337"/>
      <c r="D977" s="97"/>
      <c r="E977" s="337"/>
      <c r="F977" s="338"/>
      <c r="G977" s="336"/>
      <c r="H977" s="337"/>
      <c r="I977" s="338"/>
      <c r="J977" s="97"/>
      <c r="K977" s="339"/>
      <c r="L977" s="339"/>
      <c r="M977" s="339"/>
      <c r="N977" s="339"/>
      <c r="O977" s="339"/>
      <c r="P977" s="339"/>
      <c r="Q977" s="340"/>
      <c r="R977" s="97"/>
      <c r="S977" s="97"/>
      <c r="T977" s="298"/>
      <c r="U977" s="97"/>
      <c r="V977" s="97"/>
      <c r="W977" s="97"/>
      <c r="X977" s="97"/>
      <c r="Y977" s="97"/>
      <c r="Z977" s="97"/>
      <c r="AA977" s="97"/>
    </row>
    <row r="978" ht="15.75" customHeight="1">
      <c r="A978" s="97"/>
      <c r="B978" s="336"/>
      <c r="C978" s="337"/>
      <c r="D978" s="97"/>
      <c r="E978" s="337"/>
      <c r="F978" s="338"/>
      <c r="G978" s="336"/>
      <c r="H978" s="337"/>
      <c r="I978" s="338"/>
      <c r="J978" s="97"/>
      <c r="K978" s="339"/>
      <c r="L978" s="339"/>
      <c r="M978" s="339"/>
      <c r="N978" s="339"/>
      <c r="O978" s="339"/>
      <c r="P978" s="339"/>
      <c r="Q978" s="340"/>
      <c r="R978" s="97"/>
      <c r="S978" s="97"/>
      <c r="T978" s="298"/>
      <c r="U978" s="97"/>
      <c r="V978" s="97"/>
      <c r="W978" s="97"/>
      <c r="X978" s="97"/>
      <c r="Y978" s="97"/>
      <c r="Z978" s="97"/>
      <c r="AA978" s="97"/>
    </row>
    <row r="979" ht="15.75" customHeight="1">
      <c r="A979" s="97"/>
      <c r="B979" s="336"/>
      <c r="C979" s="337"/>
      <c r="D979" s="97"/>
      <c r="E979" s="337"/>
      <c r="F979" s="338"/>
      <c r="G979" s="336"/>
      <c r="H979" s="337"/>
      <c r="I979" s="338"/>
      <c r="J979" s="97"/>
      <c r="K979" s="339"/>
      <c r="L979" s="339"/>
      <c r="M979" s="339"/>
      <c r="N979" s="339"/>
      <c r="O979" s="339"/>
      <c r="P979" s="339"/>
      <c r="Q979" s="340"/>
      <c r="R979" s="97"/>
      <c r="S979" s="97"/>
      <c r="T979" s="298"/>
      <c r="U979" s="97"/>
      <c r="V979" s="97"/>
      <c r="W979" s="97"/>
      <c r="X979" s="97"/>
      <c r="Y979" s="97"/>
      <c r="Z979" s="97"/>
      <c r="AA979" s="97"/>
    </row>
    <row r="980" ht="15.75" customHeight="1">
      <c r="A980" s="97"/>
      <c r="B980" s="336"/>
      <c r="C980" s="337"/>
      <c r="D980" s="97"/>
      <c r="E980" s="337"/>
      <c r="F980" s="338"/>
      <c r="G980" s="336"/>
      <c r="H980" s="337"/>
      <c r="I980" s="338"/>
      <c r="J980" s="97"/>
      <c r="K980" s="339"/>
      <c r="L980" s="339"/>
      <c r="M980" s="339"/>
      <c r="N980" s="339"/>
      <c r="O980" s="339"/>
      <c r="P980" s="339"/>
      <c r="Q980" s="340"/>
      <c r="R980" s="97"/>
      <c r="S980" s="97"/>
      <c r="T980" s="298"/>
      <c r="U980" s="97"/>
      <c r="V980" s="97"/>
      <c r="W980" s="97"/>
      <c r="X980" s="97"/>
      <c r="Y980" s="97"/>
      <c r="Z980" s="97"/>
      <c r="AA980" s="97"/>
    </row>
    <row r="981" ht="15.75" customHeight="1">
      <c r="A981" s="97"/>
      <c r="B981" s="336"/>
      <c r="C981" s="337"/>
      <c r="D981" s="97"/>
      <c r="E981" s="337"/>
      <c r="F981" s="338"/>
      <c r="G981" s="336"/>
      <c r="H981" s="337"/>
      <c r="I981" s="338"/>
      <c r="J981" s="97"/>
      <c r="K981" s="339"/>
      <c r="L981" s="339"/>
      <c r="M981" s="339"/>
      <c r="N981" s="339"/>
      <c r="O981" s="339"/>
      <c r="P981" s="339"/>
      <c r="Q981" s="340"/>
      <c r="R981" s="97"/>
      <c r="S981" s="97"/>
      <c r="T981" s="298"/>
      <c r="U981" s="97"/>
      <c r="V981" s="97"/>
      <c r="W981" s="97"/>
      <c r="X981" s="97"/>
      <c r="Y981" s="97"/>
      <c r="Z981" s="97"/>
      <c r="AA981" s="97"/>
    </row>
    <row r="982" ht="15.75" customHeight="1">
      <c r="A982" s="97"/>
      <c r="B982" s="336"/>
      <c r="C982" s="337"/>
      <c r="D982" s="97"/>
      <c r="E982" s="337"/>
      <c r="F982" s="338"/>
      <c r="G982" s="336"/>
      <c r="H982" s="337"/>
      <c r="I982" s="338"/>
      <c r="J982" s="97"/>
      <c r="K982" s="339"/>
      <c r="L982" s="339"/>
      <c r="M982" s="339"/>
      <c r="N982" s="339"/>
      <c r="O982" s="339"/>
      <c r="P982" s="339"/>
      <c r="Q982" s="340"/>
      <c r="R982" s="97"/>
      <c r="S982" s="97"/>
      <c r="T982" s="298"/>
      <c r="U982" s="97"/>
      <c r="V982" s="97"/>
      <c r="W982" s="97"/>
      <c r="X982" s="97"/>
      <c r="Y982" s="97"/>
      <c r="Z982" s="97"/>
      <c r="AA982" s="97"/>
    </row>
    <row r="983" ht="15.75" customHeight="1">
      <c r="A983" s="97"/>
      <c r="B983" s="336"/>
      <c r="C983" s="337"/>
      <c r="D983" s="97"/>
      <c r="E983" s="337"/>
      <c r="F983" s="338"/>
      <c r="G983" s="336"/>
      <c r="H983" s="337"/>
      <c r="I983" s="338"/>
      <c r="J983" s="97"/>
      <c r="K983" s="339"/>
      <c r="L983" s="339"/>
      <c r="M983" s="339"/>
      <c r="N983" s="339"/>
      <c r="O983" s="339"/>
      <c r="P983" s="339"/>
      <c r="Q983" s="340"/>
      <c r="R983" s="97"/>
      <c r="S983" s="97"/>
      <c r="T983" s="298"/>
      <c r="U983" s="97"/>
      <c r="V983" s="97"/>
      <c r="W983" s="97"/>
      <c r="X983" s="97"/>
      <c r="Y983" s="97"/>
      <c r="Z983" s="97"/>
      <c r="AA983" s="97"/>
    </row>
    <row r="984" ht="15.75" customHeight="1">
      <c r="A984" s="97"/>
      <c r="B984" s="336"/>
      <c r="C984" s="337"/>
      <c r="D984" s="97"/>
      <c r="E984" s="337"/>
      <c r="F984" s="338"/>
      <c r="G984" s="336"/>
      <c r="H984" s="337"/>
      <c r="I984" s="338"/>
      <c r="J984" s="97"/>
      <c r="K984" s="339"/>
      <c r="L984" s="339"/>
      <c r="M984" s="339"/>
      <c r="N984" s="339"/>
      <c r="O984" s="339"/>
      <c r="P984" s="339"/>
      <c r="Q984" s="340"/>
      <c r="R984" s="97"/>
      <c r="S984" s="97"/>
      <c r="T984" s="298"/>
      <c r="U984" s="97"/>
      <c r="V984" s="97"/>
      <c r="W984" s="97"/>
      <c r="X984" s="97"/>
      <c r="Y984" s="97"/>
      <c r="Z984" s="97"/>
      <c r="AA984" s="97"/>
    </row>
    <row r="985" ht="15.75" customHeight="1">
      <c r="A985" s="97"/>
      <c r="B985" s="336"/>
      <c r="C985" s="337"/>
      <c r="D985" s="97"/>
      <c r="E985" s="337"/>
      <c r="F985" s="338"/>
      <c r="G985" s="336"/>
      <c r="H985" s="337"/>
      <c r="I985" s="338"/>
      <c r="J985" s="97"/>
      <c r="K985" s="339"/>
      <c r="L985" s="339"/>
      <c r="M985" s="339"/>
      <c r="N985" s="339"/>
      <c r="O985" s="339"/>
      <c r="P985" s="339"/>
      <c r="Q985" s="340"/>
      <c r="R985" s="97"/>
      <c r="S985" s="97"/>
      <c r="T985" s="298"/>
      <c r="U985" s="97"/>
      <c r="V985" s="97"/>
      <c r="W985" s="97"/>
      <c r="X985" s="97"/>
      <c r="Y985" s="97"/>
      <c r="Z985" s="97"/>
      <c r="AA985" s="97"/>
    </row>
    <row r="986" ht="15.75" customHeight="1">
      <c r="A986" s="97"/>
      <c r="B986" s="336"/>
      <c r="C986" s="337"/>
      <c r="D986" s="97"/>
      <c r="E986" s="337"/>
      <c r="F986" s="338"/>
      <c r="G986" s="336"/>
      <c r="H986" s="337"/>
      <c r="I986" s="338"/>
      <c r="J986" s="97"/>
      <c r="K986" s="339"/>
      <c r="L986" s="339"/>
      <c r="M986" s="339"/>
      <c r="N986" s="339"/>
      <c r="O986" s="339"/>
      <c r="P986" s="339"/>
      <c r="Q986" s="340"/>
      <c r="R986" s="97"/>
      <c r="S986" s="97"/>
      <c r="T986" s="298"/>
      <c r="U986" s="97"/>
      <c r="V986" s="97"/>
      <c r="W986" s="97"/>
      <c r="X986" s="97"/>
      <c r="Y986" s="97"/>
      <c r="Z986" s="97"/>
      <c r="AA986" s="97"/>
    </row>
  </sheetData>
  <mergeCells count="2">
    <mergeCell ref="T18:T19"/>
    <mergeCell ref="T28:T3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5" width="11.11"/>
    <col customWidth="1" min="6" max="6" width="8.78"/>
    <col customWidth="1" min="7" max="8" width="7.11"/>
    <col customWidth="1" min="9" max="9" width="11.44"/>
    <col customWidth="1" min="10" max="20" width="11.11"/>
  </cols>
  <sheetData>
    <row r="1" ht="20.25" customHeight="1">
      <c r="A1" s="341" t="s">
        <v>0</v>
      </c>
      <c r="B1" s="341" t="s">
        <v>455</v>
      </c>
      <c r="C1" s="342" t="s">
        <v>456</v>
      </c>
      <c r="D1" s="341" t="s">
        <v>457</v>
      </c>
      <c r="E1" s="342" t="s">
        <v>458</v>
      </c>
      <c r="F1" s="343" t="s">
        <v>459</v>
      </c>
      <c r="G1" s="344" t="s">
        <v>7</v>
      </c>
      <c r="H1" s="344" t="s">
        <v>8</v>
      </c>
      <c r="I1" s="345" t="s">
        <v>9</v>
      </c>
    </row>
    <row r="2">
      <c r="A2" s="306" t="s">
        <v>460</v>
      </c>
      <c r="B2" s="293">
        <v>45461.0</v>
      </c>
      <c r="C2" s="73">
        <v>0.3229166666666667</v>
      </c>
      <c r="D2" s="293">
        <v>45461.0</v>
      </c>
      <c r="E2" s="321">
        <v>0.6180555555555556</v>
      </c>
      <c r="F2" s="311">
        <v>0.0</v>
      </c>
      <c r="G2" s="346" t="s">
        <v>12</v>
      </c>
      <c r="H2" s="346" t="s">
        <v>13</v>
      </c>
      <c r="I2" s="347"/>
    </row>
    <row r="3">
      <c r="A3" s="306" t="s">
        <v>461</v>
      </c>
      <c r="B3" s="293">
        <v>45461.0</v>
      </c>
      <c r="C3" s="73">
        <v>0.3402777777777778</v>
      </c>
      <c r="D3" s="293">
        <v>45461.0</v>
      </c>
      <c r="E3" s="321">
        <v>0.6576388888888889</v>
      </c>
      <c r="F3" s="311">
        <v>0.03</v>
      </c>
      <c r="G3" s="346" t="s">
        <v>12</v>
      </c>
      <c r="H3" s="346" t="s">
        <v>13</v>
      </c>
      <c r="I3" s="347"/>
    </row>
    <row r="4">
      <c r="A4" s="306" t="s">
        <v>462</v>
      </c>
      <c r="B4" s="293">
        <v>45461.0</v>
      </c>
      <c r="C4" s="73">
        <v>0.3680555555555556</v>
      </c>
      <c r="D4" s="293">
        <v>45461.0</v>
      </c>
      <c r="E4" s="321">
        <v>0.6583333333333333</v>
      </c>
      <c r="F4" s="311">
        <v>0.0</v>
      </c>
      <c r="G4" s="346" t="s">
        <v>12</v>
      </c>
      <c r="H4" s="346" t="s">
        <v>13</v>
      </c>
      <c r="I4" s="347"/>
    </row>
    <row r="5">
      <c r="A5" s="306" t="s">
        <v>463</v>
      </c>
      <c r="B5" s="293">
        <v>45461.0</v>
      </c>
      <c r="C5" s="73">
        <v>0.40902777777777777</v>
      </c>
      <c r="D5" s="293">
        <v>45461.0</v>
      </c>
      <c r="E5" s="321">
        <v>0.6256944444444444</v>
      </c>
      <c r="F5" s="311">
        <v>0.1</v>
      </c>
      <c r="G5" s="346" t="s">
        <v>12</v>
      </c>
      <c r="H5" s="346" t="s">
        <v>13</v>
      </c>
      <c r="I5" s="347"/>
    </row>
    <row r="6">
      <c r="A6" s="306" t="s">
        <v>464</v>
      </c>
      <c r="B6" s="293">
        <v>45461.0</v>
      </c>
      <c r="C6" s="73">
        <v>0.4270833333333333</v>
      </c>
      <c r="D6" s="293">
        <v>45461.0</v>
      </c>
      <c r="E6" s="321">
        <v>0.6277777777777778</v>
      </c>
      <c r="F6" s="311">
        <v>0.28</v>
      </c>
      <c r="G6" s="346" t="s">
        <v>12</v>
      </c>
      <c r="H6" s="346" t="s">
        <v>13</v>
      </c>
      <c r="I6" s="347"/>
    </row>
    <row r="7">
      <c r="A7" s="306" t="s">
        <v>465</v>
      </c>
      <c r="B7" s="293">
        <v>45461.0</v>
      </c>
      <c r="C7" s="73">
        <v>0.44305555555555554</v>
      </c>
      <c r="D7" s="293">
        <v>45461.0</v>
      </c>
      <c r="E7" s="321">
        <v>0.6284722222222222</v>
      </c>
      <c r="F7" s="311">
        <v>0.18</v>
      </c>
      <c r="G7" s="346" t="s">
        <v>12</v>
      </c>
      <c r="H7" s="346" t="s">
        <v>13</v>
      </c>
      <c r="I7" s="347"/>
    </row>
    <row r="8">
      <c r="A8" s="306" t="s">
        <v>466</v>
      </c>
      <c r="B8" s="293">
        <v>45461.0</v>
      </c>
      <c r="C8" s="73">
        <v>0.4722222222222222</v>
      </c>
      <c r="D8" s="293">
        <v>45461.0</v>
      </c>
      <c r="E8" s="321">
        <v>0.6229166666666667</v>
      </c>
      <c r="F8" s="311">
        <v>0.0</v>
      </c>
      <c r="G8" s="346" t="s">
        <v>12</v>
      </c>
      <c r="H8" s="346" t="s">
        <v>13</v>
      </c>
      <c r="I8" s="347"/>
    </row>
    <row r="9">
      <c r="A9" s="306" t="s">
        <v>467</v>
      </c>
      <c r="B9" s="293">
        <v>45461.0</v>
      </c>
      <c r="C9" s="73">
        <v>0.48819444444444443</v>
      </c>
      <c r="D9" s="293">
        <v>45461.0</v>
      </c>
      <c r="E9" s="321">
        <v>0.6555555555555556</v>
      </c>
      <c r="F9" s="311">
        <v>0.05</v>
      </c>
      <c r="G9" s="346" t="s">
        <v>12</v>
      </c>
      <c r="H9" s="346" t="s">
        <v>13</v>
      </c>
      <c r="I9" s="347"/>
    </row>
    <row r="10">
      <c r="A10" s="306" t="s">
        <v>468</v>
      </c>
      <c r="B10" s="72">
        <v>45464.0</v>
      </c>
      <c r="C10" s="73">
        <v>0.3055555555555556</v>
      </c>
      <c r="D10" s="72">
        <v>45464.0</v>
      </c>
      <c r="E10" s="321">
        <v>0.6652777777777777</v>
      </c>
      <c r="F10" s="348">
        <v>0.01</v>
      </c>
      <c r="G10" s="346" t="s">
        <v>12</v>
      </c>
      <c r="H10" s="346" t="s">
        <v>13</v>
      </c>
      <c r="I10" s="347"/>
    </row>
    <row r="11">
      <c r="A11" s="306" t="s">
        <v>469</v>
      </c>
      <c r="B11" s="72">
        <v>45464.0</v>
      </c>
      <c r="C11" s="73">
        <v>0.34652777777777777</v>
      </c>
      <c r="D11" s="72">
        <v>45464.0</v>
      </c>
      <c r="E11" s="321">
        <v>0.6659722222222222</v>
      </c>
      <c r="F11" s="311">
        <v>0.11</v>
      </c>
      <c r="G11" s="346" t="s">
        <v>12</v>
      </c>
      <c r="H11" s="346" t="s">
        <v>13</v>
      </c>
      <c r="I11" s="347"/>
    </row>
    <row r="12">
      <c r="A12" s="306" t="s">
        <v>470</v>
      </c>
      <c r="B12" s="72">
        <v>45464.0</v>
      </c>
      <c r="C12" s="73">
        <v>0.3638888888888889</v>
      </c>
      <c r="D12" s="72">
        <v>45464.0</v>
      </c>
      <c r="E12" s="73">
        <v>0.6680555555555555</v>
      </c>
      <c r="F12" s="311">
        <v>0.11</v>
      </c>
      <c r="G12" s="346" t="s">
        <v>12</v>
      </c>
      <c r="H12" s="346" t="s">
        <v>13</v>
      </c>
      <c r="I12" s="347"/>
    </row>
    <row r="13">
      <c r="A13" s="306" t="s">
        <v>471</v>
      </c>
      <c r="B13" s="72">
        <v>45464.0</v>
      </c>
      <c r="C13" s="74">
        <v>0.41944444444444445</v>
      </c>
      <c r="D13" s="72">
        <v>45464.0</v>
      </c>
      <c r="E13" s="80">
        <v>0.6701388888888888</v>
      </c>
      <c r="F13" s="311">
        <v>0.23</v>
      </c>
      <c r="G13" s="346" t="s">
        <v>12</v>
      </c>
      <c r="H13" s="346" t="s">
        <v>13</v>
      </c>
      <c r="I13" s="347"/>
    </row>
    <row r="14">
      <c r="A14" s="306" t="s">
        <v>472</v>
      </c>
      <c r="B14" s="72">
        <v>45464.0</v>
      </c>
      <c r="C14" s="73">
        <v>0.4361111111111111</v>
      </c>
      <c r="D14" s="72">
        <v>45464.0</v>
      </c>
      <c r="E14" s="73">
        <v>0.6708333333333333</v>
      </c>
      <c r="F14" s="311">
        <v>0.24</v>
      </c>
      <c r="G14" s="346" t="s">
        <v>12</v>
      </c>
      <c r="H14" s="346" t="s">
        <v>13</v>
      </c>
      <c r="I14" s="347"/>
    </row>
    <row r="15">
      <c r="A15" s="306" t="s">
        <v>473</v>
      </c>
      <c r="B15" s="72">
        <v>45468.0</v>
      </c>
      <c r="C15" s="349">
        <v>0.2833333333333333</v>
      </c>
      <c r="D15" s="72">
        <v>45468.0</v>
      </c>
      <c r="E15" s="73">
        <v>0.6118055555555556</v>
      </c>
      <c r="F15" s="350">
        <v>0.03</v>
      </c>
      <c r="G15" s="346" t="s">
        <v>12</v>
      </c>
      <c r="H15" s="351" t="s">
        <v>474</v>
      </c>
      <c r="I15" s="347"/>
    </row>
    <row r="16">
      <c r="A16" s="306" t="s">
        <v>475</v>
      </c>
      <c r="B16" s="72">
        <v>45468.0</v>
      </c>
      <c r="C16" s="352">
        <v>0.30833333333333335</v>
      </c>
      <c r="D16" s="72">
        <v>45468.0</v>
      </c>
      <c r="E16" s="73">
        <v>0.6138888888888889</v>
      </c>
      <c r="F16" s="350">
        <v>0.09</v>
      </c>
      <c r="G16" s="346" t="s">
        <v>12</v>
      </c>
      <c r="H16" s="351" t="s">
        <v>474</v>
      </c>
      <c r="I16" s="347"/>
    </row>
    <row r="17">
      <c r="A17" s="306" t="s">
        <v>476</v>
      </c>
      <c r="B17" s="72">
        <v>45468.0</v>
      </c>
      <c r="C17" s="352">
        <v>0.3229166666666667</v>
      </c>
      <c r="D17" s="72">
        <v>45468.0</v>
      </c>
      <c r="E17" s="73">
        <v>0.6159722222222223</v>
      </c>
      <c r="F17" s="350">
        <v>0.03</v>
      </c>
      <c r="G17" s="346" t="s">
        <v>12</v>
      </c>
      <c r="H17" s="351" t="s">
        <v>474</v>
      </c>
      <c r="I17" s="347"/>
    </row>
    <row r="18">
      <c r="A18" s="306" t="s">
        <v>477</v>
      </c>
      <c r="B18" s="72">
        <v>45468.0</v>
      </c>
      <c r="C18" s="352">
        <v>0.34375</v>
      </c>
      <c r="D18" s="72">
        <v>45468.0</v>
      </c>
      <c r="E18" s="73">
        <v>0.6173611111111111</v>
      </c>
      <c r="F18" s="350">
        <v>0.24</v>
      </c>
      <c r="G18" s="346" t="s">
        <v>12</v>
      </c>
      <c r="H18" s="351" t="s">
        <v>474</v>
      </c>
      <c r="I18" s="347"/>
    </row>
    <row r="19">
      <c r="A19" s="306" t="s">
        <v>478</v>
      </c>
      <c r="B19" s="72">
        <v>45468.0</v>
      </c>
      <c r="C19" s="353">
        <v>0.36736111111111114</v>
      </c>
      <c r="D19" s="72">
        <v>45468.0</v>
      </c>
      <c r="E19" s="73">
        <v>0.6194444444444445</v>
      </c>
      <c r="F19" s="350">
        <v>0.2</v>
      </c>
      <c r="G19" s="346" t="s">
        <v>12</v>
      </c>
      <c r="H19" s="351" t="s">
        <v>474</v>
      </c>
      <c r="I19" s="347"/>
    </row>
    <row r="20">
      <c r="A20" s="306" t="s">
        <v>479</v>
      </c>
      <c r="B20" s="72">
        <v>45468.0</v>
      </c>
      <c r="C20" s="353">
        <v>0.3861111111111111</v>
      </c>
      <c r="D20" s="72">
        <v>45468.0</v>
      </c>
      <c r="E20" s="73">
        <v>0.6229166666666667</v>
      </c>
      <c r="F20" s="350">
        <v>0.25</v>
      </c>
      <c r="G20" s="346" t="s">
        <v>12</v>
      </c>
      <c r="H20" s="351" t="s">
        <v>474</v>
      </c>
      <c r="I20" s="347"/>
    </row>
    <row r="21">
      <c r="A21" s="306" t="s">
        <v>480</v>
      </c>
      <c r="B21" s="72">
        <v>45468.0</v>
      </c>
      <c r="C21" s="353">
        <v>0.4013888888888889</v>
      </c>
      <c r="D21" s="72">
        <v>45468.0</v>
      </c>
      <c r="E21" s="73">
        <v>0.625</v>
      </c>
      <c r="F21" s="350">
        <v>0.26</v>
      </c>
      <c r="G21" s="346" t="s">
        <v>12</v>
      </c>
      <c r="H21" s="351" t="s">
        <v>474</v>
      </c>
      <c r="I21" s="347"/>
    </row>
    <row r="22">
      <c r="A22" s="306" t="s">
        <v>481</v>
      </c>
      <c r="B22" s="72">
        <v>45468.0</v>
      </c>
      <c r="C22" s="352">
        <v>0.4236111111111111</v>
      </c>
      <c r="D22" s="72">
        <v>45468.0</v>
      </c>
      <c r="E22" s="73">
        <v>0.6277777777777778</v>
      </c>
      <c r="F22" s="350">
        <v>0.25</v>
      </c>
      <c r="G22" s="346" t="s">
        <v>12</v>
      </c>
      <c r="H22" s="351" t="s">
        <v>474</v>
      </c>
      <c r="I22" s="347"/>
    </row>
    <row r="23">
      <c r="A23" s="70" t="s">
        <v>482</v>
      </c>
      <c r="B23" s="8">
        <v>45471.0</v>
      </c>
      <c r="C23" s="9">
        <v>0.26805555555555555</v>
      </c>
      <c r="D23" s="8">
        <v>45471.0</v>
      </c>
      <c r="E23" s="73">
        <v>0.49722222222222223</v>
      </c>
      <c r="F23" s="350">
        <v>0.25</v>
      </c>
      <c r="G23" s="346" t="s">
        <v>12</v>
      </c>
      <c r="H23" s="351" t="s">
        <v>474</v>
      </c>
      <c r="I23" s="347"/>
    </row>
    <row r="24">
      <c r="A24" s="70" t="s">
        <v>483</v>
      </c>
      <c r="B24" s="8">
        <v>45471.0</v>
      </c>
      <c r="C24" s="79">
        <v>0.29375</v>
      </c>
      <c r="D24" s="8">
        <v>45471.0</v>
      </c>
      <c r="E24" s="73">
        <v>0.4986111111111111</v>
      </c>
      <c r="F24" s="350">
        <v>0.08</v>
      </c>
      <c r="G24" s="346" t="s">
        <v>12</v>
      </c>
      <c r="H24" s="351" t="s">
        <v>474</v>
      </c>
      <c r="I24" s="347"/>
    </row>
    <row r="25">
      <c r="A25" s="70" t="s">
        <v>484</v>
      </c>
      <c r="B25" s="8">
        <v>45471.0</v>
      </c>
      <c r="C25" s="73">
        <v>0.3375</v>
      </c>
      <c r="D25" s="8">
        <v>45471.0</v>
      </c>
      <c r="E25" s="73">
        <v>0.5020833333333333</v>
      </c>
      <c r="F25" s="350">
        <v>0.04</v>
      </c>
      <c r="G25" s="346" t="s">
        <v>12</v>
      </c>
      <c r="H25" s="351" t="s">
        <v>474</v>
      </c>
      <c r="I25" s="347"/>
    </row>
    <row r="26">
      <c r="A26" s="70" t="s">
        <v>485</v>
      </c>
      <c r="B26" s="8">
        <v>45471.0</v>
      </c>
      <c r="C26" s="80">
        <v>0.36180555555555555</v>
      </c>
      <c r="D26" s="8">
        <v>45471.0</v>
      </c>
      <c r="E26" s="73">
        <v>0.5055555555555555</v>
      </c>
      <c r="F26" s="350">
        <v>0.02</v>
      </c>
      <c r="G26" s="346" t="s">
        <v>12</v>
      </c>
      <c r="H26" s="351" t="s">
        <v>474</v>
      </c>
      <c r="I26" s="347"/>
    </row>
    <row r="27">
      <c r="A27" s="70" t="s">
        <v>486</v>
      </c>
      <c r="B27" s="8">
        <v>45471.0</v>
      </c>
      <c r="C27" s="80">
        <v>0.38819444444444445</v>
      </c>
      <c r="D27" s="8">
        <v>45471.0</v>
      </c>
      <c r="E27" s="73">
        <v>0.5006944444444444</v>
      </c>
      <c r="F27" s="348">
        <v>0.4</v>
      </c>
      <c r="G27" s="346" t="s">
        <v>12</v>
      </c>
      <c r="H27" s="351" t="s">
        <v>474</v>
      </c>
      <c r="I27" s="347"/>
    </row>
    <row r="28">
      <c r="A28" s="70" t="s">
        <v>487</v>
      </c>
      <c r="B28" s="19">
        <v>45483.0</v>
      </c>
      <c r="C28" s="20">
        <v>0.3125</v>
      </c>
      <c r="D28" s="19">
        <v>45485.0</v>
      </c>
      <c r="E28" s="73">
        <v>0.5569444444444445</v>
      </c>
      <c r="F28" s="348">
        <v>0.08</v>
      </c>
      <c r="G28" s="346" t="s">
        <v>12</v>
      </c>
      <c r="H28" s="346" t="s">
        <v>13</v>
      </c>
      <c r="I28" s="347"/>
    </row>
    <row r="29">
      <c r="A29" s="70" t="s">
        <v>488</v>
      </c>
      <c r="B29" s="19">
        <v>45483.0</v>
      </c>
      <c r="C29" s="20">
        <v>0.35138888888888886</v>
      </c>
      <c r="D29" s="19">
        <v>45485.0</v>
      </c>
      <c r="E29" s="354">
        <v>0.5583333333333333</v>
      </c>
      <c r="F29" s="348">
        <v>0.05</v>
      </c>
      <c r="G29" s="346" t="s">
        <v>12</v>
      </c>
      <c r="H29" s="346" t="s">
        <v>13</v>
      </c>
      <c r="I29" s="347"/>
    </row>
    <row r="30">
      <c r="A30" s="70" t="s">
        <v>489</v>
      </c>
      <c r="B30" s="19">
        <v>45483.0</v>
      </c>
      <c r="C30" s="20">
        <v>0.47847222222222224</v>
      </c>
      <c r="D30" s="19">
        <v>45485.0</v>
      </c>
      <c r="E30" s="354">
        <v>0.5611111111111111</v>
      </c>
      <c r="F30" s="348">
        <v>0.18</v>
      </c>
      <c r="G30" s="346" t="s">
        <v>12</v>
      </c>
      <c r="H30" s="346" t="s">
        <v>13</v>
      </c>
      <c r="I30" s="347"/>
    </row>
    <row r="31">
      <c r="A31" s="70" t="s">
        <v>490</v>
      </c>
      <c r="B31" s="19">
        <v>45483.0</v>
      </c>
      <c r="C31" s="20">
        <v>0.5708333333333333</v>
      </c>
      <c r="D31" s="19">
        <v>45485.0</v>
      </c>
      <c r="E31" s="355">
        <v>0.5631944444444444</v>
      </c>
      <c r="F31" s="348">
        <v>0.05</v>
      </c>
      <c r="G31" s="346" t="s">
        <v>12</v>
      </c>
      <c r="H31" s="346" t="s">
        <v>13</v>
      </c>
      <c r="I31" s="347"/>
    </row>
    <row r="32">
      <c r="A32" s="70" t="s">
        <v>491</v>
      </c>
      <c r="B32" s="19">
        <v>45484.0</v>
      </c>
      <c r="C32" s="9">
        <v>0.2951388888888889</v>
      </c>
      <c r="D32" s="19">
        <v>45485.0</v>
      </c>
      <c r="E32" s="73">
        <v>0.5645833333333333</v>
      </c>
      <c r="F32" s="356">
        <v>0.05</v>
      </c>
      <c r="G32" s="346" t="s">
        <v>12</v>
      </c>
      <c r="H32" s="346" t="s">
        <v>13</v>
      </c>
      <c r="I32" s="357"/>
      <c r="J32" s="358"/>
      <c r="K32" s="358"/>
      <c r="L32" s="358"/>
      <c r="M32" s="358"/>
      <c r="N32" s="358"/>
      <c r="O32" s="358"/>
      <c r="P32" s="358"/>
      <c r="Q32" s="358"/>
      <c r="R32" s="358"/>
      <c r="S32" s="358"/>
      <c r="T32" s="358"/>
    </row>
    <row r="33">
      <c r="A33" s="70" t="s">
        <v>492</v>
      </c>
      <c r="B33" s="19">
        <v>45484.0</v>
      </c>
      <c r="C33" s="9">
        <v>0.32708333333333334</v>
      </c>
      <c r="D33" s="19">
        <v>45485.0</v>
      </c>
      <c r="E33" s="73">
        <v>0.5666666666666667</v>
      </c>
      <c r="F33" s="356">
        <v>0.02</v>
      </c>
      <c r="G33" s="346" t="s">
        <v>12</v>
      </c>
      <c r="H33" s="346" t="s">
        <v>13</v>
      </c>
      <c r="I33" s="357"/>
    </row>
    <row r="34">
      <c r="A34" s="70" t="s">
        <v>493</v>
      </c>
      <c r="B34" s="19">
        <v>45484.0</v>
      </c>
      <c r="C34" s="9">
        <v>0.34791666666666665</v>
      </c>
      <c r="D34" s="19">
        <v>45485.0</v>
      </c>
      <c r="E34" s="359">
        <v>0.5680555555555555</v>
      </c>
      <c r="F34" s="356">
        <v>0.0</v>
      </c>
      <c r="G34" s="346" t="s">
        <v>12</v>
      </c>
      <c r="H34" s="346" t="s">
        <v>13</v>
      </c>
      <c r="I34" s="305"/>
    </row>
    <row r="35">
      <c r="A35" s="70" t="s">
        <v>494</v>
      </c>
      <c r="B35" s="19">
        <v>45484.0</v>
      </c>
      <c r="C35" s="9">
        <v>0.3923611111111111</v>
      </c>
      <c r="D35" s="19">
        <v>45485.0</v>
      </c>
      <c r="E35" s="359">
        <v>0.5701388888888889</v>
      </c>
      <c r="F35" s="356">
        <v>0.0</v>
      </c>
      <c r="G35" s="346" t="s">
        <v>12</v>
      </c>
      <c r="H35" s="346" t="s">
        <v>13</v>
      </c>
      <c r="I35" s="305"/>
    </row>
    <row r="36">
      <c r="A36" s="71" t="s">
        <v>495</v>
      </c>
      <c r="B36" s="19">
        <v>45484.0</v>
      </c>
      <c r="C36" s="9">
        <v>0.41388888888888886</v>
      </c>
      <c r="D36" s="19">
        <v>45485.0</v>
      </c>
      <c r="E36" s="360">
        <v>0.5715277777777777</v>
      </c>
      <c r="F36" s="356">
        <v>0.03</v>
      </c>
      <c r="G36" s="346" t="s">
        <v>12</v>
      </c>
      <c r="H36" s="346" t="s">
        <v>13</v>
      </c>
      <c r="I36" s="305"/>
    </row>
    <row r="37">
      <c r="A37" s="70" t="s">
        <v>496</v>
      </c>
      <c r="B37" s="19">
        <v>45484.0</v>
      </c>
      <c r="C37" s="9">
        <v>0.44930555555555557</v>
      </c>
      <c r="D37" s="8">
        <v>45489.0</v>
      </c>
      <c r="E37" s="360">
        <v>0.5729166666666666</v>
      </c>
      <c r="F37" s="356">
        <v>0.08</v>
      </c>
      <c r="G37" s="346" t="s">
        <v>12</v>
      </c>
      <c r="H37" s="346" t="s">
        <v>13</v>
      </c>
      <c r="I37" s="305"/>
    </row>
    <row r="38">
      <c r="A38" s="71" t="s">
        <v>497</v>
      </c>
      <c r="B38" s="8">
        <v>45489.0</v>
      </c>
      <c r="C38" s="9">
        <v>0.3402777777777778</v>
      </c>
      <c r="D38" s="8">
        <v>45489.0</v>
      </c>
      <c r="E38" s="360">
        <v>0.7118055555555556</v>
      </c>
      <c r="F38" s="356">
        <v>0.18</v>
      </c>
      <c r="G38" s="346" t="s">
        <v>12</v>
      </c>
      <c r="H38" s="346" t="s">
        <v>13</v>
      </c>
      <c r="I38" s="305"/>
    </row>
    <row r="39">
      <c r="A39" s="70" t="s">
        <v>498</v>
      </c>
      <c r="B39" s="8">
        <v>45489.0</v>
      </c>
      <c r="C39" s="9">
        <v>0.3770833333333333</v>
      </c>
      <c r="D39" s="8">
        <v>45489.0</v>
      </c>
      <c r="E39" s="360">
        <v>0.7125</v>
      </c>
      <c r="F39" s="356">
        <v>0.03</v>
      </c>
      <c r="G39" s="346" t="s">
        <v>12</v>
      </c>
      <c r="H39" s="346" t="s">
        <v>13</v>
      </c>
      <c r="I39" s="361"/>
    </row>
    <row r="40">
      <c r="A40" s="70" t="s">
        <v>499</v>
      </c>
      <c r="B40" s="8">
        <v>45489.0</v>
      </c>
      <c r="C40" s="9">
        <v>0.41597222222222224</v>
      </c>
      <c r="D40" s="8">
        <v>45489.0</v>
      </c>
      <c r="E40" s="360">
        <v>0.7104166666666667</v>
      </c>
      <c r="F40" s="356">
        <v>0.06</v>
      </c>
      <c r="G40" s="346" t="s">
        <v>12</v>
      </c>
      <c r="H40" s="346" t="s">
        <v>13</v>
      </c>
      <c r="I40" s="305"/>
    </row>
    <row r="41">
      <c r="A41" s="70" t="s">
        <v>500</v>
      </c>
      <c r="B41" s="8">
        <v>45489.0</v>
      </c>
      <c r="C41" s="9">
        <v>0.4395833333333333</v>
      </c>
      <c r="D41" s="8">
        <v>45489.0</v>
      </c>
      <c r="E41" s="360">
        <v>0.7145833333333333</v>
      </c>
      <c r="F41" s="356">
        <v>0.04</v>
      </c>
      <c r="G41" s="346" t="s">
        <v>12</v>
      </c>
      <c r="H41" s="346" t="s">
        <v>13</v>
      </c>
      <c r="I41" s="305"/>
    </row>
    <row r="42">
      <c r="A42" s="70" t="s">
        <v>501</v>
      </c>
      <c r="B42" s="8">
        <v>45489.0</v>
      </c>
      <c r="C42" s="28">
        <v>0.4708333333333333</v>
      </c>
      <c r="D42" s="8">
        <v>45489.0</v>
      </c>
      <c r="E42" s="360">
        <v>0.7159722222222222</v>
      </c>
      <c r="F42" s="356">
        <v>0.18</v>
      </c>
      <c r="G42" s="346" t="s">
        <v>12</v>
      </c>
      <c r="H42" s="346" t="s">
        <v>13</v>
      </c>
      <c r="I42" s="361"/>
    </row>
    <row r="43">
      <c r="A43" s="70" t="s">
        <v>502</v>
      </c>
      <c r="B43" s="8">
        <v>45489.0</v>
      </c>
      <c r="C43" s="9">
        <v>0.4847222222222222</v>
      </c>
      <c r="D43" s="8">
        <v>45489.0</v>
      </c>
      <c r="E43" s="360">
        <v>0.7173611111111111</v>
      </c>
      <c r="F43" s="356">
        <v>0.13</v>
      </c>
      <c r="G43" s="346" t="s">
        <v>12</v>
      </c>
      <c r="H43" s="346" t="s">
        <v>13</v>
      </c>
      <c r="I43" s="305"/>
    </row>
    <row r="44">
      <c r="A44" s="70" t="s">
        <v>503</v>
      </c>
      <c r="B44" s="8">
        <v>45489.0</v>
      </c>
      <c r="C44" s="9">
        <v>0.5</v>
      </c>
      <c r="D44" s="8">
        <v>45489.0</v>
      </c>
      <c r="E44" s="360">
        <v>0.7180555555555556</v>
      </c>
      <c r="F44" s="348">
        <v>0.13</v>
      </c>
      <c r="G44" s="346" t="s">
        <v>12</v>
      </c>
      <c r="H44" s="346" t="s">
        <v>13</v>
      </c>
      <c r="I44" s="362"/>
    </row>
    <row r="45">
      <c r="A45" s="70" t="s">
        <v>504</v>
      </c>
      <c r="B45" s="29">
        <v>45491.0</v>
      </c>
      <c r="C45" s="9">
        <v>0.31319444444444444</v>
      </c>
      <c r="D45" s="29">
        <v>45491.0</v>
      </c>
      <c r="E45" s="360">
        <v>0.6673611111111111</v>
      </c>
      <c r="F45" s="348">
        <v>0.28</v>
      </c>
      <c r="G45" s="346" t="s">
        <v>12</v>
      </c>
      <c r="H45" s="346" t="s">
        <v>13</v>
      </c>
      <c r="I45" s="362"/>
    </row>
    <row r="46">
      <c r="A46" s="70" t="s">
        <v>505</v>
      </c>
      <c r="B46" s="29">
        <v>45491.0</v>
      </c>
      <c r="C46" s="9">
        <v>0.3277777777777778</v>
      </c>
      <c r="D46" s="29">
        <v>45491.0</v>
      </c>
      <c r="E46" s="360">
        <v>0.6694444444444444</v>
      </c>
      <c r="F46" s="348">
        <v>0.28</v>
      </c>
      <c r="G46" s="346" t="s">
        <v>12</v>
      </c>
      <c r="H46" s="346" t="s">
        <v>13</v>
      </c>
      <c r="I46" s="362"/>
    </row>
    <row r="47">
      <c r="A47" s="363" t="s">
        <v>506</v>
      </c>
      <c r="B47" s="8">
        <v>45504.0</v>
      </c>
      <c r="C47" s="30">
        <v>0.2673611111111111</v>
      </c>
      <c r="D47" s="8">
        <v>45504.0</v>
      </c>
      <c r="E47" s="26">
        <v>0.6013888888888889</v>
      </c>
      <c r="F47" s="364">
        <v>0.14</v>
      </c>
      <c r="G47" s="346" t="s">
        <v>12</v>
      </c>
      <c r="H47" s="346" t="s">
        <v>13</v>
      </c>
      <c r="I47" s="362"/>
    </row>
    <row r="48">
      <c r="A48" s="70" t="s">
        <v>507</v>
      </c>
      <c r="B48" s="8">
        <v>45504.0</v>
      </c>
      <c r="C48" s="30">
        <v>0.28680555555555554</v>
      </c>
      <c r="D48" s="8">
        <v>45504.0</v>
      </c>
      <c r="E48" s="26">
        <v>0.6034722222222222</v>
      </c>
      <c r="F48" s="364">
        <v>0.12</v>
      </c>
      <c r="G48" s="346" t="s">
        <v>12</v>
      </c>
      <c r="H48" s="346" t="s">
        <v>13</v>
      </c>
      <c r="I48" s="362"/>
    </row>
    <row r="49">
      <c r="B49" s="365"/>
      <c r="C49" s="366"/>
      <c r="E49" s="367"/>
      <c r="F49" s="368"/>
      <c r="I49" s="369"/>
    </row>
    <row r="50">
      <c r="B50" s="365"/>
      <c r="C50" s="366"/>
      <c r="E50" s="367"/>
      <c r="F50" s="368"/>
      <c r="I50" s="369"/>
    </row>
    <row r="51">
      <c r="B51" s="365"/>
      <c r="C51" s="366"/>
      <c r="E51" s="367"/>
      <c r="F51" s="368"/>
      <c r="I51" s="369"/>
    </row>
    <row r="52">
      <c r="B52" s="365"/>
      <c r="C52" s="366"/>
      <c r="E52" s="367"/>
      <c r="F52" s="368"/>
      <c r="I52" s="369"/>
    </row>
    <row r="53">
      <c r="B53" s="365"/>
      <c r="C53" s="366"/>
      <c r="E53" s="367"/>
      <c r="F53" s="368"/>
      <c r="I53" s="369"/>
    </row>
    <row r="54">
      <c r="B54" s="365"/>
      <c r="C54" s="366"/>
      <c r="E54" s="367"/>
      <c r="F54" s="368"/>
      <c r="I54" s="369"/>
    </row>
    <row r="55">
      <c r="B55" s="365"/>
      <c r="C55" s="366"/>
      <c r="E55" s="367"/>
      <c r="F55" s="368"/>
      <c r="I55" s="369"/>
    </row>
    <row r="56">
      <c r="B56" s="365"/>
      <c r="C56" s="366"/>
      <c r="E56" s="367"/>
      <c r="F56" s="368"/>
      <c r="I56" s="369"/>
    </row>
    <row r="57">
      <c r="B57" s="365"/>
      <c r="C57" s="366"/>
      <c r="E57" s="367"/>
      <c r="F57" s="368"/>
      <c r="I57" s="369"/>
    </row>
    <row r="58">
      <c r="B58" s="365"/>
      <c r="C58" s="366"/>
      <c r="E58" s="367"/>
      <c r="F58" s="368"/>
      <c r="I58" s="369"/>
    </row>
    <row r="59">
      <c r="B59" s="365"/>
      <c r="C59" s="366"/>
      <c r="E59" s="367"/>
      <c r="F59" s="368"/>
      <c r="I59" s="369"/>
    </row>
    <row r="60">
      <c r="B60" s="365"/>
      <c r="C60" s="366"/>
      <c r="E60" s="367"/>
      <c r="F60" s="368"/>
      <c r="I60" s="369"/>
    </row>
    <row r="61">
      <c r="B61" s="365"/>
      <c r="C61" s="366"/>
      <c r="E61" s="367"/>
      <c r="F61" s="368"/>
      <c r="I61" s="369"/>
    </row>
    <row r="62">
      <c r="B62" s="365"/>
      <c r="C62" s="366"/>
      <c r="E62" s="367"/>
      <c r="F62" s="368"/>
      <c r="I62" s="369"/>
    </row>
    <row r="63">
      <c r="B63" s="365"/>
      <c r="C63" s="366"/>
      <c r="E63" s="367"/>
      <c r="F63" s="368"/>
      <c r="I63" s="369"/>
    </row>
    <row r="64">
      <c r="B64" s="365"/>
      <c r="C64" s="366"/>
      <c r="E64" s="367"/>
      <c r="F64" s="368"/>
      <c r="I64" s="369"/>
    </row>
    <row r="65">
      <c r="B65" s="365"/>
      <c r="C65" s="366"/>
      <c r="E65" s="367"/>
      <c r="F65" s="368"/>
      <c r="I65" s="369"/>
    </row>
    <row r="66">
      <c r="B66" s="365"/>
      <c r="C66" s="366"/>
      <c r="E66" s="367"/>
      <c r="F66" s="368"/>
      <c r="I66" s="369"/>
    </row>
    <row r="67">
      <c r="B67" s="365"/>
      <c r="C67" s="366"/>
      <c r="E67" s="367"/>
      <c r="F67" s="368"/>
      <c r="I67" s="369"/>
    </row>
    <row r="68">
      <c r="B68" s="365"/>
      <c r="C68" s="366"/>
      <c r="E68" s="367"/>
      <c r="F68" s="368"/>
      <c r="I68" s="369"/>
    </row>
    <row r="69">
      <c r="B69" s="365"/>
      <c r="C69" s="366"/>
      <c r="E69" s="367"/>
      <c r="F69" s="368"/>
      <c r="I69" s="369"/>
    </row>
    <row r="70">
      <c r="B70" s="365"/>
      <c r="C70" s="366"/>
      <c r="E70" s="367"/>
      <c r="F70" s="368"/>
      <c r="I70" s="369"/>
    </row>
    <row r="71">
      <c r="B71" s="365"/>
      <c r="C71" s="366"/>
      <c r="E71" s="367"/>
      <c r="F71" s="368"/>
      <c r="I71" s="369"/>
    </row>
    <row r="72">
      <c r="B72" s="365"/>
      <c r="C72" s="366"/>
      <c r="E72" s="367"/>
      <c r="F72" s="368"/>
      <c r="I72" s="369"/>
    </row>
    <row r="73">
      <c r="B73" s="365"/>
      <c r="C73" s="366"/>
      <c r="E73" s="367"/>
      <c r="F73" s="368"/>
      <c r="I73" s="369"/>
    </row>
    <row r="74">
      <c r="B74" s="365"/>
      <c r="C74" s="366"/>
      <c r="E74" s="367"/>
      <c r="F74" s="368"/>
      <c r="I74" s="369"/>
    </row>
    <row r="75">
      <c r="B75" s="365"/>
      <c r="C75" s="366"/>
      <c r="E75" s="367"/>
      <c r="F75" s="368"/>
      <c r="I75" s="369"/>
    </row>
    <row r="76">
      <c r="B76" s="365"/>
      <c r="C76" s="366"/>
      <c r="E76" s="367"/>
      <c r="F76" s="368"/>
      <c r="I76" s="369"/>
    </row>
    <row r="77">
      <c r="B77" s="365"/>
      <c r="C77" s="366"/>
      <c r="E77" s="367"/>
      <c r="F77" s="368"/>
      <c r="I77" s="369"/>
    </row>
    <row r="78">
      <c r="B78" s="365"/>
      <c r="C78" s="366"/>
      <c r="E78" s="367"/>
      <c r="F78" s="368"/>
      <c r="I78" s="369"/>
    </row>
    <row r="79">
      <c r="B79" s="365"/>
      <c r="C79" s="366"/>
      <c r="E79" s="367"/>
      <c r="F79" s="368"/>
      <c r="I79" s="369"/>
    </row>
    <row r="80">
      <c r="B80" s="365"/>
      <c r="C80" s="366"/>
      <c r="E80" s="367"/>
      <c r="F80" s="368"/>
      <c r="I80" s="369"/>
    </row>
    <row r="81">
      <c r="B81" s="365"/>
      <c r="C81" s="366"/>
      <c r="E81" s="367"/>
      <c r="F81" s="368"/>
      <c r="I81" s="369"/>
    </row>
    <row r="82">
      <c r="B82" s="365"/>
      <c r="C82" s="366"/>
      <c r="E82" s="367"/>
      <c r="F82" s="368"/>
      <c r="I82" s="369"/>
    </row>
    <row r="83">
      <c r="B83" s="365"/>
      <c r="C83" s="366"/>
      <c r="E83" s="367"/>
      <c r="F83" s="368"/>
      <c r="I83" s="369"/>
    </row>
    <row r="84">
      <c r="B84" s="365"/>
      <c r="C84" s="366"/>
      <c r="E84" s="367"/>
      <c r="F84" s="368"/>
      <c r="I84" s="369"/>
    </row>
    <row r="85">
      <c r="B85" s="365"/>
      <c r="C85" s="366"/>
      <c r="E85" s="367"/>
      <c r="F85" s="368"/>
      <c r="I85" s="369"/>
    </row>
    <row r="86">
      <c r="B86" s="365"/>
      <c r="C86" s="366"/>
      <c r="E86" s="367"/>
      <c r="F86" s="368"/>
      <c r="I86" s="369"/>
    </row>
    <row r="87">
      <c r="B87" s="365"/>
      <c r="C87" s="366"/>
      <c r="E87" s="367"/>
      <c r="F87" s="368"/>
      <c r="I87" s="369"/>
    </row>
    <row r="88">
      <c r="B88" s="365"/>
      <c r="C88" s="366"/>
      <c r="E88" s="367"/>
      <c r="F88" s="368"/>
      <c r="I88" s="369"/>
    </row>
    <row r="89">
      <c r="B89" s="365"/>
      <c r="C89" s="366"/>
      <c r="E89" s="367"/>
      <c r="F89" s="368"/>
      <c r="I89" s="369"/>
    </row>
    <row r="90">
      <c r="B90" s="365"/>
      <c r="C90" s="366"/>
      <c r="E90" s="367"/>
      <c r="F90" s="368"/>
      <c r="I90" s="369"/>
    </row>
    <row r="91">
      <c r="B91" s="365"/>
      <c r="C91" s="366"/>
      <c r="E91" s="367"/>
      <c r="F91" s="368"/>
      <c r="I91" s="369"/>
    </row>
    <row r="92">
      <c r="B92" s="365"/>
      <c r="C92" s="366"/>
      <c r="E92" s="367"/>
      <c r="F92" s="368"/>
      <c r="I92" s="369"/>
    </row>
    <row r="93">
      <c r="B93" s="365"/>
      <c r="C93" s="366"/>
      <c r="E93" s="367"/>
      <c r="F93" s="368"/>
      <c r="I93" s="369"/>
    </row>
    <row r="94">
      <c r="B94" s="365"/>
      <c r="C94" s="366"/>
      <c r="E94" s="367"/>
      <c r="F94" s="368"/>
      <c r="I94" s="369"/>
    </row>
    <row r="95">
      <c r="B95" s="365"/>
      <c r="C95" s="366"/>
      <c r="E95" s="367"/>
      <c r="F95" s="368"/>
      <c r="I95" s="369"/>
    </row>
    <row r="96">
      <c r="B96" s="365"/>
      <c r="C96" s="366"/>
      <c r="E96" s="367"/>
      <c r="F96" s="368"/>
      <c r="I96" s="369"/>
    </row>
    <row r="97">
      <c r="B97" s="365"/>
      <c r="C97" s="366"/>
      <c r="E97" s="367"/>
      <c r="F97" s="368"/>
      <c r="I97" s="369"/>
    </row>
    <row r="98">
      <c r="B98" s="365"/>
      <c r="C98" s="366"/>
      <c r="E98" s="367"/>
      <c r="F98" s="368"/>
      <c r="I98" s="369"/>
    </row>
    <row r="99">
      <c r="B99" s="365"/>
      <c r="C99" s="366"/>
      <c r="E99" s="367"/>
      <c r="F99" s="368"/>
      <c r="I99" s="369"/>
    </row>
    <row r="100">
      <c r="B100" s="365"/>
      <c r="C100" s="366"/>
      <c r="E100" s="367"/>
      <c r="F100" s="368"/>
      <c r="I100" s="369"/>
    </row>
    <row r="101">
      <c r="B101" s="365"/>
      <c r="C101" s="366"/>
      <c r="E101" s="367"/>
      <c r="F101" s="368"/>
      <c r="I101" s="369"/>
    </row>
    <row r="102">
      <c r="B102" s="365"/>
      <c r="C102" s="366"/>
      <c r="E102" s="367"/>
      <c r="F102" s="368"/>
      <c r="I102" s="369"/>
    </row>
    <row r="103">
      <c r="B103" s="365"/>
      <c r="C103" s="366"/>
      <c r="E103" s="367"/>
      <c r="F103" s="368"/>
      <c r="I103" s="369"/>
    </row>
    <row r="104">
      <c r="B104" s="365"/>
      <c r="C104" s="366"/>
      <c r="E104" s="367"/>
      <c r="F104" s="368"/>
      <c r="I104" s="369"/>
    </row>
    <row r="105">
      <c r="B105" s="365"/>
      <c r="C105" s="366"/>
      <c r="E105" s="367"/>
      <c r="F105" s="368"/>
      <c r="I105" s="369"/>
    </row>
    <row r="106">
      <c r="B106" s="365"/>
      <c r="C106" s="366"/>
      <c r="E106" s="367"/>
      <c r="F106" s="368"/>
      <c r="I106" s="369"/>
    </row>
    <row r="107">
      <c r="B107" s="365"/>
      <c r="C107" s="366"/>
      <c r="E107" s="367"/>
      <c r="F107" s="368"/>
      <c r="I107" s="369"/>
    </row>
    <row r="108">
      <c r="B108" s="365"/>
      <c r="C108" s="366"/>
      <c r="E108" s="367"/>
      <c r="F108" s="368"/>
      <c r="I108" s="369"/>
    </row>
    <row r="109">
      <c r="B109" s="365"/>
      <c r="C109" s="366"/>
      <c r="E109" s="367"/>
      <c r="F109" s="368"/>
      <c r="I109" s="369"/>
    </row>
    <row r="110">
      <c r="B110" s="365"/>
      <c r="C110" s="366"/>
      <c r="E110" s="367"/>
      <c r="F110" s="368"/>
      <c r="I110" s="369"/>
    </row>
    <row r="111">
      <c r="B111" s="365"/>
      <c r="C111" s="366"/>
      <c r="E111" s="367"/>
      <c r="F111" s="368"/>
      <c r="I111" s="369"/>
    </row>
    <row r="112">
      <c r="B112" s="365"/>
      <c r="C112" s="366"/>
      <c r="E112" s="367"/>
      <c r="F112" s="368"/>
      <c r="I112" s="369"/>
    </row>
    <row r="113">
      <c r="B113" s="365"/>
      <c r="C113" s="366"/>
      <c r="E113" s="367"/>
      <c r="F113" s="368"/>
      <c r="I113" s="369"/>
    </row>
    <row r="114">
      <c r="B114" s="365"/>
      <c r="C114" s="366"/>
      <c r="E114" s="367"/>
      <c r="F114" s="368"/>
      <c r="I114" s="369"/>
    </row>
    <row r="115">
      <c r="B115" s="365"/>
      <c r="C115" s="366"/>
      <c r="E115" s="367"/>
      <c r="F115" s="368"/>
      <c r="I115" s="369"/>
    </row>
    <row r="116">
      <c r="B116" s="365"/>
      <c r="C116" s="366"/>
      <c r="E116" s="367"/>
      <c r="F116" s="368"/>
      <c r="I116" s="369"/>
    </row>
    <row r="117">
      <c r="B117" s="365"/>
      <c r="C117" s="366"/>
      <c r="E117" s="367"/>
      <c r="F117" s="368"/>
      <c r="I117" s="369"/>
    </row>
    <row r="118">
      <c r="B118" s="365"/>
      <c r="C118" s="366"/>
      <c r="E118" s="367"/>
      <c r="F118" s="368"/>
      <c r="I118" s="369"/>
    </row>
    <row r="119">
      <c r="B119" s="365"/>
      <c r="C119" s="366"/>
      <c r="E119" s="367"/>
      <c r="F119" s="368"/>
      <c r="I119" s="369"/>
    </row>
    <row r="120">
      <c r="B120" s="365"/>
      <c r="C120" s="366"/>
      <c r="E120" s="367"/>
      <c r="F120" s="368"/>
      <c r="I120" s="369"/>
    </row>
    <row r="121">
      <c r="B121" s="365"/>
      <c r="C121" s="366"/>
      <c r="E121" s="367"/>
      <c r="F121" s="368"/>
      <c r="I121" s="369"/>
    </row>
    <row r="122">
      <c r="B122" s="365"/>
      <c r="C122" s="366"/>
      <c r="E122" s="367"/>
      <c r="F122" s="368"/>
      <c r="I122" s="369"/>
    </row>
    <row r="123">
      <c r="B123" s="365"/>
      <c r="C123" s="366"/>
      <c r="E123" s="367"/>
      <c r="F123" s="368"/>
      <c r="I123" s="369"/>
    </row>
    <row r="124">
      <c r="B124" s="365"/>
      <c r="C124" s="366"/>
      <c r="E124" s="367"/>
      <c r="F124" s="368"/>
      <c r="I124" s="369"/>
    </row>
    <row r="125">
      <c r="B125" s="365"/>
      <c r="C125" s="366"/>
      <c r="E125" s="367"/>
      <c r="F125" s="368"/>
      <c r="I125" s="369"/>
    </row>
    <row r="126">
      <c r="B126" s="365"/>
      <c r="C126" s="366"/>
      <c r="E126" s="367"/>
      <c r="F126" s="368"/>
      <c r="I126" s="369"/>
    </row>
    <row r="127">
      <c r="B127" s="365"/>
      <c r="C127" s="366"/>
      <c r="E127" s="367"/>
      <c r="F127" s="368"/>
      <c r="I127" s="369"/>
    </row>
    <row r="128">
      <c r="B128" s="365"/>
      <c r="C128" s="366"/>
      <c r="E128" s="367"/>
      <c r="F128" s="368"/>
      <c r="I128" s="369"/>
    </row>
    <row r="129">
      <c r="B129" s="365"/>
      <c r="C129" s="366"/>
      <c r="E129" s="367"/>
      <c r="F129" s="368"/>
      <c r="I129" s="369"/>
    </row>
    <row r="130">
      <c r="B130" s="365"/>
      <c r="C130" s="366"/>
      <c r="E130" s="367"/>
      <c r="F130" s="368"/>
      <c r="I130" s="369"/>
    </row>
    <row r="131">
      <c r="B131" s="365"/>
      <c r="C131" s="366"/>
      <c r="E131" s="367"/>
      <c r="F131" s="368"/>
      <c r="I131" s="369"/>
    </row>
    <row r="132">
      <c r="B132" s="365"/>
      <c r="C132" s="366"/>
      <c r="E132" s="367"/>
      <c r="F132" s="368"/>
      <c r="I132" s="369"/>
    </row>
    <row r="133">
      <c r="B133" s="365"/>
      <c r="C133" s="366"/>
      <c r="E133" s="367"/>
      <c r="F133" s="368"/>
      <c r="I133" s="369"/>
    </row>
    <row r="134">
      <c r="B134" s="365"/>
      <c r="C134" s="366"/>
      <c r="E134" s="367"/>
      <c r="F134" s="368"/>
      <c r="I134" s="369"/>
    </row>
    <row r="135">
      <c r="B135" s="365"/>
      <c r="C135" s="366"/>
      <c r="E135" s="367"/>
      <c r="F135" s="368"/>
      <c r="I135" s="369"/>
    </row>
    <row r="136">
      <c r="B136" s="365"/>
      <c r="C136" s="366"/>
      <c r="E136" s="367"/>
      <c r="F136" s="368"/>
      <c r="I136" s="369"/>
    </row>
    <row r="137">
      <c r="B137" s="365"/>
      <c r="C137" s="366"/>
      <c r="E137" s="367"/>
      <c r="F137" s="368"/>
      <c r="I137" s="369"/>
    </row>
    <row r="138">
      <c r="B138" s="365"/>
      <c r="C138" s="366"/>
      <c r="E138" s="367"/>
      <c r="F138" s="368"/>
      <c r="I138" s="369"/>
    </row>
    <row r="139">
      <c r="B139" s="365"/>
      <c r="C139" s="366"/>
      <c r="E139" s="367"/>
      <c r="F139" s="368"/>
      <c r="I139" s="369"/>
    </row>
    <row r="140">
      <c r="B140" s="365"/>
      <c r="C140" s="366"/>
      <c r="E140" s="367"/>
      <c r="F140" s="368"/>
      <c r="I140" s="369"/>
    </row>
    <row r="141">
      <c r="B141" s="365"/>
      <c r="C141" s="366"/>
      <c r="E141" s="367"/>
      <c r="F141" s="368"/>
      <c r="I141" s="369"/>
    </row>
    <row r="142">
      <c r="B142" s="365"/>
      <c r="C142" s="366"/>
      <c r="E142" s="367"/>
      <c r="F142" s="368"/>
      <c r="I142" s="369"/>
    </row>
    <row r="143">
      <c r="B143" s="365"/>
      <c r="C143" s="366"/>
      <c r="E143" s="367"/>
      <c r="F143" s="368"/>
      <c r="I143" s="369"/>
    </row>
    <row r="144">
      <c r="B144" s="365"/>
      <c r="C144" s="366"/>
      <c r="E144" s="367"/>
      <c r="F144" s="368"/>
      <c r="I144" s="369"/>
    </row>
    <row r="145">
      <c r="B145" s="365"/>
      <c r="C145" s="366"/>
      <c r="E145" s="367"/>
      <c r="F145" s="368"/>
      <c r="I145" s="369"/>
    </row>
    <row r="146">
      <c r="B146" s="365"/>
      <c r="C146" s="366"/>
      <c r="E146" s="367"/>
      <c r="F146" s="368"/>
      <c r="I146" s="369"/>
    </row>
    <row r="147">
      <c r="B147" s="365"/>
      <c r="C147" s="366"/>
      <c r="E147" s="367"/>
      <c r="F147" s="368"/>
      <c r="I147" s="369"/>
    </row>
    <row r="148">
      <c r="B148" s="365"/>
      <c r="C148" s="366"/>
      <c r="E148" s="367"/>
      <c r="F148" s="368"/>
      <c r="I148" s="369"/>
    </row>
    <row r="149">
      <c r="B149" s="365"/>
      <c r="C149" s="366"/>
      <c r="E149" s="367"/>
      <c r="F149" s="368"/>
      <c r="I149" s="369"/>
    </row>
    <row r="150">
      <c r="B150" s="365"/>
      <c r="C150" s="366"/>
      <c r="E150" s="367"/>
      <c r="F150" s="368"/>
      <c r="I150" s="369"/>
    </row>
    <row r="151">
      <c r="B151" s="365"/>
      <c r="C151" s="366"/>
      <c r="E151" s="367"/>
      <c r="F151" s="368"/>
      <c r="I151" s="369"/>
    </row>
    <row r="152">
      <c r="B152" s="365"/>
      <c r="C152" s="366"/>
      <c r="E152" s="367"/>
      <c r="F152" s="368"/>
      <c r="I152" s="369"/>
    </row>
    <row r="153">
      <c r="B153" s="365"/>
      <c r="C153" s="366"/>
      <c r="E153" s="367"/>
      <c r="F153" s="368"/>
      <c r="I153" s="369"/>
    </row>
    <row r="154">
      <c r="B154" s="365"/>
      <c r="C154" s="366"/>
      <c r="E154" s="367"/>
      <c r="F154" s="368"/>
      <c r="I154" s="369"/>
    </row>
    <row r="155">
      <c r="B155" s="365"/>
      <c r="C155" s="366"/>
      <c r="E155" s="367"/>
      <c r="F155" s="368"/>
      <c r="I155" s="369"/>
    </row>
    <row r="156">
      <c r="B156" s="365"/>
      <c r="C156" s="366"/>
      <c r="E156" s="367"/>
      <c r="F156" s="368"/>
      <c r="I156" s="369"/>
    </row>
    <row r="157">
      <c r="B157" s="365"/>
      <c r="C157" s="366"/>
      <c r="E157" s="367"/>
      <c r="F157" s="368"/>
      <c r="I157" s="369"/>
    </row>
    <row r="158">
      <c r="B158" s="365"/>
      <c r="C158" s="366"/>
      <c r="E158" s="367"/>
      <c r="F158" s="368"/>
      <c r="I158" s="369"/>
    </row>
    <row r="159">
      <c r="B159" s="365"/>
      <c r="C159" s="366"/>
      <c r="E159" s="367"/>
      <c r="F159" s="368"/>
      <c r="I159" s="369"/>
    </row>
    <row r="160">
      <c r="B160" s="365"/>
      <c r="C160" s="366"/>
      <c r="E160" s="367"/>
      <c r="F160" s="368"/>
      <c r="I160" s="369"/>
    </row>
    <row r="161">
      <c r="B161" s="365"/>
      <c r="C161" s="366"/>
      <c r="E161" s="367"/>
      <c r="F161" s="368"/>
      <c r="I161" s="369"/>
    </row>
    <row r="162">
      <c r="B162" s="365"/>
      <c r="C162" s="366"/>
      <c r="E162" s="367"/>
      <c r="F162" s="368"/>
      <c r="I162" s="369"/>
    </row>
    <row r="163">
      <c r="B163" s="365"/>
      <c r="C163" s="366"/>
      <c r="E163" s="367"/>
      <c r="F163" s="368"/>
      <c r="I163" s="369"/>
    </row>
    <row r="164">
      <c r="B164" s="365"/>
      <c r="C164" s="366"/>
      <c r="E164" s="367"/>
      <c r="F164" s="368"/>
      <c r="I164" s="369"/>
    </row>
    <row r="165">
      <c r="B165" s="365"/>
      <c r="C165" s="366"/>
      <c r="E165" s="367"/>
      <c r="F165" s="368"/>
      <c r="I165" s="369"/>
    </row>
    <row r="166">
      <c r="B166" s="365"/>
      <c r="C166" s="366"/>
      <c r="E166" s="367"/>
      <c r="F166" s="368"/>
      <c r="I166" s="369"/>
    </row>
    <row r="167">
      <c r="B167" s="365"/>
      <c r="C167" s="366"/>
      <c r="E167" s="367"/>
      <c r="F167" s="368"/>
      <c r="I167" s="369"/>
    </row>
    <row r="168">
      <c r="B168" s="365"/>
      <c r="C168" s="366"/>
      <c r="E168" s="367"/>
      <c r="F168" s="368"/>
      <c r="I168" s="369"/>
    </row>
    <row r="169">
      <c r="B169" s="365"/>
      <c r="C169" s="366"/>
      <c r="E169" s="367"/>
      <c r="F169" s="368"/>
      <c r="I169" s="369"/>
    </row>
    <row r="170">
      <c r="B170" s="365"/>
      <c r="C170" s="366"/>
      <c r="E170" s="367"/>
      <c r="F170" s="368"/>
      <c r="I170" s="369"/>
    </row>
    <row r="171">
      <c r="B171" s="365"/>
      <c r="C171" s="366"/>
      <c r="E171" s="367"/>
      <c r="F171" s="368"/>
      <c r="I171" s="369"/>
    </row>
    <row r="172">
      <c r="B172" s="365"/>
      <c r="C172" s="366"/>
      <c r="E172" s="367"/>
      <c r="F172" s="368"/>
      <c r="I172" s="369"/>
    </row>
    <row r="173">
      <c r="B173" s="365"/>
      <c r="C173" s="366"/>
      <c r="E173" s="367"/>
      <c r="F173" s="368"/>
      <c r="I173" s="369"/>
    </row>
    <row r="174">
      <c r="B174" s="365"/>
      <c r="C174" s="366"/>
      <c r="E174" s="367"/>
      <c r="F174" s="368"/>
      <c r="I174" s="369"/>
    </row>
    <row r="175">
      <c r="B175" s="365"/>
      <c r="C175" s="366"/>
      <c r="E175" s="367"/>
      <c r="F175" s="368"/>
      <c r="I175" s="369"/>
    </row>
    <row r="176">
      <c r="B176" s="365"/>
      <c r="C176" s="366"/>
      <c r="E176" s="367"/>
      <c r="F176" s="368"/>
      <c r="I176" s="369"/>
    </row>
    <row r="177">
      <c r="B177" s="365"/>
      <c r="C177" s="366"/>
      <c r="E177" s="367"/>
      <c r="F177" s="368"/>
      <c r="I177" s="369"/>
    </row>
    <row r="178">
      <c r="B178" s="365"/>
      <c r="C178" s="366"/>
      <c r="E178" s="367"/>
      <c r="F178" s="368"/>
      <c r="I178" s="369"/>
    </row>
    <row r="179">
      <c r="B179" s="365"/>
      <c r="C179" s="366"/>
      <c r="E179" s="367"/>
      <c r="F179" s="368"/>
      <c r="I179" s="369"/>
    </row>
    <row r="180">
      <c r="B180" s="365"/>
      <c r="C180" s="366"/>
      <c r="E180" s="367"/>
      <c r="F180" s="368"/>
      <c r="I180" s="369"/>
    </row>
    <row r="181">
      <c r="B181" s="365"/>
      <c r="C181" s="366"/>
      <c r="E181" s="367"/>
      <c r="F181" s="368"/>
      <c r="I181" s="369"/>
    </row>
    <row r="182">
      <c r="B182" s="365"/>
      <c r="C182" s="366"/>
      <c r="E182" s="367"/>
      <c r="F182" s="368"/>
      <c r="I182" s="369"/>
    </row>
    <row r="183">
      <c r="B183" s="365"/>
      <c r="C183" s="366"/>
      <c r="E183" s="367"/>
      <c r="F183" s="368"/>
      <c r="I183" s="369"/>
    </row>
    <row r="184">
      <c r="B184" s="365"/>
      <c r="C184" s="366"/>
      <c r="E184" s="367"/>
      <c r="F184" s="368"/>
      <c r="I184" s="369"/>
    </row>
    <row r="185">
      <c r="B185" s="365"/>
      <c r="C185" s="366"/>
      <c r="E185" s="367"/>
      <c r="F185" s="368"/>
      <c r="I185" s="369"/>
    </row>
    <row r="186">
      <c r="B186" s="365"/>
      <c r="C186" s="366"/>
      <c r="E186" s="367"/>
      <c r="F186" s="368"/>
      <c r="I186" s="369"/>
    </row>
    <row r="187">
      <c r="B187" s="365"/>
      <c r="C187" s="366"/>
      <c r="E187" s="367"/>
      <c r="F187" s="368"/>
      <c r="I187" s="369"/>
    </row>
    <row r="188">
      <c r="B188" s="365"/>
      <c r="C188" s="366"/>
      <c r="E188" s="367"/>
      <c r="F188" s="368"/>
      <c r="I188" s="369"/>
    </row>
    <row r="189">
      <c r="B189" s="365"/>
      <c r="C189" s="366"/>
      <c r="E189" s="367"/>
      <c r="F189" s="368"/>
      <c r="I189" s="369"/>
    </row>
    <row r="190">
      <c r="B190" s="365"/>
      <c r="C190" s="366"/>
      <c r="E190" s="367"/>
      <c r="F190" s="368"/>
      <c r="I190" s="369"/>
    </row>
    <row r="191">
      <c r="B191" s="365"/>
      <c r="C191" s="366"/>
      <c r="E191" s="367"/>
      <c r="F191" s="368"/>
      <c r="I191" s="369"/>
    </row>
    <row r="192">
      <c r="B192" s="365"/>
      <c r="C192" s="366"/>
      <c r="E192" s="367"/>
      <c r="F192" s="368"/>
      <c r="I192" s="369"/>
    </row>
    <row r="193">
      <c r="B193" s="365"/>
      <c r="C193" s="366"/>
      <c r="E193" s="367"/>
      <c r="F193" s="368"/>
      <c r="I193" s="369"/>
    </row>
    <row r="194">
      <c r="B194" s="365"/>
      <c r="C194" s="366"/>
      <c r="E194" s="367"/>
      <c r="F194" s="368"/>
      <c r="I194" s="369"/>
    </row>
    <row r="195">
      <c r="B195" s="365"/>
      <c r="C195" s="366"/>
      <c r="E195" s="367"/>
      <c r="F195" s="368"/>
      <c r="I195" s="369"/>
    </row>
    <row r="196">
      <c r="B196" s="365"/>
      <c r="C196" s="366"/>
      <c r="E196" s="367"/>
      <c r="F196" s="368"/>
      <c r="I196" s="369"/>
    </row>
    <row r="197">
      <c r="B197" s="365"/>
      <c r="C197" s="366"/>
      <c r="E197" s="367"/>
      <c r="F197" s="368"/>
      <c r="I197" s="369"/>
    </row>
    <row r="198">
      <c r="B198" s="365"/>
      <c r="C198" s="366"/>
      <c r="E198" s="367"/>
      <c r="F198" s="368"/>
      <c r="I198" s="369"/>
    </row>
    <row r="199">
      <c r="B199" s="365"/>
      <c r="C199" s="366"/>
      <c r="E199" s="367"/>
      <c r="F199" s="368"/>
      <c r="I199" s="369"/>
    </row>
    <row r="200">
      <c r="B200" s="365"/>
      <c r="C200" s="366"/>
      <c r="E200" s="367"/>
      <c r="F200" s="368"/>
      <c r="I200" s="369"/>
    </row>
    <row r="201">
      <c r="B201" s="365"/>
      <c r="C201" s="366"/>
      <c r="E201" s="367"/>
      <c r="F201" s="368"/>
      <c r="I201" s="369"/>
    </row>
    <row r="202">
      <c r="B202" s="365"/>
      <c r="C202" s="366"/>
      <c r="E202" s="367"/>
      <c r="F202" s="368"/>
      <c r="I202" s="369"/>
    </row>
    <row r="203">
      <c r="B203" s="365"/>
      <c r="C203" s="366"/>
      <c r="E203" s="367"/>
      <c r="F203" s="368"/>
      <c r="I203" s="369"/>
    </row>
    <row r="204">
      <c r="B204" s="365"/>
      <c r="C204" s="366"/>
      <c r="E204" s="367"/>
      <c r="F204" s="368"/>
      <c r="I204" s="369"/>
    </row>
    <row r="205">
      <c r="B205" s="365"/>
      <c r="C205" s="366"/>
      <c r="E205" s="367"/>
      <c r="F205" s="368"/>
      <c r="I205" s="369"/>
    </row>
    <row r="206">
      <c r="B206" s="365"/>
      <c r="C206" s="366"/>
      <c r="E206" s="367"/>
      <c r="F206" s="368"/>
      <c r="I206" s="369"/>
    </row>
    <row r="207">
      <c r="B207" s="365"/>
      <c r="C207" s="366"/>
      <c r="E207" s="367"/>
      <c r="F207" s="368"/>
      <c r="I207" s="369"/>
    </row>
    <row r="208">
      <c r="B208" s="365"/>
      <c r="C208" s="366"/>
      <c r="E208" s="367"/>
      <c r="F208" s="368"/>
      <c r="I208" s="369"/>
    </row>
    <row r="209">
      <c r="B209" s="365"/>
      <c r="C209" s="366"/>
      <c r="E209" s="367"/>
      <c r="F209" s="368"/>
      <c r="I209" s="369"/>
    </row>
    <row r="210">
      <c r="B210" s="365"/>
      <c r="C210" s="366"/>
      <c r="E210" s="367"/>
      <c r="F210" s="368"/>
      <c r="I210" s="369"/>
    </row>
    <row r="211">
      <c r="B211" s="365"/>
      <c r="C211" s="366"/>
      <c r="E211" s="367"/>
      <c r="F211" s="368"/>
      <c r="I211" s="369"/>
    </row>
    <row r="212">
      <c r="B212" s="365"/>
      <c r="C212" s="366"/>
      <c r="E212" s="367"/>
      <c r="F212" s="368"/>
      <c r="I212" s="369"/>
    </row>
    <row r="213">
      <c r="B213" s="365"/>
      <c r="C213" s="366"/>
      <c r="E213" s="367"/>
      <c r="F213" s="368"/>
      <c r="I213" s="369"/>
    </row>
    <row r="214">
      <c r="B214" s="365"/>
      <c r="C214" s="366"/>
      <c r="E214" s="367"/>
      <c r="F214" s="368"/>
      <c r="I214" s="369"/>
    </row>
    <row r="215">
      <c r="B215" s="365"/>
      <c r="C215" s="366"/>
      <c r="E215" s="367"/>
      <c r="F215" s="368"/>
      <c r="I215" s="369"/>
    </row>
    <row r="216">
      <c r="B216" s="365"/>
      <c r="C216" s="366"/>
      <c r="E216" s="367"/>
      <c r="F216" s="368"/>
      <c r="I216" s="369"/>
    </row>
    <row r="217">
      <c r="B217" s="365"/>
      <c r="C217" s="366"/>
      <c r="E217" s="367"/>
      <c r="F217" s="368"/>
      <c r="I217" s="369"/>
    </row>
    <row r="218">
      <c r="B218" s="365"/>
      <c r="C218" s="366"/>
      <c r="E218" s="367"/>
      <c r="F218" s="368"/>
      <c r="I218" s="369"/>
    </row>
    <row r="219">
      <c r="B219" s="365"/>
      <c r="C219" s="366"/>
      <c r="E219" s="367"/>
      <c r="F219" s="368"/>
      <c r="I219" s="369"/>
    </row>
    <row r="220">
      <c r="B220" s="365"/>
      <c r="C220" s="366"/>
      <c r="E220" s="367"/>
      <c r="F220" s="368"/>
      <c r="I220" s="369"/>
    </row>
    <row r="221">
      <c r="B221" s="365"/>
      <c r="C221" s="366"/>
      <c r="E221" s="367"/>
      <c r="F221" s="368"/>
      <c r="I221" s="369"/>
    </row>
    <row r="222">
      <c r="B222" s="365"/>
      <c r="C222" s="366"/>
      <c r="E222" s="367"/>
      <c r="F222" s="368"/>
      <c r="I222" s="369"/>
    </row>
    <row r="223">
      <c r="B223" s="365"/>
      <c r="C223" s="366"/>
      <c r="E223" s="367"/>
      <c r="F223" s="368"/>
      <c r="I223" s="369"/>
    </row>
    <row r="224">
      <c r="B224" s="365"/>
      <c r="C224" s="366"/>
      <c r="E224" s="367"/>
      <c r="F224" s="368"/>
      <c r="I224" s="369"/>
    </row>
    <row r="225">
      <c r="B225" s="365"/>
      <c r="C225" s="366"/>
      <c r="E225" s="367"/>
      <c r="F225" s="368"/>
      <c r="I225" s="369"/>
    </row>
    <row r="226">
      <c r="B226" s="365"/>
      <c r="C226" s="366"/>
      <c r="E226" s="367"/>
      <c r="F226" s="368"/>
      <c r="I226" s="369"/>
    </row>
    <row r="227">
      <c r="B227" s="365"/>
      <c r="C227" s="366"/>
      <c r="E227" s="367"/>
      <c r="F227" s="368"/>
      <c r="I227" s="369"/>
    </row>
    <row r="228">
      <c r="B228" s="365"/>
      <c r="C228" s="366"/>
      <c r="E228" s="367"/>
      <c r="F228" s="368"/>
      <c r="I228" s="369"/>
    </row>
    <row r="229">
      <c r="B229" s="365"/>
      <c r="C229" s="366"/>
      <c r="E229" s="367"/>
      <c r="F229" s="368"/>
      <c r="I229" s="369"/>
    </row>
    <row r="230">
      <c r="B230" s="365"/>
      <c r="C230" s="366"/>
      <c r="E230" s="367"/>
      <c r="F230" s="368"/>
      <c r="I230" s="369"/>
    </row>
    <row r="231">
      <c r="B231" s="365"/>
      <c r="C231" s="366"/>
      <c r="E231" s="367"/>
      <c r="F231" s="368"/>
      <c r="I231" s="369"/>
    </row>
    <row r="232">
      <c r="B232" s="365"/>
      <c r="C232" s="366"/>
      <c r="E232" s="367"/>
      <c r="F232" s="368"/>
      <c r="I232" s="369"/>
    </row>
    <row r="233">
      <c r="B233" s="365"/>
      <c r="C233" s="366"/>
      <c r="E233" s="367"/>
      <c r="F233" s="368"/>
      <c r="I233" s="369"/>
    </row>
    <row r="234">
      <c r="B234" s="365"/>
      <c r="C234" s="366"/>
      <c r="E234" s="367"/>
      <c r="F234" s="368"/>
      <c r="I234" s="369"/>
    </row>
    <row r="235">
      <c r="B235" s="365"/>
      <c r="C235" s="366"/>
      <c r="E235" s="367"/>
      <c r="F235" s="368"/>
      <c r="I235" s="369"/>
    </row>
    <row r="236">
      <c r="B236" s="365"/>
      <c r="C236" s="366"/>
      <c r="E236" s="367"/>
      <c r="F236" s="368"/>
      <c r="I236" s="369"/>
    </row>
    <row r="237">
      <c r="B237" s="365"/>
      <c r="C237" s="366"/>
      <c r="E237" s="367"/>
      <c r="F237" s="368"/>
      <c r="I237" s="369"/>
    </row>
    <row r="238">
      <c r="B238" s="365"/>
      <c r="C238" s="366"/>
      <c r="E238" s="367"/>
      <c r="F238" s="368"/>
      <c r="I238" s="369"/>
    </row>
    <row r="239">
      <c r="B239" s="365"/>
      <c r="C239" s="366"/>
      <c r="E239" s="367"/>
      <c r="F239" s="368"/>
      <c r="I239" s="369"/>
    </row>
    <row r="240">
      <c r="B240" s="365"/>
      <c r="C240" s="366"/>
      <c r="E240" s="367"/>
      <c r="F240" s="368"/>
      <c r="I240" s="369"/>
    </row>
    <row r="241">
      <c r="B241" s="365"/>
      <c r="C241" s="366"/>
      <c r="E241" s="367"/>
      <c r="F241" s="368"/>
      <c r="I241" s="369"/>
    </row>
    <row r="242">
      <c r="B242" s="365"/>
      <c r="C242" s="366"/>
      <c r="E242" s="367"/>
      <c r="F242" s="368"/>
      <c r="I242" s="369"/>
    </row>
    <row r="243">
      <c r="B243" s="365"/>
      <c r="C243" s="366"/>
      <c r="E243" s="367"/>
      <c r="F243" s="368"/>
      <c r="I243" s="369"/>
    </row>
    <row r="244">
      <c r="B244" s="365"/>
      <c r="C244" s="366"/>
      <c r="E244" s="367"/>
      <c r="F244" s="368"/>
      <c r="I244" s="369"/>
    </row>
    <row r="245">
      <c r="B245" s="365"/>
      <c r="C245" s="366"/>
      <c r="E245" s="367"/>
      <c r="F245" s="368"/>
      <c r="I245" s="369"/>
    </row>
    <row r="246">
      <c r="B246" s="365"/>
      <c r="C246" s="366"/>
      <c r="E246" s="367"/>
      <c r="F246" s="368"/>
      <c r="I246" s="369"/>
    </row>
    <row r="247">
      <c r="B247" s="365"/>
      <c r="C247" s="366"/>
      <c r="E247" s="367"/>
      <c r="F247" s="368"/>
      <c r="I247" s="369"/>
    </row>
    <row r="248">
      <c r="B248" s="365"/>
      <c r="C248" s="366"/>
      <c r="E248" s="367"/>
      <c r="F248" s="368"/>
      <c r="I248" s="369"/>
    </row>
    <row r="249">
      <c r="B249" s="365"/>
      <c r="C249" s="366"/>
      <c r="E249" s="367"/>
      <c r="F249" s="368"/>
      <c r="I249" s="369"/>
    </row>
    <row r="250">
      <c r="B250" s="365"/>
      <c r="C250" s="366"/>
      <c r="E250" s="367"/>
      <c r="F250" s="368"/>
      <c r="I250" s="369"/>
    </row>
    <row r="251">
      <c r="B251" s="365"/>
      <c r="C251" s="366"/>
      <c r="E251" s="367"/>
      <c r="F251" s="368"/>
      <c r="I251" s="369"/>
    </row>
    <row r="252">
      <c r="B252" s="365"/>
      <c r="C252" s="366"/>
      <c r="E252" s="367"/>
      <c r="F252" s="368"/>
      <c r="I252" s="369"/>
    </row>
    <row r="253">
      <c r="B253" s="365"/>
      <c r="C253" s="366"/>
      <c r="E253" s="367"/>
      <c r="F253" s="368"/>
      <c r="I253" s="369"/>
    </row>
    <row r="254">
      <c r="B254" s="365"/>
      <c r="C254" s="366"/>
      <c r="E254" s="367"/>
      <c r="F254" s="368"/>
      <c r="I254" s="369"/>
    </row>
    <row r="255">
      <c r="B255" s="365"/>
      <c r="C255" s="366"/>
      <c r="E255" s="367"/>
      <c r="F255" s="368"/>
      <c r="I255" s="369"/>
    </row>
    <row r="256">
      <c r="B256" s="365"/>
      <c r="C256" s="366"/>
      <c r="E256" s="367"/>
      <c r="F256" s="368"/>
      <c r="I256" s="369"/>
    </row>
    <row r="257">
      <c r="B257" s="365"/>
      <c r="C257" s="366"/>
      <c r="E257" s="367"/>
      <c r="F257" s="368"/>
      <c r="I257" s="369"/>
    </row>
    <row r="258">
      <c r="B258" s="365"/>
      <c r="C258" s="366"/>
      <c r="E258" s="367"/>
      <c r="F258" s="368"/>
      <c r="I258" s="369"/>
    </row>
    <row r="259">
      <c r="B259" s="365"/>
      <c r="C259" s="366"/>
      <c r="E259" s="367"/>
      <c r="F259" s="368"/>
      <c r="I259" s="369"/>
    </row>
    <row r="260">
      <c r="B260" s="365"/>
      <c r="C260" s="366"/>
      <c r="E260" s="367"/>
      <c r="F260" s="368"/>
      <c r="I260" s="369"/>
    </row>
    <row r="261">
      <c r="B261" s="365"/>
      <c r="C261" s="366"/>
      <c r="E261" s="367"/>
      <c r="F261" s="368"/>
      <c r="I261" s="369"/>
    </row>
    <row r="262">
      <c r="B262" s="365"/>
      <c r="C262" s="366"/>
      <c r="E262" s="367"/>
      <c r="F262" s="368"/>
      <c r="I262" s="369"/>
    </row>
    <row r="263">
      <c r="B263" s="365"/>
      <c r="C263" s="366"/>
      <c r="E263" s="367"/>
      <c r="F263" s="368"/>
      <c r="I263" s="369"/>
    </row>
    <row r="264">
      <c r="B264" s="365"/>
      <c r="C264" s="366"/>
      <c r="E264" s="367"/>
      <c r="F264" s="368"/>
      <c r="I264" s="369"/>
    </row>
    <row r="265">
      <c r="B265" s="365"/>
      <c r="C265" s="366"/>
      <c r="E265" s="367"/>
      <c r="F265" s="368"/>
      <c r="I265" s="369"/>
    </row>
    <row r="266">
      <c r="B266" s="365"/>
      <c r="C266" s="366"/>
      <c r="E266" s="367"/>
      <c r="F266" s="368"/>
      <c r="I266" s="369"/>
    </row>
    <row r="267">
      <c r="B267" s="365"/>
      <c r="C267" s="366"/>
      <c r="E267" s="367"/>
      <c r="F267" s="368"/>
      <c r="I267" s="369"/>
    </row>
    <row r="268">
      <c r="B268" s="365"/>
      <c r="C268" s="366"/>
      <c r="E268" s="367"/>
      <c r="F268" s="368"/>
      <c r="I268" s="369"/>
    </row>
    <row r="269">
      <c r="B269" s="365"/>
      <c r="C269" s="366"/>
      <c r="E269" s="367"/>
      <c r="F269" s="368"/>
      <c r="I269" s="369"/>
    </row>
    <row r="270">
      <c r="B270" s="365"/>
      <c r="C270" s="366"/>
      <c r="E270" s="367"/>
      <c r="F270" s="368"/>
      <c r="I270" s="369"/>
    </row>
    <row r="271">
      <c r="B271" s="365"/>
      <c r="C271" s="366"/>
      <c r="E271" s="367"/>
      <c r="F271" s="368"/>
      <c r="I271" s="369"/>
    </row>
    <row r="272">
      <c r="B272" s="365"/>
      <c r="C272" s="366"/>
      <c r="E272" s="367"/>
      <c r="F272" s="368"/>
      <c r="I272" s="369"/>
    </row>
    <row r="273">
      <c r="B273" s="365"/>
      <c r="C273" s="366"/>
      <c r="E273" s="367"/>
      <c r="F273" s="368"/>
      <c r="I273" s="369"/>
    </row>
    <row r="274">
      <c r="B274" s="365"/>
      <c r="C274" s="366"/>
      <c r="E274" s="367"/>
      <c r="F274" s="368"/>
      <c r="I274" s="369"/>
    </row>
    <row r="275">
      <c r="B275" s="365"/>
      <c r="C275" s="366"/>
      <c r="E275" s="367"/>
      <c r="F275" s="368"/>
      <c r="I275" s="369"/>
    </row>
    <row r="276">
      <c r="B276" s="365"/>
      <c r="C276" s="366"/>
      <c r="E276" s="367"/>
      <c r="F276" s="368"/>
      <c r="I276" s="369"/>
    </row>
    <row r="277">
      <c r="B277" s="365"/>
      <c r="C277" s="366"/>
      <c r="E277" s="367"/>
      <c r="F277" s="368"/>
      <c r="I277" s="369"/>
    </row>
    <row r="278">
      <c r="B278" s="365"/>
      <c r="C278" s="366"/>
      <c r="E278" s="367"/>
      <c r="F278" s="368"/>
      <c r="I278" s="369"/>
    </row>
    <row r="279">
      <c r="B279" s="365"/>
      <c r="C279" s="366"/>
      <c r="E279" s="367"/>
      <c r="F279" s="368"/>
      <c r="I279" s="369"/>
    </row>
    <row r="280">
      <c r="B280" s="365"/>
      <c r="C280" s="366"/>
      <c r="E280" s="367"/>
      <c r="F280" s="368"/>
      <c r="I280" s="369"/>
    </row>
    <row r="281">
      <c r="B281" s="365"/>
      <c r="C281" s="366"/>
      <c r="E281" s="367"/>
      <c r="F281" s="368"/>
      <c r="I281" s="369"/>
    </row>
    <row r="282">
      <c r="B282" s="365"/>
      <c r="C282" s="366"/>
      <c r="E282" s="367"/>
      <c r="F282" s="368"/>
      <c r="I282" s="369"/>
    </row>
    <row r="283">
      <c r="B283" s="365"/>
      <c r="C283" s="366"/>
      <c r="E283" s="367"/>
      <c r="F283" s="368"/>
      <c r="I283" s="369"/>
    </row>
    <row r="284">
      <c r="B284" s="365"/>
      <c r="C284" s="366"/>
      <c r="E284" s="367"/>
      <c r="F284" s="368"/>
      <c r="I284" s="369"/>
    </row>
    <row r="285">
      <c r="B285" s="365"/>
      <c r="C285" s="366"/>
      <c r="E285" s="367"/>
      <c r="F285" s="368"/>
      <c r="I285" s="369"/>
    </row>
    <row r="286">
      <c r="B286" s="365"/>
      <c r="C286" s="366"/>
      <c r="E286" s="367"/>
      <c r="F286" s="368"/>
      <c r="I286" s="369"/>
    </row>
    <row r="287">
      <c r="B287" s="365"/>
      <c r="C287" s="366"/>
      <c r="E287" s="367"/>
      <c r="F287" s="368"/>
      <c r="I287" s="369"/>
    </row>
    <row r="288">
      <c r="B288" s="365"/>
      <c r="C288" s="366"/>
      <c r="E288" s="367"/>
      <c r="F288" s="368"/>
      <c r="I288" s="369"/>
    </row>
    <row r="289">
      <c r="B289" s="365"/>
      <c r="C289" s="366"/>
      <c r="E289" s="367"/>
      <c r="F289" s="368"/>
      <c r="I289" s="369"/>
    </row>
    <row r="290">
      <c r="B290" s="365"/>
      <c r="C290" s="366"/>
      <c r="E290" s="367"/>
      <c r="F290" s="368"/>
      <c r="I290" s="369"/>
    </row>
    <row r="291">
      <c r="B291" s="365"/>
      <c r="C291" s="366"/>
      <c r="E291" s="367"/>
      <c r="F291" s="368"/>
      <c r="I291" s="369"/>
    </row>
    <row r="292">
      <c r="B292" s="365"/>
      <c r="C292" s="366"/>
      <c r="E292" s="367"/>
      <c r="F292" s="368"/>
      <c r="I292" s="369"/>
    </row>
    <row r="293">
      <c r="B293" s="365"/>
      <c r="C293" s="366"/>
      <c r="E293" s="367"/>
      <c r="F293" s="368"/>
      <c r="I293" s="369"/>
    </row>
    <row r="294">
      <c r="B294" s="365"/>
      <c r="C294" s="366"/>
      <c r="E294" s="367"/>
      <c r="F294" s="368"/>
      <c r="I294" s="369"/>
    </row>
    <row r="295">
      <c r="B295" s="365"/>
      <c r="C295" s="366"/>
      <c r="E295" s="367"/>
      <c r="F295" s="368"/>
      <c r="I295" s="369"/>
    </row>
    <row r="296">
      <c r="B296" s="365"/>
      <c r="C296" s="366"/>
      <c r="E296" s="367"/>
      <c r="F296" s="368"/>
      <c r="I296" s="369"/>
    </row>
    <row r="297">
      <c r="B297" s="365"/>
      <c r="C297" s="366"/>
      <c r="E297" s="367"/>
      <c r="F297" s="368"/>
      <c r="I297" s="369"/>
    </row>
    <row r="298">
      <c r="B298" s="365"/>
      <c r="C298" s="366"/>
      <c r="E298" s="367"/>
      <c r="F298" s="368"/>
      <c r="I298" s="369"/>
    </row>
    <row r="299">
      <c r="B299" s="365"/>
      <c r="C299" s="366"/>
      <c r="E299" s="367"/>
      <c r="F299" s="368"/>
      <c r="I299" s="369"/>
    </row>
    <row r="300">
      <c r="B300" s="365"/>
      <c r="C300" s="366"/>
      <c r="E300" s="367"/>
      <c r="F300" s="368"/>
      <c r="I300" s="369"/>
    </row>
    <row r="301">
      <c r="B301" s="365"/>
      <c r="C301" s="366"/>
      <c r="E301" s="367"/>
      <c r="F301" s="368"/>
      <c r="I301" s="369"/>
    </row>
    <row r="302">
      <c r="B302" s="365"/>
      <c r="C302" s="366"/>
      <c r="E302" s="367"/>
      <c r="F302" s="368"/>
      <c r="I302" s="369"/>
    </row>
    <row r="303">
      <c r="B303" s="365"/>
      <c r="C303" s="366"/>
      <c r="E303" s="367"/>
      <c r="F303" s="368"/>
      <c r="I303" s="369"/>
    </row>
    <row r="304">
      <c r="B304" s="365"/>
      <c r="C304" s="366"/>
      <c r="E304" s="367"/>
      <c r="F304" s="368"/>
      <c r="I304" s="369"/>
    </row>
    <row r="305">
      <c r="B305" s="365"/>
      <c r="C305" s="366"/>
      <c r="E305" s="367"/>
      <c r="F305" s="368"/>
      <c r="I305" s="369"/>
    </row>
    <row r="306">
      <c r="B306" s="365"/>
      <c r="C306" s="366"/>
      <c r="E306" s="367"/>
      <c r="F306" s="368"/>
      <c r="I306" s="369"/>
    </row>
    <row r="307">
      <c r="B307" s="365"/>
      <c r="C307" s="366"/>
      <c r="E307" s="367"/>
      <c r="F307" s="368"/>
      <c r="I307" s="369"/>
    </row>
    <row r="308">
      <c r="B308" s="365"/>
      <c r="C308" s="366"/>
      <c r="E308" s="367"/>
      <c r="F308" s="368"/>
      <c r="I308" s="369"/>
    </row>
    <row r="309">
      <c r="B309" s="365"/>
      <c r="C309" s="366"/>
      <c r="E309" s="367"/>
      <c r="F309" s="368"/>
      <c r="I309" s="369"/>
    </row>
    <row r="310">
      <c r="B310" s="365"/>
      <c r="C310" s="366"/>
      <c r="E310" s="367"/>
      <c r="F310" s="368"/>
      <c r="I310" s="369"/>
    </row>
    <row r="311">
      <c r="B311" s="365"/>
      <c r="C311" s="366"/>
      <c r="E311" s="367"/>
      <c r="F311" s="368"/>
      <c r="I311" s="369"/>
    </row>
    <row r="312">
      <c r="B312" s="365"/>
      <c r="C312" s="366"/>
      <c r="E312" s="367"/>
      <c r="F312" s="368"/>
      <c r="I312" s="369"/>
    </row>
    <row r="313">
      <c r="B313" s="365"/>
      <c r="C313" s="366"/>
      <c r="E313" s="367"/>
      <c r="F313" s="368"/>
      <c r="I313" s="369"/>
    </row>
    <row r="314">
      <c r="B314" s="365"/>
      <c r="C314" s="366"/>
      <c r="E314" s="367"/>
      <c r="F314" s="368"/>
      <c r="I314" s="369"/>
    </row>
    <row r="315">
      <c r="B315" s="365"/>
      <c r="C315" s="366"/>
      <c r="E315" s="367"/>
      <c r="F315" s="368"/>
      <c r="I315" s="369"/>
    </row>
    <row r="316">
      <c r="B316" s="365"/>
      <c r="C316" s="366"/>
      <c r="E316" s="367"/>
      <c r="F316" s="368"/>
      <c r="I316" s="369"/>
    </row>
    <row r="317">
      <c r="B317" s="365"/>
      <c r="C317" s="366"/>
      <c r="E317" s="367"/>
      <c r="F317" s="368"/>
      <c r="I317" s="369"/>
    </row>
    <row r="318">
      <c r="B318" s="365"/>
      <c r="C318" s="366"/>
      <c r="E318" s="367"/>
      <c r="F318" s="368"/>
      <c r="I318" s="369"/>
    </row>
    <row r="319">
      <c r="B319" s="365"/>
      <c r="C319" s="366"/>
      <c r="E319" s="367"/>
      <c r="F319" s="368"/>
      <c r="I319" s="369"/>
    </row>
    <row r="320">
      <c r="B320" s="365"/>
      <c r="C320" s="366"/>
      <c r="E320" s="367"/>
      <c r="F320" s="368"/>
      <c r="I320" s="369"/>
    </row>
    <row r="321">
      <c r="B321" s="365"/>
      <c r="C321" s="366"/>
      <c r="E321" s="367"/>
      <c r="F321" s="368"/>
      <c r="I321" s="369"/>
    </row>
    <row r="322">
      <c r="B322" s="365"/>
      <c r="C322" s="366"/>
      <c r="E322" s="367"/>
      <c r="F322" s="368"/>
      <c r="I322" s="369"/>
    </row>
    <row r="323">
      <c r="B323" s="365"/>
      <c r="C323" s="366"/>
      <c r="E323" s="367"/>
      <c r="F323" s="368"/>
      <c r="I323" s="369"/>
    </row>
    <row r="324">
      <c r="B324" s="365"/>
      <c r="C324" s="366"/>
      <c r="E324" s="367"/>
      <c r="F324" s="368"/>
      <c r="I324" s="369"/>
    </row>
    <row r="325">
      <c r="B325" s="365"/>
      <c r="C325" s="366"/>
      <c r="E325" s="367"/>
      <c r="F325" s="368"/>
      <c r="I325" s="369"/>
    </row>
    <row r="326">
      <c r="B326" s="365"/>
      <c r="C326" s="366"/>
      <c r="E326" s="367"/>
      <c r="F326" s="368"/>
      <c r="I326" s="369"/>
    </row>
    <row r="327">
      <c r="B327" s="365"/>
      <c r="C327" s="366"/>
      <c r="E327" s="367"/>
      <c r="F327" s="368"/>
      <c r="I327" s="369"/>
    </row>
    <row r="328">
      <c r="B328" s="365"/>
      <c r="C328" s="366"/>
      <c r="E328" s="367"/>
      <c r="F328" s="368"/>
      <c r="I328" s="369"/>
    </row>
    <row r="329">
      <c r="B329" s="365"/>
      <c r="C329" s="366"/>
      <c r="E329" s="367"/>
      <c r="F329" s="368"/>
      <c r="I329" s="369"/>
    </row>
    <row r="330">
      <c r="B330" s="365"/>
      <c r="C330" s="366"/>
      <c r="E330" s="367"/>
      <c r="F330" s="368"/>
      <c r="I330" s="369"/>
    </row>
    <row r="331">
      <c r="B331" s="365"/>
      <c r="C331" s="366"/>
      <c r="E331" s="367"/>
      <c r="F331" s="368"/>
      <c r="I331" s="369"/>
    </row>
    <row r="332">
      <c r="B332" s="365"/>
      <c r="C332" s="366"/>
      <c r="E332" s="367"/>
      <c r="F332" s="368"/>
      <c r="I332" s="369"/>
    </row>
    <row r="333">
      <c r="B333" s="365"/>
      <c r="C333" s="366"/>
      <c r="E333" s="367"/>
      <c r="F333" s="368"/>
      <c r="I333" s="369"/>
    </row>
    <row r="334">
      <c r="B334" s="365"/>
      <c r="C334" s="366"/>
      <c r="E334" s="367"/>
      <c r="F334" s="368"/>
      <c r="I334" s="369"/>
    </row>
    <row r="335">
      <c r="B335" s="365"/>
      <c r="C335" s="366"/>
      <c r="E335" s="367"/>
      <c r="F335" s="368"/>
      <c r="I335" s="369"/>
    </row>
    <row r="336">
      <c r="B336" s="365"/>
      <c r="C336" s="366"/>
      <c r="E336" s="367"/>
      <c r="F336" s="368"/>
      <c r="I336" s="369"/>
    </row>
    <row r="337">
      <c r="B337" s="365"/>
      <c r="C337" s="366"/>
      <c r="E337" s="367"/>
      <c r="F337" s="368"/>
      <c r="I337" s="369"/>
    </row>
    <row r="338">
      <c r="B338" s="365"/>
      <c r="C338" s="366"/>
      <c r="E338" s="367"/>
      <c r="F338" s="368"/>
      <c r="I338" s="369"/>
    </row>
    <row r="339">
      <c r="B339" s="365"/>
      <c r="C339" s="366"/>
      <c r="E339" s="367"/>
      <c r="F339" s="368"/>
      <c r="I339" s="369"/>
    </row>
    <row r="340">
      <c r="B340" s="365"/>
      <c r="C340" s="366"/>
      <c r="E340" s="367"/>
      <c r="F340" s="368"/>
      <c r="I340" s="369"/>
    </row>
    <row r="341">
      <c r="B341" s="365"/>
      <c r="C341" s="366"/>
      <c r="E341" s="367"/>
      <c r="F341" s="368"/>
      <c r="I341" s="369"/>
    </row>
    <row r="342">
      <c r="B342" s="365"/>
      <c r="C342" s="366"/>
      <c r="E342" s="367"/>
      <c r="F342" s="368"/>
      <c r="I342" s="369"/>
    </row>
    <row r="343">
      <c r="B343" s="365"/>
      <c r="C343" s="366"/>
      <c r="E343" s="367"/>
      <c r="F343" s="368"/>
      <c r="I343" s="369"/>
    </row>
    <row r="344">
      <c r="B344" s="365"/>
      <c r="C344" s="366"/>
      <c r="E344" s="367"/>
      <c r="F344" s="368"/>
      <c r="I344" s="369"/>
    </row>
    <row r="345">
      <c r="B345" s="365"/>
      <c r="C345" s="366"/>
      <c r="E345" s="367"/>
      <c r="F345" s="368"/>
      <c r="I345" s="369"/>
    </row>
    <row r="346">
      <c r="B346" s="365"/>
      <c r="C346" s="366"/>
      <c r="E346" s="367"/>
      <c r="F346" s="368"/>
      <c r="I346" s="369"/>
    </row>
    <row r="347">
      <c r="B347" s="365"/>
      <c r="C347" s="366"/>
      <c r="E347" s="367"/>
      <c r="F347" s="368"/>
      <c r="I347" s="369"/>
    </row>
    <row r="348">
      <c r="B348" s="365"/>
      <c r="C348" s="366"/>
      <c r="E348" s="367"/>
      <c r="F348" s="368"/>
      <c r="I348" s="369"/>
    </row>
    <row r="349">
      <c r="B349" s="365"/>
      <c r="C349" s="366"/>
      <c r="E349" s="367"/>
      <c r="F349" s="368"/>
      <c r="I349" s="369"/>
    </row>
    <row r="350">
      <c r="B350" s="365"/>
      <c r="C350" s="366"/>
      <c r="E350" s="367"/>
      <c r="F350" s="368"/>
      <c r="I350" s="369"/>
    </row>
    <row r="351">
      <c r="B351" s="365"/>
      <c r="C351" s="366"/>
      <c r="E351" s="367"/>
      <c r="F351" s="368"/>
      <c r="I351" s="369"/>
    </row>
    <row r="352">
      <c r="B352" s="365"/>
      <c r="C352" s="366"/>
      <c r="E352" s="367"/>
      <c r="F352" s="368"/>
      <c r="I352" s="369"/>
    </row>
    <row r="353">
      <c r="B353" s="365"/>
      <c r="C353" s="366"/>
      <c r="E353" s="367"/>
      <c r="F353" s="368"/>
      <c r="I353" s="369"/>
    </row>
    <row r="354">
      <c r="B354" s="365"/>
      <c r="C354" s="366"/>
      <c r="E354" s="367"/>
      <c r="F354" s="368"/>
      <c r="I354" s="369"/>
    </row>
    <row r="355">
      <c r="B355" s="365"/>
      <c r="C355" s="366"/>
      <c r="E355" s="367"/>
      <c r="F355" s="368"/>
      <c r="I355" s="369"/>
    </row>
    <row r="356">
      <c r="B356" s="365"/>
      <c r="C356" s="366"/>
      <c r="E356" s="367"/>
      <c r="F356" s="368"/>
      <c r="I356" s="369"/>
    </row>
    <row r="357">
      <c r="B357" s="365"/>
      <c r="C357" s="366"/>
      <c r="E357" s="367"/>
      <c r="F357" s="368"/>
      <c r="I357" s="369"/>
    </row>
    <row r="358">
      <c r="B358" s="365"/>
      <c r="C358" s="366"/>
      <c r="E358" s="367"/>
      <c r="F358" s="368"/>
      <c r="I358" s="369"/>
    </row>
    <row r="359">
      <c r="B359" s="365"/>
      <c r="C359" s="366"/>
      <c r="E359" s="367"/>
      <c r="F359" s="368"/>
      <c r="I359" s="369"/>
    </row>
    <row r="360">
      <c r="B360" s="365"/>
      <c r="C360" s="366"/>
      <c r="E360" s="367"/>
      <c r="F360" s="368"/>
      <c r="I360" s="369"/>
    </row>
    <row r="361">
      <c r="B361" s="365"/>
      <c r="C361" s="366"/>
      <c r="E361" s="367"/>
      <c r="F361" s="368"/>
      <c r="I361" s="369"/>
    </row>
    <row r="362">
      <c r="B362" s="365"/>
      <c r="C362" s="366"/>
      <c r="E362" s="367"/>
      <c r="F362" s="368"/>
      <c r="I362" s="369"/>
    </row>
    <row r="363">
      <c r="B363" s="365"/>
      <c r="C363" s="366"/>
      <c r="E363" s="367"/>
      <c r="F363" s="368"/>
      <c r="I363" s="369"/>
    </row>
    <row r="364">
      <c r="B364" s="365"/>
      <c r="C364" s="366"/>
      <c r="E364" s="367"/>
      <c r="F364" s="368"/>
      <c r="I364" s="369"/>
    </row>
    <row r="365">
      <c r="B365" s="365"/>
      <c r="C365" s="366"/>
      <c r="E365" s="367"/>
      <c r="F365" s="368"/>
      <c r="I365" s="369"/>
    </row>
    <row r="366">
      <c r="B366" s="365"/>
      <c r="C366" s="366"/>
      <c r="E366" s="367"/>
      <c r="F366" s="368"/>
      <c r="I366" s="369"/>
    </row>
    <row r="367">
      <c r="B367" s="365"/>
      <c r="C367" s="366"/>
      <c r="E367" s="367"/>
      <c r="F367" s="368"/>
      <c r="I367" s="369"/>
    </row>
    <row r="368">
      <c r="B368" s="365"/>
      <c r="C368" s="366"/>
      <c r="E368" s="367"/>
      <c r="F368" s="368"/>
      <c r="I368" s="369"/>
    </row>
    <row r="369">
      <c r="B369" s="365"/>
      <c r="C369" s="366"/>
      <c r="E369" s="367"/>
      <c r="F369" s="368"/>
      <c r="I369" s="369"/>
    </row>
    <row r="370">
      <c r="B370" s="365"/>
      <c r="C370" s="366"/>
      <c r="E370" s="367"/>
      <c r="F370" s="368"/>
      <c r="I370" s="369"/>
    </row>
    <row r="371">
      <c r="B371" s="365"/>
      <c r="C371" s="366"/>
      <c r="E371" s="367"/>
      <c r="F371" s="368"/>
      <c r="I371" s="369"/>
    </row>
    <row r="372">
      <c r="B372" s="365"/>
      <c r="C372" s="366"/>
      <c r="E372" s="367"/>
      <c r="F372" s="368"/>
      <c r="I372" s="369"/>
    </row>
    <row r="373">
      <c r="B373" s="365"/>
      <c r="C373" s="366"/>
      <c r="E373" s="367"/>
      <c r="F373" s="368"/>
      <c r="I373" s="369"/>
    </row>
    <row r="374">
      <c r="B374" s="365"/>
      <c r="C374" s="366"/>
      <c r="E374" s="367"/>
      <c r="F374" s="368"/>
      <c r="I374" s="369"/>
    </row>
    <row r="375">
      <c r="B375" s="365"/>
      <c r="C375" s="366"/>
      <c r="E375" s="367"/>
      <c r="F375" s="368"/>
      <c r="I375" s="369"/>
    </row>
    <row r="376">
      <c r="B376" s="365"/>
      <c r="C376" s="366"/>
      <c r="E376" s="367"/>
      <c r="F376" s="368"/>
      <c r="I376" s="369"/>
    </row>
    <row r="377">
      <c r="B377" s="365"/>
      <c r="C377" s="366"/>
      <c r="E377" s="367"/>
      <c r="F377" s="368"/>
      <c r="I377" s="369"/>
    </row>
    <row r="378">
      <c r="B378" s="365"/>
      <c r="C378" s="366"/>
      <c r="E378" s="367"/>
      <c r="F378" s="368"/>
      <c r="I378" s="369"/>
    </row>
    <row r="379">
      <c r="B379" s="365"/>
      <c r="C379" s="366"/>
      <c r="E379" s="367"/>
      <c r="F379" s="368"/>
      <c r="I379" s="369"/>
    </row>
    <row r="380">
      <c r="B380" s="365"/>
      <c r="C380" s="366"/>
      <c r="E380" s="367"/>
      <c r="F380" s="368"/>
      <c r="I380" s="369"/>
    </row>
    <row r="381">
      <c r="B381" s="365"/>
      <c r="C381" s="366"/>
      <c r="E381" s="367"/>
      <c r="F381" s="368"/>
      <c r="I381" s="369"/>
    </row>
    <row r="382">
      <c r="B382" s="365"/>
      <c r="C382" s="366"/>
      <c r="E382" s="367"/>
      <c r="F382" s="368"/>
      <c r="I382" s="369"/>
    </row>
    <row r="383">
      <c r="B383" s="365"/>
      <c r="C383" s="366"/>
      <c r="E383" s="367"/>
      <c r="F383" s="368"/>
      <c r="I383" s="369"/>
    </row>
    <row r="384">
      <c r="B384" s="365"/>
      <c r="C384" s="366"/>
      <c r="E384" s="367"/>
      <c r="F384" s="368"/>
      <c r="I384" s="369"/>
    </row>
    <row r="385">
      <c r="B385" s="365"/>
      <c r="C385" s="366"/>
      <c r="E385" s="367"/>
      <c r="F385" s="368"/>
      <c r="I385" s="369"/>
    </row>
    <row r="386">
      <c r="B386" s="365"/>
      <c r="C386" s="366"/>
      <c r="E386" s="367"/>
      <c r="F386" s="368"/>
      <c r="I386" s="369"/>
    </row>
    <row r="387">
      <c r="B387" s="365"/>
      <c r="C387" s="366"/>
      <c r="E387" s="367"/>
      <c r="F387" s="368"/>
      <c r="I387" s="369"/>
    </row>
    <row r="388">
      <c r="B388" s="365"/>
      <c r="C388" s="366"/>
      <c r="E388" s="367"/>
      <c r="F388" s="368"/>
      <c r="I388" s="369"/>
    </row>
    <row r="389">
      <c r="B389" s="365"/>
      <c r="C389" s="366"/>
      <c r="E389" s="367"/>
      <c r="F389" s="368"/>
      <c r="I389" s="369"/>
    </row>
    <row r="390">
      <c r="B390" s="365"/>
      <c r="C390" s="366"/>
      <c r="E390" s="367"/>
      <c r="F390" s="368"/>
      <c r="I390" s="369"/>
    </row>
    <row r="391">
      <c r="B391" s="365"/>
      <c r="C391" s="366"/>
      <c r="E391" s="367"/>
      <c r="F391" s="368"/>
      <c r="I391" s="369"/>
    </row>
    <row r="392">
      <c r="B392" s="365"/>
      <c r="C392" s="366"/>
      <c r="E392" s="367"/>
      <c r="F392" s="368"/>
      <c r="I392" s="369"/>
    </row>
    <row r="393">
      <c r="B393" s="365"/>
      <c r="C393" s="366"/>
      <c r="E393" s="367"/>
      <c r="F393" s="368"/>
      <c r="I393" s="369"/>
    </row>
    <row r="394">
      <c r="B394" s="365"/>
      <c r="C394" s="366"/>
      <c r="E394" s="367"/>
      <c r="F394" s="368"/>
      <c r="I394" s="369"/>
    </row>
    <row r="395">
      <c r="B395" s="365"/>
      <c r="C395" s="366"/>
      <c r="E395" s="367"/>
      <c r="F395" s="368"/>
      <c r="I395" s="369"/>
    </row>
    <row r="396">
      <c r="B396" s="365"/>
      <c r="C396" s="366"/>
      <c r="E396" s="367"/>
      <c r="F396" s="368"/>
      <c r="I396" s="369"/>
    </row>
    <row r="397">
      <c r="B397" s="365"/>
      <c r="C397" s="366"/>
      <c r="E397" s="367"/>
      <c r="F397" s="368"/>
      <c r="I397" s="369"/>
    </row>
    <row r="398">
      <c r="B398" s="365"/>
      <c r="C398" s="366"/>
      <c r="E398" s="367"/>
      <c r="F398" s="368"/>
      <c r="I398" s="369"/>
    </row>
    <row r="399">
      <c r="B399" s="365"/>
      <c r="C399" s="366"/>
      <c r="E399" s="367"/>
      <c r="F399" s="368"/>
      <c r="I399" s="369"/>
    </row>
    <row r="400">
      <c r="B400" s="365"/>
      <c r="C400" s="366"/>
      <c r="E400" s="367"/>
      <c r="F400" s="368"/>
      <c r="I400" s="369"/>
    </row>
    <row r="401">
      <c r="B401" s="365"/>
      <c r="C401" s="366"/>
      <c r="E401" s="367"/>
      <c r="F401" s="368"/>
      <c r="I401" s="369"/>
    </row>
    <row r="402">
      <c r="B402" s="365"/>
      <c r="C402" s="366"/>
      <c r="E402" s="367"/>
      <c r="F402" s="368"/>
      <c r="I402" s="369"/>
    </row>
    <row r="403">
      <c r="B403" s="365"/>
      <c r="C403" s="366"/>
      <c r="E403" s="367"/>
      <c r="F403" s="368"/>
      <c r="I403" s="369"/>
    </row>
    <row r="404">
      <c r="B404" s="365"/>
      <c r="C404" s="366"/>
      <c r="E404" s="367"/>
      <c r="F404" s="368"/>
      <c r="I404" s="369"/>
    </row>
    <row r="405">
      <c r="B405" s="365"/>
      <c r="C405" s="366"/>
      <c r="E405" s="367"/>
      <c r="F405" s="368"/>
      <c r="I405" s="369"/>
    </row>
    <row r="406">
      <c r="B406" s="365"/>
      <c r="C406" s="366"/>
      <c r="E406" s="367"/>
      <c r="F406" s="368"/>
      <c r="I406" s="369"/>
    </row>
    <row r="407">
      <c r="B407" s="365"/>
      <c r="C407" s="366"/>
      <c r="E407" s="367"/>
      <c r="F407" s="368"/>
      <c r="I407" s="369"/>
    </row>
    <row r="408">
      <c r="B408" s="365"/>
      <c r="C408" s="366"/>
      <c r="E408" s="367"/>
      <c r="F408" s="368"/>
      <c r="I408" s="369"/>
    </row>
    <row r="409">
      <c r="B409" s="365"/>
      <c r="C409" s="366"/>
      <c r="E409" s="367"/>
      <c r="F409" s="368"/>
      <c r="I409" s="369"/>
    </row>
    <row r="410">
      <c r="B410" s="365"/>
      <c r="C410" s="366"/>
      <c r="E410" s="367"/>
      <c r="F410" s="368"/>
      <c r="I410" s="369"/>
    </row>
    <row r="411">
      <c r="B411" s="365"/>
      <c r="C411" s="366"/>
      <c r="E411" s="367"/>
      <c r="F411" s="368"/>
      <c r="I411" s="369"/>
    </row>
    <row r="412">
      <c r="B412" s="365"/>
      <c r="C412" s="366"/>
      <c r="E412" s="367"/>
      <c r="F412" s="368"/>
      <c r="I412" s="369"/>
    </row>
    <row r="413">
      <c r="B413" s="365"/>
      <c r="C413" s="366"/>
      <c r="E413" s="367"/>
      <c r="F413" s="368"/>
      <c r="I413" s="369"/>
    </row>
    <row r="414">
      <c r="B414" s="365"/>
      <c r="C414" s="366"/>
      <c r="E414" s="367"/>
      <c r="F414" s="368"/>
      <c r="I414" s="369"/>
    </row>
    <row r="415">
      <c r="B415" s="365"/>
      <c r="C415" s="366"/>
      <c r="E415" s="367"/>
      <c r="F415" s="368"/>
      <c r="I415" s="369"/>
    </row>
    <row r="416">
      <c r="B416" s="365"/>
      <c r="C416" s="366"/>
      <c r="E416" s="367"/>
      <c r="F416" s="368"/>
      <c r="I416" s="369"/>
    </row>
    <row r="417">
      <c r="B417" s="365"/>
      <c r="C417" s="366"/>
      <c r="E417" s="367"/>
      <c r="F417" s="368"/>
      <c r="I417" s="369"/>
    </row>
    <row r="418">
      <c r="B418" s="365"/>
      <c r="C418" s="366"/>
      <c r="E418" s="367"/>
      <c r="F418" s="368"/>
      <c r="I418" s="369"/>
    </row>
    <row r="419">
      <c r="B419" s="365"/>
      <c r="C419" s="366"/>
      <c r="E419" s="367"/>
      <c r="F419" s="368"/>
      <c r="I419" s="369"/>
    </row>
    <row r="420">
      <c r="B420" s="365"/>
      <c r="C420" s="366"/>
      <c r="E420" s="367"/>
      <c r="F420" s="368"/>
      <c r="I420" s="369"/>
    </row>
    <row r="421">
      <c r="B421" s="365"/>
      <c r="C421" s="366"/>
      <c r="E421" s="367"/>
      <c r="F421" s="368"/>
      <c r="I421" s="369"/>
    </row>
    <row r="422">
      <c r="B422" s="365"/>
      <c r="C422" s="366"/>
      <c r="E422" s="367"/>
      <c r="F422" s="368"/>
      <c r="I422" s="369"/>
    </row>
    <row r="423">
      <c r="B423" s="365"/>
      <c r="C423" s="366"/>
      <c r="E423" s="367"/>
      <c r="F423" s="368"/>
      <c r="I423" s="369"/>
    </row>
    <row r="424">
      <c r="B424" s="365"/>
      <c r="C424" s="366"/>
      <c r="E424" s="367"/>
      <c r="F424" s="368"/>
      <c r="I424" s="369"/>
    </row>
    <row r="425">
      <c r="B425" s="365"/>
      <c r="C425" s="366"/>
      <c r="E425" s="367"/>
      <c r="F425" s="368"/>
      <c r="I425" s="369"/>
    </row>
    <row r="426">
      <c r="B426" s="365"/>
      <c r="C426" s="366"/>
      <c r="E426" s="367"/>
      <c r="F426" s="368"/>
      <c r="I426" s="369"/>
    </row>
    <row r="427">
      <c r="B427" s="365"/>
      <c r="C427" s="366"/>
      <c r="E427" s="367"/>
      <c r="F427" s="368"/>
      <c r="I427" s="369"/>
    </row>
    <row r="428">
      <c r="B428" s="365"/>
      <c r="C428" s="366"/>
      <c r="E428" s="367"/>
      <c r="F428" s="368"/>
      <c r="I428" s="369"/>
    </row>
    <row r="429">
      <c r="B429" s="365"/>
      <c r="C429" s="366"/>
      <c r="E429" s="367"/>
      <c r="F429" s="368"/>
      <c r="I429" s="369"/>
    </row>
    <row r="430">
      <c r="B430" s="365"/>
      <c r="C430" s="366"/>
      <c r="E430" s="367"/>
      <c r="F430" s="368"/>
      <c r="I430" s="369"/>
    </row>
    <row r="431">
      <c r="B431" s="365"/>
      <c r="C431" s="366"/>
      <c r="E431" s="367"/>
      <c r="F431" s="368"/>
      <c r="I431" s="369"/>
    </row>
    <row r="432">
      <c r="B432" s="365"/>
      <c r="C432" s="366"/>
      <c r="E432" s="367"/>
      <c r="F432" s="368"/>
      <c r="I432" s="369"/>
    </row>
    <row r="433">
      <c r="B433" s="365"/>
      <c r="C433" s="366"/>
      <c r="E433" s="367"/>
      <c r="F433" s="368"/>
      <c r="I433" s="369"/>
    </row>
    <row r="434">
      <c r="B434" s="365"/>
      <c r="C434" s="366"/>
      <c r="E434" s="367"/>
      <c r="F434" s="368"/>
      <c r="I434" s="369"/>
    </row>
    <row r="435">
      <c r="B435" s="365"/>
      <c r="C435" s="366"/>
      <c r="E435" s="367"/>
      <c r="F435" s="368"/>
      <c r="I435" s="369"/>
    </row>
    <row r="436">
      <c r="B436" s="365"/>
      <c r="C436" s="366"/>
      <c r="E436" s="367"/>
      <c r="F436" s="368"/>
      <c r="I436" s="369"/>
    </row>
    <row r="437">
      <c r="B437" s="365"/>
      <c r="C437" s="366"/>
      <c r="E437" s="367"/>
      <c r="F437" s="368"/>
      <c r="I437" s="369"/>
    </row>
    <row r="438">
      <c r="B438" s="365"/>
      <c r="C438" s="366"/>
      <c r="E438" s="367"/>
      <c r="F438" s="368"/>
      <c r="I438" s="369"/>
    </row>
    <row r="439">
      <c r="B439" s="365"/>
      <c r="C439" s="366"/>
      <c r="E439" s="367"/>
      <c r="F439" s="368"/>
      <c r="I439" s="369"/>
    </row>
    <row r="440">
      <c r="B440" s="365"/>
      <c r="C440" s="366"/>
      <c r="E440" s="367"/>
      <c r="F440" s="368"/>
      <c r="I440" s="369"/>
    </row>
    <row r="441">
      <c r="B441" s="365"/>
      <c r="C441" s="366"/>
      <c r="E441" s="367"/>
      <c r="F441" s="368"/>
      <c r="I441" s="369"/>
    </row>
    <row r="442">
      <c r="B442" s="365"/>
      <c r="C442" s="366"/>
      <c r="E442" s="367"/>
      <c r="F442" s="368"/>
      <c r="I442" s="369"/>
    </row>
    <row r="443">
      <c r="B443" s="365"/>
      <c r="C443" s="366"/>
      <c r="E443" s="367"/>
      <c r="F443" s="368"/>
      <c r="I443" s="369"/>
    </row>
    <row r="444">
      <c r="B444" s="365"/>
      <c r="C444" s="366"/>
      <c r="E444" s="367"/>
      <c r="F444" s="368"/>
      <c r="I444" s="369"/>
    </row>
    <row r="445">
      <c r="B445" s="365"/>
      <c r="C445" s="366"/>
      <c r="E445" s="367"/>
      <c r="F445" s="368"/>
      <c r="I445" s="369"/>
    </row>
    <row r="446">
      <c r="B446" s="365"/>
      <c r="C446" s="366"/>
      <c r="E446" s="367"/>
      <c r="F446" s="368"/>
      <c r="I446" s="369"/>
    </row>
    <row r="447">
      <c r="B447" s="365"/>
      <c r="C447" s="366"/>
      <c r="E447" s="367"/>
      <c r="F447" s="368"/>
      <c r="I447" s="369"/>
    </row>
    <row r="448">
      <c r="B448" s="365"/>
      <c r="C448" s="366"/>
      <c r="E448" s="367"/>
      <c r="F448" s="368"/>
      <c r="I448" s="369"/>
    </row>
    <row r="449">
      <c r="B449" s="365"/>
      <c r="C449" s="366"/>
      <c r="E449" s="367"/>
      <c r="F449" s="368"/>
      <c r="I449" s="369"/>
    </row>
    <row r="450">
      <c r="B450" s="365"/>
      <c r="C450" s="366"/>
      <c r="E450" s="367"/>
      <c r="F450" s="368"/>
      <c r="I450" s="369"/>
    </row>
    <row r="451">
      <c r="B451" s="365"/>
      <c r="C451" s="366"/>
      <c r="E451" s="367"/>
      <c r="F451" s="368"/>
      <c r="I451" s="369"/>
    </row>
    <row r="452">
      <c r="B452" s="365"/>
      <c r="C452" s="366"/>
      <c r="E452" s="367"/>
      <c r="F452" s="368"/>
      <c r="I452" s="369"/>
    </row>
    <row r="453">
      <c r="B453" s="365"/>
      <c r="C453" s="366"/>
      <c r="E453" s="367"/>
      <c r="F453" s="368"/>
      <c r="I453" s="369"/>
    </row>
    <row r="454">
      <c r="B454" s="365"/>
      <c r="C454" s="366"/>
      <c r="E454" s="367"/>
      <c r="F454" s="368"/>
      <c r="I454" s="369"/>
    </row>
    <row r="455">
      <c r="B455" s="365"/>
      <c r="C455" s="366"/>
      <c r="E455" s="367"/>
      <c r="F455" s="368"/>
      <c r="I455" s="369"/>
    </row>
    <row r="456">
      <c r="B456" s="365"/>
      <c r="C456" s="366"/>
      <c r="E456" s="367"/>
      <c r="F456" s="368"/>
      <c r="I456" s="369"/>
    </row>
    <row r="457">
      <c r="B457" s="365"/>
      <c r="C457" s="366"/>
      <c r="E457" s="367"/>
      <c r="F457" s="368"/>
      <c r="I457" s="369"/>
    </row>
    <row r="458">
      <c r="B458" s="365"/>
      <c r="C458" s="366"/>
      <c r="E458" s="367"/>
      <c r="F458" s="368"/>
      <c r="I458" s="369"/>
    </row>
    <row r="459">
      <c r="B459" s="365"/>
      <c r="C459" s="366"/>
      <c r="E459" s="367"/>
      <c r="F459" s="368"/>
      <c r="I459" s="369"/>
    </row>
    <row r="460">
      <c r="B460" s="365"/>
      <c r="C460" s="366"/>
      <c r="E460" s="367"/>
      <c r="F460" s="368"/>
      <c r="I460" s="369"/>
    </row>
    <row r="461">
      <c r="B461" s="365"/>
      <c r="C461" s="366"/>
      <c r="E461" s="367"/>
      <c r="F461" s="368"/>
      <c r="I461" s="369"/>
    </row>
    <row r="462">
      <c r="B462" s="365"/>
      <c r="C462" s="366"/>
      <c r="E462" s="367"/>
      <c r="F462" s="368"/>
      <c r="I462" s="369"/>
    </row>
    <row r="463">
      <c r="B463" s="365"/>
      <c r="C463" s="366"/>
      <c r="E463" s="367"/>
      <c r="F463" s="368"/>
      <c r="I463" s="369"/>
    </row>
    <row r="464">
      <c r="B464" s="365"/>
      <c r="C464" s="366"/>
      <c r="E464" s="367"/>
      <c r="F464" s="368"/>
      <c r="I464" s="369"/>
    </row>
    <row r="465">
      <c r="B465" s="365"/>
      <c r="C465" s="366"/>
      <c r="E465" s="367"/>
      <c r="F465" s="368"/>
      <c r="I465" s="369"/>
    </row>
    <row r="466">
      <c r="B466" s="365"/>
      <c r="C466" s="366"/>
      <c r="E466" s="367"/>
      <c r="F466" s="368"/>
      <c r="I466" s="369"/>
    </row>
    <row r="467">
      <c r="B467" s="365"/>
      <c r="C467" s="366"/>
      <c r="E467" s="367"/>
      <c r="F467" s="368"/>
      <c r="I467" s="369"/>
    </row>
    <row r="468">
      <c r="B468" s="365"/>
      <c r="C468" s="366"/>
      <c r="E468" s="367"/>
      <c r="F468" s="368"/>
      <c r="I468" s="369"/>
    </row>
    <row r="469">
      <c r="B469" s="365"/>
      <c r="C469" s="366"/>
      <c r="E469" s="367"/>
      <c r="F469" s="368"/>
      <c r="I469" s="369"/>
    </row>
    <row r="470">
      <c r="B470" s="365"/>
      <c r="C470" s="366"/>
      <c r="E470" s="367"/>
      <c r="F470" s="368"/>
      <c r="I470" s="369"/>
    </row>
    <row r="471">
      <c r="B471" s="365"/>
      <c r="C471" s="366"/>
      <c r="E471" s="367"/>
      <c r="F471" s="368"/>
      <c r="I471" s="369"/>
    </row>
    <row r="472">
      <c r="B472" s="365"/>
      <c r="C472" s="366"/>
      <c r="E472" s="367"/>
      <c r="F472" s="368"/>
      <c r="I472" s="369"/>
    </row>
    <row r="473">
      <c r="B473" s="365"/>
      <c r="C473" s="366"/>
      <c r="E473" s="367"/>
      <c r="F473" s="368"/>
      <c r="I473" s="369"/>
    </row>
    <row r="474">
      <c r="B474" s="365"/>
      <c r="C474" s="366"/>
      <c r="E474" s="367"/>
      <c r="F474" s="368"/>
      <c r="I474" s="369"/>
    </row>
    <row r="475">
      <c r="B475" s="365"/>
      <c r="C475" s="366"/>
      <c r="E475" s="367"/>
      <c r="F475" s="368"/>
      <c r="I475" s="369"/>
    </row>
    <row r="476">
      <c r="B476" s="365"/>
      <c r="C476" s="366"/>
      <c r="E476" s="367"/>
      <c r="F476" s="368"/>
      <c r="I476" s="369"/>
    </row>
    <row r="477">
      <c r="B477" s="365"/>
      <c r="C477" s="366"/>
      <c r="E477" s="367"/>
      <c r="F477" s="368"/>
      <c r="I477" s="369"/>
    </row>
    <row r="478">
      <c r="B478" s="365"/>
      <c r="C478" s="366"/>
      <c r="E478" s="367"/>
      <c r="F478" s="368"/>
      <c r="I478" s="369"/>
    </row>
    <row r="479">
      <c r="B479" s="365"/>
      <c r="C479" s="366"/>
      <c r="E479" s="367"/>
      <c r="F479" s="368"/>
      <c r="I479" s="369"/>
    </row>
    <row r="480">
      <c r="B480" s="365"/>
      <c r="C480" s="366"/>
      <c r="E480" s="367"/>
      <c r="F480" s="368"/>
      <c r="I480" s="369"/>
    </row>
    <row r="481">
      <c r="B481" s="365"/>
      <c r="C481" s="366"/>
      <c r="E481" s="367"/>
      <c r="F481" s="368"/>
      <c r="I481" s="369"/>
    </row>
    <row r="482">
      <c r="B482" s="365"/>
      <c r="C482" s="366"/>
      <c r="E482" s="367"/>
      <c r="F482" s="368"/>
      <c r="I482" s="369"/>
    </row>
    <row r="483">
      <c r="B483" s="365"/>
      <c r="C483" s="366"/>
      <c r="E483" s="367"/>
      <c r="F483" s="368"/>
      <c r="I483" s="369"/>
    </row>
    <row r="484">
      <c r="B484" s="365"/>
      <c r="C484" s="366"/>
      <c r="E484" s="367"/>
      <c r="F484" s="368"/>
      <c r="I484" s="369"/>
    </row>
    <row r="485">
      <c r="B485" s="365"/>
      <c r="C485" s="366"/>
      <c r="E485" s="367"/>
      <c r="F485" s="368"/>
      <c r="I485" s="369"/>
    </row>
    <row r="486">
      <c r="B486" s="365"/>
      <c r="C486" s="366"/>
      <c r="E486" s="367"/>
      <c r="F486" s="368"/>
      <c r="I486" s="369"/>
    </row>
    <row r="487">
      <c r="B487" s="365"/>
      <c r="C487" s="366"/>
      <c r="E487" s="367"/>
      <c r="F487" s="368"/>
      <c r="I487" s="369"/>
    </row>
    <row r="488">
      <c r="B488" s="365"/>
      <c r="C488" s="366"/>
      <c r="E488" s="367"/>
      <c r="F488" s="368"/>
      <c r="I488" s="369"/>
    </row>
    <row r="489">
      <c r="B489" s="365"/>
      <c r="C489" s="366"/>
      <c r="E489" s="367"/>
      <c r="F489" s="368"/>
      <c r="I489" s="369"/>
    </row>
    <row r="490">
      <c r="B490" s="365"/>
      <c r="C490" s="366"/>
      <c r="E490" s="367"/>
      <c r="F490" s="368"/>
      <c r="I490" s="369"/>
    </row>
    <row r="491">
      <c r="B491" s="365"/>
      <c r="C491" s="366"/>
      <c r="E491" s="367"/>
      <c r="F491" s="368"/>
      <c r="I491" s="369"/>
    </row>
    <row r="492">
      <c r="B492" s="365"/>
      <c r="C492" s="366"/>
      <c r="E492" s="367"/>
      <c r="F492" s="368"/>
      <c r="I492" s="369"/>
    </row>
    <row r="493">
      <c r="B493" s="365"/>
      <c r="C493" s="366"/>
      <c r="E493" s="367"/>
      <c r="F493" s="368"/>
      <c r="I493" s="369"/>
    </row>
    <row r="494">
      <c r="B494" s="365"/>
      <c r="C494" s="366"/>
      <c r="E494" s="367"/>
      <c r="F494" s="368"/>
      <c r="I494" s="369"/>
    </row>
    <row r="495">
      <c r="B495" s="365"/>
      <c r="C495" s="366"/>
      <c r="E495" s="367"/>
      <c r="F495" s="368"/>
      <c r="I495" s="369"/>
    </row>
    <row r="496">
      <c r="B496" s="365"/>
      <c r="C496" s="366"/>
      <c r="E496" s="367"/>
      <c r="F496" s="368"/>
      <c r="I496" s="369"/>
    </row>
    <row r="497">
      <c r="B497" s="365"/>
      <c r="C497" s="366"/>
      <c r="E497" s="367"/>
      <c r="F497" s="368"/>
      <c r="I497" s="369"/>
    </row>
    <row r="498">
      <c r="B498" s="365"/>
      <c r="C498" s="366"/>
      <c r="E498" s="367"/>
      <c r="F498" s="368"/>
      <c r="I498" s="369"/>
    </row>
    <row r="499">
      <c r="B499" s="365"/>
      <c r="C499" s="366"/>
      <c r="E499" s="367"/>
      <c r="F499" s="368"/>
      <c r="I499" s="369"/>
    </row>
    <row r="500">
      <c r="B500" s="365"/>
      <c r="C500" s="366"/>
      <c r="E500" s="367"/>
      <c r="F500" s="368"/>
      <c r="I500" s="369"/>
    </row>
    <row r="501">
      <c r="B501" s="365"/>
      <c r="C501" s="366"/>
      <c r="E501" s="367"/>
      <c r="F501" s="368"/>
      <c r="I501" s="369"/>
    </row>
    <row r="502">
      <c r="B502" s="365"/>
      <c r="C502" s="366"/>
      <c r="E502" s="367"/>
      <c r="F502" s="368"/>
      <c r="I502" s="369"/>
    </row>
    <row r="503">
      <c r="B503" s="365"/>
      <c r="C503" s="366"/>
      <c r="E503" s="367"/>
      <c r="F503" s="368"/>
      <c r="I503" s="369"/>
    </row>
    <row r="504">
      <c r="B504" s="365"/>
      <c r="C504" s="366"/>
      <c r="E504" s="367"/>
      <c r="F504" s="368"/>
      <c r="I504" s="369"/>
    </row>
    <row r="505">
      <c r="B505" s="365"/>
      <c r="C505" s="366"/>
      <c r="E505" s="367"/>
      <c r="F505" s="368"/>
      <c r="I505" s="369"/>
    </row>
    <row r="506">
      <c r="B506" s="365"/>
      <c r="C506" s="366"/>
      <c r="E506" s="367"/>
      <c r="F506" s="368"/>
      <c r="I506" s="369"/>
    </row>
    <row r="507">
      <c r="B507" s="365"/>
      <c r="C507" s="366"/>
      <c r="E507" s="367"/>
      <c r="F507" s="368"/>
      <c r="I507" s="369"/>
    </row>
    <row r="508">
      <c r="B508" s="365"/>
      <c r="C508" s="366"/>
      <c r="E508" s="367"/>
      <c r="F508" s="368"/>
      <c r="I508" s="369"/>
    </row>
    <row r="509">
      <c r="B509" s="365"/>
      <c r="C509" s="366"/>
      <c r="E509" s="367"/>
      <c r="F509" s="368"/>
      <c r="I509" s="369"/>
    </row>
    <row r="510">
      <c r="B510" s="365"/>
      <c r="C510" s="366"/>
      <c r="E510" s="367"/>
      <c r="F510" s="368"/>
      <c r="I510" s="369"/>
    </row>
    <row r="511">
      <c r="B511" s="365"/>
      <c r="C511" s="366"/>
      <c r="E511" s="367"/>
      <c r="F511" s="368"/>
      <c r="I511" s="369"/>
    </row>
    <row r="512">
      <c r="B512" s="365"/>
      <c r="C512" s="366"/>
      <c r="E512" s="367"/>
      <c r="F512" s="368"/>
      <c r="I512" s="369"/>
    </row>
    <row r="513">
      <c r="B513" s="365"/>
      <c r="C513" s="366"/>
      <c r="E513" s="367"/>
      <c r="F513" s="368"/>
      <c r="I513" s="369"/>
    </row>
    <row r="514">
      <c r="B514" s="365"/>
      <c r="C514" s="366"/>
      <c r="E514" s="367"/>
      <c r="F514" s="368"/>
      <c r="I514" s="369"/>
    </row>
    <row r="515">
      <c r="B515" s="365"/>
      <c r="C515" s="366"/>
      <c r="E515" s="367"/>
      <c r="F515" s="368"/>
      <c r="I515" s="369"/>
    </row>
    <row r="516">
      <c r="B516" s="365"/>
      <c r="C516" s="366"/>
      <c r="E516" s="367"/>
      <c r="F516" s="368"/>
      <c r="I516" s="369"/>
    </row>
    <row r="517">
      <c r="B517" s="365"/>
      <c r="C517" s="366"/>
      <c r="E517" s="367"/>
      <c r="F517" s="368"/>
      <c r="I517" s="369"/>
    </row>
    <row r="518">
      <c r="B518" s="365"/>
      <c r="C518" s="366"/>
      <c r="E518" s="367"/>
      <c r="F518" s="368"/>
      <c r="I518" s="369"/>
    </row>
    <row r="519">
      <c r="B519" s="365"/>
      <c r="C519" s="366"/>
      <c r="E519" s="367"/>
      <c r="F519" s="368"/>
      <c r="I519" s="369"/>
    </row>
    <row r="520">
      <c r="B520" s="365"/>
      <c r="C520" s="366"/>
      <c r="E520" s="367"/>
      <c r="F520" s="368"/>
      <c r="I520" s="369"/>
    </row>
    <row r="521">
      <c r="B521" s="365"/>
      <c r="C521" s="366"/>
      <c r="E521" s="367"/>
      <c r="F521" s="368"/>
      <c r="I521" s="369"/>
    </row>
    <row r="522">
      <c r="B522" s="365"/>
      <c r="C522" s="366"/>
      <c r="E522" s="367"/>
      <c r="F522" s="368"/>
      <c r="I522" s="369"/>
    </row>
    <row r="523">
      <c r="B523" s="365"/>
      <c r="C523" s="366"/>
      <c r="E523" s="367"/>
      <c r="F523" s="368"/>
      <c r="I523" s="369"/>
    </row>
    <row r="524">
      <c r="B524" s="365"/>
      <c r="C524" s="366"/>
      <c r="E524" s="367"/>
      <c r="F524" s="368"/>
      <c r="I524" s="369"/>
    </row>
    <row r="525">
      <c r="B525" s="365"/>
      <c r="C525" s="366"/>
      <c r="E525" s="367"/>
      <c r="F525" s="368"/>
      <c r="I525" s="369"/>
    </row>
    <row r="526">
      <c r="B526" s="365"/>
      <c r="C526" s="366"/>
      <c r="E526" s="367"/>
      <c r="F526" s="368"/>
      <c r="I526" s="369"/>
    </row>
    <row r="527">
      <c r="B527" s="365"/>
      <c r="C527" s="366"/>
      <c r="E527" s="367"/>
      <c r="F527" s="368"/>
      <c r="I527" s="369"/>
    </row>
    <row r="528">
      <c r="B528" s="365"/>
      <c r="C528" s="366"/>
      <c r="E528" s="367"/>
      <c r="F528" s="368"/>
      <c r="I528" s="369"/>
    </row>
    <row r="529">
      <c r="B529" s="365"/>
      <c r="C529" s="366"/>
      <c r="E529" s="367"/>
      <c r="F529" s="368"/>
      <c r="I529" s="369"/>
    </row>
    <row r="530">
      <c r="B530" s="365"/>
      <c r="C530" s="366"/>
      <c r="E530" s="367"/>
      <c r="F530" s="368"/>
      <c r="I530" s="369"/>
    </row>
    <row r="531">
      <c r="B531" s="365"/>
      <c r="C531" s="366"/>
      <c r="E531" s="367"/>
      <c r="F531" s="368"/>
      <c r="I531" s="369"/>
    </row>
    <row r="532">
      <c r="B532" s="365"/>
      <c r="C532" s="366"/>
      <c r="E532" s="367"/>
      <c r="F532" s="368"/>
      <c r="I532" s="369"/>
    </row>
    <row r="533">
      <c r="B533" s="365"/>
      <c r="C533" s="366"/>
      <c r="E533" s="367"/>
      <c r="F533" s="368"/>
      <c r="I533" s="369"/>
    </row>
    <row r="534">
      <c r="B534" s="365"/>
      <c r="C534" s="366"/>
      <c r="E534" s="367"/>
      <c r="F534" s="368"/>
      <c r="I534" s="369"/>
    </row>
    <row r="535">
      <c r="B535" s="365"/>
      <c r="C535" s="366"/>
      <c r="E535" s="367"/>
      <c r="F535" s="368"/>
      <c r="I535" s="369"/>
    </row>
    <row r="536">
      <c r="B536" s="365"/>
      <c r="C536" s="366"/>
      <c r="E536" s="367"/>
      <c r="F536" s="368"/>
      <c r="I536" s="369"/>
    </row>
    <row r="537">
      <c r="B537" s="365"/>
      <c r="C537" s="366"/>
      <c r="E537" s="367"/>
      <c r="F537" s="368"/>
      <c r="I537" s="369"/>
    </row>
    <row r="538">
      <c r="B538" s="365"/>
      <c r="C538" s="366"/>
      <c r="E538" s="367"/>
      <c r="F538" s="368"/>
      <c r="I538" s="369"/>
    </row>
    <row r="539">
      <c r="B539" s="365"/>
      <c r="C539" s="366"/>
      <c r="E539" s="367"/>
      <c r="F539" s="368"/>
      <c r="I539" s="369"/>
    </row>
    <row r="540">
      <c r="B540" s="365"/>
      <c r="C540" s="366"/>
      <c r="E540" s="367"/>
      <c r="F540" s="368"/>
      <c r="I540" s="369"/>
    </row>
    <row r="541">
      <c r="B541" s="365"/>
      <c r="C541" s="366"/>
      <c r="E541" s="367"/>
      <c r="F541" s="368"/>
      <c r="I541" s="369"/>
    </row>
    <row r="542">
      <c r="B542" s="365"/>
      <c r="C542" s="366"/>
      <c r="E542" s="367"/>
      <c r="F542" s="368"/>
      <c r="I542" s="369"/>
    </row>
    <row r="543">
      <c r="B543" s="365"/>
      <c r="C543" s="366"/>
      <c r="E543" s="367"/>
      <c r="F543" s="368"/>
      <c r="I543" s="369"/>
    </row>
    <row r="544">
      <c r="B544" s="365"/>
      <c r="C544" s="366"/>
      <c r="E544" s="367"/>
      <c r="F544" s="368"/>
      <c r="I544" s="369"/>
    </row>
    <row r="545">
      <c r="B545" s="365"/>
      <c r="C545" s="366"/>
      <c r="E545" s="367"/>
      <c r="F545" s="368"/>
      <c r="I545" s="369"/>
    </row>
    <row r="546">
      <c r="B546" s="365"/>
      <c r="C546" s="366"/>
      <c r="E546" s="367"/>
      <c r="F546" s="368"/>
      <c r="I546" s="369"/>
    </row>
    <row r="547">
      <c r="B547" s="365"/>
      <c r="C547" s="366"/>
      <c r="E547" s="367"/>
      <c r="F547" s="368"/>
      <c r="I547" s="369"/>
    </row>
    <row r="548">
      <c r="B548" s="365"/>
      <c r="C548" s="366"/>
      <c r="E548" s="367"/>
      <c r="F548" s="368"/>
      <c r="I548" s="369"/>
    </row>
    <row r="549">
      <c r="B549" s="365"/>
      <c r="C549" s="366"/>
      <c r="E549" s="367"/>
      <c r="F549" s="368"/>
      <c r="I549" s="369"/>
    </row>
    <row r="550">
      <c r="B550" s="365"/>
      <c r="C550" s="366"/>
      <c r="E550" s="367"/>
      <c r="F550" s="368"/>
      <c r="I550" s="369"/>
    </row>
    <row r="551">
      <c r="B551" s="365"/>
      <c r="C551" s="366"/>
      <c r="E551" s="367"/>
      <c r="F551" s="368"/>
      <c r="I551" s="369"/>
    </row>
    <row r="552">
      <c r="B552" s="365"/>
      <c r="C552" s="366"/>
      <c r="E552" s="367"/>
      <c r="F552" s="368"/>
      <c r="I552" s="369"/>
    </row>
    <row r="553">
      <c r="B553" s="365"/>
      <c r="C553" s="366"/>
      <c r="E553" s="367"/>
      <c r="F553" s="368"/>
      <c r="I553" s="369"/>
    </row>
    <row r="554">
      <c r="B554" s="365"/>
      <c r="C554" s="366"/>
      <c r="E554" s="367"/>
      <c r="F554" s="368"/>
      <c r="I554" s="369"/>
    </row>
    <row r="555">
      <c r="B555" s="365"/>
      <c r="C555" s="366"/>
      <c r="E555" s="367"/>
      <c r="F555" s="368"/>
      <c r="I555" s="369"/>
    </row>
    <row r="556">
      <c r="B556" s="365"/>
      <c r="C556" s="366"/>
      <c r="E556" s="367"/>
      <c r="F556" s="368"/>
      <c r="I556" s="369"/>
    </row>
    <row r="557">
      <c r="B557" s="365"/>
      <c r="C557" s="366"/>
      <c r="E557" s="367"/>
      <c r="F557" s="368"/>
      <c r="I557" s="369"/>
    </row>
    <row r="558">
      <c r="B558" s="365"/>
      <c r="C558" s="366"/>
      <c r="E558" s="367"/>
      <c r="F558" s="368"/>
      <c r="I558" s="369"/>
    </row>
    <row r="559">
      <c r="B559" s="365"/>
      <c r="C559" s="366"/>
      <c r="E559" s="367"/>
      <c r="F559" s="368"/>
      <c r="I559" s="369"/>
    </row>
    <row r="560">
      <c r="B560" s="365"/>
      <c r="C560" s="366"/>
      <c r="E560" s="367"/>
      <c r="F560" s="368"/>
      <c r="I560" s="369"/>
    </row>
    <row r="561">
      <c r="B561" s="365"/>
      <c r="C561" s="366"/>
      <c r="E561" s="367"/>
      <c r="F561" s="368"/>
      <c r="I561" s="369"/>
    </row>
    <row r="562">
      <c r="B562" s="365"/>
      <c r="C562" s="366"/>
      <c r="E562" s="367"/>
      <c r="F562" s="368"/>
      <c r="I562" s="369"/>
    </row>
    <row r="563">
      <c r="B563" s="365"/>
      <c r="C563" s="366"/>
      <c r="E563" s="367"/>
      <c r="F563" s="368"/>
      <c r="I563" s="369"/>
    </row>
    <row r="564">
      <c r="B564" s="365"/>
      <c r="C564" s="366"/>
      <c r="E564" s="367"/>
      <c r="F564" s="368"/>
      <c r="I564" s="369"/>
    </row>
    <row r="565">
      <c r="B565" s="365"/>
      <c r="C565" s="366"/>
      <c r="E565" s="367"/>
      <c r="F565" s="368"/>
      <c r="I565" s="369"/>
    </row>
    <row r="566">
      <c r="B566" s="365"/>
      <c r="C566" s="366"/>
      <c r="E566" s="367"/>
      <c r="F566" s="368"/>
      <c r="I566" s="369"/>
    </row>
    <row r="567">
      <c r="B567" s="365"/>
      <c r="C567" s="366"/>
      <c r="E567" s="367"/>
      <c r="F567" s="368"/>
      <c r="I567" s="369"/>
    </row>
    <row r="568">
      <c r="B568" s="365"/>
      <c r="C568" s="366"/>
      <c r="E568" s="367"/>
      <c r="F568" s="368"/>
      <c r="I568" s="369"/>
    </row>
    <row r="569">
      <c r="B569" s="365"/>
      <c r="C569" s="366"/>
      <c r="E569" s="367"/>
      <c r="F569" s="368"/>
      <c r="I569" s="369"/>
    </row>
    <row r="570">
      <c r="B570" s="365"/>
      <c r="C570" s="366"/>
      <c r="E570" s="367"/>
      <c r="F570" s="368"/>
      <c r="I570" s="369"/>
    </row>
    <row r="571">
      <c r="B571" s="365"/>
      <c r="C571" s="366"/>
      <c r="E571" s="367"/>
      <c r="F571" s="368"/>
      <c r="I571" s="369"/>
    </row>
    <row r="572">
      <c r="B572" s="365"/>
      <c r="C572" s="366"/>
      <c r="E572" s="367"/>
      <c r="F572" s="368"/>
      <c r="I572" s="369"/>
    </row>
    <row r="573">
      <c r="B573" s="365"/>
      <c r="C573" s="366"/>
      <c r="E573" s="367"/>
      <c r="F573" s="368"/>
      <c r="I573" s="369"/>
    </row>
    <row r="574">
      <c r="B574" s="365"/>
      <c r="C574" s="366"/>
      <c r="E574" s="367"/>
      <c r="F574" s="368"/>
      <c r="I574" s="369"/>
    </row>
    <row r="575">
      <c r="B575" s="365"/>
      <c r="C575" s="366"/>
      <c r="E575" s="367"/>
      <c r="F575" s="368"/>
      <c r="I575" s="369"/>
    </row>
    <row r="576">
      <c r="B576" s="365"/>
      <c r="C576" s="366"/>
      <c r="E576" s="367"/>
      <c r="F576" s="368"/>
      <c r="I576" s="369"/>
    </row>
    <row r="577">
      <c r="B577" s="365"/>
      <c r="C577" s="366"/>
      <c r="E577" s="367"/>
      <c r="F577" s="368"/>
      <c r="I577" s="369"/>
    </row>
    <row r="578">
      <c r="B578" s="365"/>
      <c r="C578" s="366"/>
      <c r="E578" s="367"/>
      <c r="F578" s="368"/>
      <c r="I578" s="369"/>
    </row>
    <row r="579">
      <c r="B579" s="365"/>
      <c r="C579" s="366"/>
      <c r="E579" s="367"/>
      <c r="F579" s="368"/>
      <c r="I579" s="369"/>
    </row>
    <row r="580">
      <c r="B580" s="365"/>
      <c r="C580" s="366"/>
      <c r="E580" s="367"/>
      <c r="F580" s="368"/>
      <c r="I580" s="369"/>
    </row>
    <row r="581">
      <c r="B581" s="365"/>
      <c r="C581" s="366"/>
      <c r="E581" s="367"/>
      <c r="F581" s="368"/>
      <c r="I581" s="369"/>
    </row>
    <row r="582">
      <c r="B582" s="365"/>
      <c r="C582" s="366"/>
      <c r="E582" s="367"/>
      <c r="F582" s="368"/>
      <c r="I582" s="369"/>
    </row>
    <row r="583">
      <c r="B583" s="365"/>
      <c r="C583" s="366"/>
      <c r="E583" s="367"/>
      <c r="F583" s="368"/>
      <c r="I583" s="369"/>
    </row>
    <row r="584">
      <c r="B584" s="365"/>
      <c r="C584" s="366"/>
      <c r="E584" s="367"/>
      <c r="F584" s="368"/>
      <c r="I584" s="369"/>
    </row>
    <row r="585">
      <c r="B585" s="365"/>
      <c r="C585" s="366"/>
      <c r="E585" s="367"/>
      <c r="F585" s="368"/>
      <c r="I585" s="369"/>
    </row>
    <row r="586">
      <c r="B586" s="365"/>
      <c r="C586" s="366"/>
      <c r="E586" s="367"/>
      <c r="F586" s="368"/>
      <c r="I586" s="369"/>
    </row>
    <row r="587">
      <c r="B587" s="365"/>
      <c r="C587" s="366"/>
      <c r="E587" s="367"/>
      <c r="F587" s="368"/>
      <c r="I587" s="369"/>
    </row>
    <row r="588">
      <c r="B588" s="365"/>
      <c r="C588" s="366"/>
      <c r="E588" s="367"/>
      <c r="F588" s="368"/>
      <c r="I588" s="369"/>
    </row>
    <row r="589">
      <c r="B589" s="365"/>
      <c r="C589" s="366"/>
      <c r="E589" s="367"/>
      <c r="F589" s="368"/>
      <c r="I589" s="369"/>
    </row>
    <row r="590">
      <c r="B590" s="365"/>
      <c r="C590" s="366"/>
      <c r="E590" s="367"/>
      <c r="F590" s="368"/>
      <c r="I590" s="369"/>
    </row>
    <row r="591">
      <c r="B591" s="365"/>
      <c r="C591" s="366"/>
      <c r="E591" s="367"/>
      <c r="F591" s="368"/>
      <c r="I591" s="369"/>
    </row>
    <row r="592">
      <c r="B592" s="365"/>
      <c r="C592" s="366"/>
      <c r="E592" s="367"/>
      <c r="F592" s="368"/>
      <c r="I592" s="369"/>
    </row>
    <row r="593">
      <c r="B593" s="365"/>
      <c r="C593" s="366"/>
      <c r="E593" s="367"/>
      <c r="F593" s="368"/>
      <c r="I593" s="369"/>
    </row>
    <row r="594">
      <c r="B594" s="365"/>
      <c r="C594" s="366"/>
      <c r="E594" s="367"/>
      <c r="F594" s="368"/>
      <c r="I594" s="369"/>
    </row>
    <row r="595">
      <c r="B595" s="365"/>
      <c r="C595" s="366"/>
      <c r="E595" s="367"/>
      <c r="F595" s="368"/>
      <c r="I595" s="369"/>
    </row>
    <row r="596">
      <c r="B596" s="365"/>
      <c r="C596" s="366"/>
      <c r="E596" s="367"/>
      <c r="F596" s="368"/>
      <c r="I596" s="369"/>
    </row>
    <row r="597">
      <c r="B597" s="365"/>
      <c r="C597" s="366"/>
      <c r="E597" s="367"/>
      <c r="F597" s="368"/>
      <c r="I597" s="369"/>
    </row>
    <row r="598">
      <c r="B598" s="365"/>
      <c r="C598" s="366"/>
      <c r="E598" s="367"/>
      <c r="F598" s="368"/>
      <c r="I598" s="369"/>
    </row>
    <row r="599">
      <c r="B599" s="365"/>
      <c r="C599" s="366"/>
      <c r="E599" s="367"/>
      <c r="F599" s="368"/>
      <c r="I599" s="369"/>
    </row>
    <row r="600">
      <c r="B600" s="365"/>
      <c r="C600" s="366"/>
      <c r="E600" s="367"/>
      <c r="F600" s="368"/>
      <c r="I600" s="369"/>
    </row>
    <row r="601">
      <c r="B601" s="365"/>
      <c r="C601" s="366"/>
      <c r="E601" s="367"/>
      <c r="F601" s="368"/>
      <c r="I601" s="369"/>
    </row>
    <row r="602">
      <c r="B602" s="365"/>
      <c r="C602" s="366"/>
      <c r="E602" s="367"/>
      <c r="F602" s="368"/>
      <c r="I602" s="369"/>
    </row>
    <row r="603">
      <c r="B603" s="365"/>
      <c r="C603" s="366"/>
      <c r="E603" s="367"/>
      <c r="F603" s="368"/>
      <c r="I603" s="369"/>
    </row>
    <row r="604">
      <c r="B604" s="365"/>
      <c r="C604" s="366"/>
      <c r="E604" s="367"/>
      <c r="F604" s="368"/>
      <c r="I604" s="369"/>
    </row>
    <row r="605">
      <c r="B605" s="365"/>
      <c r="C605" s="366"/>
      <c r="E605" s="367"/>
      <c r="F605" s="368"/>
      <c r="I605" s="369"/>
    </row>
    <row r="606">
      <c r="B606" s="365"/>
      <c r="C606" s="366"/>
      <c r="E606" s="367"/>
      <c r="F606" s="368"/>
      <c r="I606" s="369"/>
    </row>
    <row r="607">
      <c r="B607" s="365"/>
      <c r="C607" s="366"/>
      <c r="E607" s="367"/>
      <c r="F607" s="368"/>
      <c r="I607" s="369"/>
    </row>
    <row r="608">
      <c r="B608" s="365"/>
      <c r="C608" s="366"/>
      <c r="E608" s="367"/>
      <c r="F608" s="368"/>
      <c r="I608" s="369"/>
    </row>
    <row r="609">
      <c r="B609" s="365"/>
      <c r="C609" s="366"/>
      <c r="E609" s="367"/>
      <c r="F609" s="368"/>
      <c r="I609" s="369"/>
    </row>
    <row r="610">
      <c r="B610" s="365"/>
      <c r="C610" s="366"/>
      <c r="E610" s="367"/>
      <c r="F610" s="368"/>
      <c r="I610" s="369"/>
    </row>
    <row r="611">
      <c r="B611" s="365"/>
      <c r="C611" s="366"/>
      <c r="E611" s="367"/>
      <c r="F611" s="368"/>
      <c r="I611" s="369"/>
    </row>
    <row r="612">
      <c r="B612" s="365"/>
      <c r="C612" s="366"/>
      <c r="E612" s="367"/>
      <c r="F612" s="368"/>
      <c r="I612" s="369"/>
    </row>
    <row r="613">
      <c r="B613" s="365"/>
      <c r="C613" s="366"/>
      <c r="E613" s="367"/>
      <c r="F613" s="368"/>
      <c r="I613" s="369"/>
    </row>
    <row r="614">
      <c r="B614" s="365"/>
      <c r="C614" s="366"/>
      <c r="E614" s="367"/>
      <c r="F614" s="368"/>
      <c r="I614" s="369"/>
    </row>
    <row r="615">
      <c r="B615" s="365"/>
      <c r="C615" s="366"/>
      <c r="E615" s="367"/>
      <c r="F615" s="368"/>
      <c r="I615" s="369"/>
    </row>
    <row r="616">
      <c r="B616" s="365"/>
      <c r="C616" s="366"/>
      <c r="E616" s="367"/>
      <c r="F616" s="368"/>
      <c r="I616" s="369"/>
    </row>
    <row r="617">
      <c r="B617" s="365"/>
      <c r="C617" s="366"/>
      <c r="E617" s="367"/>
      <c r="F617" s="368"/>
      <c r="I617" s="369"/>
    </row>
    <row r="618">
      <c r="B618" s="365"/>
      <c r="C618" s="366"/>
      <c r="E618" s="367"/>
      <c r="F618" s="368"/>
      <c r="I618" s="369"/>
    </row>
    <row r="619">
      <c r="B619" s="365"/>
      <c r="C619" s="366"/>
      <c r="E619" s="367"/>
      <c r="F619" s="368"/>
      <c r="I619" s="369"/>
    </row>
    <row r="620">
      <c r="B620" s="365"/>
      <c r="C620" s="366"/>
      <c r="E620" s="367"/>
      <c r="F620" s="368"/>
      <c r="I620" s="369"/>
    </row>
    <row r="621">
      <c r="B621" s="365"/>
      <c r="C621" s="366"/>
      <c r="E621" s="367"/>
      <c r="F621" s="368"/>
      <c r="I621" s="369"/>
    </row>
    <row r="622">
      <c r="B622" s="365"/>
      <c r="C622" s="366"/>
      <c r="E622" s="367"/>
      <c r="F622" s="368"/>
      <c r="I622" s="369"/>
    </row>
    <row r="623">
      <c r="B623" s="365"/>
      <c r="C623" s="366"/>
      <c r="E623" s="367"/>
      <c r="F623" s="368"/>
      <c r="I623" s="369"/>
    </row>
    <row r="624">
      <c r="B624" s="365"/>
      <c r="C624" s="366"/>
      <c r="E624" s="367"/>
      <c r="F624" s="368"/>
      <c r="I624" s="369"/>
    </row>
    <row r="625">
      <c r="B625" s="365"/>
      <c r="C625" s="366"/>
      <c r="E625" s="367"/>
      <c r="F625" s="368"/>
      <c r="I625" s="369"/>
    </row>
    <row r="626">
      <c r="B626" s="365"/>
      <c r="C626" s="366"/>
      <c r="E626" s="367"/>
      <c r="F626" s="368"/>
      <c r="I626" s="369"/>
    </row>
    <row r="627">
      <c r="B627" s="365"/>
      <c r="C627" s="366"/>
      <c r="E627" s="367"/>
      <c r="F627" s="368"/>
      <c r="I627" s="369"/>
    </row>
    <row r="628">
      <c r="B628" s="365"/>
      <c r="C628" s="366"/>
      <c r="E628" s="367"/>
      <c r="F628" s="368"/>
      <c r="I628" s="369"/>
    </row>
    <row r="629">
      <c r="B629" s="365"/>
      <c r="C629" s="366"/>
      <c r="E629" s="367"/>
      <c r="F629" s="368"/>
      <c r="I629" s="369"/>
    </row>
    <row r="630">
      <c r="B630" s="365"/>
      <c r="C630" s="366"/>
      <c r="E630" s="367"/>
      <c r="F630" s="368"/>
      <c r="I630" s="369"/>
    </row>
    <row r="631">
      <c r="B631" s="365"/>
      <c r="C631" s="366"/>
      <c r="E631" s="367"/>
      <c r="F631" s="368"/>
      <c r="I631" s="369"/>
    </row>
    <row r="632">
      <c r="B632" s="365"/>
      <c r="C632" s="366"/>
      <c r="E632" s="367"/>
      <c r="F632" s="368"/>
      <c r="I632" s="369"/>
    </row>
    <row r="633">
      <c r="B633" s="365"/>
      <c r="C633" s="366"/>
      <c r="E633" s="367"/>
      <c r="F633" s="368"/>
      <c r="I633" s="369"/>
    </row>
    <row r="634">
      <c r="B634" s="365"/>
      <c r="C634" s="366"/>
      <c r="E634" s="367"/>
      <c r="F634" s="368"/>
      <c r="I634" s="369"/>
    </row>
    <row r="635">
      <c r="B635" s="365"/>
      <c r="C635" s="366"/>
      <c r="E635" s="367"/>
      <c r="F635" s="368"/>
      <c r="I635" s="369"/>
    </row>
    <row r="636">
      <c r="B636" s="365"/>
      <c r="C636" s="366"/>
      <c r="E636" s="367"/>
      <c r="F636" s="368"/>
      <c r="I636" s="369"/>
    </row>
    <row r="637">
      <c r="B637" s="365"/>
      <c r="C637" s="366"/>
      <c r="E637" s="367"/>
      <c r="F637" s="368"/>
      <c r="I637" s="369"/>
    </row>
    <row r="638">
      <c r="B638" s="365"/>
      <c r="C638" s="366"/>
      <c r="E638" s="367"/>
      <c r="F638" s="368"/>
      <c r="I638" s="369"/>
    </row>
    <row r="639">
      <c r="B639" s="365"/>
      <c r="C639" s="366"/>
      <c r="E639" s="367"/>
      <c r="F639" s="368"/>
      <c r="I639" s="369"/>
    </row>
    <row r="640">
      <c r="B640" s="365"/>
      <c r="C640" s="366"/>
      <c r="E640" s="367"/>
      <c r="F640" s="368"/>
      <c r="I640" s="369"/>
    </row>
    <row r="641">
      <c r="B641" s="365"/>
      <c r="C641" s="366"/>
      <c r="E641" s="367"/>
      <c r="F641" s="368"/>
      <c r="I641" s="369"/>
    </row>
    <row r="642">
      <c r="B642" s="365"/>
      <c r="C642" s="366"/>
      <c r="E642" s="367"/>
      <c r="F642" s="368"/>
      <c r="I642" s="369"/>
    </row>
    <row r="643">
      <c r="B643" s="365"/>
      <c r="C643" s="366"/>
      <c r="E643" s="367"/>
      <c r="F643" s="368"/>
      <c r="I643" s="369"/>
    </row>
    <row r="644">
      <c r="B644" s="365"/>
      <c r="C644" s="366"/>
      <c r="E644" s="367"/>
      <c r="F644" s="368"/>
      <c r="I644" s="369"/>
    </row>
    <row r="645">
      <c r="B645" s="365"/>
      <c r="C645" s="366"/>
      <c r="E645" s="367"/>
      <c r="F645" s="368"/>
      <c r="I645" s="369"/>
    </row>
    <row r="646">
      <c r="B646" s="365"/>
      <c r="C646" s="366"/>
      <c r="E646" s="367"/>
      <c r="F646" s="368"/>
      <c r="I646" s="369"/>
    </row>
    <row r="647">
      <c r="B647" s="365"/>
      <c r="C647" s="366"/>
      <c r="E647" s="367"/>
      <c r="F647" s="368"/>
      <c r="I647" s="369"/>
    </row>
    <row r="648">
      <c r="B648" s="365"/>
      <c r="C648" s="366"/>
      <c r="E648" s="367"/>
      <c r="F648" s="368"/>
      <c r="I648" s="369"/>
    </row>
    <row r="649">
      <c r="B649" s="365"/>
      <c r="C649" s="366"/>
      <c r="E649" s="367"/>
      <c r="F649" s="368"/>
      <c r="I649" s="369"/>
    </row>
    <row r="650">
      <c r="B650" s="365"/>
      <c r="C650" s="366"/>
      <c r="E650" s="367"/>
      <c r="F650" s="368"/>
      <c r="I650" s="369"/>
    </row>
    <row r="651">
      <c r="B651" s="365"/>
      <c r="C651" s="366"/>
      <c r="E651" s="367"/>
      <c r="F651" s="368"/>
      <c r="I651" s="369"/>
    </row>
    <row r="652">
      <c r="B652" s="365"/>
      <c r="C652" s="366"/>
      <c r="E652" s="367"/>
      <c r="F652" s="368"/>
      <c r="I652" s="369"/>
    </row>
    <row r="653">
      <c r="B653" s="365"/>
      <c r="C653" s="366"/>
      <c r="E653" s="367"/>
      <c r="F653" s="368"/>
      <c r="I653" s="369"/>
    </row>
    <row r="654">
      <c r="B654" s="365"/>
      <c r="C654" s="366"/>
      <c r="E654" s="367"/>
      <c r="F654" s="368"/>
      <c r="I654" s="369"/>
    </row>
    <row r="655">
      <c r="B655" s="365"/>
      <c r="C655" s="366"/>
      <c r="E655" s="367"/>
      <c r="F655" s="368"/>
      <c r="I655" s="369"/>
    </row>
    <row r="656">
      <c r="B656" s="365"/>
      <c r="C656" s="366"/>
      <c r="E656" s="367"/>
      <c r="F656" s="368"/>
      <c r="I656" s="369"/>
    </row>
    <row r="657">
      <c r="B657" s="365"/>
      <c r="C657" s="366"/>
      <c r="E657" s="367"/>
      <c r="F657" s="368"/>
      <c r="I657" s="369"/>
    </row>
    <row r="658">
      <c r="B658" s="365"/>
      <c r="C658" s="366"/>
      <c r="E658" s="367"/>
      <c r="F658" s="368"/>
      <c r="I658" s="369"/>
    </row>
    <row r="659">
      <c r="B659" s="365"/>
      <c r="C659" s="366"/>
      <c r="E659" s="367"/>
      <c r="F659" s="368"/>
      <c r="I659" s="369"/>
    </row>
    <row r="660">
      <c r="B660" s="365"/>
      <c r="C660" s="366"/>
      <c r="E660" s="367"/>
      <c r="F660" s="368"/>
      <c r="I660" s="369"/>
    </row>
    <row r="661">
      <c r="B661" s="365"/>
      <c r="C661" s="366"/>
      <c r="E661" s="367"/>
      <c r="F661" s="368"/>
      <c r="I661" s="369"/>
    </row>
    <row r="662">
      <c r="B662" s="365"/>
      <c r="C662" s="366"/>
      <c r="E662" s="367"/>
      <c r="F662" s="368"/>
      <c r="I662" s="369"/>
    </row>
    <row r="663">
      <c r="B663" s="365"/>
      <c r="C663" s="366"/>
      <c r="E663" s="367"/>
      <c r="F663" s="368"/>
      <c r="I663" s="369"/>
    </row>
    <row r="664">
      <c r="B664" s="365"/>
      <c r="C664" s="366"/>
      <c r="E664" s="367"/>
      <c r="F664" s="368"/>
      <c r="I664" s="369"/>
    </row>
    <row r="665">
      <c r="B665" s="365"/>
      <c r="C665" s="366"/>
      <c r="E665" s="367"/>
      <c r="F665" s="368"/>
      <c r="I665" s="369"/>
    </row>
    <row r="666">
      <c r="B666" s="365"/>
      <c r="C666" s="366"/>
      <c r="E666" s="367"/>
      <c r="F666" s="368"/>
      <c r="I666" s="369"/>
    </row>
    <row r="667">
      <c r="B667" s="365"/>
      <c r="C667" s="366"/>
      <c r="E667" s="367"/>
      <c r="F667" s="368"/>
      <c r="I667" s="369"/>
    </row>
    <row r="668">
      <c r="B668" s="365"/>
      <c r="C668" s="366"/>
      <c r="E668" s="367"/>
      <c r="F668" s="368"/>
      <c r="I668" s="369"/>
    </row>
    <row r="669">
      <c r="B669" s="365"/>
      <c r="C669" s="366"/>
      <c r="E669" s="367"/>
      <c r="F669" s="368"/>
      <c r="I669" s="369"/>
    </row>
    <row r="670">
      <c r="B670" s="365"/>
      <c r="C670" s="366"/>
      <c r="E670" s="367"/>
      <c r="F670" s="368"/>
      <c r="I670" s="369"/>
    </row>
    <row r="671">
      <c r="B671" s="365"/>
      <c r="C671" s="366"/>
      <c r="E671" s="367"/>
      <c r="F671" s="368"/>
      <c r="I671" s="369"/>
    </row>
    <row r="672">
      <c r="B672" s="365"/>
      <c r="C672" s="366"/>
      <c r="E672" s="367"/>
      <c r="F672" s="368"/>
      <c r="I672" s="369"/>
    </row>
    <row r="673">
      <c r="B673" s="365"/>
      <c r="C673" s="366"/>
      <c r="E673" s="367"/>
      <c r="F673" s="368"/>
      <c r="I673" s="369"/>
    </row>
    <row r="674">
      <c r="B674" s="365"/>
      <c r="C674" s="366"/>
      <c r="E674" s="367"/>
      <c r="F674" s="368"/>
      <c r="I674" s="369"/>
    </row>
    <row r="675">
      <c r="B675" s="365"/>
      <c r="C675" s="366"/>
      <c r="E675" s="367"/>
      <c r="F675" s="368"/>
      <c r="I675" s="369"/>
    </row>
    <row r="676">
      <c r="B676" s="365"/>
      <c r="C676" s="366"/>
      <c r="E676" s="367"/>
      <c r="F676" s="368"/>
      <c r="I676" s="369"/>
    </row>
    <row r="677">
      <c r="B677" s="365"/>
      <c r="C677" s="366"/>
      <c r="E677" s="367"/>
      <c r="F677" s="368"/>
      <c r="I677" s="369"/>
    </row>
    <row r="678">
      <c r="B678" s="365"/>
      <c r="C678" s="366"/>
      <c r="E678" s="367"/>
      <c r="F678" s="368"/>
      <c r="I678" s="369"/>
    </row>
    <row r="679">
      <c r="B679" s="365"/>
      <c r="C679" s="366"/>
      <c r="E679" s="367"/>
      <c r="F679" s="368"/>
      <c r="I679" s="369"/>
    </row>
    <row r="680">
      <c r="B680" s="365"/>
      <c r="C680" s="366"/>
      <c r="E680" s="367"/>
      <c r="F680" s="368"/>
      <c r="I680" s="369"/>
    </row>
    <row r="681">
      <c r="B681" s="365"/>
      <c r="C681" s="366"/>
      <c r="E681" s="367"/>
      <c r="F681" s="368"/>
      <c r="I681" s="369"/>
    </row>
    <row r="682">
      <c r="B682" s="365"/>
      <c r="C682" s="366"/>
      <c r="E682" s="367"/>
      <c r="F682" s="368"/>
      <c r="I682" s="369"/>
    </row>
    <row r="683">
      <c r="B683" s="365"/>
      <c r="C683" s="366"/>
      <c r="E683" s="367"/>
      <c r="F683" s="368"/>
      <c r="I683" s="369"/>
    </row>
    <row r="684">
      <c r="B684" s="365"/>
      <c r="C684" s="366"/>
      <c r="E684" s="367"/>
      <c r="F684" s="368"/>
      <c r="I684" s="369"/>
    </row>
    <row r="685">
      <c r="B685" s="365"/>
      <c r="C685" s="366"/>
      <c r="E685" s="367"/>
      <c r="F685" s="368"/>
      <c r="I685" s="369"/>
    </row>
    <row r="686">
      <c r="B686" s="365"/>
      <c r="C686" s="366"/>
      <c r="E686" s="367"/>
      <c r="F686" s="368"/>
      <c r="I686" s="369"/>
    </row>
    <row r="687">
      <c r="B687" s="365"/>
      <c r="C687" s="366"/>
      <c r="E687" s="367"/>
      <c r="F687" s="368"/>
      <c r="I687" s="369"/>
    </row>
    <row r="688">
      <c r="B688" s="365"/>
      <c r="C688" s="366"/>
      <c r="E688" s="367"/>
      <c r="F688" s="368"/>
      <c r="I688" s="369"/>
    </row>
    <row r="689">
      <c r="B689" s="365"/>
      <c r="C689" s="366"/>
      <c r="E689" s="367"/>
      <c r="F689" s="368"/>
      <c r="I689" s="369"/>
    </row>
    <row r="690">
      <c r="B690" s="365"/>
      <c r="C690" s="366"/>
      <c r="E690" s="367"/>
      <c r="F690" s="368"/>
      <c r="I690" s="369"/>
    </row>
    <row r="691">
      <c r="B691" s="365"/>
      <c r="C691" s="366"/>
      <c r="E691" s="367"/>
      <c r="F691" s="368"/>
      <c r="I691" s="369"/>
    </row>
    <row r="692">
      <c r="B692" s="365"/>
      <c r="C692" s="366"/>
      <c r="E692" s="367"/>
      <c r="F692" s="368"/>
      <c r="I692" s="369"/>
    </row>
    <row r="693">
      <c r="B693" s="365"/>
      <c r="C693" s="366"/>
      <c r="E693" s="367"/>
      <c r="F693" s="368"/>
      <c r="I693" s="369"/>
    </row>
    <row r="694">
      <c r="B694" s="365"/>
      <c r="C694" s="366"/>
      <c r="E694" s="367"/>
      <c r="F694" s="368"/>
      <c r="I694" s="369"/>
    </row>
    <row r="695">
      <c r="B695" s="365"/>
      <c r="C695" s="366"/>
      <c r="E695" s="367"/>
      <c r="F695" s="368"/>
      <c r="I695" s="369"/>
    </row>
    <row r="696">
      <c r="B696" s="365"/>
      <c r="C696" s="366"/>
      <c r="E696" s="367"/>
      <c r="F696" s="368"/>
      <c r="I696" s="369"/>
    </row>
    <row r="697">
      <c r="B697" s="365"/>
      <c r="C697" s="366"/>
      <c r="E697" s="367"/>
      <c r="F697" s="368"/>
      <c r="I697" s="369"/>
    </row>
    <row r="698">
      <c r="B698" s="365"/>
      <c r="C698" s="366"/>
      <c r="E698" s="367"/>
      <c r="F698" s="368"/>
      <c r="I698" s="369"/>
    </row>
    <row r="699">
      <c r="B699" s="365"/>
      <c r="C699" s="366"/>
      <c r="E699" s="367"/>
      <c r="F699" s="368"/>
      <c r="I699" s="369"/>
    </row>
    <row r="700">
      <c r="B700" s="365"/>
      <c r="C700" s="366"/>
      <c r="E700" s="367"/>
      <c r="F700" s="368"/>
      <c r="I700" s="369"/>
    </row>
    <row r="701">
      <c r="B701" s="365"/>
      <c r="C701" s="366"/>
      <c r="E701" s="367"/>
      <c r="F701" s="368"/>
      <c r="I701" s="369"/>
    </row>
    <row r="702">
      <c r="B702" s="365"/>
      <c r="C702" s="366"/>
      <c r="E702" s="367"/>
      <c r="F702" s="368"/>
      <c r="I702" s="369"/>
    </row>
    <row r="703">
      <c r="B703" s="365"/>
      <c r="C703" s="366"/>
      <c r="E703" s="367"/>
      <c r="F703" s="368"/>
      <c r="I703" s="369"/>
    </row>
    <row r="704">
      <c r="B704" s="365"/>
      <c r="C704" s="366"/>
      <c r="E704" s="367"/>
      <c r="F704" s="368"/>
      <c r="I704" s="369"/>
    </row>
    <row r="705">
      <c r="B705" s="365"/>
      <c r="C705" s="366"/>
      <c r="E705" s="367"/>
      <c r="F705" s="368"/>
      <c r="I705" s="369"/>
    </row>
    <row r="706">
      <c r="B706" s="365"/>
      <c r="C706" s="366"/>
      <c r="E706" s="367"/>
      <c r="F706" s="368"/>
      <c r="I706" s="369"/>
    </row>
    <row r="707">
      <c r="B707" s="365"/>
      <c r="C707" s="366"/>
      <c r="E707" s="367"/>
      <c r="F707" s="368"/>
      <c r="I707" s="369"/>
    </row>
    <row r="708">
      <c r="B708" s="365"/>
      <c r="C708" s="366"/>
      <c r="E708" s="367"/>
      <c r="F708" s="368"/>
      <c r="I708" s="369"/>
    </row>
    <row r="709">
      <c r="B709" s="365"/>
      <c r="C709" s="366"/>
      <c r="E709" s="367"/>
      <c r="F709" s="368"/>
      <c r="I709" s="369"/>
    </row>
    <row r="710">
      <c r="B710" s="365"/>
      <c r="C710" s="366"/>
      <c r="E710" s="367"/>
      <c r="F710" s="368"/>
      <c r="I710" s="369"/>
    </row>
    <row r="711">
      <c r="B711" s="365"/>
      <c r="C711" s="366"/>
      <c r="E711" s="367"/>
      <c r="F711" s="368"/>
      <c r="I711" s="369"/>
    </row>
    <row r="712">
      <c r="B712" s="365"/>
      <c r="C712" s="366"/>
      <c r="E712" s="367"/>
      <c r="F712" s="368"/>
      <c r="I712" s="369"/>
    </row>
    <row r="713">
      <c r="B713" s="365"/>
      <c r="C713" s="366"/>
      <c r="E713" s="367"/>
      <c r="F713" s="368"/>
      <c r="I713" s="369"/>
    </row>
    <row r="714">
      <c r="B714" s="365"/>
      <c r="C714" s="366"/>
      <c r="E714" s="367"/>
      <c r="F714" s="368"/>
      <c r="I714" s="369"/>
    </row>
    <row r="715">
      <c r="B715" s="365"/>
      <c r="C715" s="366"/>
      <c r="E715" s="367"/>
      <c r="F715" s="368"/>
      <c r="I715" s="369"/>
    </row>
    <row r="716">
      <c r="B716" s="365"/>
      <c r="C716" s="366"/>
      <c r="E716" s="367"/>
      <c r="F716" s="368"/>
      <c r="I716" s="369"/>
    </row>
    <row r="717">
      <c r="B717" s="365"/>
      <c r="C717" s="366"/>
      <c r="E717" s="367"/>
      <c r="F717" s="368"/>
      <c r="I717" s="369"/>
    </row>
    <row r="718">
      <c r="B718" s="365"/>
      <c r="C718" s="366"/>
      <c r="E718" s="367"/>
      <c r="F718" s="368"/>
      <c r="I718" s="369"/>
    </row>
    <row r="719">
      <c r="B719" s="365"/>
      <c r="C719" s="366"/>
      <c r="E719" s="367"/>
      <c r="F719" s="368"/>
      <c r="I719" s="369"/>
    </row>
    <row r="720">
      <c r="B720" s="365"/>
      <c r="C720" s="366"/>
      <c r="E720" s="367"/>
      <c r="F720" s="368"/>
      <c r="I720" s="369"/>
    </row>
    <row r="721">
      <c r="B721" s="365"/>
      <c r="C721" s="366"/>
      <c r="E721" s="367"/>
      <c r="F721" s="368"/>
      <c r="I721" s="369"/>
    </row>
    <row r="722">
      <c r="B722" s="365"/>
      <c r="C722" s="366"/>
      <c r="E722" s="367"/>
      <c r="F722" s="368"/>
      <c r="I722" s="369"/>
    </row>
    <row r="723">
      <c r="B723" s="365"/>
      <c r="C723" s="366"/>
      <c r="E723" s="367"/>
      <c r="F723" s="368"/>
      <c r="I723" s="369"/>
    </row>
    <row r="724">
      <c r="B724" s="365"/>
      <c r="C724" s="366"/>
      <c r="E724" s="367"/>
      <c r="F724" s="368"/>
      <c r="I724" s="369"/>
    </row>
    <row r="725">
      <c r="B725" s="365"/>
      <c r="C725" s="366"/>
      <c r="E725" s="367"/>
      <c r="F725" s="368"/>
      <c r="I725" s="369"/>
    </row>
    <row r="726">
      <c r="B726" s="365"/>
      <c r="C726" s="366"/>
      <c r="E726" s="367"/>
      <c r="F726" s="368"/>
      <c r="I726" s="369"/>
    </row>
    <row r="727">
      <c r="B727" s="365"/>
      <c r="C727" s="366"/>
      <c r="E727" s="367"/>
      <c r="F727" s="368"/>
      <c r="I727" s="369"/>
    </row>
    <row r="728">
      <c r="B728" s="365"/>
      <c r="C728" s="366"/>
      <c r="E728" s="367"/>
      <c r="F728" s="368"/>
      <c r="I728" s="369"/>
    </row>
    <row r="729">
      <c r="B729" s="365"/>
      <c r="C729" s="366"/>
      <c r="E729" s="367"/>
      <c r="F729" s="368"/>
      <c r="I729" s="369"/>
    </row>
    <row r="730">
      <c r="B730" s="365"/>
      <c r="C730" s="366"/>
      <c r="E730" s="367"/>
      <c r="F730" s="368"/>
      <c r="I730" s="369"/>
    </row>
    <row r="731">
      <c r="B731" s="365"/>
      <c r="C731" s="366"/>
      <c r="E731" s="367"/>
      <c r="F731" s="368"/>
      <c r="I731" s="369"/>
    </row>
    <row r="732">
      <c r="B732" s="365"/>
      <c r="C732" s="366"/>
      <c r="E732" s="367"/>
      <c r="F732" s="368"/>
      <c r="I732" s="369"/>
    </row>
    <row r="733">
      <c r="B733" s="365"/>
      <c r="C733" s="366"/>
      <c r="E733" s="367"/>
      <c r="F733" s="368"/>
      <c r="I733" s="369"/>
    </row>
    <row r="734">
      <c r="B734" s="365"/>
      <c r="C734" s="366"/>
      <c r="E734" s="367"/>
      <c r="F734" s="368"/>
      <c r="I734" s="369"/>
    </row>
    <row r="735">
      <c r="B735" s="365"/>
      <c r="C735" s="366"/>
      <c r="E735" s="367"/>
      <c r="F735" s="368"/>
      <c r="I735" s="369"/>
    </row>
    <row r="736">
      <c r="B736" s="365"/>
      <c r="C736" s="366"/>
      <c r="E736" s="367"/>
      <c r="F736" s="368"/>
      <c r="I736" s="369"/>
    </row>
    <row r="737">
      <c r="B737" s="365"/>
      <c r="C737" s="366"/>
      <c r="E737" s="367"/>
      <c r="F737" s="368"/>
      <c r="I737" s="369"/>
    </row>
    <row r="738">
      <c r="B738" s="365"/>
      <c r="C738" s="366"/>
      <c r="E738" s="367"/>
      <c r="F738" s="368"/>
      <c r="I738" s="369"/>
    </row>
    <row r="739">
      <c r="B739" s="365"/>
      <c r="C739" s="366"/>
      <c r="E739" s="367"/>
      <c r="F739" s="368"/>
      <c r="I739" s="369"/>
    </row>
    <row r="740">
      <c r="B740" s="365"/>
      <c r="C740" s="366"/>
      <c r="E740" s="367"/>
      <c r="F740" s="368"/>
      <c r="I740" s="369"/>
    </row>
    <row r="741">
      <c r="B741" s="365"/>
      <c r="C741" s="366"/>
      <c r="E741" s="367"/>
      <c r="F741" s="368"/>
      <c r="I741" s="369"/>
    </row>
    <row r="742">
      <c r="B742" s="365"/>
      <c r="C742" s="366"/>
      <c r="E742" s="367"/>
      <c r="F742" s="368"/>
      <c r="I742" s="369"/>
    </row>
    <row r="743">
      <c r="B743" s="365"/>
      <c r="C743" s="366"/>
      <c r="E743" s="367"/>
      <c r="F743" s="368"/>
      <c r="I743" s="369"/>
    </row>
    <row r="744">
      <c r="B744" s="365"/>
      <c r="C744" s="366"/>
      <c r="E744" s="367"/>
      <c r="F744" s="368"/>
      <c r="I744" s="369"/>
    </row>
    <row r="745">
      <c r="B745" s="365"/>
      <c r="C745" s="366"/>
      <c r="E745" s="367"/>
      <c r="F745" s="368"/>
      <c r="I745" s="369"/>
    </row>
    <row r="746">
      <c r="B746" s="365"/>
      <c r="C746" s="366"/>
      <c r="E746" s="367"/>
      <c r="F746" s="368"/>
      <c r="I746" s="369"/>
    </row>
    <row r="747">
      <c r="B747" s="365"/>
      <c r="C747" s="366"/>
      <c r="E747" s="367"/>
      <c r="F747" s="368"/>
      <c r="I747" s="369"/>
    </row>
    <row r="748">
      <c r="B748" s="365"/>
      <c r="C748" s="366"/>
      <c r="E748" s="367"/>
      <c r="F748" s="368"/>
      <c r="I748" s="369"/>
    </row>
    <row r="749">
      <c r="B749" s="365"/>
      <c r="C749" s="366"/>
      <c r="E749" s="367"/>
      <c r="F749" s="368"/>
      <c r="I749" s="369"/>
    </row>
    <row r="750">
      <c r="B750" s="365"/>
      <c r="C750" s="366"/>
      <c r="E750" s="367"/>
      <c r="F750" s="368"/>
      <c r="I750" s="369"/>
    </row>
    <row r="751">
      <c r="B751" s="365"/>
      <c r="C751" s="366"/>
      <c r="E751" s="367"/>
      <c r="F751" s="368"/>
      <c r="I751" s="369"/>
    </row>
    <row r="752">
      <c r="B752" s="365"/>
      <c r="C752" s="366"/>
      <c r="E752" s="367"/>
      <c r="F752" s="368"/>
      <c r="I752" s="369"/>
    </row>
    <row r="753">
      <c r="B753" s="365"/>
      <c r="C753" s="366"/>
      <c r="E753" s="367"/>
      <c r="F753" s="368"/>
      <c r="I753" s="369"/>
    </row>
    <row r="754">
      <c r="B754" s="365"/>
      <c r="C754" s="366"/>
      <c r="E754" s="367"/>
      <c r="F754" s="368"/>
      <c r="I754" s="369"/>
    </row>
    <row r="755">
      <c r="B755" s="365"/>
      <c r="C755" s="366"/>
      <c r="E755" s="367"/>
      <c r="F755" s="368"/>
      <c r="I755" s="369"/>
    </row>
    <row r="756">
      <c r="B756" s="365"/>
      <c r="C756" s="366"/>
      <c r="E756" s="367"/>
      <c r="F756" s="368"/>
      <c r="I756" s="369"/>
    </row>
    <row r="757">
      <c r="B757" s="365"/>
      <c r="C757" s="366"/>
      <c r="E757" s="367"/>
      <c r="F757" s="368"/>
      <c r="I757" s="369"/>
    </row>
    <row r="758">
      <c r="B758" s="365"/>
      <c r="C758" s="366"/>
      <c r="E758" s="367"/>
      <c r="F758" s="368"/>
      <c r="I758" s="369"/>
    </row>
    <row r="759">
      <c r="B759" s="365"/>
      <c r="C759" s="366"/>
      <c r="E759" s="367"/>
      <c r="F759" s="368"/>
      <c r="I759" s="369"/>
    </row>
    <row r="760">
      <c r="B760" s="365"/>
      <c r="C760" s="366"/>
      <c r="E760" s="367"/>
      <c r="F760" s="368"/>
      <c r="I760" s="369"/>
    </row>
    <row r="761">
      <c r="B761" s="365"/>
      <c r="C761" s="366"/>
      <c r="E761" s="367"/>
      <c r="F761" s="368"/>
      <c r="I761" s="369"/>
    </row>
    <row r="762">
      <c r="B762" s="365"/>
      <c r="C762" s="366"/>
      <c r="E762" s="367"/>
      <c r="F762" s="368"/>
      <c r="I762" s="369"/>
    </row>
    <row r="763">
      <c r="B763" s="365"/>
      <c r="C763" s="366"/>
      <c r="E763" s="367"/>
      <c r="F763" s="368"/>
      <c r="I763" s="369"/>
    </row>
    <row r="764">
      <c r="B764" s="365"/>
      <c r="C764" s="366"/>
      <c r="E764" s="367"/>
      <c r="F764" s="368"/>
      <c r="I764" s="369"/>
    </row>
    <row r="765">
      <c r="B765" s="365"/>
      <c r="C765" s="366"/>
      <c r="E765" s="367"/>
      <c r="F765" s="368"/>
      <c r="I765" s="369"/>
    </row>
    <row r="766">
      <c r="B766" s="365"/>
      <c r="C766" s="366"/>
      <c r="E766" s="367"/>
      <c r="F766" s="368"/>
      <c r="I766" s="369"/>
    </row>
    <row r="767">
      <c r="B767" s="365"/>
      <c r="C767" s="366"/>
      <c r="E767" s="367"/>
      <c r="F767" s="368"/>
      <c r="I767" s="369"/>
    </row>
    <row r="768">
      <c r="B768" s="365"/>
      <c r="C768" s="366"/>
      <c r="E768" s="367"/>
      <c r="F768" s="368"/>
      <c r="I768" s="369"/>
    </row>
    <row r="769">
      <c r="B769" s="365"/>
      <c r="C769" s="366"/>
      <c r="E769" s="367"/>
      <c r="F769" s="368"/>
      <c r="I769" s="369"/>
    </row>
    <row r="770">
      <c r="B770" s="365"/>
      <c r="C770" s="366"/>
      <c r="E770" s="367"/>
      <c r="F770" s="368"/>
      <c r="I770" s="369"/>
    </row>
    <row r="771">
      <c r="B771" s="365"/>
      <c r="C771" s="366"/>
      <c r="E771" s="367"/>
      <c r="F771" s="368"/>
      <c r="I771" s="369"/>
    </row>
    <row r="772">
      <c r="B772" s="365"/>
      <c r="C772" s="366"/>
      <c r="E772" s="367"/>
      <c r="F772" s="368"/>
      <c r="I772" s="369"/>
    </row>
    <row r="773">
      <c r="B773" s="365"/>
      <c r="C773" s="366"/>
      <c r="E773" s="367"/>
      <c r="F773" s="368"/>
      <c r="I773" s="369"/>
    </row>
    <row r="774">
      <c r="B774" s="365"/>
      <c r="C774" s="366"/>
      <c r="E774" s="367"/>
      <c r="F774" s="368"/>
      <c r="I774" s="369"/>
    </row>
    <row r="775">
      <c r="B775" s="365"/>
      <c r="C775" s="366"/>
      <c r="E775" s="367"/>
      <c r="F775" s="368"/>
      <c r="I775" s="369"/>
    </row>
    <row r="776">
      <c r="B776" s="365"/>
      <c r="C776" s="366"/>
      <c r="E776" s="367"/>
      <c r="F776" s="368"/>
      <c r="I776" s="369"/>
    </row>
    <row r="777">
      <c r="B777" s="365"/>
      <c r="C777" s="366"/>
      <c r="E777" s="367"/>
      <c r="F777" s="368"/>
      <c r="I777" s="369"/>
    </row>
    <row r="778">
      <c r="B778" s="365"/>
      <c r="C778" s="366"/>
      <c r="E778" s="367"/>
      <c r="F778" s="368"/>
      <c r="I778" s="369"/>
    </row>
    <row r="779">
      <c r="B779" s="365"/>
      <c r="C779" s="366"/>
      <c r="E779" s="367"/>
      <c r="F779" s="368"/>
      <c r="I779" s="369"/>
    </row>
    <row r="780">
      <c r="B780" s="365"/>
      <c r="C780" s="366"/>
      <c r="E780" s="367"/>
      <c r="F780" s="368"/>
      <c r="I780" s="369"/>
    </row>
    <row r="781">
      <c r="B781" s="365"/>
      <c r="C781" s="366"/>
      <c r="E781" s="367"/>
      <c r="F781" s="368"/>
      <c r="I781" s="369"/>
    </row>
    <row r="782">
      <c r="B782" s="365"/>
      <c r="C782" s="366"/>
      <c r="E782" s="367"/>
      <c r="F782" s="368"/>
      <c r="I782" s="369"/>
    </row>
    <row r="783">
      <c r="B783" s="365"/>
      <c r="C783" s="366"/>
      <c r="E783" s="367"/>
      <c r="F783" s="368"/>
      <c r="I783" s="369"/>
    </row>
    <row r="784">
      <c r="B784" s="365"/>
      <c r="C784" s="366"/>
      <c r="E784" s="367"/>
      <c r="F784" s="368"/>
      <c r="I784" s="369"/>
    </row>
    <row r="785">
      <c r="B785" s="365"/>
      <c r="C785" s="366"/>
      <c r="E785" s="367"/>
      <c r="F785" s="368"/>
      <c r="I785" s="369"/>
    </row>
    <row r="786">
      <c r="B786" s="365"/>
      <c r="C786" s="366"/>
      <c r="E786" s="367"/>
      <c r="F786" s="368"/>
      <c r="I786" s="369"/>
    </row>
    <row r="787">
      <c r="B787" s="365"/>
      <c r="C787" s="366"/>
      <c r="E787" s="367"/>
      <c r="F787" s="368"/>
      <c r="I787" s="369"/>
    </row>
    <row r="788">
      <c r="B788" s="365"/>
      <c r="C788" s="366"/>
      <c r="E788" s="367"/>
      <c r="F788" s="368"/>
      <c r="I788" s="369"/>
    </row>
    <row r="789">
      <c r="B789" s="365"/>
      <c r="C789" s="366"/>
      <c r="E789" s="367"/>
      <c r="F789" s="368"/>
      <c r="I789" s="369"/>
    </row>
    <row r="790">
      <c r="B790" s="365"/>
      <c r="C790" s="366"/>
      <c r="E790" s="367"/>
      <c r="F790" s="368"/>
      <c r="I790" s="369"/>
    </row>
    <row r="791">
      <c r="B791" s="365"/>
      <c r="C791" s="366"/>
      <c r="E791" s="367"/>
      <c r="F791" s="368"/>
      <c r="I791" s="369"/>
    </row>
    <row r="792">
      <c r="B792" s="365"/>
      <c r="C792" s="366"/>
      <c r="E792" s="367"/>
      <c r="F792" s="368"/>
      <c r="I792" s="369"/>
    </row>
    <row r="793">
      <c r="B793" s="365"/>
      <c r="C793" s="366"/>
      <c r="E793" s="367"/>
      <c r="F793" s="368"/>
      <c r="I793" s="369"/>
    </row>
    <row r="794">
      <c r="B794" s="365"/>
      <c r="C794" s="366"/>
      <c r="E794" s="367"/>
      <c r="F794" s="368"/>
      <c r="I794" s="369"/>
    </row>
    <row r="795">
      <c r="B795" s="365"/>
      <c r="C795" s="366"/>
      <c r="E795" s="367"/>
      <c r="F795" s="368"/>
      <c r="I795" s="369"/>
    </row>
    <row r="796">
      <c r="B796" s="365"/>
      <c r="C796" s="366"/>
      <c r="E796" s="367"/>
      <c r="F796" s="368"/>
      <c r="I796" s="369"/>
    </row>
    <row r="797">
      <c r="B797" s="365"/>
      <c r="C797" s="366"/>
      <c r="E797" s="367"/>
      <c r="F797" s="368"/>
      <c r="I797" s="369"/>
    </row>
    <row r="798">
      <c r="B798" s="365"/>
      <c r="C798" s="366"/>
      <c r="E798" s="367"/>
      <c r="F798" s="368"/>
      <c r="I798" s="369"/>
    </row>
    <row r="799">
      <c r="B799" s="365"/>
      <c r="C799" s="366"/>
      <c r="E799" s="367"/>
      <c r="F799" s="368"/>
      <c r="I799" s="369"/>
    </row>
    <row r="800">
      <c r="B800" s="365"/>
      <c r="C800" s="366"/>
      <c r="E800" s="367"/>
      <c r="F800" s="368"/>
      <c r="I800" s="369"/>
    </row>
    <row r="801">
      <c r="B801" s="365"/>
      <c r="C801" s="366"/>
      <c r="E801" s="367"/>
      <c r="F801" s="368"/>
      <c r="I801" s="369"/>
    </row>
    <row r="802">
      <c r="B802" s="365"/>
      <c r="C802" s="366"/>
      <c r="E802" s="367"/>
      <c r="F802" s="368"/>
      <c r="I802" s="369"/>
    </row>
    <row r="803">
      <c r="B803" s="365"/>
      <c r="C803" s="366"/>
      <c r="E803" s="367"/>
      <c r="F803" s="368"/>
      <c r="I803" s="369"/>
    </row>
    <row r="804">
      <c r="B804" s="365"/>
      <c r="C804" s="366"/>
      <c r="E804" s="367"/>
      <c r="F804" s="368"/>
      <c r="I804" s="369"/>
    </row>
    <row r="805">
      <c r="B805" s="365"/>
      <c r="C805" s="366"/>
      <c r="E805" s="367"/>
      <c r="F805" s="368"/>
      <c r="I805" s="369"/>
    </row>
    <row r="806">
      <c r="B806" s="365"/>
      <c r="C806" s="366"/>
      <c r="E806" s="367"/>
      <c r="F806" s="368"/>
      <c r="I806" s="369"/>
    </row>
    <row r="807">
      <c r="B807" s="365"/>
      <c r="C807" s="366"/>
      <c r="E807" s="367"/>
      <c r="F807" s="368"/>
      <c r="I807" s="369"/>
    </row>
    <row r="808">
      <c r="B808" s="365"/>
      <c r="C808" s="366"/>
      <c r="E808" s="367"/>
      <c r="F808" s="368"/>
      <c r="I808" s="369"/>
    </row>
    <row r="809">
      <c r="B809" s="365"/>
      <c r="C809" s="366"/>
      <c r="E809" s="367"/>
      <c r="F809" s="368"/>
      <c r="I809" s="369"/>
    </row>
    <row r="810">
      <c r="B810" s="365"/>
      <c r="C810" s="366"/>
      <c r="E810" s="367"/>
      <c r="F810" s="368"/>
      <c r="I810" s="369"/>
    </row>
    <row r="811">
      <c r="B811" s="365"/>
      <c r="C811" s="366"/>
      <c r="E811" s="367"/>
      <c r="F811" s="368"/>
      <c r="I811" s="369"/>
    </row>
    <row r="812">
      <c r="B812" s="365"/>
      <c r="C812" s="366"/>
      <c r="E812" s="367"/>
      <c r="F812" s="368"/>
      <c r="I812" s="369"/>
    </row>
    <row r="813">
      <c r="B813" s="365"/>
      <c r="C813" s="366"/>
      <c r="E813" s="367"/>
      <c r="F813" s="368"/>
      <c r="I813" s="369"/>
    </row>
    <row r="814">
      <c r="B814" s="365"/>
      <c r="C814" s="366"/>
      <c r="E814" s="367"/>
      <c r="F814" s="368"/>
      <c r="I814" s="369"/>
    </row>
    <row r="815">
      <c r="B815" s="365"/>
      <c r="C815" s="366"/>
      <c r="E815" s="367"/>
      <c r="F815" s="368"/>
      <c r="I815" s="369"/>
    </row>
    <row r="816">
      <c r="B816" s="365"/>
      <c r="C816" s="366"/>
      <c r="E816" s="367"/>
      <c r="F816" s="368"/>
      <c r="I816" s="369"/>
    </row>
    <row r="817">
      <c r="B817" s="365"/>
      <c r="C817" s="366"/>
      <c r="E817" s="367"/>
      <c r="F817" s="368"/>
      <c r="I817" s="369"/>
    </row>
    <row r="818">
      <c r="B818" s="365"/>
      <c r="C818" s="366"/>
      <c r="E818" s="367"/>
      <c r="F818" s="368"/>
      <c r="I818" s="369"/>
    </row>
    <row r="819">
      <c r="B819" s="365"/>
      <c r="C819" s="366"/>
      <c r="E819" s="367"/>
      <c r="F819" s="368"/>
      <c r="I819" s="369"/>
    </row>
    <row r="820">
      <c r="B820" s="365"/>
      <c r="C820" s="366"/>
      <c r="E820" s="367"/>
      <c r="F820" s="368"/>
      <c r="I820" s="369"/>
    </row>
    <row r="821">
      <c r="B821" s="365"/>
      <c r="C821" s="366"/>
      <c r="E821" s="367"/>
      <c r="F821" s="368"/>
      <c r="I821" s="369"/>
    </row>
    <row r="822">
      <c r="B822" s="365"/>
      <c r="C822" s="366"/>
      <c r="E822" s="367"/>
      <c r="F822" s="368"/>
      <c r="I822" s="369"/>
    </row>
    <row r="823">
      <c r="B823" s="365"/>
      <c r="C823" s="366"/>
      <c r="E823" s="367"/>
      <c r="F823" s="368"/>
      <c r="I823" s="369"/>
    </row>
    <row r="824">
      <c r="B824" s="365"/>
      <c r="C824" s="366"/>
      <c r="E824" s="367"/>
      <c r="F824" s="368"/>
      <c r="I824" s="369"/>
    </row>
    <row r="825">
      <c r="B825" s="365"/>
      <c r="C825" s="366"/>
      <c r="E825" s="367"/>
      <c r="F825" s="368"/>
      <c r="I825" s="369"/>
    </row>
    <row r="826">
      <c r="B826" s="365"/>
      <c r="C826" s="366"/>
      <c r="E826" s="367"/>
      <c r="F826" s="368"/>
      <c r="I826" s="369"/>
    </row>
    <row r="827">
      <c r="B827" s="365"/>
      <c r="C827" s="366"/>
      <c r="E827" s="367"/>
      <c r="F827" s="368"/>
      <c r="I827" s="369"/>
    </row>
    <row r="828">
      <c r="B828" s="365"/>
      <c r="C828" s="366"/>
      <c r="E828" s="367"/>
      <c r="F828" s="368"/>
      <c r="I828" s="369"/>
    </row>
    <row r="829">
      <c r="B829" s="365"/>
      <c r="C829" s="366"/>
      <c r="E829" s="367"/>
      <c r="F829" s="368"/>
      <c r="I829" s="369"/>
    </row>
    <row r="830">
      <c r="B830" s="365"/>
      <c r="C830" s="366"/>
      <c r="E830" s="367"/>
      <c r="F830" s="368"/>
      <c r="I830" s="369"/>
    </row>
    <row r="831">
      <c r="B831" s="365"/>
      <c r="C831" s="366"/>
      <c r="E831" s="367"/>
      <c r="F831" s="368"/>
      <c r="I831" s="369"/>
    </row>
    <row r="832">
      <c r="B832" s="365"/>
      <c r="C832" s="366"/>
      <c r="E832" s="367"/>
      <c r="F832" s="368"/>
      <c r="I832" s="369"/>
    </row>
    <row r="833">
      <c r="B833" s="365"/>
      <c r="C833" s="366"/>
      <c r="E833" s="367"/>
      <c r="F833" s="368"/>
      <c r="I833" s="369"/>
    </row>
    <row r="834">
      <c r="B834" s="365"/>
      <c r="C834" s="366"/>
      <c r="E834" s="367"/>
      <c r="F834" s="368"/>
      <c r="I834" s="369"/>
    </row>
    <row r="835">
      <c r="B835" s="365"/>
      <c r="C835" s="366"/>
      <c r="E835" s="367"/>
      <c r="F835" s="368"/>
      <c r="I835" s="369"/>
    </row>
    <row r="836">
      <c r="B836" s="365"/>
      <c r="C836" s="366"/>
      <c r="E836" s="367"/>
      <c r="F836" s="368"/>
      <c r="I836" s="369"/>
    </row>
    <row r="837">
      <c r="B837" s="365"/>
      <c r="C837" s="366"/>
      <c r="E837" s="367"/>
      <c r="F837" s="368"/>
      <c r="I837" s="369"/>
    </row>
    <row r="838">
      <c r="B838" s="365"/>
      <c r="C838" s="366"/>
      <c r="E838" s="367"/>
      <c r="F838" s="368"/>
      <c r="I838" s="369"/>
    </row>
    <row r="839">
      <c r="B839" s="365"/>
      <c r="C839" s="366"/>
      <c r="E839" s="367"/>
      <c r="F839" s="368"/>
      <c r="I839" s="369"/>
    </row>
    <row r="840">
      <c r="B840" s="365"/>
      <c r="C840" s="366"/>
      <c r="E840" s="367"/>
      <c r="F840" s="368"/>
      <c r="I840" s="369"/>
    </row>
    <row r="841">
      <c r="B841" s="365"/>
      <c r="C841" s="366"/>
      <c r="E841" s="367"/>
      <c r="F841" s="368"/>
      <c r="I841" s="369"/>
    </row>
    <row r="842">
      <c r="B842" s="365"/>
      <c r="C842" s="366"/>
      <c r="E842" s="367"/>
      <c r="F842" s="368"/>
      <c r="I842" s="369"/>
    </row>
    <row r="843">
      <c r="B843" s="365"/>
      <c r="C843" s="366"/>
      <c r="E843" s="367"/>
      <c r="F843" s="368"/>
      <c r="I843" s="369"/>
    </row>
    <row r="844">
      <c r="B844" s="365"/>
      <c r="C844" s="366"/>
      <c r="E844" s="367"/>
      <c r="F844" s="368"/>
      <c r="I844" s="369"/>
    </row>
    <row r="845">
      <c r="B845" s="365"/>
      <c r="C845" s="366"/>
      <c r="E845" s="367"/>
      <c r="F845" s="368"/>
      <c r="I845" s="369"/>
    </row>
    <row r="846">
      <c r="B846" s="365"/>
      <c r="C846" s="366"/>
      <c r="E846" s="367"/>
      <c r="F846" s="368"/>
      <c r="I846" s="369"/>
    </row>
    <row r="847">
      <c r="B847" s="365"/>
      <c r="C847" s="366"/>
      <c r="E847" s="367"/>
      <c r="F847" s="368"/>
      <c r="I847" s="369"/>
    </row>
    <row r="848">
      <c r="B848" s="365"/>
      <c r="C848" s="366"/>
      <c r="E848" s="367"/>
      <c r="F848" s="368"/>
      <c r="I848" s="369"/>
    </row>
    <row r="849">
      <c r="B849" s="365"/>
      <c r="C849" s="366"/>
      <c r="E849" s="367"/>
      <c r="F849" s="368"/>
      <c r="I849" s="369"/>
    </row>
    <row r="850">
      <c r="B850" s="365"/>
      <c r="C850" s="366"/>
      <c r="E850" s="367"/>
      <c r="F850" s="368"/>
      <c r="I850" s="369"/>
    </row>
    <row r="851">
      <c r="B851" s="365"/>
      <c r="C851" s="366"/>
      <c r="E851" s="367"/>
      <c r="F851" s="368"/>
      <c r="I851" s="369"/>
    </row>
    <row r="852">
      <c r="B852" s="365"/>
      <c r="C852" s="366"/>
      <c r="E852" s="367"/>
      <c r="F852" s="368"/>
      <c r="I852" s="369"/>
    </row>
    <row r="853">
      <c r="B853" s="365"/>
      <c r="C853" s="366"/>
      <c r="E853" s="367"/>
      <c r="F853" s="368"/>
      <c r="I853" s="369"/>
    </row>
    <row r="854">
      <c r="B854" s="365"/>
      <c r="C854" s="366"/>
      <c r="E854" s="367"/>
      <c r="F854" s="368"/>
      <c r="I854" s="369"/>
    </row>
    <row r="855">
      <c r="B855" s="365"/>
      <c r="C855" s="366"/>
      <c r="E855" s="367"/>
      <c r="F855" s="368"/>
      <c r="I855" s="369"/>
    </row>
    <row r="856">
      <c r="B856" s="365"/>
      <c r="C856" s="366"/>
      <c r="E856" s="367"/>
      <c r="F856" s="368"/>
      <c r="I856" s="369"/>
    </row>
    <row r="857">
      <c r="B857" s="365"/>
      <c r="C857" s="366"/>
      <c r="E857" s="367"/>
      <c r="F857" s="368"/>
      <c r="I857" s="369"/>
    </row>
    <row r="858">
      <c r="B858" s="365"/>
      <c r="C858" s="366"/>
      <c r="E858" s="367"/>
      <c r="F858" s="368"/>
      <c r="I858" s="369"/>
    </row>
    <row r="859">
      <c r="B859" s="365"/>
      <c r="C859" s="366"/>
      <c r="E859" s="367"/>
      <c r="F859" s="368"/>
      <c r="I859" s="369"/>
    </row>
    <row r="860">
      <c r="B860" s="365"/>
      <c r="C860" s="366"/>
      <c r="E860" s="367"/>
      <c r="F860" s="368"/>
      <c r="I860" s="369"/>
    </row>
    <row r="861">
      <c r="B861" s="365"/>
      <c r="C861" s="366"/>
      <c r="E861" s="367"/>
      <c r="F861" s="368"/>
      <c r="I861" s="369"/>
    </row>
    <row r="862">
      <c r="B862" s="365"/>
      <c r="C862" s="366"/>
      <c r="E862" s="367"/>
      <c r="F862" s="368"/>
      <c r="I862" s="369"/>
    </row>
    <row r="863">
      <c r="B863" s="365"/>
      <c r="C863" s="366"/>
      <c r="E863" s="367"/>
      <c r="F863" s="368"/>
      <c r="I863" s="369"/>
    </row>
    <row r="864">
      <c r="B864" s="365"/>
      <c r="C864" s="366"/>
      <c r="E864" s="367"/>
      <c r="F864" s="368"/>
      <c r="I864" s="369"/>
    </row>
    <row r="865">
      <c r="B865" s="365"/>
      <c r="C865" s="366"/>
      <c r="E865" s="367"/>
      <c r="F865" s="368"/>
      <c r="I865" s="369"/>
    </row>
    <row r="866">
      <c r="B866" s="365"/>
      <c r="C866" s="366"/>
      <c r="E866" s="367"/>
      <c r="F866" s="368"/>
      <c r="I866" s="369"/>
    </row>
    <row r="867">
      <c r="B867" s="365"/>
      <c r="C867" s="366"/>
      <c r="E867" s="367"/>
      <c r="F867" s="368"/>
      <c r="I867" s="369"/>
    </row>
    <row r="868">
      <c r="B868" s="365"/>
      <c r="C868" s="366"/>
      <c r="E868" s="367"/>
      <c r="F868" s="368"/>
      <c r="I868" s="369"/>
    </row>
    <row r="869">
      <c r="B869" s="365"/>
      <c r="C869" s="366"/>
      <c r="E869" s="367"/>
      <c r="F869" s="368"/>
      <c r="I869" s="369"/>
    </row>
    <row r="870">
      <c r="B870" s="365"/>
      <c r="C870" s="366"/>
      <c r="E870" s="367"/>
      <c r="F870" s="368"/>
      <c r="I870" s="369"/>
    </row>
    <row r="871">
      <c r="B871" s="365"/>
      <c r="C871" s="366"/>
      <c r="E871" s="367"/>
      <c r="F871" s="368"/>
      <c r="I871" s="369"/>
    </row>
    <row r="872">
      <c r="B872" s="365"/>
      <c r="C872" s="366"/>
      <c r="E872" s="367"/>
      <c r="F872" s="368"/>
      <c r="I872" s="369"/>
    </row>
    <row r="873">
      <c r="B873" s="365"/>
      <c r="C873" s="366"/>
      <c r="E873" s="367"/>
      <c r="F873" s="368"/>
      <c r="I873" s="369"/>
    </row>
    <row r="874">
      <c r="B874" s="365"/>
      <c r="C874" s="366"/>
      <c r="E874" s="367"/>
      <c r="F874" s="368"/>
      <c r="I874" s="369"/>
    </row>
    <row r="875">
      <c r="B875" s="365"/>
      <c r="C875" s="366"/>
      <c r="E875" s="367"/>
      <c r="F875" s="368"/>
      <c r="I875" s="369"/>
    </row>
    <row r="876">
      <c r="B876" s="365"/>
      <c r="C876" s="366"/>
      <c r="E876" s="367"/>
      <c r="F876" s="368"/>
      <c r="I876" s="369"/>
    </row>
    <row r="877">
      <c r="B877" s="365"/>
      <c r="C877" s="366"/>
      <c r="E877" s="367"/>
      <c r="F877" s="368"/>
      <c r="I877" s="369"/>
    </row>
    <row r="878">
      <c r="B878" s="365"/>
      <c r="C878" s="366"/>
      <c r="E878" s="367"/>
      <c r="F878" s="368"/>
      <c r="I878" s="369"/>
    </row>
    <row r="879">
      <c r="B879" s="365"/>
      <c r="C879" s="366"/>
      <c r="E879" s="367"/>
      <c r="F879" s="368"/>
      <c r="I879" s="369"/>
    </row>
    <row r="880">
      <c r="B880" s="365"/>
      <c r="C880" s="366"/>
      <c r="E880" s="367"/>
      <c r="F880" s="368"/>
      <c r="I880" s="369"/>
    </row>
    <row r="881">
      <c r="B881" s="365"/>
      <c r="C881" s="366"/>
      <c r="E881" s="367"/>
      <c r="F881" s="368"/>
      <c r="I881" s="369"/>
    </row>
    <row r="882">
      <c r="B882" s="365"/>
      <c r="C882" s="366"/>
      <c r="E882" s="367"/>
      <c r="F882" s="368"/>
      <c r="I882" s="369"/>
    </row>
    <row r="883">
      <c r="B883" s="365"/>
      <c r="C883" s="366"/>
      <c r="E883" s="367"/>
      <c r="F883" s="368"/>
      <c r="I883" s="369"/>
    </row>
    <row r="884">
      <c r="B884" s="365"/>
      <c r="C884" s="366"/>
      <c r="E884" s="367"/>
      <c r="F884" s="368"/>
      <c r="I884" s="369"/>
    </row>
    <row r="885">
      <c r="B885" s="365"/>
      <c r="C885" s="366"/>
      <c r="E885" s="367"/>
      <c r="F885" s="368"/>
      <c r="I885" s="369"/>
    </row>
    <row r="886">
      <c r="B886" s="365"/>
      <c r="C886" s="366"/>
      <c r="E886" s="367"/>
      <c r="F886" s="368"/>
      <c r="I886" s="369"/>
    </row>
    <row r="887">
      <c r="B887" s="365"/>
      <c r="C887" s="366"/>
      <c r="E887" s="367"/>
      <c r="F887" s="368"/>
      <c r="I887" s="369"/>
    </row>
    <row r="888">
      <c r="B888" s="365"/>
      <c r="C888" s="366"/>
      <c r="E888" s="367"/>
      <c r="F888" s="368"/>
      <c r="I888" s="369"/>
    </row>
    <row r="889">
      <c r="B889" s="365"/>
      <c r="C889" s="366"/>
      <c r="E889" s="367"/>
      <c r="F889" s="368"/>
      <c r="I889" s="369"/>
    </row>
    <row r="890">
      <c r="B890" s="365"/>
      <c r="C890" s="366"/>
      <c r="E890" s="367"/>
      <c r="F890" s="368"/>
      <c r="I890" s="369"/>
    </row>
    <row r="891">
      <c r="B891" s="365"/>
      <c r="C891" s="366"/>
      <c r="E891" s="367"/>
      <c r="F891" s="368"/>
      <c r="I891" s="369"/>
    </row>
    <row r="892">
      <c r="B892" s="365"/>
      <c r="C892" s="366"/>
      <c r="E892" s="367"/>
      <c r="F892" s="368"/>
      <c r="I892" s="369"/>
    </row>
    <row r="893">
      <c r="B893" s="365"/>
      <c r="C893" s="366"/>
      <c r="E893" s="367"/>
      <c r="F893" s="368"/>
      <c r="I893" s="369"/>
    </row>
    <row r="894">
      <c r="B894" s="365"/>
      <c r="C894" s="366"/>
      <c r="E894" s="367"/>
      <c r="F894" s="368"/>
      <c r="I894" s="369"/>
    </row>
    <row r="895">
      <c r="B895" s="365"/>
      <c r="C895" s="366"/>
      <c r="E895" s="367"/>
      <c r="F895" s="368"/>
      <c r="I895" s="369"/>
    </row>
    <row r="896">
      <c r="B896" s="365"/>
      <c r="C896" s="366"/>
      <c r="E896" s="367"/>
      <c r="F896" s="368"/>
      <c r="I896" s="369"/>
    </row>
    <row r="897">
      <c r="B897" s="365"/>
      <c r="C897" s="366"/>
      <c r="E897" s="367"/>
      <c r="F897" s="368"/>
      <c r="I897" s="369"/>
    </row>
    <row r="898">
      <c r="B898" s="365"/>
      <c r="C898" s="366"/>
      <c r="E898" s="367"/>
      <c r="F898" s="368"/>
      <c r="I898" s="369"/>
    </row>
    <row r="899">
      <c r="B899" s="365"/>
      <c r="C899" s="366"/>
      <c r="E899" s="367"/>
      <c r="F899" s="368"/>
      <c r="I899" s="369"/>
    </row>
    <row r="900">
      <c r="B900" s="365"/>
      <c r="C900" s="366"/>
      <c r="E900" s="367"/>
      <c r="F900" s="368"/>
      <c r="I900" s="369"/>
    </row>
    <row r="901">
      <c r="B901" s="365"/>
      <c r="C901" s="366"/>
      <c r="E901" s="367"/>
      <c r="F901" s="368"/>
      <c r="I901" s="369"/>
    </row>
    <row r="902">
      <c r="B902" s="365"/>
      <c r="C902" s="366"/>
      <c r="E902" s="367"/>
      <c r="F902" s="368"/>
      <c r="I902" s="369"/>
    </row>
    <row r="903">
      <c r="B903" s="365"/>
      <c r="C903" s="366"/>
      <c r="E903" s="367"/>
      <c r="F903" s="368"/>
      <c r="I903" s="369"/>
    </row>
    <row r="904">
      <c r="B904" s="365"/>
      <c r="C904" s="366"/>
      <c r="E904" s="367"/>
      <c r="F904" s="368"/>
      <c r="I904" s="369"/>
    </row>
    <row r="905">
      <c r="B905" s="365"/>
      <c r="C905" s="366"/>
      <c r="E905" s="367"/>
      <c r="F905" s="368"/>
      <c r="I905" s="369"/>
    </row>
    <row r="906">
      <c r="B906" s="365"/>
      <c r="C906" s="366"/>
      <c r="E906" s="367"/>
      <c r="F906" s="368"/>
      <c r="I906" s="369"/>
    </row>
    <row r="907">
      <c r="B907" s="365"/>
      <c r="C907" s="366"/>
      <c r="E907" s="367"/>
      <c r="F907" s="368"/>
      <c r="I907" s="369"/>
    </row>
    <row r="908">
      <c r="B908" s="365"/>
      <c r="C908" s="366"/>
      <c r="E908" s="367"/>
      <c r="F908" s="368"/>
      <c r="I908" s="369"/>
    </row>
    <row r="909">
      <c r="B909" s="365"/>
      <c r="C909" s="366"/>
      <c r="E909" s="367"/>
      <c r="F909" s="368"/>
      <c r="I909" s="369"/>
    </row>
    <row r="910">
      <c r="B910" s="365"/>
      <c r="C910" s="366"/>
      <c r="E910" s="367"/>
      <c r="F910" s="368"/>
      <c r="I910" s="369"/>
    </row>
    <row r="911">
      <c r="B911" s="365"/>
      <c r="C911" s="366"/>
      <c r="E911" s="367"/>
      <c r="F911" s="368"/>
      <c r="I911" s="369"/>
    </row>
    <row r="912">
      <c r="B912" s="365"/>
      <c r="C912" s="366"/>
      <c r="E912" s="367"/>
      <c r="F912" s="368"/>
      <c r="I912" s="369"/>
    </row>
    <row r="913">
      <c r="B913" s="365"/>
      <c r="C913" s="366"/>
      <c r="E913" s="367"/>
      <c r="F913" s="368"/>
      <c r="I913" s="369"/>
    </row>
    <row r="914">
      <c r="B914" s="365"/>
      <c r="C914" s="366"/>
      <c r="E914" s="367"/>
      <c r="F914" s="368"/>
      <c r="I914" s="369"/>
    </row>
    <row r="915">
      <c r="B915" s="365"/>
      <c r="C915" s="366"/>
      <c r="E915" s="367"/>
      <c r="F915" s="368"/>
      <c r="I915" s="369"/>
    </row>
    <row r="916">
      <c r="B916" s="365"/>
      <c r="C916" s="366"/>
      <c r="E916" s="367"/>
      <c r="F916" s="368"/>
      <c r="I916" s="369"/>
    </row>
    <row r="917">
      <c r="B917" s="365"/>
      <c r="C917" s="366"/>
      <c r="E917" s="367"/>
      <c r="F917" s="368"/>
      <c r="I917" s="369"/>
    </row>
    <row r="918">
      <c r="B918" s="365"/>
      <c r="C918" s="366"/>
      <c r="E918" s="367"/>
      <c r="F918" s="368"/>
      <c r="I918" s="369"/>
    </row>
    <row r="919">
      <c r="B919" s="365"/>
      <c r="C919" s="366"/>
      <c r="E919" s="367"/>
      <c r="F919" s="368"/>
      <c r="I919" s="369"/>
    </row>
    <row r="920">
      <c r="B920" s="365"/>
      <c r="C920" s="366"/>
      <c r="E920" s="367"/>
      <c r="F920" s="368"/>
      <c r="I920" s="369"/>
    </row>
    <row r="921">
      <c r="B921" s="365"/>
      <c r="C921" s="366"/>
      <c r="E921" s="367"/>
      <c r="F921" s="368"/>
      <c r="I921" s="369"/>
    </row>
    <row r="922">
      <c r="B922" s="365"/>
      <c r="C922" s="366"/>
      <c r="E922" s="367"/>
      <c r="F922" s="368"/>
      <c r="I922" s="369"/>
    </row>
    <row r="923">
      <c r="B923" s="365"/>
      <c r="C923" s="366"/>
      <c r="E923" s="367"/>
      <c r="F923" s="368"/>
      <c r="I923" s="369"/>
    </row>
    <row r="924">
      <c r="B924" s="365"/>
      <c r="C924" s="366"/>
      <c r="E924" s="367"/>
      <c r="F924" s="368"/>
      <c r="I924" s="369"/>
    </row>
    <row r="925">
      <c r="B925" s="365"/>
      <c r="C925" s="366"/>
      <c r="E925" s="367"/>
      <c r="F925" s="368"/>
      <c r="I925" s="369"/>
    </row>
    <row r="926">
      <c r="B926" s="365"/>
      <c r="C926" s="366"/>
      <c r="E926" s="367"/>
      <c r="F926" s="368"/>
      <c r="I926" s="369"/>
    </row>
    <row r="927">
      <c r="B927" s="365"/>
      <c r="C927" s="366"/>
      <c r="E927" s="367"/>
      <c r="F927" s="368"/>
      <c r="I927" s="369"/>
    </row>
    <row r="928">
      <c r="B928" s="365"/>
      <c r="C928" s="366"/>
      <c r="E928" s="367"/>
      <c r="F928" s="368"/>
      <c r="I928" s="369"/>
    </row>
    <row r="929">
      <c r="B929" s="365"/>
      <c r="C929" s="366"/>
      <c r="E929" s="367"/>
      <c r="F929" s="368"/>
      <c r="I929" s="369"/>
    </row>
    <row r="930">
      <c r="B930" s="365"/>
      <c r="C930" s="366"/>
      <c r="E930" s="367"/>
      <c r="F930" s="368"/>
      <c r="I930" s="369"/>
    </row>
    <row r="931">
      <c r="B931" s="365"/>
      <c r="C931" s="366"/>
      <c r="E931" s="367"/>
      <c r="F931" s="368"/>
      <c r="I931" s="369"/>
    </row>
    <row r="932">
      <c r="B932" s="365"/>
      <c r="C932" s="366"/>
      <c r="E932" s="367"/>
      <c r="F932" s="368"/>
      <c r="I932" s="369"/>
    </row>
    <row r="933">
      <c r="B933" s="365"/>
      <c r="C933" s="366"/>
      <c r="E933" s="367"/>
      <c r="F933" s="368"/>
      <c r="I933" s="369"/>
    </row>
    <row r="934">
      <c r="B934" s="365"/>
      <c r="C934" s="366"/>
      <c r="E934" s="367"/>
      <c r="F934" s="368"/>
      <c r="I934" s="369"/>
    </row>
    <row r="935">
      <c r="B935" s="365"/>
      <c r="C935" s="366"/>
      <c r="E935" s="367"/>
      <c r="F935" s="368"/>
      <c r="I935" s="369"/>
    </row>
    <row r="936">
      <c r="B936" s="365"/>
      <c r="C936" s="366"/>
      <c r="E936" s="367"/>
      <c r="F936" s="368"/>
      <c r="I936" s="369"/>
    </row>
    <row r="937">
      <c r="B937" s="365"/>
      <c r="C937" s="366"/>
      <c r="E937" s="367"/>
      <c r="F937" s="368"/>
      <c r="I937" s="369"/>
    </row>
    <row r="938">
      <c r="B938" s="365"/>
      <c r="C938" s="366"/>
      <c r="E938" s="367"/>
      <c r="F938" s="368"/>
      <c r="I938" s="369"/>
    </row>
    <row r="939">
      <c r="B939" s="365"/>
      <c r="C939" s="366"/>
      <c r="E939" s="367"/>
      <c r="F939" s="368"/>
      <c r="I939" s="369"/>
    </row>
    <row r="940">
      <c r="B940" s="365"/>
      <c r="C940" s="366"/>
      <c r="E940" s="367"/>
      <c r="F940" s="368"/>
      <c r="I940" s="369"/>
    </row>
    <row r="941">
      <c r="B941" s="365"/>
      <c r="C941" s="366"/>
      <c r="E941" s="367"/>
      <c r="F941" s="368"/>
      <c r="I941" s="369"/>
    </row>
    <row r="942">
      <c r="B942" s="365"/>
      <c r="C942" s="366"/>
      <c r="E942" s="367"/>
      <c r="F942" s="368"/>
      <c r="I942" s="369"/>
    </row>
    <row r="943">
      <c r="B943" s="365"/>
      <c r="C943" s="366"/>
      <c r="E943" s="367"/>
      <c r="F943" s="368"/>
      <c r="I943" s="369"/>
    </row>
    <row r="944">
      <c r="B944" s="365"/>
      <c r="C944" s="366"/>
      <c r="E944" s="367"/>
      <c r="F944" s="368"/>
      <c r="I944" s="369"/>
    </row>
    <row r="945">
      <c r="B945" s="365"/>
      <c r="C945" s="366"/>
      <c r="E945" s="367"/>
      <c r="F945" s="368"/>
      <c r="I945" s="369"/>
    </row>
    <row r="946">
      <c r="B946" s="365"/>
      <c r="C946" s="366"/>
      <c r="E946" s="367"/>
      <c r="F946" s="368"/>
      <c r="I946" s="369"/>
    </row>
    <row r="947">
      <c r="B947" s="365"/>
      <c r="C947" s="366"/>
      <c r="E947" s="367"/>
      <c r="F947" s="368"/>
      <c r="I947" s="369"/>
    </row>
    <row r="948">
      <c r="B948" s="365"/>
      <c r="C948" s="366"/>
      <c r="E948" s="367"/>
      <c r="F948" s="368"/>
      <c r="I948" s="369"/>
    </row>
    <row r="949">
      <c r="B949" s="365"/>
      <c r="C949" s="366"/>
      <c r="E949" s="367"/>
      <c r="F949" s="368"/>
      <c r="I949" s="369"/>
    </row>
    <row r="950">
      <c r="B950" s="365"/>
      <c r="C950" s="366"/>
      <c r="E950" s="367"/>
      <c r="F950" s="368"/>
      <c r="I950" s="369"/>
    </row>
    <row r="951">
      <c r="B951" s="365"/>
      <c r="C951" s="366"/>
      <c r="E951" s="367"/>
      <c r="F951" s="368"/>
      <c r="I951" s="369"/>
    </row>
    <row r="952">
      <c r="B952" s="365"/>
      <c r="C952" s="366"/>
      <c r="E952" s="367"/>
      <c r="F952" s="368"/>
      <c r="I952" s="369"/>
    </row>
    <row r="953">
      <c r="B953" s="365"/>
      <c r="C953" s="366"/>
      <c r="E953" s="367"/>
      <c r="F953" s="368"/>
      <c r="I953" s="369"/>
    </row>
    <row r="954">
      <c r="B954" s="365"/>
      <c r="C954" s="366"/>
      <c r="E954" s="367"/>
      <c r="F954" s="368"/>
      <c r="I954" s="369"/>
    </row>
    <row r="955">
      <c r="B955" s="365"/>
      <c r="C955" s="366"/>
      <c r="E955" s="367"/>
      <c r="F955" s="368"/>
      <c r="I955" s="369"/>
    </row>
    <row r="956">
      <c r="B956" s="365"/>
      <c r="C956" s="366"/>
      <c r="E956" s="367"/>
      <c r="F956" s="368"/>
      <c r="I956" s="369"/>
    </row>
    <row r="957">
      <c r="B957" s="365"/>
      <c r="C957" s="366"/>
      <c r="E957" s="367"/>
      <c r="F957" s="368"/>
      <c r="I957" s="369"/>
    </row>
    <row r="958">
      <c r="B958" s="365"/>
      <c r="C958" s="366"/>
      <c r="E958" s="367"/>
      <c r="F958" s="368"/>
      <c r="I958" s="369"/>
    </row>
    <row r="959">
      <c r="B959" s="365"/>
      <c r="C959" s="366"/>
      <c r="E959" s="367"/>
      <c r="F959" s="368"/>
      <c r="I959" s="369"/>
    </row>
    <row r="960">
      <c r="B960" s="365"/>
      <c r="C960" s="366"/>
      <c r="E960" s="367"/>
      <c r="F960" s="368"/>
      <c r="I960" s="369"/>
    </row>
    <row r="961">
      <c r="B961" s="365"/>
      <c r="C961" s="366"/>
      <c r="E961" s="367"/>
      <c r="F961" s="368"/>
      <c r="I961" s="369"/>
    </row>
    <row r="962">
      <c r="B962" s="365"/>
      <c r="C962" s="366"/>
      <c r="E962" s="367"/>
      <c r="F962" s="368"/>
      <c r="I962" s="369"/>
    </row>
    <row r="963">
      <c r="B963" s="365"/>
      <c r="C963" s="366"/>
      <c r="E963" s="367"/>
      <c r="F963" s="368"/>
      <c r="I963" s="369"/>
    </row>
    <row r="964">
      <c r="B964" s="365"/>
      <c r="C964" s="366"/>
      <c r="E964" s="367"/>
      <c r="F964" s="368"/>
      <c r="I964" s="369"/>
    </row>
    <row r="965">
      <c r="B965" s="365"/>
      <c r="C965" s="366"/>
      <c r="E965" s="367"/>
      <c r="F965" s="368"/>
      <c r="I965" s="369"/>
    </row>
    <row r="966">
      <c r="B966" s="365"/>
      <c r="C966" s="366"/>
      <c r="E966" s="367"/>
      <c r="F966" s="368"/>
      <c r="I966" s="369"/>
    </row>
    <row r="967">
      <c r="B967" s="365"/>
      <c r="C967" s="366"/>
      <c r="E967" s="367"/>
      <c r="F967" s="368"/>
      <c r="I967" s="369"/>
    </row>
    <row r="968">
      <c r="B968" s="365"/>
      <c r="C968" s="366"/>
      <c r="E968" s="367"/>
      <c r="F968" s="368"/>
      <c r="I968" s="369"/>
    </row>
    <row r="969">
      <c r="B969" s="365"/>
      <c r="C969" s="366"/>
      <c r="E969" s="367"/>
      <c r="F969" s="368"/>
      <c r="I969" s="369"/>
    </row>
    <row r="970">
      <c r="B970" s="365"/>
      <c r="C970" s="366"/>
      <c r="E970" s="367"/>
      <c r="F970" s="368"/>
      <c r="I970" s="369"/>
    </row>
    <row r="971">
      <c r="B971" s="365"/>
      <c r="C971" s="366"/>
      <c r="E971" s="367"/>
      <c r="F971" s="368"/>
      <c r="I971" s="369"/>
    </row>
    <row r="972">
      <c r="B972" s="365"/>
      <c r="C972" s="366"/>
      <c r="E972" s="367"/>
      <c r="F972" s="368"/>
      <c r="I972" s="369"/>
    </row>
    <row r="973">
      <c r="B973" s="365"/>
      <c r="C973" s="366"/>
      <c r="E973" s="367"/>
      <c r="F973" s="368"/>
      <c r="I973" s="369"/>
    </row>
    <row r="974">
      <c r="B974" s="365"/>
      <c r="C974" s="366"/>
      <c r="E974" s="367"/>
      <c r="F974" s="368"/>
      <c r="I974" s="369"/>
    </row>
    <row r="975">
      <c r="B975" s="365"/>
      <c r="C975" s="366"/>
      <c r="E975" s="367"/>
      <c r="F975" s="368"/>
      <c r="I975" s="369"/>
    </row>
    <row r="976">
      <c r="B976" s="365"/>
      <c r="C976" s="366"/>
      <c r="E976" s="367"/>
      <c r="F976" s="368"/>
      <c r="I976" s="369"/>
    </row>
    <row r="977">
      <c r="B977" s="365"/>
      <c r="C977" s="366"/>
      <c r="E977" s="367"/>
      <c r="F977" s="368"/>
      <c r="I977" s="369"/>
    </row>
    <row r="978">
      <c r="B978" s="365"/>
      <c r="C978" s="366"/>
      <c r="E978" s="367"/>
      <c r="F978" s="368"/>
      <c r="I978" s="369"/>
    </row>
    <row r="979">
      <c r="B979" s="365"/>
      <c r="C979" s="366"/>
      <c r="E979" s="367"/>
      <c r="F979" s="368"/>
      <c r="I979" s="369"/>
    </row>
    <row r="980">
      <c r="B980" s="365"/>
      <c r="C980" s="366"/>
      <c r="E980" s="367"/>
      <c r="F980" s="368"/>
      <c r="I980" s="369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9.89"/>
    <col customWidth="1" min="2" max="2" width="9.22"/>
    <col customWidth="1" min="3" max="3" width="12.44"/>
    <col customWidth="1" min="4" max="4" width="6.67"/>
    <col customWidth="1" min="5" max="5" width="12.78"/>
    <col customWidth="1" min="6" max="6" width="14.56"/>
    <col customWidth="1" min="7" max="7" width="6.22"/>
    <col customWidth="1" min="8" max="8" width="9.11"/>
    <col customWidth="1" min="9" max="9" width="9.89"/>
    <col customWidth="1" min="10" max="10" width="9.78"/>
    <col customWidth="1" min="11" max="11" width="9.33"/>
    <col customWidth="1" min="12" max="12" width="8.89"/>
    <col customWidth="1" min="13" max="13" width="9.11"/>
    <col customWidth="1" min="14" max="14" width="9.44"/>
    <col customWidth="1" min="15" max="15" width="9.0"/>
    <col customWidth="1" min="16" max="16" width="7.11"/>
    <col customWidth="1" min="17" max="18" width="9.67"/>
    <col customWidth="1" min="19" max="24" width="6.78"/>
    <col customWidth="1" min="25" max="25" width="8.89"/>
    <col customWidth="1" min="26" max="26" width="9.56"/>
    <col customWidth="1" min="27" max="27" width="12.44"/>
    <col customWidth="1" min="28" max="28" width="9.67"/>
    <col customWidth="1" min="29" max="29" width="9.11"/>
    <col customWidth="1" min="30" max="30" width="33.11"/>
    <col customWidth="1" min="31" max="31" width="11.22"/>
  </cols>
  <sheetData>
    <row r="1">
      <c r="A1" s="196" t="s">
        <v>0</v>
      </c>
      <c r="B1" s="196" t="s">
        <v>508</v>
      </c>
      <c r="C1" s="196" t="s">
        <v>509</v>
      </c>
      <c r="D1" s="196" t="s">
        <v>510</v>
      </c>
      <c r="E1" s="196" t="s">
        <v>511</v>
      </c>
      <c r="F1" s="196" t="s">
        <v>512</v>
      </c>
      <c r="G1" s="196" t="s">
        <v>513</v>
      </c>
      <c r="H1" s="196" t="s">
        <v>514</v>
      </c>
      <c r="I1" s="196" t="s">
        <v>515</v>
      </c>
      <c r="J1" s="196" t="s">
        <v>516</v>
      </c>
      <c r="K1" s="196" t="s">
        <v>517</v>
      </c>
      <c r="L1" s="196" t="s">
        <v>518</v>
      </c>
      <c r="M1" s="196" t="s">
        <v>519</v>
      </c>
      <c r="N1" s="196" t="s">
        <v>520</v>
      </c>
      <c r="O1" s="196" t="s">
        <v>521</v>
      </c>
      <c r="P1" s="370" t="s">
        <v>522</v>
      </c>
      <c r="Q1" s="371" t="s">
        <v>523</v>
      </c>
      <c r="R1" s="196" t="s">
        <v>524</v>
      </c>
      <c r="S1" s="196" t="s">
        <v>525</v>
      </c>
      <c r="T1" s="196" t="s">
        <v>526</v>
      </c>
      <c r="U1" s="196" t="s">
        <v>527</v>
      </c>
      <c r="V1" s="196" t="s">
        <v>528</v>
      </c>
      <c r="W1" s="196" t="s">
        <v>529</v>
      </c>
      <c r="X1" s="196" t="s">
        <v>530</v>
      </c>
      <c r="Y1" s="196" t="s">
        <v>531</v>
      </c>
      <c r="Z1" s="196" t="s">
        <v>532</v>
      </c>
      <c r="AA1" s="196" t="s">
        <v>533</v>
      </c>
      <c r="AB1" s="196" t="s">
        <v>534</v>
      </c>
      <c r="AC1" s="196" t="s">
        <v>535</v>
      </c>
      <c r="AD1" s="196"/>
      <c r="AE1" s="372"/>
    </row>
    <row r="2">
      <c r="A2" s="373" t="s">
        <v>536</v>
      </c>
      <c r="B2" s="373" t="s">
        <v>537</v>
      </c>
      <c r="C2" s="374"/>
      <c r="D2" s="373" t="s">
        <v>538</v>
      </c>
      <c r="E2" s="373">
        <v>1.0</v>
      </c>
      <c r="F2" s="375">
        <v>45468.40069444444</v>
      </c>
      <c r="G2" s="373">
        <v>1.0</v>
      </c>
      <c r="H2" s="373">
        <v>48.5894</v>
      </c>
      <c r="I2" s="373">
        <v>13.2463</v>
      </c>
      <c r="J2" s="373">
        <v>-26.567544</v>
      </c>
      <c r="K2" s="373">
        <v>-25.020856</v>
      </c>
      <c r="L2" s="373">
        <v>1021.83</v>
      </c>
      <c r="M2" s="373">
        <v>68.50064</v>
      </c>
      <c r="N2" s="373">
        <v>11303.60463</v>
      </c>
      <c r="O2" s="373">
        <v>11303.60463</v>
      </c>
      <c r="P2" s="376">
        <v>2057.743791</v>
      </c>
      <c r="Q2" s="376" t="s">
        <v>12</v>
      </c>
      <c r="R2" s="376" t="s">
        <v>539</v>
      </c>
      <c r="S2" s="376">
        <v>10.0</v>
      </c>
      <c r="T2" s="376">
        <v>5.0</v>
      </c>
      <c r="U2" s="376">
        <v>0.7</v>
      </c>
      <c r="V2" s="376">
        <v>0.7</v>
      </c>
      <c r="W2" s="376">
        <v>0.7</v>
      </c>
      <c r="X2" s="373">
        <v>2000.0</v>
      </c>
      <c r="Y2" s="373" t="s">
        <v>540</v>
      </c>
      <c r="Z2" s="373">
        <v>0.2</v>
      </c>
      <c r="AA2" s="373" t="s">
        <v>541</v>
      </c>
      <c r="AB2" s="373" t="s">
        <v>542</v>
      </c>
      <c r="AC2" s="373">
        <v>220.0</v>
      </c>
      <c r="AD2" s="193"/>
      <c r="AE2" s="377"/>
    </row>
    <row r="3">
      <c r="A3" s="373" t="s">
        <v>543</v>
      </c>
      <c r="B3" s="373" t="s">
        <v>537</v>
      </c>
      <c r="C3" s="374"/>
      <c r="D3" s="373" t="s">
        <v>538</v>
      </c>
      <c r="E3" s="373">
        <v>1.0</v>
      </c>
      <c r="F3" s="375">
        <v>45468.40347222222</v>
      </c>
      <c r="G3" s="373">
        <v>1.0</v>
      </c>
      <c r="H3" s="373">
        <v>51.3708</v>
      </c>
      <c r="I3" s="373">
        <v>14.7831</v>
      </c>
      <c r="J3" s="373">
        <v>-31.145319</v>
      </c>
      <c r="K3" s="373">
        <v>-27.328875</v>
      </c>
      <c r="L3" s="373">
        <v>975.587</v>
      </c>
      <c r="M3" s="373">
        <v>68.499953</v>
      </c>
      <c r="N3" s="373">
        <v>11261.51183</v>
      </c>
      <c r="O3" s="373">
        <v>11261.51183</v>
      </c>
      <c r="P3" s="376">
        <v>2050.213821</v>
      </c>
      <c r="Q3" s="376" t="s">
        <v>12</v>
      </c>
      <c r="R3" s="376" t="s">
        <v>539</v>
      </c>
      <c r="S3" s="376">
        <v>10.0</v>
      </c>
      <c r="T3" s="376">
        <v>5.0</v>
      </c>
      <c r="U3" s="376">
        <v>0.7</v>
      </c>
      <c r="V3" s="376">
        <v>0.7</v>
      </c>
      <c r="W3" s="376">
        <v>0.7</v>
      </c>
      <c r="X3" s="373">
        <v>2000.0</v>
      </c>
      <c r="Y3" s="373" t="s">
        <v>540</v>
      </c>
      <c r="Z3" s="373">
        <v>0.2</v>
      </c>
      <c r="AA3" s="373" t="s">
        <v>541</v>
      </c>
      <c r="AB3" s="373" t="s">
        <v>542</v>
      </c>
      <c r="AC3" s="373">
        <v>220.0</v>
      </c>
      <c r="AD3" s="193"/>
      <c r="AE3" s="377"/>
    </row>
    <row r="4">
      <c r="A4" s="373" t="s">
        <v>544</v>
      </c>
      <c r="B4" s="373" t="s">
        <v>537</v>
      </c>
      <c r="C4" s="374"/>
      <c r="D4" s="373" t="s">
        <v>538</v>
      </c>
      <c r="E4" s="373">
        <v>1.0</v>
      </c>
      <c r="F4" s="375">
        <v>45468.40625</v>
      </c>
      <c r="G4" s="373">
        <v>1.0</v>
      </c>
      <c r="H4" s="373">
        <v>51.3774</v>
      </c>
      <c r="I4" s="373">
        <v>15.6531</v>
      </c>
      <c r="J4" s="373">
        <v>-28.219294</v>
      </c>
      <c r="K4" s="373">
        <v>-26.590888</v>
      </c>
      <c r="L4" s="373">
        <v>988.334</v>
      </c>
      <c r="M4" s="373">
        <v>67.500425</v>
      </c>
      <c r="N4" s="373">
        <v>11287.29509</v>
      </c>
      <c r="O4" s="373">
        <v>11287.29509</v>
      </c>
      <c r="P4" s="376">
        <v>2054.826182</v>
      </c>
      <c r="Q4" s="376" t="s">
        <v>12</v>
      </c>
      <c r="R4" s="376" t="s">
        <v>539</v>
      </c>
      <c r="S4" s="376">
        <v>10.0</v>
      </c>
      <c r="T4" s="376">
        <v>5.0</v>
      </c>
      <c r="U4" s="376">
        <v>0.7</v>
      </c>
      <c r="V4" s="376">
        <v>0.7</v>
      </c>
      <c r="W4" s="376">
        <v>0.7</v>
      </c>
      <c r="X4" s="373">
        <v>2000.0</v>
      </c>
      <c r="Y4" s="373" t="s">
        <v>540</v>
      </c>
      <c r="Z4" s="373">
        <v>0.2</v>
      </c>
      <c r="AA4" s="373" t="s">
        <v>541</v>
      </c>
      <c r="AB4" s="373" t="s">
        <v>542</v>
      </c>
      <c r="AC4" s="373">
        <v>220.0</v>
      </c>
      <c r="AD4" s="193"/>
      <c r="AE4" s="377"/>
    </row>
    <row r="5">
      <c r="A5" s="373" t="s">
        <v>545</v>
      </c>
      <c r="B5" s="373" t="s">
        <v>537</v>
      </c>
      <c r="C5" s="374"/>
      <c r="D5" s="373" t="s">
        <v>538</v>
      </c>
      <c r="E5" s="373">
        <v>1.0</v>
      </c>
      <c r="F5" s="375">
        <v>45468.40833333333</v>
      </c>
      <c r="G5" s="373">
        <v>1.0</v>
      </c>
      <c r="H5" s="373">
        <v>51.3774</v>
      </c>
      <c r="I5" s="373">
        <v>15.7777</v>
      </c>
      <c r="J5" s="373">
        <v>-28.023531</v>
      </c>
      <c r="K5" s="373">
        <v>-26.48425</v>
      </c>
      <c r="L5" s="373">
        <v>994.606</v>
      </c>
      <c r="M5" s="373">
        <v>69.500411</v>
      </c>
      <c r="N5" s="373">
        <v>11274.34851</v>
      </c>
      <c r="O5" s="373">
        <v>11274.34851</v>
      </c>
      <c r="P5" s="376">
        <v>2052.510171</v>
      </c>
      <c r="Q5" s="376" t="s">
        <v>12</v>
      </c>
      <c r="R5" s="376" t="s">
        <v>539</v>
      </c>
      <c r="S5" s="376">
        <v>10.0</v>
      </c>
      <c r="T5" s="376">
        <v>5.0</v>
      </c>
      <c r="U5" s="376">
        <v>0.7</v>
      </c>
      <c r="V5" s="376">
        <v>0.7</v>
      </c>
      <c r="W5" s="376">
        <v>0.7</v>
      </c>
      <c r="X5" s="373">
        <v>2000.0</v>
      </c>
      <c r="Y5" s="373" t="s">
        <v>540</v>
      </c>
      <c r="Z5" s="373">
        <v>0.2</v>
      </c>
      <c r="AA5" s="373" t="s">
        <v>541</v>
      </c>
      <c r="AB5" s="373" t="s">
        <v>542</v>
      </c>
      <c r="AC5" s="373">
        <v>220.0</v>
      </c>
      <c r="AD5" s="193"/>
      <c r="AE5" s="377"/>
    </row>
    <row r="6">
      <c r="A6" s="373" t="s">
        <v>546</v>
      </c>
      <c r="B6" s="373" t="s">
        <v>537</v>
      </c>
      <c r="C6" s="374"/>
      <c r="D6" s="373" t="s">
        <v>538</v>
      </c>
      <c r="E6" s="373">
        <v>1.0</v>
      </c>
      <c r="F6" s="375">
        <v>45468.42013888889</v>
      </c>
      <c r="G6" s="373">
        <v>1.0</v>
      </c>
      <c r="H6" s="373">
        <v>51.3774</v>
      </c>
      <c r="I6" s="373">
        <v>15.2919</v>
      </c>
      <c r="J6" s="373">
        <v>-27.653494</v>
      </c>
      <c r="K6" s="373">
        <v>-26.012844</v>
      </c>
      <c r="L6" s="373">
        <v>973.323</v>
      </c>
      <c r="M6" s="373">
        <v>65.501092</v>
      </c>
      <c r="N6" s="373">
        <v>11231.02282</v>
      </c>
      <c r="O6" s="373">
        <v>11231.02282</v>
      </c>
      <c r="P6" s="376">
        <v>2044.759651</v>
      </c>
      <c r="Q6" s="376" t="s">
        <v>12</v>
      </c>
      <c r="R6" s="376" t="s">
        <v>539</v>
      </c>
      <c r="S6" s="376">
        <v>10.0</v>
      </c>
      <c r="T6" s="376">
        <v>5.0</v>
      </c>
      <c r="U6" s="376">
        <v>0.7</v>
      </c>
      <c r="V6" s="376">
        <v>0.7</v>
      </c>
      <c r="W6" s="376">
        <v>0.7</v>
      </c>
      <c r="X6" s="373">
        <v>2000.0</v>
      </c>
      <c r="Y6" s="373" t="s">
        <v>540</v>
      </c>
      <c r="Z6" s="373">
        <v>0.2</v>
      </c>
      <c r="AA6" s="373" t="s">
        <v>541</v>
      </c>
      <c r="AB6" s="373" t="s">
        <v>542</v>
      </c>
      <c r="AC6" s="373">
        <v>220.0</v>
      </c>
      <c r="AD6" s="193"/>
      <c r="AE6" s="377"/>
    </row>
    <row r="7">
      <c r="A7" s="373" t="s">
        <v>547</v>
      </c>
      <c r="B7" s="373" t="s">
        <v>537</v>
      </c>
      <c r="C7" s="374"/>
      <c r="D7" s="373" t="s">
        <v>538</v>
      </c>
      <c r="E7" s="373">
        <v>1.0</v>
      </c>
      <c r="F7" s="375">
        <v>45468.42291666667</v>
      </c>
      <c r="G7" s="373">
        <v>1.0</v>
      </c>
      <c r="H7" s="373">
        <v>51.3807</v>
      </c>
      <c r="I7" s="373">
        <v>15.347</v>
      </c>
      <c r="J7" s="373">
        <v>-27.537206</v>
      </c>
      <c r="K7" s="373">
        <v>-26.118919</v>
      </c>
      <c r="L7" s="373">
        <v>979.812</v>
      </c>
      <c r="M7" s="373">
        <v>68.998842</v>
      </c>
      <c r="N7" s="373">
        <v>11250.56448</v>
      </c>
      <c r="O7" s="373">
        <v>11250.56448</v>
      </c>
      <c r="P7" s="376">
        <v>2048.255453</v>
      </c>
      <c r="Q7" s="376" t="s">
        <v>12</v>
      </c>
      <c r="R7" s="376" t="s">
        <v>539</v>
      </c>
      <c r="S7" s="376">
        <v>10.0</v>
      </c>
      <c r="T7" s="376">
        <v>5.0</v>
      </c>
      <c r="U7" s="376">
        <v>0.7</v>
      </c>
      <c r="V7" s="376">
        <v>0.7</v>
      </c>
      <c r="W7" s="376">
        <v>0.7</v>
      </c>
      <c r="X7" s="373">
        <v>2000.0</v>
      </c>
      <c r="Y7" s="373" t="s">
        <v>540</v>
      </c>
      <c r="Z7" s="373">
        <v>0.2</v>
      </c>
      <c r="AA7" s="373" t="s">
        <v>541</v>
      </c>
      <c r="AB7" s="373" t="s">
        <v>542</v>
      </c>
      <c r="AC7" s="373">
        <v>220.0</v>
      </c>
      <c r="AD7" s="193"/>
      <c r="AE7" s="377"/>
    </row>
    <row r="8">
      <c r="A8" s="373" t="s">
        <v>548</v>
      </c>
      <c r="B8" s="373" t="s">
        <v>537</v>
      </c>
      <c r="C8" s="374"/>
      <c r="D8" s="373" t="s">
        <v>538</v>
      </c>
      <c r="E8" s="373">
        <v>1.0</v>
      </c>
      <c r="F8" s="375">
        <v>45468.42569444444</v>
      </c>
      <c r="G8" s="373">
        <v>1.0</v>
      </c>
      <c r="H8" s="373">
        <v>51.3774</v>
      </c>
      <c r="I8" s="373">
        <v>14.4141</v>
      </c>
      <c r="J8" s="373">
        <v>-27.47955</v>
      </c>
      <c r="K8" s="373">
        <v>-25.756712</v>
      </c>
      <c r="L8" s="373">
        <v>987.604</v>
      </c>
      <c r="M8" s="373">
        <v>66.49986</v>
      </c>
      <c r="N8" s="373">
        <v>11264.5497</v>
      </c>
      <c r="O8" s="373">
        <v>11264.5497</v>
      </c>
      <c r="P8" s="376">
        <v>2050.757265</v>
      </c>
      <c r="Q8" s="376" t="s">
        <v>12</v>
      </c>
      <c r="R8" s="376" t="s">
        <v>539</v>
      </c>
      <c r="S8" s="376">
        <v>10.0</v>
      </c>
      <c r="T8" s="376">
        <v>5.0</v>
      </c>
      <c r="U8" s="376">
        <v>0.7</v>
      </c>
      <c r="V8" s="376">
        <v>0.7</v>
      </c>
      <c r="W8" s="376">
        <v>0.7</v>
      </c>
      <c r="X8" s="373">
        <v>2000.0</v>
      </c>
      <c r="Y8" s="373" t="s">
        <v>540</v>
      </c>
      <c r="Z8" s="373">
        <v>0.2</v>
      </c>
      <c r="AA8" s="373" t="s">
        <v>541</v>
      </c>
      <c r="AB8" s="373" t="s">
        <v>542</v>
      </c>
      <c r="AC8" s="373">
        <v>220.0</v>
      </c>
      <c r="AD8" s="193"/>
      <c r="AE8" s="377"/>
    </row>
    <row r="9">
      <c r="A9" s="373" t="s">
        <v>549</v>
      </c>
      <c r="B9" s="373" t="s">
        <v>537</v>
      </c>
      <c r="C9" s="374"/>
      <c r="D9" s="373" t="s">
        <v>538</v>
      </c>
      <c r="E9" s="373">
        <v>1.0</v>
      </c>
      <c r="F9" s="375">
        <v>45468.42847222222</v>
      </c>
      <c r="G9" s="373">
        <v>1.0</v>
      </c>
      <c r="H9" s="373">
        <v>51.3774</v>
      </c>
      <c r="I9" s="373">
        <v>13.3603</v>
      </c>
      <c r="J9" s="373">
        <v>-27.520769</v>
      </c>
      <c r="K9" s="373">
        <v>-25.434569</v>
      </c>
      <c r="L9" s="373">
        <v>994.271</v>
      </c>
      <c r="M9" s="373">
        <v>62.998178</v>
      </c>
      <c r="N9" s="373">
        <v>11261.67026</v>
      </c>
      <c r="O9" s="373">
        <v>11261.67026</v>
      </c>
      <c r="P9" s="376">
        <v>2050.242163</v>
      </c>
      <c r="Q9" s="376" t="s">
        <v>12</v>
      </c>
      <c r="R9" s="376" t="s">
        <v>539</v>
      </c>
      <c r="S9" s="376">
        <v>10.0</v>
      </c>
      <c r="T9" s="376">
        <v>5.0</v>
      </c>
      <c r="U9" s="376">
        <v>0.7</v>
      </c>
      <c r="V9" s="376">
        <v>0.7</v>
      </c>
      <c r="W9" s="376">
        <v>0.7</v>
      </c>
      <c r="X9" s="373">
        <v>2000.0</v>
      </c>
      <c r="Y9" s="373" t="s">
        <v>540</v>
      </c>
      <c r="Z9" s="373">
        <v>0.2</v>
      </c>
      <c r="AA9" s="373" t="s">
        <v>541</v>
      </c>
      <c r="AB9" s="373" t="s">
        <v>542</v>
      </c>
      <c r="AC9" s="373">
        <v>220.0</v>
      </c>
      <c r="AD9" s="193"/>
      <c r="AE9" s="377"/>
    </row>
    <row r="10">
      <c r="A10" s="373" t="s">
        <v>550</v>
      </c>
      <c r="B10" s="373" t="s">
        <v>551</v>
      </c>
      <c r="C10" s="373" t="s">
        <v>552</v>
      </c>
      <c r="D10" s="373" t="s">
        <v>538</v>
      </c>
      <c r="E10" s="373">
        <v>0.8</v>
      </c>
      <c r="F10" s="375">
        <v>45468.43402777778</v>
      </c>
      <c r="G10" s="373">
        <v>1.0</v>
      </c>
      <c r="H10" s="373">
        <v>51.3741</v>
      </c>
      <c r="I10" s="373">
        <v>12.5331</v>
      </c>
      <c r="J10" s="373">
        <v>-27.337237</v>
      </c>
      <c r="K10" s="373">
        <v>-25.567287</v>
      </c>
      <c r="L10" s="373">
        <v>969.692</v>
      </c>
      <c r="M10" s="373">
        <v>62.498764</v>
      </c>
      <c r="N10" s="373">
        <v>9106.61054</v>
      </c>
      <c r="O10" s="373">
        <v>9211.10925</v>
      </c>
      <c r="P10" s="376">
        <v>2070.3457</v>
      </c>
      <c r="Q10" s="376" t="s">
        <v>12</v>
      </c>
      <c r="R10" s="376" t="s">
        <v>553</v>
      </c>
      <c r="S10" s="376">
        <v>10.0</v>
      </c>
      <c r="T10" s="376">
        <v>5.0</v>
      </c>
      <c r="U10" s="376">
        <v>0.7</v>
      </c>
      <c r="V10" s="376">
        <v>0.7</v>
      </c>
      <c r="W10" s="376">
        <v>0.7</v>
      </c>
      <c r="X10" s="373">
        <v>2000.0</v>
      </c>
      <c r="Y10" s="373" t="s">
        <v>540</v>
      </c>
      <c r="Z10" s="373">
        <v>0.2</v>
      </c>
      <c r="AA10" s="373" t="s">
        <v>541</v>
      </c>
      <c r="AB10" s="373" t="s">
        <v>542</v>
      </c>
      <c r="AC10" s="373">
        <v>220.0</v>
      </c>
      <c r="AD10" s="193"/>
      <c r="AE10" s="377"/>
    </row>
    <row r="11">
      <c r="A11" s="373" t="s">
        <v>554</v>
      </c>
      <c r="B11" s="373" t="s">
        <v>551</v>
      </c>
      <c r="C11" s="373" t="s">
        <v>552</v>
      </c>
      <c r="D11" s="373" t="s">
        <v>538</v>
      </c>
      <c r="E11" s="373">
        <v>0.8</v>
      </c>
      <c r="F11" s="375">
        <v>45468.436111111114</v>
      </c>
      <c r="G11" s="373">
        <v>1.0</v>
      </c>
      <c r="H11" s="373">
        <v>51.3774</v>
      </c>
      <c r="I11" s="373">
        <v>11.857</v>
      </c>
      <c r="J11" s="373">
        <v>-27.288888</v>
      </c>
      <c r="K11" s="373">
        <v>-25.647606</v>
      </c>
      <c r="L11" s="373">
        <v>996.33</v>
      </c>
      <c r="M11" s="373">
        <v>60.499985</v>
      </c>
      <c r="N11" s="373">
        <v>9177.815934</v>
      </c>
      <c r="O11" s="373">
        <v>9211.10925</v>
      </c>
      <c r="P11" s="376">
        <v>2070.3457</v>
      </c>
      <c r="Q11" s="376" t="s">
        <v>12</v>
      </c>
      <c r="R11" s="376" t="s">
        <v>553</v>
      </c>
      <c r="S11" s="376">
        <v>10.0</v>
      </c>
      <c r="T11" s="376">
        <v>5.0</v>
      </c>
      <c r="U11" s="376">
        <v>0.7</v>
      </c>
      <c r="V11" s="376">
        <v>0.7</v>
      </c>
      <c r="W11" s="376">
        <v>0.7</v>
      </c>
      <c r="X11" s="373">
        <v>2000.0</v>
      </c>
      <c r="Y11" s="373" t="s">
        <v>540</v>
      </c>
      <c r="Z11" s="373">
        <v>0.2</v>
      </c>
      <c r="AA11" s="373" t="s">
        <v>541</v>
      </c>
      <c r="AB11" s="373" t="s">
        <v>542</v>
      </c>
      <c r="AC11" s="373">
        <v>220.0</v>
      </c>
      <c r="AD11" s="193"/>
      <c r="AE11" s="377"/>
    </row>
    <row r="12">
      <c r="A12" s="373" t="s">
        <v>555</v>
      </c>
      <c r="B12" s="373" t="s">
        <v>551</v>
      </c>
      <c r="C12" s="373" t="s">
        <v>552</v>
      </c>
      <c r="D12" s="373" t="s">
        <v>538</v>
      </c>
      <c r="E12" s="373">
        <v>0.8</v>
      </c>
      <c r="F12" s="375">
        <v>45468.438888888886</v>
      </c>
      <c r="G12" s="373">
        <v>1.0</v>
      </c>
      <c r="H12" s="373">
        <v>51.3774</v>
      </c>
      <c r="I12" s="373">
        <v>10.578</v>
      </c>
      <c r="J12" s="373">
        <v>-27.275831</v>
      </c>
      <c r="K12" s="373">
        <v>-25.831281</v>
      </c>
      <c r="L12" s="373">
        <v>1009.71</v>
      </c>
      <c r="M12" s="373">
        <v>62.498617</v>
      </c>
      <c r="N12" s="373">
        <v>9203.516929</v>
      </c>
      <c r="O12" s="373">
        <v>9211.10925</v>
      </c>
      <c r="P12" s="376">
        <v>2070.3457</v>
      </c>
      <c r="Q12" s="376" t="s">
        <v>12</v>
      </c>
      <c r="R12" s="376" t="s">
        <v>539</v>
      </c>
      <c r="S12" s="376">
        <v>10.0</v>
      </c>
      <c r="T12" s="376">
        <v>5.0</v>
      </c>
      <c r="U12" s="376">
        <v>0.7</v>
      </c>
      <c r="V12" s="376">
        <v>0.7</v>
      </c>
      <c r="W12" s="376">
        <v>0.7</v>
      </c>
      <c r="X12" s="373">
        <v>2000.0</v>
      </c>
      <c r="Y12" s="373" t="s">
        <v>540</v>
      </c>
      <c r="Z12" s="373">
        <v>0.2</v>
      </c>
      <c r="AA12" s="373" t="s">
        <v>541</v>
      </c>
      <c r="AB12" s="373" t="s">
        <v>542</v>
      </c>
      <c r="AC12" s="373">
        <v>220.0</v>
      </c>
      <c r="AD12" s="193"/>
      <c r="AE12" s="377"/>
    </row>
    <row r="13">
      <c r="A13" s="373" t="s">
        <v>556</v>
      </c>
      <c r="B13" s="373" t="s">
        <v>551</v>
      </c>
      <c r="C13" s="373" t="s">
        <v>552</v>
      </c>
      <c r="D13" s="373" t="s">
        <v>538</v>
      </c>
      <c r="E13" s="373">
        <v>0.8</v>
      </c>
      <c r="F13" s="375">
        <v>45468.441666666666</v>
      </c>
      <c r="G13" s="373">
        <v>1.0</v>
      </c>
      <c r="H13" s="373">
        <v>51.3741</v>
      </c>
      <c r="I13" s="373">
        <v>9.59246</v>
      </c>
      <c r="J13" s="373">
        <v>-27.264031</v>
      </c>
      <c r="K13" s="373">
        <v>-25.805456</v>
      </c>
      <c r="L13" s="373">
        <v>999.069</v>
      </c>
      <c r="M13" s="373">
        <v>63.498913</v>
      </c>
      <c r="N13" s="373">
        <v>9218.701572</v>
      </c>
      <c r="O13" s="373">
        <v>9211.10925</v>
      </c>
      <c r="P13" s="376">
        <v>2070.3457</v>
      </c>
      <c r="Q13" s="376" t="s">
        <v>12</v>
      </c>
      <c r="R13" s="376" t="s">
        <v>539</v>
      </c>
      <c r="S13" s="376">
        <v>10.0</v>
      </c>
      <c r="T13" s="376">
        <v>5.0</v>
      </c>
      <c r="U13" s="376">
        <v>0.7</v>
      </c>
      <c r="V13" s="376">
        <v>0.7</v>
      </c>
      <c r="W13" s="376">
        <v>0.7</v>
      </c>
      <c r="X13" s="373">
        <v>2000.0</v>
      </c>
      <c r="Y13" s="373" t="s">
        <v>540</v>
      </c>
      <c r="Z13" s="373">
        <v>0.2</v>
      </c>
      <c r="AA13" s="373" t="s">
        <v>541</v>
      </c>
      <c r="AB13" s="373" t="s">
        <v>542</v>
      </c>
      <c r="AC13" s="373">
        <v>220.0</v>
      </c>
      <c r="AD13" s="193"/>
      <c r="AE13" s="377"/>
    </row>
    <row r="14">
      <c r="A14" s="378" t="s">
        <v>557</v>
      </c>
      <c r="B14" s="378" t="s">
        <v>558</v>
      </c>
      <c r="C14" s="378" t="s">
        <v>552</v>
      </c>
      <c r="D14" s="378" t="s">
        <v>538</v>
      </c>
      <c r="E14" s="378">
        <v>1.0</v>
      </c>
      <c r="F14" s="379">
        <v>45468.444444444445</v>
      </c>
      <c r="G14" s="378">
        <v>1.0</v>
      </c>
      <c r="H14" s="378">
        <v>51.3741</v>
      </c>
      <c r="I14" s="378">
        <v>9.27608</v>
      </c>
      <c r="J14" s="378">
        <v>-27.19915</v>
      </c>
      <c r="K14" s="378">
        <v>-25.49095</v>
      </c>
      <c r="L14" s="378">
        <v>1059.33</v>
      </c>
      <c r="M14" s="378">
        <v>68.000073</v>
      </c>
      <c r="N14" s="378">
        <v>11567.5055</v>
      </c>
      <c r="O14" s="378">
        <v>11563.0066</v>
      </c>
      <c r="P14" s="380">
        <v>2070.3457</v>
      </c>
      <c r="Q14" s="376" t="s">
        <v>12</v>
      </c>
      <c r="R14" s="380" t="s">
        <v>539</v>
      </c>
      <c r="S14" s="380">
        <v>10.0</v>
      </c>
      <c r="T14" s="380">
        <v>5.0</v>
      </c>
      <c r="U14" s="380">
        <v>0.7</v>
      </c>
      <c r="V14" s="380">
        <v>0.7</v>
      </c>
      <c r="W14" s="380">
        <v>0.7</v>
      </c>
      <c r="X14" s="378">
        <v>2000.0</v>
      </c>
      <c r="Y14" s="378" t="s">
        <v>540</v>
      </c>
      <c r="Z14" s="378">
        <v>0.2</v>
      </c>
      <c r="AA14" s="378" t="s">
        <v>541</v>
      </c>
      <c r="AB14" s="378" t="s">
        <v>542</v>
      </c>
      <c r="AC14" s="378">
        <v>220.0</v>
      </c>
      <c r="AD14" s="193"/>
      <c r="AE14" s="377"/>
    </row>
    <row r="15">
      <c r="A15" s="373" t="s">
        <v>559</v>
      </c>
      <c r="B15" s="373" t="s">
        <v>558</v>
      </c>
      <c r="C15" s="373" t="s">
        <v>552</v>
      </c>
      <c r="D15" s="373" t="s">
        <v>538</v>
      </c>
      <c r="E15" s="373">
        <v>1.0</v>
      </c>
      <c r="F15" s="375">
        <v>45468.447222222225</v>
      </c>
      <c r="G15" s="373">
        <v>1.0</v>
      </c>
      <c r="H15" s="373">
        <v>51.3774</v>
      </c>
      <c r="I15" s="373">
        <v>8.78501</v>
      </c>
      <c r="J15" s="373">
        <v>-27.085412</v>
      </c>
      <c r="K15" s="373">
        <v>-25.378388</v>
      </c>
      <c r="L15" s="373">
        <v>1080.33</v>
      </c>
      <c r="M15" s="373">
        <v>65.000085</v>
      </c>
      <c r="N15" s="373">
        <v>11558.50769</v>
      </c>
      <c r="O15" s="373">
        <v>11563.0066</v>
      </c>
      <c r="P15" s="376">
        <v>2070.3457</v>
      </c>
      <c r="Q15" s="376" t="s">
        <v>12</v>
      </c>
      <c r="R15" s="376" t="s">
        <v>539</v>
      </c>
      <c r="S15" s="376">
        <v>10.0</v>
      </c>
      <c r="T15" s="376">
        <v>5.0</v>
      </c>
      <c r="U15" s="376">
        <v>0.7</v>
      </c>
      <c r="V15" s="376">
        <v>0.7</v>
      </c>
      <c r="W15" s="376">
        <v>0.7</v>
      </c>
      <c r="X15" s="373">
        <v>2000.0</v>
      </c>
      <c r="Y15" s="373" t="s">
        <v>540</v>
      </c>
      <c r="Z15" s="373">
        <v>0.2</v>
      </c>
      <c r="AA15" s="373" t="s">
        <v>541</v>
      </c>
      <c r="AB15" s="373" t="s">
        <v>542</v>
      </c>
      <c r="AC15" s="373">
        <v>220.0</v>
      </c>
      <c r="AD15" s="193"/>
      <c r="AE15" s="377"/>
    </row>
    <row r="16">
      <c r="A16" s="373" t="s">
        <v>560</v>
      </c>
      <c r="B16" s="373" t="s">
        <v>561</v>
      </c>
      <c r="C16" s="373" t="s">
        <v>552</v>
      </c>
      <c r="D16" s="373" t="s">
        <v>538</v>
      </c>
      <c r="E16" s="373">
        <v>1.2</v>
      </c>
      <c r="F16" s="375">
        <v>45468.45</v>
      </c>
      <c r="G16" s="373">
        <v>1.0</v>
      </c>
      <c r="H16" s="373">
        <v>51.3741</v>
      </c>
      <c r="I16" s="373">
        <v>8.72148</v>
      </c>
      <c r="J16" s="373">
        <v>-27.072606</v>
      </c>
      <c r="K16" s="373">
        <v>-25.085425</v>
      </c>
      <c r="L16" s="373">
        <v>1091.09</v>
      </c>
      <c r="M16" s="373">
        <v>74.500627</v>
      </c>
      <c r="N16" s="373">
        <v>13946.73357</v>
      </c>
      <c r="O16" s="373">
        <v>13943.62951</v>
      </c>
      <c r="P16" s="376">
        <v>2070.3457</v>
      </c>
      <c r="Q16" s="376" t="s">
        <v>12</v>
      </c>
      <c r="R16" s="376" t="s">
        <v>539</v>
      </c>
      <c r="S16" s="376">
        <v>10.0</v>
      </c>
      <c r="T16" s="376">
        <v>5.0</v>
      </c>
      <c r="U16" s="376">
        <v>0.7</v>
      </c>
      <c r="V16" s="381">
        <v>0.7</v>
      </c>
      <c r="W16" s="376">
        <v>0.7</v>
      </c>
      <c r="X16" s="373">
        <v>2000.0</v>
      </c>
      <c r="Y16" s="373" t="s">
        <v>540</v>
      </c>
      <c r="Z16" s="373">
        <v>0.2</v>
      </c>
      <c r="AA16" s="373" t="s">
        <v>541</v>
      </c>
      <c r="AB16" s="373" t="s">
        <v>542</v>
      </c>
      <c r="AC16" s="373">
        <v>220.0</v>
      </c>
      <c r="AD16" s="193"/>
      <c r="AE16" s="377"/>
    </row>
    <row r="17">
      <c r="A17" s="373" t="s">
        <v>562</v>
      </c>
      <c r="B17" s="373" t="s">
        <v>561</v>
      </c>
      <c r="C17" s="373" t="s">
        <v>552</v>
      </c>
      <c r="D17" s="373" t="s">
        <v>538</v>
      </c>
      <c r="E17" s="373">
        <v>1.2</v>
      </c>
      <c r="F17" s="375">
        <v>45468.45277777778</v>
      </c>
      <c r="G17" s="373">
        <v>1.0</v>
      </c>
      <c r="H17" s="373">
        <v>51.3741</v>
      </c>
      <c r="I17" s="373">
        <v>8.51248</v>
      </c>
      <c r="J17" s="373">
        <v>-26.986412</v>
      </c>
      <c r="K17" s="373">
        <v>-24.983694</v>
      </c>
      <c r="L17" s="373">
        <v>1082.03</v>
      </c>
      <c r="M17" s="373">
        <v>69.499321</v>
      </c>
      <c r="N17" s="373">
        <v>13940.52545</v>
      </c>
      <c r="O17" s="373">
        <v>13943.62951</v>
      </c>
      <c r="P17" s="376">
        <v>2070.3457</v>
      </c>
      <c r="Q17" s="376" t="s">
        <v>12</v>
      </c>
      <c r="R17" s="376" t="s">
        <v>539</v>
      </c>
      <c r="S17" s="376">
        <v>10.0</v>
      </c>
      <c r="T17" s="376">
        <v>5.0</v>
      </c>
      <c r="U17" s="376">
        <v>0.7</v>
      </c>
      <c r="V17" s="381">
        <v>0.7</v>
      </c>
      <c r="W17" s="376">
        <v>0.7</v>
      </c>
      <c r="X17" s="373">
        <v>2000.0</v>
      </c>
      <c r="Y17" s="373" t="s">
        <v>540</v>
      </c>
      <c r="Z17" s="373">
        <v>0.2</v>
      </c>
      <c r="AA17" s="373" t="s">
        <v>541</v>
      </c>
      <c r="AB17" s="373" t="s">
        <v>542</v>
      </c>
      <c r="AC17" s="373">
        <v>220.0</v>
      </c>
      <c r="AD17" s="193"/>
      <c r="AE17" s="377"/>
    </row>
    <row r="18">
      <c r="A18" s="373" t="s">
        <v>563</v>
      </c>
      <c r="B18" s="373">
        <v>2.0</v>
      </c>
      <c r="C18" s="373">
        <v>1.0</v>
      </c>
      <c r="D18" s="373" t="s">
        <v>564</v>
      </c>
      <c r="E18" s="373">
        <v>1.0</v>
      </c>
      <c r="F18" s="375">
        <v>45468.45625</v>
      </c>
      <c r="G18" s="373">
        <v>1.0</v>
      </c>
      <c r="H18" s="373">
        <v>51.3708</v>
      </c>
      <c r="I18" s="373">
        <v>8.46561</v>
      </c>
      <c r="J18" s="373">
        <v>-26.97045</v>
      </c>
      <c r="K18" s="373">
        <v>-25.336625</v>
      </c>
      <c r="L18" s="373">
        <v>1097.26</v>
      </c>
      <c r="M18" s="373">
        <v>67.49968</v>
      </c>
      <c r="N18" s="373">
        <v>11644.25555</v>
      </c>
      <c r="O18" s="373">
        <v>11686.234</v>
      </c>
      <c r="P18" s="376">
        <v>2090.233571</v>
      </c>
      <c r="Q18" s="376" t="s">
        <v>12</v>
      </c>
      <c r="R18" s="376" t="s">
        <v>553</v>
      </c>
      <c r="S18" s="376">
        <v>10.0</v>
      </c>
      <c r="T18" s="376">
        <v>5.0</v>
      </c>
      <c r="U18" s="376">
        <v>0.7</v>
      </c>
      <c r="V18" s="381">
        <v>0.7</v>
      </c>
      <c r="W18" s="376">
        <v>0.7</v>
      </c>
      <c r="X18" s="373">
        <v>2000.0</v>
      </c>
      <c r="Y18" s="373" t="s">
        <v>540</v>
      </c>
      <c r="Z18" s="373">
        <v>0.2</v>
      </c>
      <c r="AA18" s="373" t="s">
        <v>541</v>
      </c>
      <c r="AB18" s="373" t="s">
        <v>542</v>
      </c>
      <c r="AC18" s="373">
        <v>220.0</v>
      </c>
      <c r="AD18" s="193"/>
      <c r="AE18" s="377"/>
    </row>
    <row r="19">
      <c r="A19" s="373" t="s">
        <v>565</v>
      </c>
      <c r="B19" s="373">
        <v>2.0</v>
      </c>
      <c r="C19" s="373">
        <v>1.0</v>
      </c>
      <c r="D19" s="373" t="s">
        <v>564</v>
      </c>
      <c r="E19" s="373">
        <v>1.0</v>
      </c>
      <c r="F19" s="375">
        <v>45468.459027777775</v>
      </c>
      <c r="G19" s="373">
        <v>1.0</v>
      </c>
      <c r="H19" s="373">
        <v>51.3807</v>
      </c>
      <c r="I19" s="373">
        <v>8.44454</v>
      </c>
      <c r="J19" s="373">
        <v>-26.973769</v>
      </c>
      <c r="K19" s="373">
        <v>-25.550131</v>
      </c>
      <c r="L19" s="373">
        <v>1100.38</v>
      </c>
      <c r="M19" s="373">
        <v>71.499625</v>
      </c>
      <c r="N19" s="373">
        <v>11681.79314</v>
      </c>
      <c r="O19" s="373">
        <v>11686.234</v>
      </c>
      <c r="P19" s="376">
        <v>2090.233571</v>
      </c>
      <c r="Q19" s="376" t="s">
        <v>12</v>
      </c>
      <c r="R19" s="376" t="s">
        <v>539</v>
      </c>
      <c r="S19" s="376">
        <v>10.0</v>
      </c>
      <c r="T19" s="376">
        <v>5.0</v>
      </c>
      <c r="U19" s="376">
        <v>0.7</v>
      </c>
      <c r="V19" s="381">
        <v>0.7</v>
      </c>
      <c r="W19" s="376">
        <v>0.7</v>
      </c>
      <c r="X19" s="373">
        <v>2000.0</v>
      </c>
      <c r="Y19" s="373" t="s">
        <v>540</v>
      </c>
      <c r="Z19" s="373">
        <v>0.2</v>
      </c>
      <c r="AA19" s="373" t="s">
        <v>541</v>
      </c>
      <c r="AB19" s="373" t="s">
        <v>542</v>
      </c>
      <c r="AC19" s="373">
        <v>220.0</v>
      </c>
      <c r="AD19" s="193"/>
      <c r="AE19" s="377"/>
    </row>
    <row r="20">
      <c r="A20" s="373" t="s">
        <v>566</v>
      </c>
      <c r="B20" s="373">
        <v>2.0</v>
      </c>
      <c r="C20" s="373">
        <v>1.0</v>
      </c>
      <c r="D20" s="373" t="s">
        <v>564</v>
      </c>
      <c r="E20" s="373">
        <v>1.0</v>
      </c>
      <c r="F20" s="375">
        <v>45468.461805555555</v>
      </c>
      <c r="G20" s="373">
        <v>1.0</v>
      </c>
      <c r="H20" s="373">
        <v>51.3741</v>
      </c>
      <c r="I20" s="373">
        <v>8.42915</v>
      </c>
      <c r="J20" s="373">
        <v>-26.831631</v>
      </c>
      <c r="K20" s="373">
        <v>-25.703</v>
      </c>
      <c r="L20" s="373">
        <v>1086.56</v>
      </c>
      <c r="M20" s="373">
        <v>74.498146</v>
      </c>
      <c r="N20" s="373">
        <v>11690.67486</v>
      </c>
      <c r="O20" s="373">
        <v>11686.234</v>
      </c>
      <c r="P20" s="376">
        <v>2090.233571</v>
      </c>
      <c r="Q20" s="376" t="s">
        <v>12</v>
      </c>
      <c r="R20" s="376" t="s">
        <v>539</v>
      </c>
      <c r="S20" s="376">
        <v>10.0</v>
      </c>
      <c r="T20" s="376">
        <v>5.0</v>
      </c>
      <c r="U20" s="376">
        <v>0.7</v>
      </c>
      <c r="V20" s="381">
        <v>0.7</v>
      </c>
      <c r="W20" s="376">
        <v>0.7</v>
      </c>
      <c r="X20" s="373">
        <v>2000.0</v>
      </c>
      <c r="Y20" s="373" t="s">
        <v>540</v>
      </c>
      <c r="Z20" s="373">
        <v>0.2</v>
      </c>
      <c r="AA20" s="373" t="s">
        <v>541</v>
      </c>
      <c r="AB20" s="373" t="s">
        <v>542</v>
      </c>
      <c r="AC20" s="373">
        <v>220.0</v>
      </c>
      <c r="AD20" s="193"/>
      <c r="AE20" s="377"/>
    </row>
    <row r="21">
      <c r="A21" s="373" t="s">
        <v>567</v>
      </c>
      <c r="B21" s="373">
        <v>3.0</v>
      </c>
      <c r="C21" s="373">
        <v>2.0</v>
      </c>
      <c r="D21" s="373" t="s">
        <v>568</v>
      </c>
      <c r="E21" s="373">
        <v>1.0</v>
      </c>
      <c r="F21" s="375">
        <v>45468.46527777778</v>
      </c>
      <c r="G21" s="373">
        <v>1.0</v>
      </c>
      <c r="H21" s="373">
        <v>51.3807</v>
      </c>
      <c r="I21" s="373">
        <v>8.25492</v>
      </c>
      <c r="J21" s="373">
        <v>-26.863356</v>
      </c>
      <c r="K21" s="373">
        <v>-25.062038</v>
      </c>
      <c r="L21" s="373">
        <v>1086.19</v>
      </c>
      <c r="M21" s="373">
        <v>66.000324</v>
      </c>
      <c r="N21" s="373">
        <v>11661.29965</v>
      </c>
      <c r="O21" s="373">
        <v>11669.69248</v>
      </c>
      <c r="P21" s="376">
        <v>2087.338988</v>
      </c>
      <c r="Q21" s="376" t="s">
        <v>12</v>
      </c>
      <c r="R21" s="376" t="s">
        <v>539</v>
      </c>
      <c r="S21" s="376">
        <v>10.0</v>
      </c>
      <c r="T21" s="376">
        <v>5.0</v>
      </c>
      <c r="U21" s="376">
        <v>0.7</v>
      </c>
      <c r="V21" s="381">
        <v>0.7</v>
      </c>
      <c r="W21" s="376">
        <v>0.7</v>
      </c>
      <c r="X21" s="373">
        <v>2000.0</v>
      </c>
      <c r="Y21" s="373" t="s">
        <v>540</v>
      </c>
      <c r="Z21" s="373">
        <v>0.2</v>
      </c>
      <c r="AA21" s="373" t="s">
        <v>541</v>
      </c>
      <c r="AB21" s="373" t="s">
        <v>542</v>
      </c>
      <c r="AC21" s="373">
        <v>220.0</v>
      </c>
      <c r="AD21" s="193"/>
      <c r="AE21" s="377"/>
    </row>
    <row r="22">
      <c r="A22" s="373" t="s">
        <v>569</v>
      </c>
      <c r="B22" s="373">
        <v>3.0</v>
      </c>
      <c r="C22" s="373">
        <v>2.0</v>
      </c>
      <c r="D22" s="373" t="s">
        <v>568</v>
      </c>
      <c r="E22" s="373">
        <v>1.0</v>
      </c>
      <c r="F22" s="375">
        <v>45468.46805555555</v>
      </c>
      <c r="G22" s="373">
        <v>1.0</v>
      </c>
      <c r="H22" s="373">
        <v>51.3774</v>
      </c>
      <c r="I22" s="373">
        <v>8.25926</v>
      </c>
      <c r="J22" s="373">
        <v>-26.738762</v>
      </c>
      <c r="K22" s="373">
        <v>-25.269831</v>
      </c>
      <c r="L22" s="373">
        <v>1075.23</v>
      </c>
      <c r="M22" s="373">
        <v>69.000186</v>
      </c>
      <c r="N22" s="373">
        <v>11678.0853</v>
      </c>
      <c r="O22" s="373">
        <v>11669.69248</v>
      </c>
      <c r="P22" s="376">
        <v>2087.338988</v>
      </c>
      <c r="Q22" s="376" t="s">
        <v>12</v>
      </c>
      <c r="R22" s="376" t="s">
        <v>539</v>
      </c>
      <c r="S22" s="376">
        <v>10.0</v>
      </c>
      <c r="T22" s="376">
        <v>5.0</v>
      </c>
      <c r="U22" s="376">
        <v>0.7</v>
      </c>
      <c r="V22" s="381">
        <v>0.7</v>
      </c>
      <c r="W22" s="376">
        <v>0.7</v>
      </c>
      <c r="X22" s="373">
        <v>2000.0</v>
      </c>
      <c r="Y22" s="373" t="s">
        <v>540</v>
      </c>
      <c r="Z22" s="373">
        <v>0.2</v>
      </c>
      <c r="AA22" s="373" t="s">
        <v>541</v>
      </c>
      <c r="AB22" s="373" t="s">
        <v>542</v>
      </c>
      <c r="AC22" s="373">
        <v>220.0</v>
      </c>
      <c r="AD22" s="193"/>
      <c r="AE22" s="377"/>
    </row>
    <row r="23">
      <c r="A23" s="373" t="s">
        <v>570</v>
      </c>
      <c r="B23" s="373">
        <v>4.0</v>
      </c>
      <c r="C23" s="373">
        <v>118.0</v>
      </c>
      <c r="D23" s="373" t="s">
        <v>571</v>
      </c>
      <c r="E23" s="373">
        <v>1.0</v>
      </c>
      <c r="F23" s="375">
        <v>45468.47152777778</v>
      </c>
      <c r="G23" s="373">
        <v>1.0</v>
      </c>
      <c r="H23" s="373">
        <v>51.3774</v>
      </c>
      <c r="I23" s="373">
        <v>8.08084</v>
      </c>
      <c r="J23" s="373">
        <v>-26.738375</v>
      </c>
      <c r="K23" s="373">
        <v>-25.154125</v>
      </c>
      <c r="L23" s="373">
        <v>1076.14</v>
      </c>
      <c r="M23" s="373">
        <v>68.499575</v>
      </c>
      <c r="N23" s="373">
        <v>11646.27475</v>
      </c>
      <c r="O23" s="373">
        <v>11682.50343</v>
      </c>
      <c r="P23" s="376">
        <v>2089.580762</v>
      </c>
      <c r="Q23" s="376" t="s">
        <v>12</v>
      </c>
      <c r="R23" s="376" t="s">
        <v>553</v>
      </c>
      <c r="S23" s="376">
        <v>10.0</v>
      </c>
      <c r="T23" s="376">
        <v>5.0</v>
      </c>
      <c r="U23" s="376">
        <v>0.7</v>
      </c>
      <c r="V23" s="381">
        <v>0.7</v>
      </c>
      <c r="W23" s="376">
        <v>0.7</v>
      </c>
      <c r="X23" s="373">
        <v>2000.0</v>
      </c>
      <c r="Y23" s="373" t="s">
        <v>540</v>
      </c>
      <c r="Z23" s="373">
        <v>0.2</v>
      </c>
      <c r="AA23" s="373" t="s">
        <v>541</v>
      </c>
      <c r="AB23" s="373" t="s">
        <v>542</v>
      </c>
      <c r="AC23" s="373">
        <v>220.0</v>
      </c>
      <c r="AD23" s="193"/>
      <c r="AE23" s="377"/>
    </row>
    <row r="24">
      <c r="A24" s="373" t="s">
        <v>572</v>
      </c>
      <c r="B24" s="373">
        <v>4.0</v>
      </c>
      <c r="C24" s="373">
        <v>118.0</v>
      </c>
      <c r="D24" s="373" t="s">
        <v>571</v>
      </c>
      <c r="E24" s="373">
        <v>1.0</v>
      </c>
      <c r="F24" s="375">
        <v>45468.47430555556</v>
      </c>
      <c r="G24" s="373">
        <v>1.0</v>
      </c>
      <c r="H24" s="373">
        <v>51.3741</v>
      </c>
      <c r="I24" s="373">
        <v>8.11049</v>
      </c>
      <c r="J24" s="373">
        <v>-26.757469</v>
      </c>
      <c r="K24" s="373">
        <v>-24.869631</v>
      </c>
      <c r="L24" s="373">
        <v>1085.16</v>
      </c>
      <c r="M24" s="373">
        <v>65.999835</v>
      </c>
      <c r="N24" s="373">
        <v>11678.65501</v>
      </c>
      <c r="O24" s="373">
        <v>11682.50343</v>
      </c>
      <c r="P24" s="376">
        <v>2089.580762</v>
      </c>
      <c r="Q24" s="376" t="s">
        <v>12</v>
      </c>
      <c r="R24" s="376" t="s">
        <v>539</v>
      </c>
      <c r="S24" s="376">
        <v>10.0</v>
      </c>
      <c r="T24" s="376">
        <v>5.0</v>
      </c>
      <c r="U24" s="376">
        <v>0.7</v>
      </c>
      <c r="V24" s="381">
        <v>0.7</v>
      </c>
      <c r="W24" s="376">
        <v>0.7</v>
      </c>
      <c r="X24" s="373">
        <v>2000.0</v>
      </c>
      <c r="Y24" s="373" t="s">
        <v>540</v>
      </c>
      <c r="Z24" s="373">
        <v>0.2</v>
      </c>
      <c r="AA24" s="373" t="s">
        <v>541</v>
      </c>
      <c r="AB24" s="373" t="s">
        <v>542</v>
      </c>
      <c r="AC24" s="373">
        <v>220.0</v>
      </c>
      <c r="AD24" s="193"/>
      <c r="AE24" s="377"/>
    </row>
    <row r="25">
      <c r="A25" s="373" t="s">
        <v>573</v>
      </c>
      <c r="B25" s="373">
        <v>4.0</v>
      </c>
      <c r="C25" s="373">
        <v>118.0</v>
      </c>
      <c r="D25" s="373" t="s">
        <v>571</v>
      </c>
      <c r="E25" s="373">
        <v>1.0</v>
      </c>
      <c r="F25" s="375">
        <v>45468.47708333333</v>
      </c>
      <c r="G25" s="373">
        <v>1.0</v>
      </c>
      <c r="H25" s="373">
        <v>51.3807</v>
      </c>
      <c r="I25" s="373">
        <v>8.05428</v>
      </c>
      <c r="J25" s="373">
        <v>-26.588519</v>
      </c>
      <c r="K25" s="373">
        <v>-24.755625</v>
      </c>
      <c r="L25" s="373">
        <v>1102.09</v>
      </c>
      <c r="M25" s="373">
        <v>67.99884</v>
      </c>
      <c r="N25" s="373">
        <v>11686.35185</v>
      </c>
      <c r="O25" s="373">
        <v>11682.50343</v>
      </c>
      <c r="P25" s="376">
        <v>2089.580762</v>
      </c>
      <c r="Q25" s="376" t="s">
        <v>12</v>
      </c>
      <c r="R25" s="376" t="s">
        <v>539</v>
      </c>
      <c r="S25" s="376">
        <v>10.0</v>
      </c>
      <c r="T25" s="376">
        <v>5.0</v>
      </c>
      <c r="U25" s="376">
        <v>0.7</v>
      </c>
      <c r="V25" s="381">
        <v>0.7</v>
      </c>
      <c r="W25" s="376">
        <v>0.7</v>
      </c>
      <c r="X25" s="373">
        <v>2000.0</v>
      </c>
      <c r="Y25" s="373" t="s">
        <v>540</v>
      </c>
      <c r="Z25" s="373">
        <v>0.2</v>
      </c>
      <c r="AA25" s="373" t="s">
        <v>541</v>
      </c>
      <c r="AB25" s="373" t="s">
        <v>542</v>
      </c>
      <c r="AC25" s="373">
        <v>220.0</v>
      </c>
      <c r="AD25" s="193"/>
      <c r="AE25" s="377"/>
    </row>
    <row r="26">
      <c r="A26" s="373" t="s">
        <v>574</v>
      </c>
      <c r="B26" s="373">
        <v>5.0</v>
      </c>
      <c r="C26" s="373">
        <v>119.0</v>
      </c>
      <c r="D26" s="373" t="s">
        <v>575</v>
      </c>
      <c r="E26" s="373">
        <v>1.0</v>
      </c>
      <c r="F26" s="375">
        <v>45468.48055555556</v>
      </c>
      <c r="G26" s="373">
        <v>1.0</v>
      </c>
      <c r="H26" s="373">
        <v>51.384</v>
      </c>
      <c r="I26" s="373">
        <v>8.06366</v>
      </c>
      <c r="J26" s="373">
        <v>-26.583881</v>
      </c>
      <c r="K26" s="373">
        <v>-24.294069</v>
      </c>
      <c r="L26" s="373">
        <v>1068.64</v>
      </c>
      <c r="M26" s="373">
        <v>67.998725</v>
      </c>
      <c r="N26" s="373">
        <v>11640.32054</v>
      </c>
      <c r="O26" s="373">
        <v>11689.62256</v>
      </c>
      <c r="P26" s="376">
        <v>2090.82653</v>
      </c>
      <c r="Q26" s="376" t="s">
        <v>12</v>
      </c>
      <c r="R26" s="376" t="s">
        <v>553</v>
      </c>
      <c r="S26" s="376">
        <v>10.0</v>
      </c>
      <c r="T26" s="376">
        <v>5.0</v>
      </c>
      <c r="U26" s="376">
        <v>0.7</v>
      </c>
      <c r="V26" s="381">
        <v>0.7</v>
      </c>
      <c r="W26" s="376">
        <v>0.7</v>
      </c>
      <c r="X26" s="373">
        <v>2000.0</v>
      </c>
      <c r="Y26" s="373" t="s">
        <v>540</v>
      </c>
      <c r="Z26" s="373">
        <v>0.2</v>
      </c>
      <c r="AA26" s="373" t="s">
        <v>541</v>
      </c>
      <c r="AB26" s="373" t="s">
        <v>542</v>
      </c>
      <c r="AC26" s="373">
        <v>220.0</v>
      </c>
      <c r="AD26" s="193"/>
      <c r="AE26" s="377"/>
    </row>
    <row r="27">
      <c r="A27" s="373" t="s">
        <v>576</v>
      </c>
      <c r="B27" s="373">
        <v>5.0</v>
      </c>
      <c r="C27" s="373">
        <v>119.0</v>
      </c>
      <c r="D27" s="373" t="s">
        <v>575</v>
      </c>
      <c r="E27" s="373">
        <v>1.0</v>
      </c>
      <c r="F27" s="375">
        <v>45468.48333333333</v>
      </c>
      <c r="G27" s="373">
        <v>1.0</v>
      </c>
      <c r="H27" s="373">
        <v>51.3774</v>
      </c>
      <c r="I27" s="373">
        <v>8.18144</v>
      </c>
      <c r="J27" s="373">
        <v>-26.448056</v>
      </c>
      <c r="K27" s="373">
        <v>-25.046325</v>
      </c>
      <c r="L27" s="373">
        <v>1104.79</v>
      </c>
      <c r="M27" s="373">
        <v>70.999705</v>
      </c>
      <c r="N27" s="373">
        <v>11695.23875</v>
      </c>
      <c r="O27" s="373">
        <v>11689.62256</v>
      </c>
      <c r="P27" s="376">
        <v>2090.82653</v>
      </c>
      <c r="Q27" s="376" t="s">
        <v>12</v>
      </c>
      <c r="R27" s="376" t="s">
        <v>539</v>
      </c>
      <c r="S27" s="376">
        <v>10.0</v>
      </c>
      <c r="T27" s="376">
        <v>5.0</v>
      </c>
      <c r="U27" s="376">
        <v>0.7</v>
      </c>
      <c r="V27" s="381">
        <v>0.7</v>
      </c>
      <c r="W27" s="376">
        <v>0.7</v>
      </c>
      <c r="X27" s="373">
        <v>2000.0</v>
      </c>
      <c r="Y27" s="373" t="s">
        <v>540</v>
      </c>
      <c r="Z27" s="373">
        <v>0.2</v>
      </c>
      <c r="AA27" s="373" t="s">
        <v>541</v>
      </c>
      <c r="AB27" s="373" t="s">
        <v>542</v>
      </c>
      <c r="AC27" s="373">
        <v>220.0</v>
      </c>
      <c r="AD27" s="193"/>
      <c r="AE27" s="377"/>
    </row>
    <row r="28">
      <c r="A28" s="373" t="s">
        <v>577</v>
      </c>
      <c r="B28" s="373">
        <v>5.0</v>
      </c>
      <c r="C28" s="373">
        <v>119.0</v>
      </c>
      <c r="D28" s="373" t="s">
        <v>575</v>
      </c>
      <c r="E28" s="373">
        <v>1.0</v>
      </c>
      <c r="F28" s="375">
        <v>45468.48611111111</v>
      </c>
      <c r="G28" s="373">
        <v>1.0</v>
      </c>
      <c r="H28" s="373">
        <v>51.3807</v>
      </c>
      <c r="I28" s="373">
        <v>8.03903</v>
      </c>
      <c r="J28" s="373">
        <v>-26.439806</v>
      </c>
      <c r="K28" s="373">
        <v>-24.817675</v>
      </c>
      <c r="L28" s="373">
        <v>1081.15</v>
      </c>
      <c r="M28" s="373">
        <v>66.000932</v>
      </c>
      <c r="N28" s="373">
        <v>11684.00637</v>
      </c>
      <c r="O28" s="373">
        <v>11689.62256</v>
      </c>
      <c r="P28" s="376">
        <v>2090.82653</v>
      </c>
      <c r="Q28" s="376" t="s">
        <v>12</v>
      </c>
      <c r="R28" s="376" t="s">
        <v>539</v>
      </c>
      <c r="S28" s="376">
        <v>10.0</v>
      </c>
      <c r="T28" s="376">
        <v>5.0</v>
      </c>
      <c r="U28" s="376">
        <v>0.7</v>
      </c>
      <c r="V28" s="381">
        <v>0.7</v>
      </c>
      <c r="W28" s="376">
        <v>0.7</v>
      </c>
      <c r="X28" s="373">
        <v>2000.0</v>
      </c>
      <c r="Y28" s="373" t="s">
        <v>540</v>
      </c>
      <c r="Z28" s="373">
        <v>0.2</v>
      </c>
      <c r="AA28" s="373" t="s">
        <v>541</v>
      </c>
      <c r="AB28" s="373" t="s">
        <v>542</v>
      </c>
      <c r="AC28" s="373">
        <v>220.0</v>
      </c>
      <c r="AD28" s="193"/>
      <c r="AE28" s="377"/>
    </row>
    <row r="29">
      <c r="A29" s="373" t="s">
        <v>578</v>
      </c>
      <c r="B29" s="373">
        <v>6.0</v>
      </c>
      <c r="C29" s="373">
        <v>105.0</v>
      </c>
      <c r="D29" s="373" t="s">
        <v>579</v>
      </c>
      <c r="E29" s="373">
        <v>1.0</v>
      </c>
      <c r="F29" s="375">
        <v>45468.48888888889</v>
      </c>
      <c r="G29" s="373">
        <v>1.0</v>
      </c>
      <c r="H29" s="373">
        <v>51.3741</v>
      </c>
      <c r="I29" s="373">
        <v>8.03904</v>
      </c>
      <c r="J29" s="373">
        <v>-26.571894</v>
      </c>
      <c r="K29" s="373">
        <v>-24.683788</v>
      </c>
      <c r="L29" s="373">
        <v>1089.29</v>
      </c>
      <c r="M29" s="373">
        <v>69.000286</v>
      </c>
      <c r="N29" s="373">
        <v>11661.19739</v>
      </c>
      <c r="O29" s="373">
        <v>11664.07979</v>
      </c>
      <c r="P29" s="376">
        <v>2086.356831</v>
      </c>
      <c r="Q29" s="376" t="s">
        <v>12</v>
      </c>
      <c r="R29" s="376" t="s">
        <v>539</v>
      </c>
      <c r="S29" s="376">
        <v>10.0</v>
      </c>
      <c r="T29" s="376">
        <v>5.0</v>
      </c>
      <c r="U29" s="376">
        <v>0.7</v>
      </c>
      <c r="V29" s="381">
        <v>0.7</v>
      </c>
      <c r="W29" s="376">
        <v>0.7</v>
      </c>
      <c r="X29" s="373">
        <v>2000.0</v>
      </c>
      <c r="Y29" s="373" t="s">
        <v>540</v>
      </c>
      <c r="Z29" s="373">
        <v>0.2</v>
      </c>
      <c r="AA29" s="373" t="s">
        <v>541</v>
      </c>
      <c r="AB29" s="373" t="s">
        <v>542</v>
      </c>
      <c r="AC29" s="373">
        <v>220.0</v>
      </c>
      <c r="AD29" s="193"/>
      <c r="AE29" s="377"/>
    </row>
    <row r="30">
      <c r="A30" s="373" t="s">
        <v>580</v>
      </c>
      <c r="B30" s="373">
        <v>6.0</v>
      </c>
      <c r="C30" s="373">
        <v>105.0</v>
      </c>
      <c r="D30" s="373" t="s">
        <v>579</v>
      </c>
      <c r="E30" s="373">
        <v>1.0</v>
      </c>
      <c r="F30" s="375">
        <v>45468.49166666667</v>
      </c>
      <c r="G30" s="373">
        <v>1.0</v>
      </c>
      <c r="H30" s="373">
        <v>51.3708</v>
      </c>
      <c r="I30" s="373">
        <v>8.02111</v>
      </c>
      <c r="J30" s="373">
        <v>-26.397594</v>
      </c>
      <c r="K30" s="373">
        <v>-24.8918</v>
      </c>
      <c r="L30" s="373">
        <v>1089.43</v>
      </c>
      <c r="M30" s="373">
        <v>68.500071</v>
      </c>
      <c r="N30" s="373">
        <v>11666.96219</v>
      </c>
      <c r="O30" s="373">
        <v>11664.07979</v>
      </c>
      <c r="P30" s="376">
        <v>2086.356831</v>
      </c>
      <c r="Q30" s="376" t="s">
        <v>12</v>
      </c>
      <c r="R30" s="376" t="s">
        <v>539</v>
      </c>
      <c r="S30" s="376">
        <v>10.0</v>
      </c>
      <c r="T30" s="376">
        <v>5.0</v>
      </c>
      <c r="U30" s="376">
        <v>0.7</v>
      </c>
      <c r="V30" s="381">
        <v>0.7</v>
      </c>
      <c r="W30" s="376">
        <v>0.7</v>
      </c>
      <c r="X30" s="373">
        <v>2000.0</v>
      </c>
      <c r="Y30" s="373" t="s">
        <v>540</v>
      </c>
      <c r="Z30" s="373">
        <v>0.2</v>
      </c>
      <c r="AA30" s="373" t="s">
        <v>541</v>
      </c>
      <c r="AB30" s="373" t="s">
        <v>542</v>
      </c>
      <c r="AC30" s="373">
        <v>220.0</v>
      </c>
      <c r="AD30" s="193"/>
      <c r="AE30" s="377"/>
    </row>
    <row r="31">
      <c r="A31" s="373" t="s">
        <v>581</v>
      </c>
      <c r="B31" s="373">
        <v>7.0</v>
      </c>
      <c r="C31" s="373">
        <v>106.0</v>
      </c>
      <c r="D31" s="373" t="s">
        <v>582</v>
      </c>
      <c r="E31" s="373">
        <v>1.0</v>
      </c>
      <c r="F31" s="375">
        <v>45468.49513888889</v>
      </c>
      <c r="G31" s="373">
        <v>1.0</v>
      </c>
      <c r="H31" s="373">
        <v>51.3807</v>
      </c>
      <c r="I31" s="373">
        <v>8.03197</v>
      </c>
      <c r="J31" s="373">
        <v>-26.325313</v>
      </c>
      <c r="K31" s="373">
        <v>-24.947563</v>
      </c>
      <c r="L31" s="373">
        <v>1094.49</v>
      </c>
      <c r="M31" s="373">
        <v>69.499088</v>
      </c>
      <c r="N31" s="373">
        <v>11670.61307</v>
      </c>
      <c r="O31" s="373">
        <v>11667.44044</v>
      </c>
      <c r="P31" s="376">
        <v>2086.944906</v>
      </c>
      <c r="Q31" s="376" t="s">
        <v>12</v>
      </c>
      <c r="R31" s="376" t="s">
        <v>539</v>
      </c>
      <c r="S31" s="376">
        <v>10.0</v>
      </c>
      <c r="T31" s="376">
        <v>5.0</v>
      </c>
      <c r="U31" s="376">
        <v>0.7</v>
      </c>
      <c r="V31" s="381">
        <v>0.7</v>
      </c>
      <c r="W31" s="376">
        <v>0.7</v>
      </c>
      <c r="X31" s="373">
        <v>2000.0</v>
      </c>
      <c r="Y31" s="373" t="s">
        <v>540</v>
      </c>
      <c r="Z31" s="373">
        <v>0.2</v>
      </c>
      <c r="AA31" s="373" t="s">
        <v>541</v>
      </c>
      <c r="AB31" s="373" t="s">
        <v>542</v>
      </c>
      <c r="AC31" s="373">
        <v>220.0</v>
      </c>
      <c r="AD31" s="193"/>
      <c r="AE31" s="377"/>
    </row>
    <row r="32">
      <c r="A32" s="373" t="s">
        <v>583</v>
      </c>
      <c r="B32" s="373">
        <v>7.0</v>
      </c>
      <c r="C32" s="373">
        <v>106.0</v>
      </c>
      <c r="D32" s="373" t="s">
        <v>582</v>
      </c>
      <c r="E32" s="373">
        <v>1.0</v>
      </c>
      <c r="F32" s="375">
        <v>45468.49791666667</v>
      </c>
      <c r="G32" s="373">
        <v>1.0</v>
      </c>
      <c r="H32" s="373">
        <v>51.3774</v>
      </c>
      <c r="I32" s="373">
        <v>8.01537</v>
      </c>
      <c r="J32" s="373">
        <v>-26.227687</v>
      </c>
      <c r="K32" s="373">
        <v>-24.748594</v>
      </c>
      <c r="L32" s="373">
        <v>1078.82</v>
      </c>
      <c r="M32" s="373">
        <v>67.499201</v>
      </c>
      <c r="N32" s="373">
        <v>11664.2678</v>
      </c>
      <c r="O32" s="373">
        <v>11667.44044</v>
      </c>
      <c r="P32" s="376">
        <v>2086.944906</v>
      </c>
      <c r="Q32" s="376" t="s">
        <v>12</v>
      </c>
      <c r="R32" s="376" t="s">
        <v>539</v>
      </c>
      <c r="S32" s="376">
        <v>10.0</v>
      </c>
      <c r="T32" s="376">
        <v>5.0</v>
      </c>
      <c r="U32" s="376">
        <v>0.7</v>
      </c>
      <c r="V32" s="381">
        <v>0.7</v>
      </c>
      <c r="W32" s="376">
        <v>0.7</v>
      </c>
      <c r="X32" s="373">
        <v>2000.0</v>
      </c>
      <c r="Y32" s="373" t="s">
        <v>540</v>
      </c>
      <c r="Z32" s="373">
        <v>0.2</v>
      </c>
      <c r="AA32" s="373" t="s">
        <v>541</v>
      </c>
      <c r="AB32" s="373" t="s">
        <v>542</v>
      </c>
      <c r="AC32" s="373">
        <v>220.0</v>
      </c>
      <c r="AD32" s="193"/>
      <c r="AE32" s="377"/>
    </row>
    <row r="33">
      <c r="A33" s="373" t="s">
        <v>584</v>
      </c>
      <c r="B33" s="373">
        <v>8.0</v>
      </c>
      <c r="C33" s="373">
        <v>14.0</v>
      </c>
      <c r="D33" s="373" t="s">
        <v>585</v>
      </c>
      <c r="E33" s="373">
        <v>1.0</v>
      </c>
      <c r="F33" s="375">
        <v>45468.501388888886</v>
      </c>
      <c r="G33" s="373">
        <v>1.0</v>
      </c>
      <c r="H33" s="373">
        <v>51.3774</v>
      </c>
      <c r="I33" s="373">
        <v>7.88338</v>
      </c>
      <c r="J33" s="373">
        <v>-26.243269</v>
      </c>
      <c r="K33" s="373">
        <v>-24.855263</v>
      </c>
      <c r="L33" s="373">
        <v>1073.26</v>
      </c>
      <c r="M33" s="373">
        <v>68.499247</v>
      </c>
      <c r="N33" s="373">
        <v>11649.01282</v>
      </c>
      <c r="O33" s="373">
        <v>11611.77308</v>
      </c>
      <c r="P33" s="376">
        <v>2077.20374</v>
      </c>
      <c r="Q33" s="376" t="s">
        <v>12</v>
      </c>
      <c r="R33" s="376" t="s">
        <v>553</v>
      </c>
      <c r="S33" s="376">
        <v>10.0</v>
      </c>
      <c r="T33" s="376">
        <v>5.0</v>
      </c>
      <c r="U33" s="376">
        <v>0.7</v>
      </c>
      <c r="V33" s="381">
        <v>0.7</v>
      </c>
      <c r="W33" s="376">
        <v>0.7</v>
      </c>
      <c r="X33" s="373">
        <v>2000.0</v>
      </c>
      <c r="Y33" s="373" t="s">
        <v>540</v>
      </c>
      <c r="Z33" s="373">
        <v>0.2</v>
      </c>
      <c r="AA33" s="373" t="s">
        <v>541</v>
      </c>
      <c r="AB33" s="373" t="s">
        <v>542</v>
      </c>
      <c r="AC33" s="373">
        <v>220.0</v>
      </c>
      <c r="AD33" s="193"/>
      <c r="AE33" s="377"/>
    </row>
    <row r="34">
      <c r="A34" s="373" t="s">
        <v>586</v>
      </c>
      <c r="B34" s="373">
        <v>8.0</v>
      </c>
      <c r="C34" s="373">
        <v>14.0</v>
      </c>
      <c r="D34" s="373" t="s">
        <v>585</v>
      </c>
      <c r="E34" s="373">
        <v>1.0</v>
      </c>
      <c r="F34" s="375">
        <v>45468.504166666666</v>
      </c>
      <c r="G34" s="373">
        <v>1.0</v>
      </c>
      <c r="H34" s="373">
        <v>51.3741</v>
      </c>
      <c r="I34" s="373">
        <v>7.83919</v>
      </c>
      <c r="J34" s="373">
        <v>-26.20385</v>
      </c>
      <c r="K34" s="373">
        <v>-24.769456</v>
      </c>
      <c r="L34" s="373">
        <v>1068.99</v>
      </c>
      <c r="M34" s="373">
        <v>68.999849</v>
      </c>
      <c r="N34" s="373">
        <v>11607.27893</v>
      </c>
      <c r="O34" s="373">
        <v>11611.77308</v>
      </c>
      <c r="P34" s="376">
        <v>2077.20374</v>
      </c>
      <c r="Q34" s="376" t="s">
        <v>12</v>
      </c>
      <c r="R34" s="376" t="s">
        <v>539</v>
      </c>
      <c r="S34" s="376">
        <v>10.0</v>
      </c>
      <c r="T34" s="376">
        <v>5.0</v>
      </c>
      <c r="U34" s="376">
        <v>0.7</v>
      </c>
      <c r="V34" s="381">
        <v>0.7</v>
      </c>
      <c r="W34" s="376">
        <v>0.7</v>
      </c>
      <c r="X34" s="373">
        <v>2000.0</v>
      </c>
      <c r="Y34" s="373" t="s">
        <v>540</v>
      </c>
      <c r="Z34" s="373">
        <v>0.2</v>
      </c>
      <c r="AA34" s="373" t="s">
        <v>541</v>
      </c>
      <c r="AB34" s="373" t="s">
        <v>542</v>
      </c>
      <c r="AC34" s="373">
        <v>220.0</v>
      </c>
      <c r="AD34" s="193"/>
      <c r="AE34" s="377"/>
    </row>
    <row r="35">
      <c r="A35" s="373" t="s">
        <v>587</v>
      </c>
      <c r="B35" s="373">
        <v>8.0</v>
      </c>
      <c r="C35" s="373">
        <v>14.0</v>
      </c>
      <c r="D35" s="373" t="s">
        <v>585</v>
      </c>
      <c r="E35" s="373">
        <v>1.0</v>
      </c>
      <c r="F35" s="375">
        <v>45468.506944444445</v>
      </c>
      <c r="G35" s="373">
        <v>1.0</v>
      </c>
      <c r="H35" s="373">
        <v>51.3741</v>
      </c>
      <c r="I35" s="373">
        <v>7.92091</v>
      </c>
      <c r="J35" s="373">
        <v>-26.28825</v>
      </c>
      <c r="K35" s="373">
        <v>-24.482669</v>
      </c>
      <c r="L35" s="373">
        <v>1041.25</v>
      </c>
      <c r="M35" s="373">
        <v>65.50063</v>
      </c>
      <c r="N35" s="373">
        <v>11616.26724</v>
      </c>
      <c r="O35" s="373">
        <v>11611.77308</v>
      </c>
      <c r="P35" s="376">
        <v>2077.20374</v>
      </c>
      <c r="Q35" s="376" t="s">
        <v>12</v>
      </c>
      <c r="R35" s="376" t="s">
        <v>539</v>
      </c>
      <c r="S35" s="376">
        <v>10.0</v>
      </c>
      <c r="T35" s="376">
        <v>5.0</v>
      </c>
      <c r="U35" s="376">
        <v>0.7</v>
      </c>
      <c r="V35" s="381">
        <v>0.7</v>
      </c>
      <c r="W35" s="376">
        <v>0.7</v>
      </c>
      <c r="X35" s="373">
        <v>2000.0</v>
      </c>
      <c r="Y35" s="373" t="s">
        <v>540</v>
      </c>
      <c r="Z35" s="373">
        <v>0.2</v>
      </c>
      <c r="AA35" s="373" t="s">
        <v>541</v>
      </c>
      <c r="AB35" s="373" t="s">
        <v>542</v>
      </c>
      <c r="AC35" s="373">
        <v>220.0</v>
      </c>
      <c r="AD35" s="193"/>
      <c r="AE35" s="377"/>
    </row>
    <row r="36">
      <c r="A36" s="373" t="s">
        <v>588</v>
      </c>
      <c r="B36" s="373">
        <v>9.0</v>
      </c>
      <c r="C36" s="373">
        <v>15.0</v>
      </c>
      <c r="D36" s="373" t="s">
        <v>589</v>
      </c>
      <c r="E36" s="373">
        <v>1.0</v>
      </c>
      <c r="F36" s="375">
        <v>45468.510416666664</v>
      </c>
      <c r="G36" s="373">
        <v>1.0</v>
      </c>
      <c r="H36" s="373">
        <v>51.3774</v>
      </c>
      <c r="I36" s="373">
        <v>7.77458</v>
      </c>
      <c r="J36" s="373">
        <v>-26.291706</v>
      </c>
      <c r="K36" s="373">
        <v>-24.812663</v>
      </c>
      <c r="L36" s="373">
        <v>1074.69</v>
      </c>
      <c r="M36" s="373">
        <v>69.500313</v>
      </c>
      <c r="N36" s="373">
        <v>11583.89794</v>
      </c>
      <c r="O36" s="373">
        <v>11587.20996</v>
      </c>
      <c r="P36" s="376">
        <v>2072.905467</v>
      </c>
      <c r="Q36" s="376" t="s">
        <v>12</v>
      </c>
      <c r="R36" s="376" t="s">
        <v>539</v>
      </c>
      <c r="S36" s="376">
        <v>10.0</v>
      </c>
      <c r="T36" s="376">
        <v>5.0</v>
      </c>
      <c r="U36" s="376">
        <v>0.7</v>
      </c>
      <c r="V36" s="381">
        <v>0.7</v>
      </c>
      <c r="W36" s="376">
        <v>0.7</v>
      </c>
      <c r="X36" s="373">
        <v>2000.0</v>
      </c>
      <c r="Y36" s="373" t="s">
        <v>540</v>
      </c>
      <c r="Z36" s="373">
        <v>0.2</v>
      </c>
      <c r="AA36" s="373" t="s">
        <v>541</v>
      </c>
      <c r="AB36" s="373" t="s">
        <v>542</v>
      </c>
      <c r="AC36" s="373">
        <v>220.0</v>
      </c>
      <c r="AD36" s="193"/>
      <c r="AE36" s="377"/>
    </row>
    <row r="37">
      <c r="A37" s="373" t="s">
        <v>590</v>
      </c>
      <c r="B37" s="373">
        <v>9.0</v>
      </c>
      <c r="C37" s="373">
        <v>15.0</v>
      </c>
      <c r="D37" s="373" t="s">
        <v>589</v>
      </c>
      <c r="E37" s="373">
        <v>1.0</v>
      </c>
      <c r="F37" s="375">
        <v>45468.513194444444</v>
      </c>
      <c r="G37" s="373">
        <v>1.0</v>
      </c>
      <c r="H37" s="373">
        <v>51.3741</v>
      </c>
      <c r="I37" s="373">
        <v>7.95885</v>
      </c>
      <c r="J37" s="373">
        <v>-26.249844</v>
      </c>
      <c r="K37" s="373">
        <v>-24.4779</v>
      </c>
      <c r="L37" s="373">
        <v>1065.24</v>
      </c>
      <c r="M37" s="373">
        <v>65.999365</v>
      </c>
      <c r="N37" s="373">
        <v>11590.52198</v>
      </c>
      <c r="O37" s="373">
        <v>11587.20996</v>
      </c>
      <c r="P37" s="376">
        <v>2072.905467</v>
      </c>
      <c r="Q37" s="376" t="s">
        <v>12</v>
      </c>
      <c r="R37" s="376" t="s">
        <v>539</v>
      </c>
      <c r="S37" s="376">
        <v>10.0</v>
      </c>
      <c r="T37" s="376">
        <v>5.0</v>
      </c>
      <c r="U37" s="376">
        <v>0.7</v>
      </c>
      <c r="V37" s="381">
        <v>0.7</v>
      </c>
      <c r="W37" s="376">
        <v>0.7</v>
      </c>
      <c r="X37" s="373">
        <v>2000.0</v>
      </c>
      <c r="Y37" s="373" t="s">
        <v>540</v>
      </c>
      <c r="Z37" s="373">
        <v>0.2</v>
      </c>
      <c r="AA37" s="373" t="s">
        <v>541</v>
      </c>
      <c r="AB37" s="373" t="s">
        <v>542</v>
      </c>
      <c r="AC37" s="373">
        <v>220.0</v>
      </c>
      <c r="AD37" s="193"/>
      <c r="AE37" s="377"/>
    </row>
    <row r="38">
      <c r="A38" s="373" t="s">
        <v>591</v>
      </c>
      <c r="B38" s="373" t="s">
        <v>551</v>
      </c>
      <c r="C38" s="373" t="s">
        <v>552</v>
      </c>
      <c r="D38" s="373" t="s">
        <v>538</v>
      </c>
      <c r="E38" s="373">
        <v>0.8</v>
      </c>
      <c r="F38" s="375">
        <v>45468.51666666667</v>
      </c>
      <c r="G38" s="373">
        <v>1.0</v>
      </c>
      <c r="H38" s="373">
        <v>51.3807</v>
      </c>
      <c r="I38" s="373">
        <v>7.87805</v>
      </c>
      <c r="J38" s="373">
        <v>-26.032988</v>
      </c>
      <c r="K38" s="373">
        <v>-24.933363</v>
      </c>
      <c r="L38" s="373">
        <v>999.009</v>
      </c>
      <c r="M38" s="373">
        <v>68.000949</v>
      </c>
      <c r="N38" s="373">
        <v>9245.488648</v>
      </c>
      <c r="O38" s="373">
        <v>9237.934773</v>
      </c>
      <c r="P38" s="376">
        <v>2070.3457</v>
      </c>
      <c r="Q38" s="376" t="s">
        <v>12</v>
      </c>
      <c r="R38" s="376" t="s">
        <v>539</v>
      </c>
      <c r="S38" s="376">
        <v>10.0</v>
      </c>
      <c r="T38" s="376">
        <v>5.0</v>
      </c>
      <c r="U38" s="376">
        <v>0.7</v>
      </c>
      <c r="V38" s="381">
        <v>0.7</v>
      </c>
      <c r="W38" s="376">
        <v>0.7</v>
      </c>
      <c r="X38" s="373">
        <v>2000.0</v>
      </c>
      <c r="Y38" s="373" t="s">
        <v>540</v>
      </c>
      <c r="Z38" s="373">
        <v>0.2</v>
      </c>
      <c r="AA38" s="373" t="s">
        <v>541</v>
      </c>
      <c r="AB38" s="373" t="s">
        <v>542</v>
      </c>
      <c r="AC38" s="373">
        <v>220.0</v>
      </c>
      <c r="AD38" s="193"/>
      <c r="AE38" s="377"/>
    </row>
    <row r="39">
      <c r="A39" s="373" t="s">
        <v>592</v>
      </c>
      <c r="B39" s="373" t="s">
        <v>551</v>
      </c>
      <c r="C39" s="373" t="s">
        <v>552</v>
      </c>
      <c r="D39" s="373" t="s">
        <v>538</v>
      </c>
      <c r="E39" s="373">
        <v>0.8</v>
      </c>
      <c r="F39" s="375">
        <v>45468.51944444444</v>
      </c>
      <c r="G39" s="373">
        <v>1.0</v>
      </c>
      <c r="H39" s="373">
        <v>51.3807</v>
      </c>
      <c r="I39" s="373">
        <v>7.94298</v>
      </c>
      <c r="J39" s="373">
        <v>-26.045063</v>
      </c>
      <c r="K39" s="373">
        <v>-24.84305</v>
      </c>
      <c r="L39" s="373">
        <v>995.653</v>
      </c>
      <c r="M39" s="373">
        <v>65.500914</v>
      </c>
      <c r="N39" s="373">
        <v>9230.380897</v>
      </c>
      <c r="O39" s="373">
        <v>9237.934773</v>
      </c>
      <c r="P39" s="376">
        <v>2070.3457</v>
      </c>
      <c r="Q39" s="376" t="s">
        <v>12</v>
      </c>
      <c r="R39" s="376" t="s">
        <v>539</v>
      </c>
      <c r="S39" s="376">
        <v>10.0</v>
      </c>
      <c r="T39" s="376">
        <v>5.0</v>
      </c>
      <c r="U39" s="376">
        <v>0.7</v>
      </c>
      <c r="V39" s="381">
        <v>0.7</v>
      </c>
      <c r="W39" s="376">
        <v>0.7</v>
      </c>
      <c r="X39" s="373">
        <v>2000.0</v>
      </c>
      <c r="Y39" s="373" t="s">
        <v>540</v>
      </c>
      <c r="Z39" s="373">
        <v>0.2</v>
      </c>
      <c r="AA39" s="373" t="s">
        <v>541</v>
      </c>
      <c r="AB39" s="373" t="s">
        <v>542</v>
      </c>
      <c r="AC39" s="373">
        <v>220.0</v>
      </c>
      <c r="AD39" s="193"/>
      <c r="AE39" s="377"/>
    </row>
    <row r="40">
      <c r="A40" s="378" t="s">
        <v>593</v>
      </c>
      <c r="B40" s="378" t="s">
        <v>558</v>
      </c>
      <c r="C40" s="378" t="s">
        <v>552</v>
      </c>
      <c r="D40" s="378" t="s">
        <v>538</v>
      </c>
      <c r="E40" s="378">
        <v>1.0</v>
      </c>
      <c r="F40" s="379">
        <v>45468.52222222222</v>
      </c>
      <c r="G40" s="378">
        <v>1.0</v>
      </c>
      <c r="H40" s="378">
        <v>51.3774</v>
      </c>
      <c r="I40" s="378">
        <v>7.82775</v>
      </c>
      <c r="J40" s="378">
        <v>-26.002881</v>
      </c>
      <c r="K40" s="378">
        <v>-24.583444</v>
      </c>
      <c r="L40" s="378">
        <v>1062.51</v>
      </c>
      <c r="M40" s="378">
        <v>68.499278</v>
      </c>
      <c r="N40" s="378">
        <v>11563.3239</v>
      </c>
      <c r="O40" s="378">
        <v>11569.89677</v>
      </c>
      <c r="P40" s="380">
        <v>2070.3457</v>
      </c>
      <c r="Q40" s="376" t="s">
        <v>12</v>
      </c>
      <c r="R40" s="380" t="s">
        <v>539</v>
      </c>
      <c r="S40" s="380">
        <v>10.0</v>
      </c>
      <c r="T40" s="380">
        <v>5.0</v>
      </c>
      <c r="U40" s="380">
        <v>0.7</v>
      </c>
      <c r="V40" s="382">
        <v>0.7</v>
      </c>
      <c r="W40" s="380">
        <v>0.7</v>
      </c>
      <c r="X40" s="378">
        <v>2000.0</v>
      </c>
      <c r="Y40" s="378" t="s">
        <v>540</v>
      </c>
      <c r="Z40" s="378">
        <v>0.2</v>
      </c>
      <c r="AA40" s="378" t="s">
        <v>541</v>
      </c>
      <c r="AB40" s="378" t="s">
        <v>542</v>
      </c>
      <c r="AC40" s="378">
        <v>220.0</v>
      </c>
      <c r="AD40" s="193"/>
      <c r="AE40" s="377"/>
    </row>
    <row r="41">
      <c r="A41" s="373" t="s">
        <v>594</v>
      </c>
      <c r="B41" s="373" t="s">
        <v>558</v>
      </c>
      <c r="C41" s="373" t="s">
        <v>552</v>
      </c>
      <c r="D41" s="373" t="s">
        <v>538</v>
      </c>
      <c r="E41" s="373">
        <v>1.0</v>
      </c>
      <c r="F41" s="375">
        <v>45468.525</v>
      </c>
      <c r="G41" s="373">
        <v>1.0</v>
      </c>
      <c r="H41" s="373">
        <v>51.384</v>
      </c>
      <c r="I41" s="373">
        <v>7.82116</v>
      </c>
      <c r="J41" s="373">
        <v>-25.980431</v>
      </c>
      <c r="K41" s="373">
        <v>-24.345788</v>
      </c>
      <c r="L41" s="373">
        <v>1075.87</v>
      </c>
      <c r="M41" s="373">
        <v>65.499238</v>
      </c>
      <c r="N41" s="373">
        <v>11576.46964</v>
      </c>
      <c r="O41" s="373">
        <v>11569.89677</v>
      </c>
      <c r="P41" s="376">
        <v>2070.3457</v>
      </c>
      <c r="Q41" s="376" t="s">
        <v>12</v>
      </c>
      <c r="R41" s="376" t="s">
        <v>539</v>
      </c>
      <c r="S41" s="376">
        <v>10.0</v>
      </c>
      <c r="T41" s="376">
        <v>5.0</v>
      </c>
      <c r="U41" s="376">
        <v>0.7</v>
      </c>
      <c r="V41" s="381">
        <v>0.7</v>
      </c>
      <c r="W41" s="376">
        <v>0.7</v>
      </c>
      <c r="X41" s="373">
        <v>2000.0</v>
      </c>
      <c r="Y41" s="373" t="s">
        <v>540</v>
      </c>
      <c r="Z41" s="373">
        <v>0.2</v>
      </c>
      <c r="AA41" s="373" t="s">
        <v>541</v>
      </c>
      <c r="AB41" s="373" t="s">
        <v>542</v>
      </c>
      <c r="AC41" s="373">
        <v>220.0</v>
      </c>
      <c r="AD41" s="193"/>
      <c r="AE41" s="377"/>
    </row>
    <row r="42">
      <c r="A42" s="373" t="s">
        <v>595</v>
      </c>
      <c r="B42" s="373" t="s">
        <v>561</v>
      </c>
      <c r="C42" s="373" t="s">
        <v>552</v>
      </c>
      <c r="D42" s="373" t="s">
        <v>538</v>
      </c>
      <c r="E42" s="373">
        <v>1.2</v>
      </c>
      <c r="F42" s="375">
        <v>45468.52777777778</v>
      </c>
      <c r="G42" s="373">
        <v>1.0</v>
      </c>
      <c r="H42" s="373">
        <v>51.3807</v>
      </c>
      <c r="I42" s="373">
        <v>7.79458</v>
      </c>
      <c r="J42" s="373">
        <v>-25.970912</v>
      </c>
      <c r="K42" s="373">
        <v>-24.294863</v>
      </c>
      <c r="L42" s="373">
        <v>1101.03</v>
      </c>
      <c r="M42" s="373">
        <v>72.001046</v>
      </c>
      <c r="N42" s="373">
        <v>13930.69465</v>
      </c>
      <c r="O42" s="373">
        <v>13934.18825</v>
      </c>
      <c r="P42" s="376">
        <v>2070.3457</v>
      </c>
      <c r="Q42" s="376" t="s">
        <v>12</v>
      </c>
      <c r="R42" s="376" t="s">
        <v>539</v>
      </c>
      <c r="S42" s="376">
        <v>10.0</v>
      </c>
      <c r="T42" s="376">
        <v>5.0</v>
      </c>
      <c r="U42" s="376">
        <v>0.7</v>
      </c>
      <c r="V42" s="381">
        <v>0.7</v>
      </c>
      <c r="W42" s="376">
        <v>0.7</v>
      </c>
      <c r="X42" s="373">
        <v>2000.0</v>
      </c>
      <c r="Y42" s="373" t="s">
        <v>540</v>
      </c>
      <c r="Z42" s="373">
        <v>0.2</v>
      </c>
      <c r="AA42" s="373" t="s">
        <v>541</v>
      </c>
      <c r="AB42" s="373" t="s">
        <v>542</v>
      </c>
      <c r="AC42" s="373">
        <v>220.0</v>
      </c>
      <c r="AD42" s="193"/>
      <c r="AE42" s="377"/>
    </row>
    <row r="43">
      <c r="A43" s="373" t="s">
        <v>596</v>
      </c>
      <c r="B43" s="373" t="s">
        <v>561</v>
      </c>
      <c r="C43" s="373" t="s">
        <v>552</v>
      </c>
      <c r="D43" s="373" t="s">
        <v>538</v>
      </c>
      <c r="E43" s="373">
        <v>1.2</v>
      </c>
      <c r="F43" s="375">
        <v>45468.53055555555</v>
      </c>
      <c r="G43" s="373">
        <v>1.0</v>
      </c>
      <c r="H43" s="373">
        <v>51.3774</v>
      </c>
      <c r="I43" s="373">
        <v>7.83925</v>
      </c>
      <c r="J43" s="373">
        <v>-25.980306</v>
      </c>
      <c r="K43" s="373">
        <v>-23.426475</v>
      </c>
      <c r="L43" s="373">
        <v>1098.89</v>
      </c>
      <c r="M43" s="373">
        <v>69.000109</v>
      </c>
      <c r="N43" s="373">
        <v>13937.68185</v>
      </c>
      <c r="O43" s="373">
        <v>13934.18825</v>
      </c>
      <c r="P43" s="376">
        <v>2070.3457</v>
      </c>
      <c r="Q43" s="376" t="s">
        <v>12</v>
      </c>
      <c r="R43" s="376" t="s">
        <v>539</v>
      </c>
      <c r="S43" s="376">
        <v>10.0</v>
      </c>
      <c r="T43" s="376">
        <v>5.0</v>
      </c>
      <c r="U43" s="376">
        <v>0.7</v>
      </c>
      <c r="V43" s="381">
        <v>0.7</v>
      </c>
      <c r="W43" s="376">
        <v>0.7</v>
      </c>
      <c r="X43" s="373">
        <v>2000.0</v>
      </c>
      <c r="Y43" s="373" t="s">
        <v>540</v>
      </c>
      <c r="Z43" s="373">
        <v>0.2</v>
      </c>
      <c r="AA43" s="373" t="s">
        <v>541</v>
      </c>
      <c r="AB43" s="373" t="s">
        <v>542</v>
      </c>
      <c r="AC43" s="373">
        <v>220.0</v>
      </c>
      <c r="AD43" s="193"/>
      <c r="AE43" s="377"/>
    </row>
    <row r="44">
      <c r="A44" s="373" t="s">
        <v>597</v>
      </c>
      <c r="B44" s="373">
        <v>2.0</v>
      </c>
      <c r="C44" s="373">
        <v>79.0</v>
      </c>
      <c r="D44" s="373" t="s">
        <v>564</v>
      </c>
      <c r="E44" s="373">
        <v>1.0</v>
      </c>
      <c r="F44" s="375">
        <v>45468.53402777778</v>
      </c>
      <c r="G44" s="373">
        <v>1.0</v>
      </c>
      <c r="H44" s="373">
        <v>51.3807</v>
      </c>
      <c r="I44" s="373">
        <v>7.79315</v>
      </c>
      <c r="J44" s="373">
        <v>-25.995</v>
      </c>
      <c r="K44" s="373">
        <v>-24.037331</v>
      </c>
      <c r="L44" s="373">
        <v>1053.06</v>
      </c>
      <c r="M44" s="373">
        <v>64.502028</v>
      </c>
      <c r="N44" s="373">
        <v>11532.172</v>
      </c>
      <c r="O44" s="376">
        <v>11532.82195</v>
      </c>
      <c r="P44" s="376">
        <v>2061.90759</v>
      </c>
      <c r="Q44" s="376" t="s">
        <v>12</v>
      </c>
      <c r="R44" s="376" t="s">
        <v>539</v>
      </c>
      <c r="S44" s="376">
        <v>10.0</v>
      </c>
      <c r="T44" s="376">
        <v>5.0</v>
      </c>
      <c r="U44" s="376">
        <v>0.7</v>
      </c>
      <c r="V44" s="376">
        <v>0.7</v>
      </c>
      <c r="W44" s="376">
        <v>0.7</v>
      </c>
      <c r="X44" s="373">
        <v>2000.0</v>
      </c>
      <c r="Y44" s="373" t="s">
        <v>540</v>
      </c>
      <c r="Z44" s="373">
        <v>0.2</v>
      </c>
      <c r="AA44" s="373" t="s">
        <v>541</v>
      </c>
      <c r="AB44" s="373" t="s">
        <v>542</v>
      </c>
      <c r="AC44" s="373">
        <v>220.0</v>
      </c>
      <c r="AD44" s="193"/>
      <c r="AE44" s="377"/>
    </row>
    <row r="45">
      <c r="A45" s="373" t="s">
        <v>598</v>
      </c>
      <c r="B45" s="373">
        <v>2.0</v>
      </c>
      <c r="C45" s="373">
        <v>79.0</v>
      </c>
      <c r="D45" s="373" t="s">
        <v>564</v>
      </c>
      <c r="E45" s="373">
        <v>1.0</v>
      </c>
      <c r="F45" s="375">
        <v>45468.53680555556</v>
      </c>
      <c r="G45" s="373">
        <v>1.0</v>
      </c>
      <c r="H45" s="373">
        <v>51.3741</v>
      </c>
      <c r="I45" s="373">
        <v>7.76273</v>
      </c>
      <c r="J45" s="373">
        <v>-25.9032</v>
      </c>
      <c r="K45" s="373">
        <v>-23.855831</v>
      </c>
      <c r="L45" s="373">
        <v>1061.53</v>
      </c>
      <c r="M45" s="373">
        <v>65.998848</v>
      </c>
      <c r="N45" s="373">
        <v>11533.4719</v>
      </c>
      <c r="O45" s="376">
        <v>11532.82195</v>
      </c>
      <c r="P45" s="376">
        <v>2061.90759</v>
      </c>
      <c r="Q45" s="376" t="s">
        <v>12</v>
      </c>
      <c r="R45" s="376" t="s">
        <v>539</v>
      </c>
      <c r="S45" s="376">
        <v>10.0</v>
      </c>
      <c r="T45" s="376">
        <v>5.0</v>
      </c>
      <c r="U45" s="376">
        <v>0.7</v>
      </c>
      <c r="V45" s="376">
        <v>0.7</v>
      </c>
      <c r="W45" s="376">
        <v>0.7</v>
      </c>
      <c r="X45" s="373">
        <v>2000.0</v>
      </c>
      <c r="Y45" s="373" t="s">
        <v>540</v>
      </c>
      <c r="Z45" s="373">
        <v>0.2</v>
      </c>
      <c r="AA45" s="373" t="s">
        <v>541</v>
      </c>
      <c r="AB45" s="373" t="s">
        <v>542</v>
      </c>
      <c r="AC45" s="373">
        <v>220.0</v>
      </c>
      <c r="AD45" s="193"/>
      <c r="AE45" s="377"/>
    </row>
    <row r="46">
      <c r="A46" s="373" t="s">
        <v>599</v>
      </c>
      <c r="B46" s="373">
        <v>3.0</v>
      </c>
      <c r="C46" s="373">
        <v>80.0</v>
      </c>
      <c r="D46" s="373" t="s">
        <v>568</v>
      </c>
      <c r="E46" s="373">
        <v>1.0</v>
      </c>
      <c r="F46" s="375">
        <v>45468.54027777778</v>
      </c>
      <c r="G46" s="373">
        <v>1.0</v>
      </c>
      <c r="H46" s="373">
        <v>51.3807</v>
      </c>
      <c r="I46" s="373">
        <v>7.76455</v>
      </c>
      <c r="J46" s="373">
        <v>-25.836656</v>
      </c>
      <c r="K46" s="373">
        <v>-24.261619</v>
      </c>
      <c r="L46" s="373">
        <v>1090.16</v>
      </c>
      <c r="M46" s="373">
        <v>66.499272</v>
      </c>
      <c r="N46" s="373">
        <v>11552.59638</v>
      </c>
      <c r="O46" s="376">
        <v>11555.30536</v>
      </c>
      <c r="P46" s="376">
        <v>2065.872319</v>
      </c>
      <c r="Q46" s="376" t="s">
        <v>12</v>
      </c>
      <c r="R46" s="376" t="s">
        <v>539</v>
      </c>
      <c r="S46" s="376">
        <v>10.0</v>
      </c>
      <c r="T46" s="376">
        <v>5.0</v>
      </c>
      <c r="U46" s="376">
        <v>0.7</v>
      </c>
      <c r="V46" s="376">
        <v>0.7</v>
      </c>
      <c r="W46" s="376">
        <v>0.7</v>
      </c>
      <c r="X46" s="373">
        <v>2000.0</v>
      </c>
      <c r="Y46" s="373" t="s">
        <v>540</v>
      </c>
      <c r="Z46" s="373">
        <v>0.2</v>
      </c>
      <c r="AA46" s="373" t="s">
        <v>541</v>
      </c>
      <c r="AB46" s="373" t="s">
        <v>542</v>
      </c>
      <c r="AC46" s="373">
        <v>220.0</v>
      </c>
      <c r="AD46" s="193"/>
      <c r="AE46" s="377"/>
    </row>
    <row r="47">
      <c r="A47" s="373" t="s">
        <v>600</v>
      </c>
      <c r="B47" s="373">
        <v>3.0</v>
      </c>
      <c r="C47" s="373">
        <v>80.0</v>
      </c>
      <c r="D47" s="373" t="s">
        <v>568</v>
      </c>
      <c r="E47" s="373">
        <v>1.0</v>
      </c>
      <c r="F47" s="375">
        <v>45468.54305555556</v>
      </c>
      <c r="G47" s="373">
        <v>1.0</v>
      </c>
      <c r="H47" s="373">
        <v>51.3741</v>
      </c>
      <c r="I47" s="373">
        <v>7.74202</v>
      </c>
      <c r="J47" s="373">
        <v>-25.906013</v>
      </c>
      <c r="K47" s="373">
        <v>-24.622237</v>
      </c>
      <c r="L47" s="373">
        <v>1053.29</v>
      </c>
      <c r="M47" s="373">
        <v>72.999004</v>
      </c>
      <c r="N47" s="373">
        <v>11558.01434</v>
      </c>
      <c r="O47" s="376">
        <v>11555.30536</v>
      </c>
      <c r="P47" s="376">
        <v>2065.872319</v>
      </c>
      <c r="Q47" s="376" t="s">
        <v>12</v>
      </c>
      <c r="R47" s="376" t="s">
        <v>539</v>
      </c>
      <c r="S47" s="376">
        <v>10.0</v>
      </c>
      <c r="T47" s="376">
        <v>5.0</v>
      </c>
      <c r="U47" s="376">
        <v>0.7</v>
      </c>
      <c r="V47" s="376">
        <v>0.7</v>
      </c>
      <c r="W47" s="376">
        <v>0.7</v>
      </c>
      <c r="X47" s="373">
        <v>2000.0</v>
      </c>
      <c r="Y47" s="373" t="s">
        <v>540</v>
      </c>
      <c r="Z47" s="373">
        <v>0.2</v>
      </c>
      <c r="AA47" s="373" t="s">
        <v>541</v>
      </c>
      <c r="AB47" s="373" t="s">
        <v>542</v>
      </c>
      <c r="AC47" s="373">
        <v>220.0</v>
      </c>
      <c r="AD47" s="193"/>
      <c r="AE47" s="377"/>
    </row>
    <row r="48">
      <c r="A48" s="373" t="s">
        <v>601</v>
      </c>
      <c r="B48" s="373">
        <v>4.0</v>
      </c>
      <c r="C48" s="373">
        <v>66.0</v>
      </c>
      <c r="D48" s="373" t="s">
        <v>571</v>
      </c>
      <c r="E48" s="373">
        <v>1.0</v>
      </c>
      <c r="F48" s="375">
        <v>45468.54652777778</v>
      </c>
      <c r="G48" s="373">
        <v>1.0</v>
      </c>
      <c r="H48" s="373">
        <v>51.384</v>
      </c>
      <c r="I48" s="373">
        <v>7.75798</v>
      </c>
      <c r="J48" s="373">
        <v>-25.708631</v>
      </c>
      <c r="K48" s="373">
        <v>-24.606588</v>
      </c>
      <c r="L48" s="373">
        <v>907.936</v>
      </c>
      <c r="M48" s="373">
        <v>64.000468</v>
      </c>
      <c r="N48" s="373">
        <v>6625.096504</v>
      </c>
      <c r="O48" s="376">
        <v>6709.278392</v>
      </c>
      <c r="P48" s="376">
        <v>1211.322951</v>
      </c>
      <c r="Q48" s="376" t="s">
        <v>280</v>
      </c>
      <c r="R48" s="376" t="s">
        <v>553</v>
      </c>
      <c r="S48" s="376">
        <v>10.0</v>
      </c>
      <c r="T48" s="376">
        <v>5.0</v>
      </c>
      <c r="U48" s="376">
        <v>0.7</v>
      </c>
      <c r="V48" s="376">
        <v>0.7</v>
      </c>
      <c r="W48" s="376">
        <v>0.7</v>
      </c>
      <c r="X48" s="373">
        <v>2000.0</v>
      </c>
      <c r="Y48" s="373" t="s">
        <v>540</v>
      </c>
      <c r="Z48" s="373">
        <v>0.2</v>
      </c>
      <c r="AA48" s="373" t="s">
        <v>541</v>
      </c>
      <c r="AB48" s="373" t="s">
        <v>542</v>
      </c>
      <c r="AC48" s="373">
        <v>220.0</v>
      </c>
      <c r="AD48" s="193"/>
      <c r="AE48" s="377"/>
    </row>
    <row r="49">
      <c r="A49" s="378" t="s">
        <v>602</v>
      </c>
      <c r="B49" s="378">
        <v>4.0</v>
      </c>
      <c r="C49" s="378">
        <v>66.0</v>
      </c>
      <c r="D49" s="378" t="s">
        <v>571</v>
      </c>
      <c r="E49" s="378">
        <v>1.0</v>
      </c>
      <c r="F49" s="379">
        <v>45468.549305555556</v>
      </c>
      <c r="G49" s="378">
        <v>1.0</v>
      </c>
      <c r="H49" s="378">
        <v>51.3774</v>
      </c>
      <c r="I49" s="378">
        <v>7.75063</v>
      </c>
      <c r="J49" s="378">
        <v>-25.669581</v>
      </c>
      <c r="K49" s="378">
        <v>-24.937725</v>
      </c>
      <c r="L49" s="378">
        <v>898.769</v>
      </c>
      <c r="M49" s="378">
        <v>71.999305</v>
      </c>
      <c r="N49" s="378">
        <v>6787.17215</v>
      </c>
      <c r="O49" s="378">
        <v>6709.278392</v>
      </c>
      <c r="P49" s="380">
        <v>1211.322951</v>
      </c>
      <c r="Q49" s="376" t="s">
        <v>280</v>
      </c>
      <c r="R49" s="380" t="s">
        <v>553</v>
      </c>
      <c r="S49" s="380">
        <v>10.0</v>
      </c>
      <c r="T49" s="380">
        <v>5.0</v>
      </c>
      <c r="U49" s="380">
        <v>0.7</v>
      </c>
      <c r="V49" s="382">
        <v>0.7</v>
      </c>
      <c r="W49" s="380">
        <v>0.7</v>
      </c>
      <c r="X49" s="378">
        <v>2000.0</v>
      </c>
      <c r="Y49" s="378" t="s">
        <v>540</v>
      </c>
      <c r="Z49" s="378">
        <v>0.2</v>
      </c>
      <c r="AA49" s="378" t="s">
        <v>541</v>
      </c>
      <c r="AB49" s="378" t="s">
        <v>542</v>
      </c>
      <c r="AC49" s="378">
        <v>220.0</v>
      </c>
      <c r="AD49" s="383" t="s">
        <v>603</v>
      </c>
      <c r="AE49" s="377"/>
    </row>
    <row r="50">
      <c r="A50" s="378" t="s">
        <v>604</v>
      </c>
      <c r="B50" s="378">
        <v>4.0</v>
      </c>
      <c r="C50" s="378">
        <v>66.0</v>
      </c>
      <c r="D50" s="378" t="s">
        <v>571</v>
      </c>
      <c r="E50" s="378">
        <v>1.0</v>
      </c>
      <c r="F50" s="379">
        <v>45468.552083333336</v>
      </c>
      <c r="G50" s="378">
        <v>1.0</v>
      </c>
      <c r="H50" s="378">
        <v>51.3741</v>
      </c>
      <c r="I50" s="378">
        <v>7.49427</v>
      </c>
      <c r="J50" s="378">
        <v>-25.565225</v>
      </c>
      <c r="K50" s="378">
        <v>-24.688763</v>
      </c>
      <c r="L50" s="378">
        <v>910.384</v>
      </c>
      <c r="M50" s="378">
        <v>69.000255</v>
      </c>
      <c r="N50" s="378">
        <v>6705.54073</v>
      </c>
      <c r="O50" s="378">
        <v>6709.278392</v>
      </c>
      <c r="P50" s="380">
        <v>1211.322951</v>
      </c>
      <c r="Q50" s="376" t="s">
        <v>280</v>
      </c>
      <c r="R50" s="380" t="s">
        <v>539</v>
      </c>
      <c r="S50" s="380">
        <v>10.0</v>
      </c>
      <c r="T50" s="380">
        <v>5.0</v>
      </c>
      <c r="U50" s="380">
        <v>0.7</v>
      </c>
      <c r="V50" s="382">
        <v>0.7</v>
      </c>
      <c r="W50" s="380">
        <v>0.7</v>
      </c>
      <c r="X50" s="378">
        <v>2000.0</v>
      </c>
      <c r="Y50" s="378" t="s">
        <v>540</v>
      </c>
      <c r="Z50" s="378">
        <v>0.2</v>
      </c>
      <c r="AA50" s="378" t="s">
        <v>541</v>
      </c>
      <c r="AB50" s="378" t="s">
        <v>542</v>
      </c>
      <c r="AC50" s="378">
        <v>220.0</v>
      </c>
      <c r="AE50" s="377"/>
    </row>
    <row r="51">
      <c r="A51" s="378" t="s">
        <v>605</v>
      </c>
      <c r="B51" s="378">
        <v>4.0</v>
      </c>
      <c r="C51" s="378">
        <v>66.0</v>
      </c>
      <c r="D51" s="378" t="s">
        <v>571</v>
      </c>
      <c r="E51" s="378">
        <v>1.0</v>
      </c>
      <c r="F51" s="379">
        <v>45468.55486111111</v>
      </c>
      <c r="G51" s="378">
        <v>1.0</v>
      </c>
      <c r="H51" s="378">
        <v>51.3807</v>
      </c>
      <c r="I51" s="378">
        <v>7.36148</v>
      </c>
      <c r="J51" s="378">
        <v>-25.658619</v>
      </c>
      <c r="K51" s="378">
        <v>-24.741356</v>
      </c>
      <c r="L51" s="378">
        <v>734.074</v>
      </c>
      <c r="M51" s="378">
        <v>71.999135</v>
      </c>
      <c r="N51" s="378">
        <v>6713.016053</v>
      </c>
      <c r="O51" s="378">
        <v>6709.278392</v>
      </c>
      <c r="P51" s="380">
        <v>1211.322951</v>
      </c>
      <c r="Q51" s="376" t="s">
        <v>280</v>
      </c>
      <c r="R51" s="380" t="s">
        <v>539</v>
      </c>
      <c r="S51" s="380">
        <v>10.0</v>
      </c>
      <c r="T51" s="380">
        <v>5.0</v>
      </c>
      <c r="U51" s="380">
        <v>0.7</v>
      </c>
      <c r="V51" s="382">
        <v>0.7</v>
      </c>
      <c r="W51" s="380">
        <v>0.7</v>
      </c>
      <c r="X51" s="378">
        <v>2000.0</v>
      </c>
      <c r="Y51" s="378" t="s">
        <v>540</v>
      </c>
      <c r="Z51" s="378">
        <v>0.2</v>
      </c>
      <c r="AA51" s="378" t="s">
        <v>541</v>
      </c>
      <c r="AB51" s="378" t="s">
        <v>542</v>
      </c>
      <c r="AC51" s="378">
        <v>220.0</v>
      </c>
      <c r="AE51" s="377"/>
    </row>
    <row r="52">
      <c r="A52" s="378" t="s">
        <v>606</v>
      </c>
      <c r="B52" s="378">
        <v>5.0</v>
      </c>
      <c r="C52" s="378">
        <v>67.0</v>
      </c>
      <c r="D52" s="378" t="s">
        <v>575</v>
      </c>
      <c r="E52" s="378">
        <v>1.0</v>
      </c>
      <c r="F52" s="379">
        <v>45468.558333333334</v>
      </c>
      <c r="G52" s="378">
        <v>1.0</v>
      </c>
      <c r="H52" s="378">
        <v>51.3774</v>
      </c>
      <c r="I52" s="378">
        <v>7.33632</v>
      </c>
      <c r="J52" s="378">
        <v>-25.461656</v>
      </c>
      <c r="K52" s="378">
        <v>-24.189869</v>
      </c>
      <c r="L52" s="378">
        <v>439.019</v>
      </c>
      <c r="M52" s="378">
        <v>130.000883</v>
      </c>
      <c r="N52" s="378">
        <v>6598.765028</v>
      </c>
      <c r="O52" s="378">
        <v>0.0</v>
      </c>
      <c r="P52" s="380">
        <v>0.0</v>
      </c>
      <c r="Q52" s="376" t="s">
        <v>280</v>
      </c>
      <c r="R52" s="380" t="s">
        <v>607</v>
      </c>
      <c r="S52" s="380">
        <v>10.0</v>
      </c>
      <c r="T52" s="380">
        <v>5.0</v>
      </c>
      <c r="U52" s="380">
        <v>0.7</v>
      </c>
      <c r="V52" s="382">
        <v>0.7</v>
      </c>
      <c r="W52" s="380">
        <v>0.7</v>
      </c>
      <c r="X52" s="378">
        <v>2000.0</v>
      </c>
      <c r="Y52" s="378" t="s">
        <v>540</v>
      </c>
      <c r="Z52" s="378">
        <v>0.2</v>
      </c>
      <c r="AA52" s="378" t="s">
        <v>541</v>
      </c>
      <c r="AB52" s="378" t="s">
        <v>542</v>
      </c>
      <c r="AC52" s="378">
        <v>220.0</v>
      </c>
      <c r="AE52" s="377"/>
    </row>
    <row r="53">
      <c r="A53" s="378" t="s">
        <v>608</v>
      </c>
      <c r="B53" s="378">
        <v>5.0</v>
      </c>
      <c r="C53" s="378">
        <v>67.0</v>
      </c>
      <c r="D53" s="378" t="s">
        <v>575</v>
      </c>
      <c r="E53" s="378">
        <v>1.0</v>
      </c>
      <c r="F53" s="379">
        <v>45468.56180555555</v>
      </c>
      <c r="G53" s="378">
        <v>1.0</v>
      </c>
      <c r="H53" s="378">
        <v>51.3741</v>
      </c>
      <c r="I53" s="378">
        <v>7.12094</v>
      </c>
      <c r="J53" s="378">
        <v>-10.309476</v>
      </c>
      <c r="K53" s="378">
        <v>-11.248856</v>
      </c>
      <c r="L53" s="378">
        <v>6.82996</v>
      </c>
      <c r="M53" s="378">
        <v>47.49964</v>
      </c>
      <c r="N53" s="378">
        <v>211.7571</v>
      </c>
      <c r="O53" s="378">
        <v>0.0</v>
      </c>
      <c r="P53" s="380">
        <v>0.0</v>
      </c>
      <c r="Q53" s="376" t="s">
        <v>280</v>
      </c>
      <c r="R53" s="380" t="s">
        <v>607</v>
      </c>
      <c r="S53" s="380">
        <v>10.0</v>
      </c>
      <c r="T53" s="380">
        <v>5.0</v>
      </c>
      <c r="U53" s="380">
        <v>0.7</v>
      </c>
      <c r="V53" s="382">
        <v>0.7</v>
      </c>
      <c r="W53" s="380">
        <v>0.7</v>
      </c>
      <c r="X53" s="378">
        <v>2000.0</v>
      </c>
      <c r="Y53" s="378" t="s">
        <v>540</v>
      </c>
      <c r="Z53" s="378">
        <v>0.2</v>
      </c>
      <c r="AA53" s="378" t="s">
        <v>541</v>
      </c>
      <c r="AB53" s="378" t="s">
        <v>542</v>
      </c>
      <c r="AC53" s="378">
        <v>220.0</v>
      </c>
      <c r="AE53" s="377"/>
    </row>
    <row r="54">
      <c r="A54" s="378" t="s">
        <v>609</v>
      </c>
      <c r="B54" s="378">
        <v>5.0</v>
      </c>
      <c r="C54" s="378">
        <v>67.0</v>
      </c>
      <c r="D54" s="378" t="s">
        <v>575</v>
      </c>
      <c r="E54" s="378">
        <v>1.0</v>
      </c>
      <c r="F54" s="379">
        <v>45468.563888888886</v>
      </c>
      <c r="G54" s="378">
        <v>1.0</v>
      </c>
      <c r="H54" s="378">
        <v>51.3774</v>
      </c>
      <c r="I54" s="378">
        <v>7.28786</v>
      </c>
      <c r="J54" s="378">
        <v>-21.135606</v>
      </c>
      <c r="K54" s="378">
        <v>-11.201706</v>
      </c>
      <c r="L54" s="378">
        <v>59.2879</v>
      </c>
      <c r="M54" s="378">
        <v>138.502038</v>
      </c>
      <c r="N54" s="378">
        <v>2214.629093</v>
      </c>
      <c r="O54" s="378">
        <v>0.0</v>
      </c>
      <c r="P54" s="380">
        <v>0.0</v>
      </c>
      <c r="Q54" s="376" t="s">
        <v>280</v>
      </c>
      <c r="R54" s="380" t="s">
        <v>607</v>
      </c>
      <c r="S54" s="380">
        <v>10.0</v>
      </c>
      <c r="T54" s="380">
        <v>5.0</v>
      </c>
      <c r="U54" s="380">
        <v>0.7</v>
      </c>
      <c r="V54" s="382">
        <v>0.7</v>
      </c>
      <c r="W54" s="380">
        <v>0.7</v>
      </c>
      <c r="X54" s="378">
        <v>2000.0</v>
      </c>
      <c r="Y54" s="378" t="s">
        <v>540</v>
      </c>
      <c r="Z54" s="378">
        <v>0.2</v>
      </c>
      <c r="AA54" s="378" t="s">
        <v>541</v>
      </c>
      <c r="AB54" s="378" t="s">
        <v>542</v>
      </c>
      <c r="AC54" s="378">
        <v>220.0</v>
      </c>
      <c r="AE54" s="377"/>
    </row>
    <row r="55">
      <c r="A55" s="378" t="s">
        <v>610</v>
      </c>
      <c r="B55" s="378">
        <v>5.0</v>
      </c>
      <c r="C55" s="378">
        <v>67.0</v>
      </c>
      <c r="D55" s="378" t="s">
        <v>575</v>
      </c>
      <c r="E55" s="378">
        <v>1.0</v>
      </c>
      <c r="F55" s="379">
        <v>45468.56736111111</v>
      </c>
      <c r="G55" s="378">
        <v>1.0</v>
      </c>
      <c r="H55" s="378">
        <v>51.3708</v>
      </c>
      <c r="I55" s="378">
        <v>7.31199</v>
      </c>
      <c r="J55" s="378">
        <v>-16.40015</v>
      </c>
      <c r="K55" s="378">
        <v>-11.489294</v>
      </c>
      <c r="L55" s="378">
        <v>56.6125</v>
      </c>
      <c r="M55" s="378">
        <v>118.500694</v>
      </c>
      <c r="N55" s="378">
        <v>1821.229617</v>
      </c>
      <c r="O55" s="378">
        <v>0.0</v>
      </c>
      <c r="P55" s="380">
        <v>0.0</v>
      </c>
      <c r="Q55" s="376" t="s">
        <v>280</v>
      </c>
      <c r="R55" s="380" t="s">
        <v>607</v>
      </c>
      <c r="S55" s="380">
        <v>10.0</v>
      </c>
      <c r="T55" s="380">
        <v>5.0</v>
      </c>
      <c r="U55" s="380">
        <v>0.7</v>
      </c>
      <c r="V55" s="382">
        <v>0.7</v>
      </c>
      <c r="W55" s="380">
        <v>0.7</v>
      </c>
      <c r="X55" s="378">
        <v>2000.0</v>
      </c>
      <c r="Y55" s="378" t="s">
        <v>540</v>
      </c>
      <c r="Z55" s="378">
        <v>0.2</v>
      </c>
      <c r="AA55" s="378" t="s">
        <v>541</v>
      </c>
      <c r="AB55" s="378" t="s">
        <v>542</v>
      </c>
      <c r="AC55" s="378">
        <v>220.0</v>
      </c>
      <c r="AE55" s="377"/>
    </row>
    <row r="56">
      <c r="A56" s="378" t="s">
        <v>611</v>
      </c>
      <c r="B56" s="378">
        <v>5.0</v>
      </c>
      <c r="C56" s="378">
        <v>67.0</v>
      </c>
      <c r="D56" s="378" t="s">
        <v>575</v>
      </c>
      <c r="E56" s="378">
        <v>1.0</v>
      </c>
      <c r="F56" s="379">
        <v>45468.57083333333</v>
      </c>
      <c r="G56" s="378">
        <v>1.0</v>
      </c>
      <c r="H56" s="378">
        <v>51.3774</v>
      </c>
      <c r="I56" s="378">
        <v>7.09858</v>
      </c>
      <c r="J56" s="378">
        <v>-14.509831</v>
      </c>
      <c r="K56" s="378">
        <v>-14.507869</v>
      </c>
      <c r="L56" s="378">
        <v>4.40749</v>
      </c>
      <c r="M56" s="378">
        <v>52.499019</v>
      </c>
      <c r="N56" s="378">
        <v>246.755921</v>
      </c>
      <c r="O56" s="378">
        <v>0.0</v>
      </c>
      <c r="P56" s="380">
        <v>0.0</v>
      </c>
      <c r="Q56" s="376" t="s">
        <v>280</v>
      </c>
      <c r="R56" s="380" t="s">
        <v>607</v>
      </c>
      <c r="S56" s="380">
        <v>10.0</v>
      </c>
      <c r="T56" s="380">
        <v>5.0</v>
      </c>
      <c r="U56" s="380">
        <v>0.7</v>
      </c>
      <c r="V56" s="382">
        <v>0.7</v>
      </c>
      <c r="W56" s="380">
        <v>0.7</v>
      </c>
      <c r="X56" s="378">
        <v>2000.0</v>
      </c>
      <c r="Y56" s="378" t="s">
        <v>612</v>
      </c>
      <c r="Z56" s="378">
        <v>0.01</v>
      </c>
      <c r="AA56" s="378" t="s">
        <v>541</v>
      </c>
      <c r="AB56" s="378" t="s">
        <v>542</v>
      </c>
      <c r="AC56" s="378">
        <v>220.0</v>
      </c>
      <c r="AE56" s="377"/>
    </row>
    <row r="57">
      <c r="A57" s="378" t="s">
        <v>613</v>
      </c>
      <c r="B57" s="378">
        <v>5.0</v>
      </c>
      <c r="C57" s="378">
        <v>67.0</v>
      </c>
      <c r="D57" s="378" t="s">
        <v>575</v>
      </c>
      <c r="E57" s="378">
        <v>1.0</v>
      </c>
      <c r="F57" s="379">
        <v>45468.57361111111</v>
      </c>
      <c r="G57" s="378">
        <v>2.0</v>
      </c>
      <c r="H57" s="378">
        <v>51.3807</v>
      </c>
      <c r="I57" s="378">
        <v>7.11915</v>
      </c>
      <c r="J57" s="378">
        <v>-14.732525</v>
      </c>
      <c r="K57" s="378">
        <v>-15.020169</v>
      </c>
      <c r="L57" s="378">
        <v>-1.01566</v>
      </c>
      <c r="M57" s="378">
        <v>69.000045</v>
      </c>
      <c r="N57" s="378">
        <v>170.275525</v>
      </c>
      <c r="O57" s="378">
        <v>0.0</v>
      </c>
      <c r="P57" s="380">
        <v>0.0</v>
      </c>
      <c r="Q57" s="376" t="s">
        <v>280</v>
      </c>
      <c r="R57" s="380" t="s">
        <v>607</v>
      </c>
      <c r="S57" s="380">
        <v>10.0</v>
      </c>
      <c r="T57" s="380">
        <v>5.0</v>
      </c>
      <c r="U57" s="380">
        <v>0.7</v>
      </c>
      <c r="V57" s="382">
        <v>0.7</v>
      </c>
      <c r="W57" s="380">
        <v>0.7</v>
      </c>
      <c r="X57" s="378">
        <v>2000.0</v>
      </c>
      <c r="Y57" s="378" t="s">
        <v>540</v>
      </c>
      <c r="Z57" s="378">
        <v>0.2</v>
      </c>
      <c r="AA57" s="378" t="s">
        <v>541</v>
      </c>
      <c r="AB57" s="378" t="s">
        <v>542</v>
      </c>
      <c r="AC57" s="378">
        <v>220.0</v>
      </c>
      <c r="AE57" s="377"/>
    </row>
    <row r="58">
      <c r="A58" s="378" t="s">
        <v>614</v>
      </c>
      <c r="B58" s="378">
        <v>5.0</v>
      </c>
      <c r="C58" s="378">
        <v>67.0</v>
      </c>
      <c r="D58" s="378" t="s">
        <v>575</v>
      </c>
      <c r="E58" s="378">
        <v>1.0</v>
      </c>
      <c r="F58" s="379">
        <v>45468.57638888889</v>
      </c>
      <c r="G58" s="378">
        <v>2.0</v>
      </c>
      <c r="H58" s="378">
        <v>51.3807</v>
      </c>
      <c r="I58" s="378">
        <v>7.0732</v>
      </c>
      <c r="J58" s="378">
        <v>-17.684512</v>
      </c>
      <c r="K58" s="378">
        <v>-16.943981</v>
      </c>
      <c r="L58" s="378">
        <v>-1.97653</v>
      </c>
      <c r="M58" s="378">
        <v>66.500173</v>
      </c>
      <c r="N58" s="378">
        <v>270.416853</v>
      </c>
      <c r="O58" s="378">
        <v>0.0</v>
      </c>
      <c r="P58" s="380">
        <v>0.0</v>
      </c>
      <c r="Q58" s="376" t="s">
        <v>280</v>
      </c>
      <c r="R58" s="380" t="s">
        <v>607</v>
      </c>
      <c r="S58" s="380">
        <v>10.0</v>
      </c>
      <c r="T58" s="380">
        <v>5.0</v>
      </c>
      <c r="U58" s="380">
        <v>0.7</v>
      </c>
      <c r="V58" s="382">
        <v>0.7</v>
      </c>
      <c r="W58" s="380">
        <v>0.7</v>
      </c>
      <c r="X58" s="378">
        <v>2000.0</v>
      </c>
      <c r="Y58" s="378" t="s">
        <v>540</v>
      </c>
      <c r="Z58" s="378">
        <v>0.2</v>
      </c>
      <c r="AA58" s="378" t="s">
        <v>541</v>
      </c>
      <c r="AB58" s="378" t="s">
        <v>542</v>
      </c>
      <c r="AC58" s="378">
        <v>220.0</v>
      </c>
      <c r="AE58" s="377"/>
    </row>
    <row r="59">
      <c r="A59" s="378" t="s">
        <v>615</v>
      </c>
      <c r="B59" s="378">
        <v>5.0</v>
      </c>
      <c r="C59" s="378">
        <v>67.0</v>
      </c>
      <c r="D59" s="378" t="s">
        <v>575</v>
      </c>
      <c r="E59" s="378">
        <v>1.0</v>
      </c>
      <c r="F59" s="379">
        <v>45468.57916666667</v>
      </c>
      <c r="G59" s="378">
        <v>2.0</v>
      </c>
      <c r="H59" s="378">
        <v>51.3774</v>
      </c>
      <c r="I59" s="378">
        <v>6.99443</v>
      </c>
      <c r="J59" s="378">
        <v>-14.917731</v>
      </c>
      <c r="K59" s="378">
        <v>-15.803406</v>
      </c>
      <c r="L59" s="378">
        <v>0.533585</v>
      </c>
      <c r="M59" s="378">
        <v>93.000205</v>
      </c>
      <c r="N59" s="378">
        <v>272.955727</v>
      </c>
      <c r="O59" s="378">
        <v>0.0</v>
      </c>
      <c r="P59" s="380">
        <v>0.0</v>
      </c>
      <c r="Q59" s="376" t="s">
        <v>280</v>
      </c>
      <c r="R59" s="380" t="s">
        <v>607</v>
      </c>
      <c r="S59" s="380">
        <v>10.0</v>
      </c>
      <c r="T59" s="380">
        <v>5.0</v>
      </c>
      <c r="U59" s="380">
        <v>0.7</v>
      </c>
      <c r="V59" s="382">
        <v>0.7</v>
      </c>
      <c r="W59" s="380">
        <v>0.7</v>
      </c>
      <c r="X59" s="378">
        <v>2000.0</v>
      </c>
      <c r="Y59" s="378" t="s">
        <v>540</v>
      </c>
      <c r="Z59" s="378">
        <v>0.2</v>
      </c>
      <c r="AA59" s="378" t="s">
        <v>541</v>
      </c>
      <c r="AB59" s="378" t="s">
        <v>542</v>
      </c>
      <c r="AC59" s="378">
        <v>220.0</v>
      </c>
      <c r="AE59" s="377"/>
    </row>
    <row r="60">
      <c r="A60" s="378" t="s">
        <v>616</v>
      </c>
      <c r="B60" s="378">
        <v>5.0</v>
      </c>
      <c r="C60" s="378">
        <v>67.0</v>
      </c>
      <c r="D60" s="378" t="s">
        <v>575</v>
      </c>
      <c r="E60" s="378">
        <v>1.0</v>
      </c>
      <c r="F60" s="379">
        <v>45468.58194444444</v>
      </c>
      <c r="G60" s="378">
        <v>2.0</v>
      </c>
      <c r="H60" s="378">
        <v>51.384</v>
      </c>
      <c r="I60" s="378">
        <v>6.88568</v>
      </c>
      <c r="J60" s="378">
        <v>-16.846056</v>
      </c>
      <c r="K60" s="378">
        <v>-17.023181</v>
      </c>
      <c r="L60" s="378">
        <v>-1.68038</v>
      </c>
      <c r="M60" s="378">
        <v>48.999492</v>
      </c>
      <c r="N60" s="378">
        <v>193.740316</v>
      </c>
      <c r="O60" s="378">
        <v>0.0</v>
      </c>
      <c r="P60" s="380">
        <v>0.0</v>
      </c>
      <c r="Q60" s="376" t="s">
        <v>280</v>
      </c>
      <c r="R60" s="380" t="s">
        <v>607</v>
      </c>
      <c r="S60" s="380">
        <v>10.0</v>
      </c>
      <c r="T60" s="380">
        <v>5.0</v>
      </c>
      <c r="U60" s="380">
        <v>0.7</v>
      </c>
      <c r="V60" s="382">
        <v>0.7</v>
      </c>
      <c r="W60" s="380">
        <v>0.7</v>
      </c>
      <c r="X60" s="378">
        <v>2000.0</v>
      </c>
      <c r="Y60" s="378" t="s">
        <v>540</v>
      </c>
      <c r="Z60" s="378">
        <v>0.2</v>
      </c>
      <c r="AA60" s="378" t="s">
        <v>541</v>
      </c>
      <c r="AB60" s="378" t="s">
        <v>542</v>
      </c>
      <c r="AC60" s="378">
        <v>220.0</v>
      </c>
      <c r="AE60" s="377"/>
    </row>
    <row r="61">
      <c r="A61" s="378" t="s">
        <v>617</v>
      </c>
      <c r="B61" s="378">
        <v>5.0</v>
      </c>
      <c r="C61" s="378">
        <v>67.0</v>
      </c>
      <c r="D61" s="378" t="s">
        <v>575</v>
      </c>
      <c r="E61" s="378">
        <v>1.0</v>
      </c>
      <c r="F61" s="379">
        <v>45468.58472222222</v>
      </c>
      <c r="G61" s="378">
        <v>2.0</v>
      </c>
      <c r="H61" s="378">
        <v>51.3807</v>
      </c>
      <c r="I61" s="378">
        <v>6.9021</v>
      </c>
      <c r="J61" s="378">
        <v>-16.115438</v>
      </c>
      <c r="K61" s="378">
        <v>-16.752625</v>
      </c>
      <c r="L61" s="378">
        <v>1.41328</v>
      </c>
      <c r="M61" s="378">
        <v>67.499987</v>
      </c>
      <c r="N61" s="378">
        <v>264.080292</v>
      </c>
      <c r="O61" s="378">
        <v>0.0</v>
      </c>
      <c r="P61" s="380">
        <v>0.0</v>
      </c>
      <c r="Q61" s="376" t="s">
        <v>280</v>
      </c>
      <c r="R61" s="380" t="s">
        <v>607</v>
      </c>
      <c r="S61" s="380">
        <v>10.0</v>
      </c>
      <c r="T61" s="380">
        <v>5.0</v>
      </c>
      <c r="U61" s="380">
        <v>0.7</v>
      </c>
      <c r="V61" s="382">
        <v>0.7</v>
      </c>
      <c r="W61" s="380">
        <v>0.7</v>
      </c>
      <c r="X61" s="378">
        <v>2000.0</v>
      </c>
      <c r="Y61" s="378" t="s">
        <v>540</v>
      </c>
      <c r="Z61" s="378">
        <v>0.2</v>
      </c>
      <c r="AA61" s="378" t="s">
        <v>541</v>
      </c>
      <c r="AB61" s="378" t="s">
        <v>542</v>
      </c>
      <c r="AC61" s="378">
        <v>220.0</v>
      </c>
      <c r="AE61" s="377"/>
    </row>
    <row r="62">
      <c r="A62" s="373" t="s">
        <v>618</v>
      </c>
      <c r="B62" s="373">
        <v>6.0</v>
      </c>
      <c r="C62" s="373">
        <v>92.0</v>
      </c>
      <c r="D62" s="373" t="s">
        <v>579</v>
      </c>
      <c r="E62" s="373">
        <v>1.0</v>
      </c>
      <c r="F62" s="375">
        <v>45468.58819444444</v>
      </c>
      <c r="G62" s="373">
        <v>1.0</v>
      </c>
      <c r="H62" s="373">
        <v>51.3807</v>
      </c>
      <c r="I62" s="373">
        <v>6.77008</v>
      </c>
      <c r="J62" s="373">
        <v>-15.9062</v>
      </c>
      <c r="K62" s="373">
        <v>-16.866569</v>
      </c>
      <c r="L62" s="373">
        <v>0.072976</v>
      </c>
      <c r="M62" s="373">
        <v>52.000015</v>
      </c>
      <c r="N62" s="373">
        <v>211.219341</v>
      </c>
      <c r="O62" s="373">
        <v>0.0</v>
      </c>
      <c r="P62" s="376">
        <v>0.0</v>
      </c>
      <c r="Q62" s="376" t="s">
        <v>280</v>
      </c>
      <c r="R62" s="376" t="s">
        <v>619</v>
      </c>
      <c r="S62" s="376">
        <v>10.0</v>
      </c>
      <c r="T62" s="376">
        <v>5.0</v>
      </c>
      <c r="U62" s="376">
        <v>0.7</v>
      </c>
      <c r="V62" s="381">
        <v>0.7</v>
      </c>
      <c r="W62" s="376">
        <v>0.7</v>
      </c>
      <c r="X62" s="373">
        <v>2000.0</v>
      </c>
      <c r="Y62" s="373" t="s">
        <v>540</v>
      </c>
      <c r="Z62" s="373">
        <v>0.2</v>
      </c>
      <c r="AA62" s="373" t="s">
        <v>541</v>
      </c>
      <c r="AB62" s="373" t="s">
        <v>542</v>
      </c>
      <c r="AC62" s="373">
        <v>220.0</v>
      </c>
      <c r="AD62" s="193"/>
      <c r="AE62" s="377"/>
    </row>
    <row r="63">
      <c r="A63" s="373" t="s">
        <v>620</v>
      </c>
      <c r="B63" s="373">
        <v>6.0</v>
      </c>
      <c r="C63" s="373">
        <v>92.0</v>
      </c>
      <c r="D63" s="373" t="s">
        <v>579</v>
      </c>
      <c r="E63" s="373">
        <v>1.0</v>
      </c>
      <c r="F63" s="375">
        <v>45468.59097222222</v>
      </c>
      <c r="G63" s="373">
        <v>1.0</v>
      </c>
      <c r="H63" s="373">
        <v>51.3774</v>
      </c>
      <c r="I63" s="373">
        <v>6.89794</v>
      </c>
      <c r="J63" s="373">
        <v>-18.285831</v>
      </c>
      <c r="K63" s="373">
        <v>-16.847019</v>
      </c>
      <c r="L63" s="373">
        <v>-2.65735</v>
      </c>
      <c r="M63" s="373">
        <v>49.500909</v>
      </c>
      <c r="N63" s="373">
        <v>187.491712</v>
      </c>
      <c r="O63" s="373">
        <v>0.0</v>
      </c>
      <c r="P63" s="376">
        <v>0.0</v>
      </c>
      <c r="Q63" s="376" t="s">
        <v>280</v>
      </c>
      <c r="R63" s="376" t="s">
        <v>619</v>
      </c>
      <c r="S63" s="376">
        <v>10.0</v>
      </c>
      <c r="T63" s="376">
        <v>5.0</v>
      </c>
      <c r="U63" s="376">
        <v>0.7</v>
      </c>
      <c r="V63" s="381">
        <v>0.7</v>
      </c>
      <c r="W63" s="376">
        <v>0.7</v>
      </c>
      <c r="X63" s="373">
        <v>2000.0</v>
      </c>
      <c r="Y63" s="373" t="s">
        <v>540</v>
      </c>
      <c r="Z63" s="373">
        <v>0.2</v>
      </c>
      <c r="AA63" s="373" t="s">
        <v>541</v>
      </c>
      <c r="AB63" s="373" t="s">
        <v>542</v>
      </c>
      <c r="AC63" s="373">
        <v>220.0</v>
      </c>
      <c r="AD63" s="193"/>
      <c r="AE63" s="377"/>
    </row>
    <row r="64">
      <c r="A64" s="373" t="s">
        <v>621</v>
      </c>
      <c r="B64" s="373">
        <v>6.0</v>
      </c>
      <c r="C64" s="373">
        <v>92.0</v>
      </c>
      <c r="D64" s="373" t="s">
        <v>579</v>
      </c>
      <c r="E64" s="373">
        <v>1.0</v>
      </c>
      <c r="F64" s="375">
        <v>45468.59305555555</v>
      </c>
      <c r="G64" s="373">
        <v>1.0</v>
      </c>
      <c r="H64" s="373">
        <v>51.3807</v>
      </c>
      <c r="I64" s="373">
        <v>6.96381</v>
      </c>
      <c r="J64" s="373">
        <v>-20.744456</v>
      </c>
      <c r="K64" s="373">
        <v>-22.987719</v>
      </c>
      <c r="L64" s="373">
        <v>1862.45</v>
      </c>
      <c r="M64" s="373">
        <v>83.99965</v>
      </c>
      <c r="N64" s="373">
        <v>11148.72766</v>
      </c>
      <c r="O64" s="373">
        <v>0.0</v>
      </c>
      <c r="P64" s="376">
        <v>0.0</v>
      </c>
      <c r="Q64" s="376" t="s">
        <v>280</v>
      </c>
      <c r="R64" s="376" t="s">
        <v>619</v>
      </c>
      <c r="S64" s="376">
        <v>10.0</v>
      </c>
      <c r="T64" s="376">
        <v>5.0</v>
      </c>
      <c r="U64" s="376">
        <v>0.7</v>
      </c>
      <c r="V64" s="381">
        <v>0.7</v>
      </c>
      <c r="W64" s="376">
        <v>0.7</v>
      </c>
      <c r="X64" s="373">
        <v>2000.0</v>
      </c>
      <c r="Y64" s="373" t="s">
        <v>540</v>
      </c>
      <c r="Z64" s="373">
        <v>0.2</v>
      </c>
      <c r="AA64" s="373" t="s">
        <v>541</v>
      </c>
      <c r="AB64" s="373" t="s">
        <v>542</v>
      </c>
      <c r="AC64" s="373">
        <v>220.0</v>
      </c>
      <c r="AD64" s="193"/>
      <c r="AE64" s="377"/>
    </row>
    <row r="65">
      <c r="A65" s="373" t="s">
        <v>622</v>
      </c>
      <c r="B65" s="373">
        <v>6.0</v>
      </c>
      <c r="C65" s="373">
        <v>92.0</v>
      </c>
      <c r="D65" s="373" t="s">
        <v>579</v>
      </c>
      <c r="E65" s="373">
        <v>1.0</v>
      </c>
      <c r="F65" s="384"/>
      <c r="G65" s="373">
        <v>1.0</v>
      </c>
      <c r="H65" s="373">
        <v>0.0</v>
      </c>
      <c r="I65" s="373">
        <v>0.0</v>
      </c>
      <c r="J65" s="373">
        <v>0.0</v>
      </c>
      <c r="K65" s="373">
        <v>0.0</v>
      </c>
      <c r="L65" s="373">
        <v>0.0</v>
      </c>
      <c r="M65" s="373">
        <v>0.0</v>
      </c>
      <c r="N65" s="373">
        <v>0.0</v>
      </c>
      <c r="O65" s="373">
        <v>0.0</v>
      </c>
      <c r="P65" s="376">
        <v>0.0</v>
      </c>
      <c r="Q65" s="376" t="s">
        <v>280</v>
      </c>
      <c r="R65" s="376" t="s">
        <v>623</v>
      </c>
      <c r="S65" s="376">
        <v>10.0</v>
      </c>
      <c r="T65" s="376">
        <v>5.0</v>
      </c>
      <c r="U65" s="376">
        <v>0.7</v>
      </c>
      <c r="V65" s="381">
        <v>0.7</v>
      </c>
      <c r="W65" s="376">
        <v>0.7</v>
      </c>
      <c r="X65" s="373">
        <v>2000.0</v>
      </c>
      <c r="Y65" s="374"/>
      <c r="Z65" s="374"/>
      <c r="AA65" s="373" t="s">
        <v>541</v>
      </c>
      <c r="AB65" s="373" t="s">
        <v>542</v>
      </c>
      <c r="AC65" s="373">
        <v>220.0</v>
      </c>
      <c r="AD65" s="193"/>
      <c r="AE65" s="377"/>
    </row>
    <row r="66">
      <c r="A66" s="373" t="s">
        <v>624</v>
      </c>
      <c r="B66" s="373">
        <v>6.0</v>
      </c>
      <c r="C66" s="373">
        <v>92.0</v>
      </c>
      <c r="D66" s="373" t="s">
        <v>579</v>
      </c>
      <c r="E66" s="373">
        <v>1.0</v>
      </c>
      <c r="F66" s="375">
        <v>45468.604166666664</v>
      </c>
      <c r="G66" s="373">
        <v>1.0</v>
      </c>
      <c r="H66" s="373">
        <v>51.3774</v>
      </c>
      <c r="I66" s="373">
        <v>6.22555</v>
      </c>
      <c r="J66" s="373">
        <v>-25.059775</v>
      </c>
      <c r="K66" s="373">
        <v>-23.558212</v>
      </c>
      <c r="L66" s="373">
        <v>1053.19</v>
      </c>
      <c r="M66" s="373">
        <v>68.999627</v>
      </c>
      <c r="N66" s="373">
        <v>11861.81404</v>
      </c>
      <c r="O66" s="373">
        <v>11834.0963</v>
      </c>
      <c r="P66" s="376">
        <v>2115.034369</v>
      </c>
      <c r="Q66" s="376" t="s">
        <v>12</v>
      </c>
      <c r="R66" s="376" t="s">
        <v>553</v>
      </c>
      <c r="S66" s="376">
        <v>10.0</v>
      </c>
      <c r="T66" s="376">
        <v>5.0</v>
      </c>
      <c r="U66" s="376">
        <v>0.7</v>
      </c>
      <c r="V66" s="381">
        <v>0.7</v>
      </c>
      <c r="W66" s="376">
        <v>0.7</v>
      </c>
      <c r="X66" s="373">
        <v>2000.0</v>
      </c>
      <c r="Y66" s="373" t="s">
        <v>540</v>
      </c>
      <c r="Z66" s="373">
        <v>0.2</v>
      </c>
      <c r="AA66" s="373" t="s">
        <v>541</v>
      </c>
      <c r="AB66" s="373" t="s">
        <v>542</v>
      </c>
      <c r="AC66" s="373">
        <v>220.0</v>
      </c>
      <c r="AD66" s="193"/>
      <c r="AE66" s="377"/>
    </row>
    <row r="67">
      <c r="A67" s="373" t="s">
        <v>625</v>
      </c>
      <c r="B67" s="373">
        <v>6.0</v>
      </c>
      <c r="C67" s="373">
        <v>92.0</v>
      </c>
      <c r="D67" s="373" t="s">
        <v>579</v>
      </c>
      <c r="E67" s="373">
        <v>1.0</v>
      </c>
      <c r="F67" s="375">
        <v>45468.606944444444</v>
      </c>
      <c r="G67" s="373">
        <v>1.0</v>
      </c>
      <c r="H67" s="373">
        <v>51.3774</v>
      </c>
      <c r="I67" s="373">
        <v>6.66976</v>
      </c>
      <c r="J67" s="373">
        <v>-25.431531</v>
      </c>
      <c r="K67" s="373">
        <v>-23.781437</v>
      </c>
      <c r="L67" s="373">
        <v>1083.6</v>
      </c>
      <c r="M67" s="373">
        <v>73.500511</v>
      </c>
      <c r="N67" s="373">
        <v>11828.19552</v>
      </c>
      <c r="O67" s="373">
        <v>11834.0963</v>
      </c>
      <c r="P67" s="376">
        <v>2115.034369</v>
      </c>
      <c r="Q67" s="376" t="s">
        <v>12</v>
      </c>
      <c r="R67" s="376" t="s">
        <v>539</v>
      </c>
      <c r="S67" s="376">
        <v>10.0</v>
      </c>
      <c r="T67" s="376">
        <v>5.0</v>
      </c>
      <c r="U67" s="376">
        <v>0.7</v>
      </c>
      <c r="V67" s="381">
        <v>0.7</v>
      </c>
      <c r="W67" s="376">
        <v>0.7</v>
      </c>
      <c r="X67" s="373">
        <v>2000.0</v>
      </c>
      <c r="Y67" s="373" t="s">
        <v>540</v>
      </c>
      <c r="Z67" s="373">
        <v>0.2</v>
      </c>
      <c r="AA67" s="373" t="s">
        <v>541</v>
      </c>
      <c r="AB67" s="373" t="s">
        <v>542</v>
      </c>
      <c r="AC67" s="373">
        <v>220.0</v>
      </c>
      <c r="AD67" s="193"/>
      <c r="AE67" s="377"/>
    </row>
    <row r="68">
      <c r="A68" s="373" t="s">
        <v>626</v>
      </c>
      <c r="B68" s="373">
        <v>6.0</v>
      </c>
      <c r="C68" s="373">
        <v>92.0</v>
      </c>
      <c r="D68" s="373" t="s">
        <v>579</v>
      </c>
      <c r="E68" s="373">
        <v>1.0</v>
      </c>
      <c r="F68" s="375">
        <v>45468.60972222222</v>
      </c>
      <c r="G68" s="373">
        <v>1.0</v>
      </c>
      <c r="H68" s="373">
        <v>51.3807</v>
      </c>
      <c r="I68" s="373">
        <v>6.95005</v>
      </c>
      <c r="J68" s="373">
        <v>-25.318219</v>
      </c>
      <c r="K68" s="373">
        <v>-23.666619</v>
      </c>
      <c r="L68" s="373">
        <v>1089.79</v>
      </c>
      <c r="M68" s="373">
        <v>67.499727</v>
      </c>
      <c r="N68" s="373">
        <v>11839.99708</v>
      </c>
      <c r="O68" s="373">
        <v>11834.0963</v>
      </c>
      <c r="P68" s="376">
        <v>2115.034369</v>
      </c>
      <c r="Q68" s="376" t="s">
        <v>12</v>
      </c>
      <c r="R68" s="376" t="s">
        <v>539</v>
      </c>
      <c r="S68" s="376">
        <v>10.0</v>
      </c>
      <c r="T68" s="376">
        <v>5.0</v>
      </c>
      <c r="U68" s="376">
        <v>0.7</v>
      </c>
      <c r="V68" s="381">
        <v>0.7</v>
      </c>
      <c r="W68" s="376">
        <v>0.7</v>
      </c>
      <c r="X68" s="373">
        <v>2000.0</v>
      </c>
      <c r="Y68" s="373" t="s">
        <v>540</v>
      </c>
      <c r="Z68" s="373">
        <v>0.2</v>
      </c>
      <c r="AA68" s="373" t="s">
        <v>541</v>
      </c>
      <c r="AB68" s="373" t="s">
        <v>542</v>
      </c>
      <c r="AC68" s="373">
        <v>220.0</v>
      </c>
      <c r="AD68" s="193"/>
      <c r="AE68" s="377"/>
    </row>
    <row r="69">
      <c r="A69" s="373" t="s">
        <v>627</v>
      </c>
      <c r="B69" s="373">
        <v>7.0</v>
      </c>
      <c r="C69" s="373">
        <v>93.0</v>
      </c>
      <c r="D69" s="373" t="s">
        <v>582</v>
      </c>
      <c r="E69" s="373">
        <v>1.0</v>
      </c>
      <c r="F69" s="375">
        <v>45468.61319444444</v>
      </c>
      <c r="G69" s="373">
        <v>1.0</v>
      </c>
      <c r="H69" s="373">
        <v>51.3807</v>
      </c>
      <c r="I69" s="373">
        <v>7.22628</v>
      </c>
      <c r="J69" s="373">
        <v>-25.4442</v>
      </c>
      <c r="K69" s="373">
        <v>-23.569269</v>
      </c>
      <c r="L69" s="373">
        <v>1115.85</v>
      </c>
      <c r="M69" s="373">
        <v>65.000927</v>
      </c>
      <c r="N69" s="373">
        <v>11879.35085</v>
      </c>
      <c r="O69" s="373">
        <v>11890.75508</v>
      </c>
      <c r="P69" s="376">
        <v>2125.025589</v>
      </c>
      <c r="Q69" s="376" t="s">
        <v>12</v>
      </c>
      <c r="R69" s="376" t="s">
        <v>539</v>
      </c>
      <c r="S69" s="376">
        <v>10.0</v>
      </c>
      <c r="T69" s="376">
        <v>5.0</v>
      </c>
      <c r="U69" s="376">
        <v>0.7</v>
      </c>
      <c r="V69" s="381">
        <v>0.7</v>
      </c>
      <c r="W69" s="376">
        <v>0.7</v>
      </c>
      <c r="X69" s="373">
        <v>2000.0</v>
      </c>
      <c r="Y69" s="373" t="s">
        <v>540</v>
      </c>
      <c r="Z69" s="373">
        <v>0.2</v>
      </c>
      <c r="AA69" s="373" t="s">
        <v>541</v>
      </c>
      <c r="AB69" s="373" t="s">
        <v>542</v>
      </c>
      <c r="AC69" s="373">
        <v>220.0</v>
      </c>
      <c r="AD69" s="193"/>
      <c r="AE69" s="377"/>
    </row>
    <row r="70">
      <c r="A70" s="373" t="s">
        <v>628</v>
      </c>
      <c r="B70" s="373">
        <v>7.0</v>
      </c>
      <c r="C70" s="373">
        <v>93.0</v>
      </c>
      <c r="D70" s="373" t="s">
        <v>582</v>
      </c>
      <c r="E70" s="373">
        <v>1.0</v>
      </c>
      <c r="F70" s="375">
        <v>45468.61597222222</v>
      </c>
      <c r="G70" s="373">
        <v>1.0</v>
      </c>
      <c r="H70" s="373">
        <v>51.3807</v>
      </c>
      <c r="I70" s="373">
        <v>7.41734</v>
      </c>
      <c r="J70" s="373">
        <v>-25.373863</v>
      </c>
      <c r="K70" s="373">
        <v>-23.924069</v>
      </c>
      <c r="L70" s="373">
        <v>1111.99</v>
      </c>
      <c r="M70" s="373">
        <v>69.998712</v>
      </c>
      <c r="N70" s="373">
        <v>11902.15931</v>
      </c>
      <c r="O70" s="373">
        <v>11890.75508</v>
      </c>
      <c r="P70" s="376">
        <v>2125.025589</v>
      </c>
      <c r="Q70" s="376" t="s">
        <v>12</v>
      </c>
      <c r="R70" s="376" t="s">
        <v>539</v>
      </c>
      <c r="S70" s="376">
        <v>10.0</v>
      </c>
      <c r="T70" s="376">
        <v>5.0</v>
      </c>
      <c r="U70" s="376">
        <v>0.7</v>
      </c>
      <c r="V70" s="381">
        <v>0.7</v>
      </c>
      <c r="W70" s="376">
        <v>0.7</v>
      </c>
      <c r="X70" s="373">
        <v>2000.0</v>
      </c>
      <c r="Y70" s="373" t="s">
        <v>540</v>
      </c>
      <c r="Z70" s="373">
        <v>0.2</v>
      </c>
      <c r="AA70" s="373" t="s">
        <v>541</v>
      </c>
      <c r="AB70" s="373" t="s">
        <v>542</v>
      </c>
      <c r="AC70" s="373">
        <v>220.0</v>
      </c>
      <c r="AD70" s="193"/>
      <c r="AE70" s="377"/>
    </row>
    <row r="71">
      <c r="A71" s="373" t="s">
        <v>629</v>
      </c>
      <c r="B71" s="373">
        <v>8.0</v>
      </c>
      <c r="C71" s="373">
        <v>53.0</v>
      </c>
      <c r="D71" s="373" t="s">
        <v>585</v>
      </c>
      <c r="E71" s="373">
        <v>1.0</v>
      </c>
      <c r="F71" s="375">
        <v>45468.61944444444</v>
      </c>
      <c r="G71" s="373">
        <v>1.0</v>
      </c>
      <c r="H71" s="373">
        <v>51.3774</v>
      </c>
      <c r="I71" s="373">
        <v>7.62584</v>
      </c>
      <c r="J71" s="373">
        <v>-25.257487</v>
      </c>
      <c r="K71" s="373">
        <v>-23.926206</v>
      </c>
      <c r="L71" s="373">
        <v>1117.95</v>
      </c>
      <c r="M71" s="373">
        <v>69.000717</v>
      </c>
      <c r="N71" s="373">
        <v>11905.86848</v>
      </c>
      <c r="O71" s="373">
        <v>11891.75013</v>
      </c>
      <c r="P71" s="376">
        <v>2125.201058</v>
      </c>
      <c r="Q71" s="376" t="s">
        <v>12</v>
      </c>
      <c r="R71" s="376" t="s">
        <v>553</v>
      </c>
      <c r="S71" s="376">
        <v>10.0</v>
      </c>
      <c r="T71" s="376">
        <v>5.0</v>
      </c>
      <c r="U71" s="376">
        <v>0.7</v>
      </c>
      <c r="V71" s="381">
        <v>0.7</v>
      </c>
      <c r="W71" s="376">
        <v>0.7</v>
      </c>
      <c r="X71" s="373">
        <v>2000.0</v>
      </c>
      <c r="Y71" s="373" t="s">
        <v>540</v>
      </c>
      <c r="Z71" s="373">
        <v>0.2</v>
      </c>
      <c r="AA71" s="373" t="s">
        <v>541</v>
      </c>
      <c r="AB71" s="373" t="s">
        <v>542</v>
      </c>
      <c r="AC71" s="373">
        <v>220.0</v>
      </c>
      <c r="AD71" s="193"/>
      <c r="AE71" s="377"/>
    </row>
    <row r="72">
      <c r="A72" s="373" t="s">
        <v>630</v>
      </c>
      <c r="B72" s="373">
        <v>8.0</v>
      </c>
      <c r="C72" s="373">
        <v>53.0</v>
      </c>
      <c r="D72" s="373" t="s">
        <v>585</v>
      </c>
      <c r="E72" s="373">
        <v>1.0</v>
      </c>
      <c r="F72" s="375">
        <v>45468.62222222222</v>
      </c>
      <c r="G72" s="373">
        <v>1.0</v>
      </c>
      <c r="H72" s="373">
        <v>51.3774</v>
      </c>
      <c r="I72" s="373">
        <v>7.79616</v>
      </c>
      <c r="J72" s="373">
        <v>-25.373969</v>
      </c>
      <c r="K72" s="373">
        <v>-23.350338</v>
      </c>
      <c r="L72" s="373">
        <v>1101.06</v>
      </c>
      <c r="M72" s="373">
        <v>65.499479</v>
      </c>
      <c r="N72" s="373">
        <v>11880.18955</v>
      </c>
      <c r="O72" s="373">
        <v>11891.75013</v>
      </c>
      <c r="P72" s="376">
        <v>2125.201058</v>
      </c>
      <c r="Q72" s="376" t="s">
        <v>12</v>
      </c>
      <c r="R72" s="376" t="s">
        <v>539</v>
      </c>
      <c r="S72" s="376">
        <v>10.0</v>
      </c>
      <c r="T72" s="376">
        <v>5.0</v>
      </c>
      <c r="U72" s="376">
        <v>0.7</v>
      </c>
      <c r="V72" s="381">
        <v>0.7</v>
      </c>
      <c r="W72" s="376">
        <v>0.7</v>
      </c>
      <c r="X72" s="373">
        <v>2000.0</v>
      </c>
      <c r="Y72" s="373" t="s">
        <v>540</v>
      </c>
      <c r="Z72" s="373">
        <v>0.2</v>
      </c>
      <c r="AA72" s="373" t="s">
        <v>541</v>
      </c>
      <c r="AB72" s="373" t="s">
        <v>542</v>
      </c>
      <c r="AC72" s="373">
        <v>220.0</v>
      </c>
      <c r="AD72" s="193"/>
      <c r="AE72" s="377"/>
    </row>
    <row r="73">
      <c r="A73" s="373" t="s">
        <v>631</v>
      </c>
      <c r="B73" s="373">
        <v>8.0</v>
      </c>
      <c r="C73" s="373">
        <v>53.0</v>
      </c>
      <c r="D73" s="373" t="s">
        <v>585</v>
      </c>
      <c r="E73" s="373">
        <v>1.0</v>
      </c>
      <c r="F73" s="375">
        <v>45468.625</v>
      </c>
      <c r="G73" s="373">
        <v>1.0</v>
      </c>
      <c r="H73" s="373">
        <v>51.3807</v>
      </c>
      <c r="I73" s="373">
        <v>7.76353</v>
      </c>
      <c r="J73" s="373">
        <v>-25.2915</v>
      </c>
      <c r="K73" s="373">
        <v>-23.617175</v>
      </c>
      <c r="L73" s="373">
        <v>1136.64</v>
      </c>
      <c r="M73" s="373">
        <v>70.500269</v>
      </c>
      <c r="N73" s="373">
        <v>11903.31072</v>
      </c>
      <c r="O73" s="373">
        <v>11891.75013</v>
      </c>
      <c r="P73" s="376">
        <v>2125.201058</v>
      </c>
      <c r="Q73" s="376" t="s">
        <v>12</v>
      </c>
      <c r="R73" s="376" t="s">
        <v>539</v>
      </c>
      <c r="S73" s="376">
        <v>10.0</v>
      </c>
      <c r="T73" s="376">
        <v>5.0</v>
      </c>
      <c r="U73" s="376">
        <v>0.7</v>
      </c>
      <c r="V73" s="381">
        <v>0.7</v>
      </c>
      <c r="W73" s="376">
        <v>0.7</v>
      </c>
      <c r="X73" s="373">
        <v>2000.0</v>
      </c>
      <c r="Y73" s="373" t="s">
        <v>540</v>
      </c>
      <c r="Z73" s="373">
        <v>0.2</v>
      </c>
      <c r="AA73" s="373" t="s">
        <v>541</v>
      </c>
      <c r="AB73" s="373" t="s">
        <v>542</v>
      </c>
      <c r="AC73" s="373">
        <v>220.0</v>
      </c>
      <c r="AD73" s="193"/>
      <c r="AE73" s="377"/>
    </row>
    <row r="74">
      <c r="A74" s="373" t="s">
        <v>632</v>
      </c>
      <c r="B74" s="373">
        <v>9.0</v>
      </c>
      <c r="C74" s="373">
        <v>54.0</v>
      </c>
      <c r="D74" s="373" t="s">
        <v>589</v>
      </c>
      <c r="E74" s="373">
        <v>1.0</v>
      </c>
      <c r="F74" s="375">
        <v>45468.62847222222</v>
      </c>
      <c r="G74" s="373">
        <v>1.0</v>
      </c>
      <c r="H74" s="373">
        <v>51.3741</v>
      </c>
      <c r="I74" s="373">
        <v>7.86874</v>
      </c>
      <c r="J74" s="373">
        <v>-25.181369</v>
      </c>
      <c r="K74" s="373">
        <v>-23.538806</v>
      </c>
      <c r="L74" s="373">
        <v>1078.26</v>
      </c>
      <c r="M74" s="373">
        <v>68.498432</v>
      </c>
      <c r="N74" s="373">
        <v>11894.66096</v>
      </c>
      <c r="O74" s="373">
        <v>11889.83945</v>
      </c>
      <c r="P74" s="376">
        <v>2124.864126</v>
      </c>
      <c r="Q74" s="376" t="s">
        <v>12</v>
      </c>
      <c r="R74" s="376" t="s">
        <v>539</v>
      </c>
      <c r="S74" s="376">
        <v>10.0</v>
      </c>
      <c r="T74" s="376">
        <v>5.0</v>
      </c>
      <c r="U74" s="376">
        <v>0.7</v>
      </c>
      <c r="V74" s="381">
        <v>0.7</v>
      </c>
      <c r="W74" s="376">
        <v>0.7</v>
      </c>
      <c r="X74" s="373">
        <v>2000.0</v>
      </c>
      <c r="Y74" s="373" t="s">
        <v>540</v>
      </c>
      <c r="Z74" s="373">
        <v>0.2</v>
      </c>
      <c r="AA74" s="373" t="s">
        <v>541</v>
      </c>
      <c r="AB74" s="373" t="s">
        <v>542</v>
      </c>
      <c r="AC74" s="373">
        <v>220.0</v>
      </c>
      <c r="AD74" s="193"/>
      <c r="AE74" s="377"/>
    </row>
    <row r="75">
      <c r="A75" s="373" t="s">
        <v>633</v>
      </c>
      <c r="B75" s="373">
        <v>9.0</v>
      </c>
      <c r="C75" s="373">
        <v>54.0</v>
      </c>
      <c r="D75" s="373" t="s">
        <v>589</v>
      </c>
      <c r="E75" s="373">
        <v>1.0</v>
      </c>
      <c r="F75" s="375">
        <v>45468.63125</v>
      </c>
      <c r="G75" s="373">
        <v>1.0</v>
      </c>
      <c r="H75" s="373">
        <v>51.3807</v>
      </c>
      <c r="I75" s="373">
        <v>7.92466</v>
      </c>
      <c r="J75" s="373">
        <v>-25.229137</v>
      </c>
      <c r="K75" s="373">
        <v>-23.763213</v>
      </c>
      <c r="L75" s="373">
        <v>1085.67</v>
      </c>
      <c r="M75" s="373">
        <v>70.000082</v>
      </c>
      <c r="N75" s="373">
        <v>11885.01793</v>
      </c>
      <c r="O75" s="373">
        <v>11889.83945</v>
      </c>
      <c r="P75" s="376">
        <v>2124.864126</v>
      </c>
      <c r="Q75" s="376" t="s">
        <v>12</v>
      </c>
      <c r="R75" s="376" t="s">
        <v>539</v>
      </c>
      <c r="S75" s="376">
        <v>10.0</v>
      </c>
      <c r="T75" s="376">
        <v>5.0</v>
      </c>
      <c r="U75" s="376">
        <v>0.7</v>
      </c>
      <c r="V75" s="381">
        <v>0.7</v>
      </c>
      <c r="W75" s="376">
        <v>0.7</v>
      </c>
      <c r="X75" s="373">
        <v>2000.0</v>
      </c>
      <c r="Y75" s="373" t="s">
        <v>540</v>
      </c>
      <c r="Z75" s="373">
        <v>0.2</v>
      </c>
      <c r="AA75" s="373" t="s">
        <v>541</v>
      </c>
      <c r="AB75" s="373" t="s">
        <v>542</v>
      </c>
      <c r="AC75" s="373">
        <v>220.0</v>
      </c>
      <c r="AD75" s="193"/>
      <c r="AE75" s="377"/>
    </row>
    <row r="76">
      <c r="A76" s="373" t="s">
        <v>634</v>
      </c>
      <c r="B76" s="373" t="s">
        <v>551</v>
      </c>
      <c r="C76" s="373" t="s">
        <v>552</v>
      </c>
      <c r="D76" s="373" t="s">
        <v>538</v>
      </c>
      <c r="E76" s="373">
        <v>0.8</v>
      </c>
      <c r="F76" s="375">
        <v>45468.635416666664</v>
      </c>
      <c r="G76" s="373">
        <v>1.0</v>
      </c>
      <c r="H76" s="373">
        <v>51.3774</v>
      </c>
      <c r="I76" s="373">
        <v>7.89962</v>
      </c>
      <c r="J76" s="373">
        <v>-25.251956</v>
      </c>
      <c r="K76" s="373">
        <v>-23.7611</v>
      </c>
      <c r="L76" s="373">
        <v>1019.75</v>
      </c>
      <c r="M76" s="373">
        <v>64.500788</v>
      </c>
      <c r="N76" s="373">
        <v>9475.545891</v>
      </c>
      <c r="O76" s="373">
        <v>9474.521694</v>
      </c>
      <c r="P76" s="376">
        <v>2070.3457</v>
      </c>
      <c r="Q76" s="376" t="s">
        <v>12</v>
      </c>
      <c r="R76" s="376" t="s">
        <v>539</v>
      </c>
      <c r="S76" s="376">
        <v>10.0</v>
      </c>
      <c r="T76" s="376">
        <v>5.0</v>
      </c>
      <c r="U76" s="376">
        <v>0.7</v>
      </c>
      <c r="V76" s="381">
        <v>0.7</v>
      </c>
      <c r="W76" s="376">
        <v>0.7</v>
      </c>
      <c r="X76" s="373">
        <v>2000.0</v>
      </c>
      <c r="Y76" s="373" t="s">
        <v>540</v>
      </c>
      <c r="Z76" s="373">
        <v>0.2</v>
      </c>
      <c r="AA76" s="373" t="s">
        <v>541</v>
      </c>
      <c r="AB76" s="373" t="s">
        <v>542</v>
      </c>
      <c r="AC76" s="373">
        <v>220.0</v>
      </c>
      <c r="AD76" s="193"/>
      <c r="AE76" s="377"/>
    </row>
    <row r="77">
      <c r="A77" s="373" t="s">
        <v>635</v>
      </c>
      <c r="B77" s="373" t="s">
        <v>551</v>
      </c>
      <c r="C77" s="373" t="s">
        <v>552</v>
      </c>
      <c r="D77" s="373" t="s">
        <v>538</v>
      </c>
      <c r="E77" s="373">
        <v>0.8</v>
      </c>
      <c r="F77" s="375">
        <v>45468.638194444444</v>
      </c>
      <c r="G77" s="373">
        <v>1.0</v>
      </c>
      <c r="H77" s="373">
        <v>51.3774</v>
      </c>
      <c r="I77" s="373">
        <v>7.95261</v>
      </c>
      <c r="J77" s="373">
        <v>-25.268512</v>
      </c>
      <c r="K77" s="373">
        <v>-23.865756</v>
      </c>
      <c r="L77" s="373">
        <v>1038.67</v>
      </c>
      <c r="M77" s="373">
        <v>67.000031</v>
      </c>
      <c r="N77" s="373">
        <v>9473.497497</v>
      </c>
      <c r="O77" s="373">
        <v>9474.521694</v>
      </c>
      <c r="P77" s="376">
        <v>2070.3457</v>
      </c>
      <c r="Q77" s="376" t="s">
        <v>12</v>
      </c>
      <c r="R77" s="376" t="s">
        <v>539</v>
      </c>
      <c r="S77" s="376">
        <v>10.0</v>
      </c>
      <c r="T77" s="376">
        <v>5.0</v>
      </c>
      <c r="U77" s="376">
        <v>0.7</v>
      </c>
      <c r="V77" s="381">
        <v>0.7</v>
      </c>
      <c r="W77" s="376">
        <v>0.7</v>
      </c>
      <c r="X77" s="373">
        <v>2000.0</v>
      </c>
      <c r="Y77" s="373" t="s">
        <v>540</v>
      </c>
      <c r="Z77" s="373">
        <v>0.2</v>
      </c>
      <c r="AA77" s="373" t="s">
        <v>541</v>
      </c>
      <c r="AB77" s="373" t="s">
        <v>542</v>
      </c>
      <c r="AC77" s="373">
        <v>220.0</v>
      </c>
      <c r="AD77" s="193"/>
      <c r="AE77" s="377"/>
    </row>
    <row r="78">
      <c r="A78" s="378" t="s">
        <v>636</v>
      </c>
      <c r="B78" s="378" t="s">
        <v>558</v>
      </c>
      <c r="C78" s="378" t="s">
        <v>552</v>
      </c>
      <c r="D78" s="378" t="s">
        <v>538</v>
      </c>
      <c r="E78" s="378">
        <v>1.0</v>
      </c>
      <c r="F78" s="379">
        <v>45468.64097222222</v>
      </c>
      <c r="G78" s="378">
        <v>1.0</v>
      </c>
      <c r="H78" s="378">
        <v>51.3741</v>
      </c>
      <c r="I78" s="378">
        <v>8.11657</v>
      </c>
      <c r="J78" s="378">
        <v>-25.226219</v>
      </c>
      <c r="K78" s="378">
        <v>-23.535812</v>
      </c>
      <c r="L78" s="378">
        <v>1106.26</v>
      </c>
      <c r="M78" s="378">
        <v>67.0002</v>
      </c>
      <c r="N78" s="378">
        <v>11822.8857</v>
      </c>
      <c r="O78" s="378">
        <v>11817.50891</v>
      </c>
      <c r="P78" s="380">
        <v>2070.3457</v>
      </c>
      <c r="Q78" s="376" t="s">
        <v>12</v>
      </c>
      <c r="R78" s="380" t="s">
        <v>539</v>
      </c>
      <c r="S78" s="380">
        <v>10.0</v>
      </c>
      <c r="T78" s="380">
        <v>5.0</v>
      </c>
      <c r="U78" s="380">
        <v>0.7</v>
      </c>
      <c r="V78" s="382">
        <v>0.7</v>
      </c>
      <c r="W78" s="380">
        <v>0.7</v>
      </c>
      <c r="X78" s="378">
        <v>2000.0</v>
      </c>
      <c r="Y78" s="378" t="s">
        <v>540</v>
      </c>
      <c r="Z78" s="378">
        <v>0.2</v>
      </c>
      <c r="AA78" s="378" t="s">
        <v>541</v>
      </c>
      <c r="AB78" s="378" t="s">
        <v>542</v>
      </c>
      <c r="AC78" s="378">
        <v>220.0</v>
      </c>
      <c r="AD78" s="193"/>
      <c r="AE78" s="377"/>
    </row>
    <row r="79">
      <c r="A79" s="373" t="s">
        <v>637</v>
      </c>
      <c r="B79" s="373" t="s">
        <v>558</v>
      </c>
      <c r="C79" s="373" t="s">
        <v>552</v>
      </c>
      <c r="D79" s="373" t="s">
        <v>538</v>
      </c>
      <c r="E79" s="373">
        <v>1.0</v>
      </c>
      <c r="F79" s="375">
        <v>45468.64375</v>
      </c>
      <c r="G79" s="373">
        <v>1.0</v>
      </c>
      <c r="H79" s="373">
        <v>51.3774</v>
      </c>
      <c r="I79" s="373">
        <v>8.09807</v>
      </c>
      <c r="J79" s="373">
        <v>-25.15345</v>
      </c>
      <c r="K79" s="373">
        <v>-23.694612</v>
      </c>
      <c r="L79" s="373">
        <v>1099.39</v>
      </c>
      <c r="M79" s="373">
        <v>70.499022</v>
      </c>
      <c r="N79" s="373">
        <v>11812.13211</v>
      </c>
      <c r="O79" s="373">
        <v>11817.50891</v>
      </c>
      <c r="P79" s="376">
        <v>2070.3457</v>
      </c>
      <c r="Q79" s="376" t="s">
        <v>12</v>
      </c>
      <c r="R79" s="376" t="s">
        <v>539</v>
      </c>
      <c r="S79" s="376">
        <v>10.0</v>
      </c>
      <c r="T79" s="376">
        <v>5.0</v>
      </c>
      <c r="U79" s="376">
        <v>0.7</v>
      </c>
      <c r="V79" s="381">
        <v>0.7</v>
      </c>
      <c r="W79" s="376">
        <v>0.7</v>
      </c>
      <c r="X79" s="373">
        <v>2000.0</v>
      </c>
      <c r="Y79" s="373" t="s">
        <v>540</v>
      </c>
      <c r="Z79" s="373">
        <v>0.2</v>
      </c>
      <c r="AA79" s="373" t="s">
        <v>541</v>
      </c>
      <c r="AB79" s="373" t="s">
        <v>542</v>
      </c>
      <c r="AC79" s="373">
        <v>220.0</v>
      </c>
      <c r="AD79" s="193"/>
      <c r="AE79" s="377"/>
    </row>
    <row r="80">
      <c r="A80" s="373" t="s">
        <v>638</v>
      </c>
      <c r="B80" s="373" t="s">
        <v>561</v>
      </c>
      <c r="C80" s="373" t="s">
        <v>552</v>
      </c>
      <c r="D80" s="373" t="s">
        <v>538</v>
      </c>
      <c r="E80" s="373">
        <v>1.2</v>
      </c>
      <c r="F80" s="375">
        <v>45468.646527777775</v>
      </c>
      <c r="G80" s="373">
        <v>1.0</v>
      </c>
      <c r="H80" s="373">
        <v>51.3774</v>
      </c>
      <c r="I80" s="373">
        <v>8.20851</v>
      </c>
      <c r="J80" s="373">
        <v>-25.0541</v>
      </c>
      <c r="K80" s="373">
        <v>-23.079275</v>
      </c>
      <c r="L80" s="373">
        <v>1118.42</v>
      </c>
      <c r="M80" s="373">
        <v>70.000787</v>
      </c>
      <c r="N80" s="373">
        <v>14159.61605</v>
      </c>
      <c r="O80" s="373">
        <v>14164.07731</v>
      </c>
      <c r="P80" s="376">
        <v>2070.3457</v>
      </c>
      <c r="Q80" s="376" t="s">
        <v>12</v>
      </c>
      <c r="R80" s="376" t="s">
        <v>539</v>
      </c>
      <c r="S80" s="376">
        <v>10.0</v>
      </c>
      <c r="T80" s="376">
        <v>5.0</v>
      </c>
      <c r="U80" s="376">
        <v>0.7</v>
      </c>
      <c r="V80" s="381">
        <v>0.7</v>
      </c>
      <c r="W80" s="376">
        <v>0.7</v>
      </c>
      <c r="X80" s="373">
        <v>2000.0</v>
      </c>
      <c r="Y80" s="373" t="s">
        <v>540</v>
      </c>
      <c r="Z80" s="373">
        <v>0.2</v>
      </c>
      <c r="AA80" s="373" t="s">
        <v>541</v>
      </c>
      <c r="AB80" s="373" t="s">
        <v>542</v>
      </c>
      <c r="AC80" s="373">
        <v>220.0</v>
      </c>
      <c r="AD80" s="193"/>
      <c r="AE80" s="377"/>
    </row>
    <row r="81">
      <c r="A81" s="373" t="s">
        <v>639</v>
      </c>
      <c r="B81" s="373" t="s">
        <v>561</v>
      </c>
      <c r="C81" s="373" t="s">
        <v>552</v>
      </c>
      <c r="D81" s="373" t="s">
        <v>538</v>
      </c>
      <c r="E81" s="373">
        <v>1.2</v>
      </c>
      <c r="F81" s="375">
        <v>45468.649305555555</v>
      </c>
      <c r="G81" s="373">
        <v>1.0</v>
      </c>
      <c r="H81" s="373">
        <v>51.3807</v>
      </c>
      <c r="I81" s="373">
        <v>8.2947</v>
      </c>
      <c r="J81" s="373">
        <v>-25.016594</v>
      </c>
      <c r="K81" s="373">
        <v>-23.117538</v>
      </c>
      <c r="L81" s="373">
        <v>1125.7</v>
      </c>
      <c r="M81" s="373">
        <v>74.00027</v>
      </c>
      <c r="N81" s="373">
        <v>14168.53858</v>
      </c>
      <c r="O81" s="373">
        <v>14164.07731</v>
      </c>
      <c r="P81" s="376">
        <v>2070.3457</v>
      </c>
      <c r="Q81" s="376" t="s">
        <v>12</v>
      </c>
      <c r="R81" s="376" t="s">
        <v>539</v>
      </c>
      <c r="S81" s="376">
        <v>10.0</v>
      </c>
      <c r="T81" s="376">
        <v>5.0</v>
      </c>
      <c r="U81" s="376">
        <v>0.7</v>
      </c>
      <c r="V81" s="381">
        <v>0.7</v>
      </c>
      <c r="W81" s="376">
        <v>0.7</v>
      </c>
      <c r="X81" s="373">
        <v>2000.0</v>
      </c>
      <c r="Y81" s="373" t="s">
        <v>540</v>
      </c>
      <c r="Z81" s="373">
        <v>0.2</v>
      </c>
      <c r="AA81" s="373" t="s">
        <v>541</v>
      </c>
      <c r="AB81" s="373" t="s">
        <v>542</v>
      </c>
      <c r="AC81" s="373">
        <v>220.0</v>
      </c>
      <c r="AD81" s="193"/>
      <c r="AE81" s="377"/>
    </row>
    <row r="82">
      <c r="A82" s="373" t="s">
        <v>640</v>
      </c>
      <c r="B82" s="373">
        <v>2.0</v>
      </c>
      <c r="C82" s="373">
        <v>40.0</v>
      </c>
      <c r="D82" s="373" t="s">
        <v>564</v>
      </c>
      <c r="E82" s="373">
        <v>1.0</v>
      </c>
      <c r="F82" s="375">
        <v>45468.65277777778</v>
      </c>
      <c r="G82" s="373">
        <v>1.0</v>
      </c>
      <c r="H82" s="373">
        <v>51.3807</v>
      </c>
      <c r="I82" s="373">
        <v>8.12682</v>
      </c>
      <c r="J82" s="373">
        <v>-25.077763</v>
      </c>
      <c r="K82" s="373">
        <v>-22.691688</v>
      </c>
      <c r="L82" s="373">
        <v>1093.86</v>
      </c>
      <c r="M82" s="373">
        <v>62.499955</v>
      </c>
      <c r="N82" s="373">
        <v>11943.81604</v>
      </c>
      <c r="O82" s="373">
        <v>11976.74414</v>
      </c>
      <c r="P82" s="376">
        <v>2098.254575</v>
      </c>
      <c r="Q82" s="376" t="s">
        <v>12</v>
      </c>
      <c r="R82" s="376" t="s">
        <v>553</v>
      </c>
      <c r="S82" s="376">
        <v>10.0</v>
      </c>
      <c r="T82" s="376">
        <v>5.0</v>
      </c>
      <c r="U82" s="376">
        <v>0.7</v>
      </c>
      <c r="V82" s="381">
        <v>0.7</v>
      </c>
      <c r="W82" s="376">
        <v>0.7</v>
      </c>
      <c r="X82" s="373">
        <v>2000.0</v>
      </c>
      <c r="Y82" s="373" t="s">
        <v>540</v>
      </c>
      <c r="Z82" s="373">
        <v>0.2</v>
      </c>
      <c r="AA82" s="373" t="s">
        <v>541</v>
      </c>
      <c r="AB82" s="373" t="s">
        <v>542</v>
      </c>
      <c r="AC82" s="373">
        <v>220.0</v>
      </c>
      <c r="AD82" s="193"/>
      <c r="AE82" s="377"/>
    </row>
    <row r="83">
      <c r="A83" s="373" t="s">
        <v>641</v>
      </c>
      <c r="B83" s="373">
        <v>2.0</v>
      </c>
      <c r="C83" s="373">
        <v>40.0</v>
      </c>
      <c r="D83" s="373" t="s">
        <v>564</v>
      </c>
      <c r="E83" s="373">
        <v>1.0</v>
      </c>
      <c r="F83" s="375">
        <v>45468.65555555555</v>
      </c>
      <c r="G83" s="373">
        <v>1.0</v>
      </c>
      <c r="H83" s="373">
        <v>51.3807</v>
      </c>
      <c r="I83" s="373">
        <v>8.27779</v>
      </c>
      <c r="J83" s="373">
        <v>-25.090581</v>
      </c>
      <c r="K83" s="373">
        <v>-23.418106</v>
      </c>
      <c r="L83" s="373">
        <v>1107.91</v>
      </c>
      <c r="M83" s="373">
        <v>66.501306</v>
      </c>
      <c r="N83" s="373">
        <v>11972.73277</v>
      </c>
      <c r="O83" s="373">
        <v>11976.74414</v>
      </c>
      <c r="P83" s="376">
        <v>2098.254575</v>
      </c>
      <c r="Q83" s="376" t="s">
        <v>12</v>
      </c>
      <c r="R83" s="376" t="s">
        <v>539</v>
      </c>
      <c r="S83" s="376">
        <v>10.0</v>
      </c>
      <c r="T83" s="376">
        <v>5.0</v>
      </c>
      <c r="U83" s="376">
        <v>0.7</v>
      </c>
      <c r="V83" s="381">
        <v>0.7</v>
      </c>
      <c r="W83" s="376">
        <v>0.7</v>
      </c>
      <c r="X83" s="373">
        <v>2000.0</v>
      </c>
      <c r="Y83" s="373" t="s">
        <v>540</v>
      </c>
      <c r="Z83" s="373">
        <v>0.2</v>
      </c>
      <c r="AA83" s="373" t="s">
        <v>541</v>
      </c>
      <c r="AB83" s="373" t="s">
        <v>542</v>
      </c>
      <c r="AC83" s="373">
        <v>220.0</v>
      </c>
      <c r="AD83" s="193"/>
      <c r="AE83" s="377"/>
    </row>
    <row r="84">
      <c r="A84" s="373" t="s">
        <v>642</v>
      </c>
      <c r="B84" s="373">
        <v>2.0</v>
      </c>
      <c r="C84" s="373">
        <v>40.0</v>
      </c>
      <c r="D84" s="373" t="s">
        <v>564</v>
      </c>
      <c r="E84" s="373">
        <v>1.0</v>
      </c>
      <c r="F84" s="375">
        <v>45468.65833333333</v>
      </c>
      <c r="G84" s="373">
        <v>1.0</v>
      </c>
      <c r="H84" s="373">
        <v>51.3807</v>
      </c>
      <c r="I84" s="373">
        <v>8.28138</v>
      </c>
      <c r="J84" s="373">
        <v>-25.062819</v>
      </c>
      <c r="K84" s="373">
        <v>-23.277706</v>
      </c>
      <c r="L84" s="373">
        <v>1105.26</v>
      </c>
      <c r="M84" s="373">
        <v>66.002187</v>
      </c>
      <c r="N84" s="373">
        <v>11980.75552</v>
      </c>
      <c r="O84" s="373">
        <v>11976.74414</v>
      </c>
      <c r="P84" s="376">
        <v>2098.254575</v>
      </c>
      <c r="Q84" s="376" t="s">
        <v>12</v>
      </c>
      <c r="R84" s="376" t="s">
        <v>539</v>
      </c>
      <c r="S84" s="376">
        <v>10.0</v>
      </c>
      <c r="T84" s="376">
        <v>5.0</v>
      </c>
      <c r="U84" s="376">
        <v>0.7</v>
      </c>
      <c r="V84" s="381">
        <v>0.7</v>
      </c>
      <c r="W84" s="376">
        <v>0.7</v>
      </c>
      <c r="X84" s="373">
        <v>2000.0</v>
      </c>
      <c r="Y84" s="373" t="s">
        <v>540</v>
      </c>
      <c r="Z84" s="373">
        <v>0.2</v>
      </c>
      <c r="AA84" s="373" t="s">
        <v>541</v>
      </c>
      <c r="AB84" s="373" t="s">
        <v>542</v>
      </c>
      <c r="AC84" s="373">
        <v>220.0</v>
      </c>
      <c r="AD84" s="193"/>
      <c r="AE84" s="377"/>
    </row>
    <row r="85">
      <c r="A85" s="373" t="s">
        <v>643</v>
      </c>
      <c r="B85" s="373">
        <v>3.0</v>
      </c>
      <c r="C85" s="373">
        <v>41.0</v>
      </c>
      <c r="D85" s="373" t="s">
        <v>568</v>
      </c>
      <c r="E85" s="373">
        <v>1.0</v>
      </c>
      <c r="F85" s="375">
        <v>45468.66180555556</v>
      </c>
      <c r="G85" s="373">
        <v>1.0</v>
      </c>
      <c r="H85" s="373">
        <v>51.3774</v>
      </c>
      <c r="I85" s="373">
        <v>8.28194</v>
      </c>
      <c r="J85" s="373">
        <v>-25.152888</v>
      </c>
      <c r="K85" s="373">
        <v>-23.274812</v>
      </c>
      <c r="L85" s="373">
        <v>1117.05</v>
      </c>
      <c r="M85" s="373">
        <v>66.501625</v>
      </c>
      <c r="N85" s="373">
        <v>11973.68227</v>
      </c>
      <c r="O85" s="373">
        <v>11995.99333</v>
      </c>
      <c r="P85" s="376">
        <v>2101.653828</v>
      </c>
      <c r="Q85" s="376" t="s">
        <v>12</v>
      </c>
      <c r="R85" s="376" t="s">
        <v>553</v>
      </c>
      <c r="S85" s="376">
        <v>10.0</v>
      </c>
      <c r="T85" s="376">
        <v>5.0</v>
      </c>
      <c r="U85" s="376">
        <v>0.7</v>
      </c>
      <c r="V85" s="381">
        <v>0.7</v>
      </c>
      <c r="W85" s="376">
        <v>0.7</v>
      </c>
      <c r="X85" s="373">
        <v>2000.0</v>
      </c>
      <c r="Y85" s="373" t="s">
        <v>540</v>
      </c>
      <c r="Z85" s="373">
        <v>0.2</v>
      </c>
      <c r="AA85" s="373" t="s">
        <v>541</v>
      </c>
      <c r="AB85" s="373" t="s">
        <v>542</v>
      </c>
      <c r="AC85" s="373">
        <v>220.0</v>
      </c>
      <c r="AD85" s="193"/>
      <c r="AE85" s="377"/>
    </row>
    <row r="86">
      <c r="A86" s="373" t="s">
        <v>644</v>
      </c>
      <c r="B86" s="373">
        <v>3.0</v>
      </c>
      <c r="C86" s="373">
        <v>41.0</v>
      </c>
      <c r="D86" s="373" t="s">
        <v>568</v>
      </c>
      <c r="E86" s="373">
        <v>1.0</v>
      </c>
      <c r="F86" s="375">
        <v>45468.66458333333</v>
      </c>
      <c r="G86" s="373">
        <v>1.0</v>
      </c>
      <c r="H86" s="373">
        <v>51.3774</v>
      </c>
      <c r="I86" s="373">
        <v>8.32521</v>
      </c>
      <c r="J86" s="373">
        <v>-25.139094</v>
      </c>
      <c r="K86" s="373">
        <v>-23.394006</v>
      </c>
      <c r="L86" s="373">
        <v>1098.35</v>
      </c>
      <c r="M86" s="373">
        <v>67.500653</v>
      </c>
      <c r="N86" s="373">
        <v>11936.11746</v>
      </c>
      <c r="O86" s="373">
        <v>11995.99333</v>
      </c>
      <c r="P86" s="376">
        <v>2101.653828</v>
      </c>
      <c r="Q86" s="376" t="s">
        <v>12</v>
      </c>
      <c r="R86" s="376" t="s">
        <v>553</v>
      </c>
      <c r="S86" s="376">
        <v>10.0</v>
      </c>
      <c r="T86" s="376">
        <v>5.0</v>
      </c>
      <c r="U86" s="376">
        <v>0.7</v>
      </c>
      <c r="V86" s="381">
        <v>0.7</v>
      </c>
      <c r="W86" s="376">
        <v>0.7</v>
      </c>
      <c r="X86" s="373">
        <v>2000.0</v>
      </c>
      <c r="Y86" s="373" t="s">
        <v>540</v>
      </c>
      <c r="Z86" s="373">
        <v>0.2</v>
      </c>
      <c r="AA86" s="373" t="s">
        <v>541</v>
      </c>
      <c r="AB86" s="373" t="s">
        <v>542</v>
      </c>
      <c r="AC86" s="373">
        <v>220.0</v>
      </c>
      <c r="AD86" s="193"/>
      <c r="AE86" s="377"/>
    </row>
    <row r="87">
      <c r="A87" s="373" t="s">
        <v>645</v>
      </c>
      <c r="B87" s="373">
        <v>3.0</v>
      </c>
      <c r="C87" s="373">
        <v>41.0</v>
      </c>
      <c r="D87" s="373" t="s">
        <v>568</v>
      </c>
      <c r="E87" s="373">
        <v>1.0</v>
      </c>
      <c r="F87" s="375">
        <v>45468.66736111111</v>
      </c>
      <c r="G87" s="373">
        <v>1.0</v>
      </c>
      <c r="H87" s="373">
        <v>51.3807</v>
      </c>
      <c r="I87" s="373">
        <v>8.29631</v>
      </c>
      <c r="J87" s="373">
        <v>-25.027319</v>
      </c>
      <c r="K87" s="373">
        <v>-23.482531</v>
      </c>
      <c r="L87" s="373">
        <v>1103.18</v>
      </c>
      <c r="M87" s="373">
        <v>67.999935</v>
      </c>
      <c r="N87" s="373">
        <v>11971.5197</v>
      </c>
      <c r="O87" s="373">
        <v>11995.99333</v>
      </c>
      <c r="P87" s="376">
        <v>2101.653828</v>
      </c>
      <c r="Q87" s="376" t="s">
        <v>12</v>
      </c>
      <c r="R87" s="376" t="s">
        <v>553</v>
      </c>
      <c r="S87" s="376">
        <v>10.0</v>
      </c>
      <c r="T87" s="376">
        <v>5.0</v>
      </c>
      <c r="U87" s="376">
        <v>0.7</v>
      </c>
      <c r="V87" s="381">
        <v>0.7</v>
      </c>
      <c r="W87" s="376">
        <v>0.7</v>
      </c>
      <c r="X87" s="373">
        <v>2000.0</v>
      </c>
      <c r="Y87" s="373" t="s">
        <v>540</v>
      </c>
      <c r="Z87" s="373">
        <v>0.2</v>
      </c>
      <c r="AA87" s="373" t="s">
        <v>541</v>
      </c>
      <c r="AB87" s="373" t="s">
        <v>542</v>
      </c>
      <c r="AC87" s="373">
        <v>220.0</v>
      </c>
      <c r="AD87" s="193"/>
      <c r="AE87" s="377"/>
    </row>
    <row r="88">
      <c r="A88" s="373" t="s">
        <v>646</v>
      </c>
      <c r="B88" s="373">
        <v>3.0</v>
      </c>
      <c r="C88" s="373">
        <v>41.0</v>
      </c>
      <c r="D88" s="373" t="s">
        <v>568</v>
      </c>
      <c r="E88" s="373">
        <v>1.0</v>
      </c>
      <c r="F88" s="375">
        <v>45468.67013888889</v>
      </c>
      <c r="G88" s="373">
        <v>1.0</v>
      </c>
      <c r="H88" s="373">
        <v>51.3807</v>
      </c>
      <c r="I88" s="373">
        <v>8.15474</v>
      </c>
      <c r="J88" s="373">
        <v>-25.169294</v>
      </c>
      <c r="K88" s="373">
        <v>-23.837862</v>
      </c>
      <c r="L88" s="373">
        <v>1124.58</v>
      </c>
      <c r="M88" s="373">
        <v>72.001361</v>
      </c>
      <c r="N88" s="373">
        <v>12003.63895</v>
      </c>
      <c r="O88" s="373">
        <v>11995.99333</v>
      </c>
      <c r="P88" s="376">
        <v>2101.653828</v>
      </c>
      <c r="Q88" s="376" t="s">
        <v>12</v>
      </c>
      <c r="R88" s="376" t="s">
        <v>539</v>
      </c>
      <c r="S88" s="376">
        <v>10.0</v>
      </c>
      <c r="T88" s="376">
        <v>5.0</v>
      </c>
      <c r="U88" s="376">
        <v>0.7</v>
      </c>
      <c r="V88" s="381">
        <v>0.7</v>
      </c>
      <c r="W88" s="376">
        <v>0.7</v>
      </c>
      <c r="X88" s="373">
        <v>2000.0</v>
      </c>
      <c r="Y88" s="373" t="s">
        <v>540</v>
      </c>
      <c r="Z88" s="373">
        <v>0.2</v>
      </c>
      <c r="AA88" s="373" t="s">
        <v>541</v>
      </c>
      <c r="AB88" s="373" t="s">
        <v>542</v>
      </c>
      <c r="AC88" s="373">
        <v>220.0</v>
      </c>
      <c r="AD88" s="193"/>
      <c r="AE88" s="377"/>
    </row>
    <row r="89">
      <c r="A89" s="373" t="s">
        <v>647</v>
      </c>
      <c r="B89" s="373">
        <v>3.0</v>
      </c>
      <c r="C89" s="373">
        <v>41.0</v>
      </c>
      <c r="D89" s="373" t="s">
        <v>568</v>
      </c>
      <c r="E89" s="373">
        <v>1.0</v>
      </c>
      <c r="F89" s="375">
        <v>45468.67291666667</v>
      </c>
      <c r="G89" s="373">
        <v>1.0</v>
      </c>
      <c r="H89" s="373">
        <v>51.3807</v>
      </c>
      <c r="I89" s="373">
        <v>8.31622</v>
      </c>
      <c r="J89" s="373">
        <v>-25.279756</v>
      </c>
      <c r="K89" s="373">
        <v>-23.373594</v>
      </c>
      <c r="L89" s="373">
        <v>1115.59</v>
      </c>
      <c r="M89" s="373">
        <v>66.000691</v>
      </c>
      <c r="N89" s="373">
        <v>11988.34771</v>
      </c>
      <c r="O89" s="373">
        <v>11995.99333</v>
      </c>
      <c r="P89" s="376">
        <v>2101.653828</v>
      </c>
      <c r="Q89" s="376" t="s">
        <v>12</v>
      </c>
      <c r="R89" s="376" t="s">
        <v>539</v>
      </c>
      <c r="S89" s="376">
        <v>10.0</v>
      </c>
      <c r="T89" s="376">
        <v>5.0</v>
      </c>
      <c r="U89" s="376">
        <v>0.7</v>
      </c>
      <c r="V89" s="381">
        <v>0.7</v>
      </c>
      <c r="W89" s="376">
        <v>0.7</v>
      </c>
      <c r="X89" s="373">
        <v>2000.0</v>
      </c>
      <c r="Y89" s="373" t="s">
        <v>540</v>
      </c>
      <c r="Z89" s="373">
        <v>0.2</v>
      </c>
      <c r="AA89" s="373" t="s">
        <v>541</v>
      </c>
      <c r="AB89" s="373" t="s">
        <v>542</v>
      </c>
      <c r="AC89" s="373">
        <v>220.0</v>
      </c>
      <c r="AD89" s="193"/>
      <c r="AE89" s="377"/>
    </row>
    <row r="90">
      <c r="A90" s="378" t="s">
        <v>648</v>
      </c>
      <c r="B90" s="378">
        <v>4.0</v>
      </c>
      <c r="C90" s="378">
        <v>66.0</v>
      </c>
      <c r="D90" s="378" t="s">
        <v>571</v>
      </c>
      <c r="E90" s="378">
        <v>1.0</v>
      </c>
      <c r="F90" s="379">
        <v>45468.67569444444</v>
      </c>
      <c r="G90" s="378">
        <v>1.0</v>
      </c>
      <c r="H90" s="378">
        <v>51.3774</v>
      </c>
      <c r="I90" s="378">
        <v>8.31122</v>
      </c>
      <c r="J90" s="378">
        <v>-24.866769</v>
      </c>
      <c r="K90" s="378">
        <v>-23.621075</v>
      </c>
      <c r="L90" s="378">
        <v>1101.6</v>
      </c>
      <c r="M90" s="378">
        <v>75.999825</v>
      </c>
      <c r="N90" s="378">
        <v>11736.6488</v>
      </c>
      <c r="O90" s="378">
        <v>11738.86616</v>
      </c>
      <c r="P90" s="380">
        <v>2056.247212</v>
      </c>
      <c r="Q90" s="376" t="s">
        <v>12</v>
      </c>
      <c r="R90" s="380" t="s">
        <v>539</v>
      </c>
      <c r="S90" s="380">
        <v>10.0</v>
      </c>
      <c r="T90" s="380">
        <v>5.0</v>
      </c>
      <c r="U90" s="380">
        <v>0.7</v>
      </c>
      <c r="V90" s="382">
        <v>0.7</v>
      </c>
      <c r="W90" s="380">
        <v>0.7</v>
      </c>
      <c r="X90" s="378">
        <v>2000.0</v>
      </c>
      <c r="Y90" s="378" t="s">
        <v>540</v>
      </c>
      <c r="Z90" s="378">
        <v>0.2</v>
      </c>
      <c r="AA90" s="378" t="s">
        <v>541</v>
      </c>
      <c r="AB90" s="378" t="s">
        <v>542</v>
      </c>
      <c r="AC90" s="378">
        <v>220.0</v>
      </c>
      <c r="AD90" s="385" t="s">
        <v>649</v>
      </c>
      <c r="AE90" s="377"/>
    </row>
    <row r="91">
      <c r="A91" s="378" t="s">
        <v>650</v>
      </c>
      <c r="B91" s="378">
        <v>4.0</v>
      </c>
      <c r="C91" s="378">
        <v>66.0</v>
      </c>
      <c r="D91" s="378" t="s">
        <v>571</v>
      </c>
      <c r="E91" s="378">
        <v>1.0</v>
      </c>
      <c r="F91" s="379">
        <v>45468.67847222222</v>
      </c>
      <c r="G91" s="378">
        <v>1.0</v>
      </c>
      <c r="H91" s="378">
        <v>51.3807</v>
      </c>
      <c r="I91" s="378">
        <v>8.17881</v>
      </c>
      <c r="J91" s="378">
        <v>-25.124469</v>
      </c>
      <c r="K91" s="378">
        <v>-23.135888</v>
      </c>
      <c r="L91" s="378">
        <v>1094.82</v>
      </c>
      <c r="M91" s="378">
        <v>66.499592</v>
      </c>
      <c r="N91" s="378">
        <v>11741.08351</v>
      </c>
      <c r="O91" s="378">
        <v>11738.86616</v>
      </c>
      <c r="P91" s="380">
        <v>2056.247212</v>
      </c>
      <c r="Q91" s="376" t="s">
        <v>12</v>
      </c>
      <c r="R91" s="380" t="s">
        <v>539</v>
      </c>
      <c r="S91" s="380">
        <v>10.0</v>
      </c>
      <c r="T91" s="380">
        <v>5.0</v>
      </c>
      <c r="U91" s="380">
        <v>0.7</v>
      </c>
      <c r="V91" s="382">
        <v>0.7</v>
      </c>
      <c r="W91" s="380">
        <v>0.7</v>
      </c>
      <c r="X91" s="378">
        <v>2000.0</v>
      </c>
      <c r="Y91" s="378" t="s">
        <v>540</v>
      </c>
      <c r="Z91" s="378">
        <v>0.2</v>
      </c>
      <c r="AA91" s="378" t="s">
        <v>541</v>
      </c>
      <c r="AB91" s="378" t="s">
        <v>542</v>
      </c>
      <c r="AC91" s="378">
        <v>220.0</v>
      </c>
      <c r="AE91" s="377"/>
    </row>
    <row r="92">
      <c r="A92" s="378" t="s">
        <v>651</v>
      </c>
      <c r="B92" s="378">
        <v>5.0</v>
      </c>
      <c r="C92" s="378">
        <v>67.0</v>
      </c>
      <c r="D92" s="378" t="s">
        <v>575</v>
      </c>
      <c r="E92" s="378">
        <v>1.0</v>
      </c>
      <c r="F92" s="379">
        <v>45468.68194444444</v>
      </c>
      <c r="G92" s="378">
        <v>1.0</v>
      </c>
      <c r="H92" s="378">
        <v>51.3774</v>
      </c>
      <c r="I92" s="378">
        <v>8.07567</v>
      </c>
      <c r="J92" s="378">
        <v>-25.032875</v>
      </c>
      <c r="K92" s="378">
        <v>-22.929788</v>
      </c>
      <c r="L92" s="378">
        <v>1108.01</v>
      </c>
      <c r="M92" s="378">
        <v>64.499024</v>
      </c>
      <c r="N92" s="378">
        <v>11821.01392</v>
      </c>
      <c r="O92" s="378">
        <v>11803.69926</v>
      </c>
      <c r="P92" s="380">
        <v>2067.696222</v>
      </c>
      <c r="Q92" s="376" t="s">
        <v>12</v>
      </c>
      <c r="R92" s="380" t="s">
        <v>553</v>
      </c>
      <c r="S92" s="380">
        <v>10.0</v>
      </c>
      <c r="T92" s="380">
        <v>5.0</v>
      </c>
      <c r="U92" s="380">
        <v>0.7</v>
      </c>
      <c r="V92" s="382">
        <v>0.7</v>
      </c>
      <c r="W92" s="380">
        <v>0.7</v>
      </c>
      <c r="X92" s="378">
        <v>2000.0</v>
      </c>
      <c r="Y92" s="378" t="s">
        <v>540</v>
      </c>
      <c r="Z92" s="378">
        <v>0.2</v>
      </c>
      <c r="AA92" s="378" t="s">
        <v>541</v>
      </c>
      <c r="AB92" s="378" t="s">
        <v>542</v>
      </c>
      <c r="AC92" s="378">
        <v>220.0</v>
      </c>
      <c r="AE92" s="377"/>
    </row>
    <row r="93">
      <c r="A93" s="378" t="s">
        <v>652</v>
      </c>
      <c r="B93" s="378">
        <v>5.0</v>
      </c>
      <c r="C93" s="378">
        <v>67.0</v>
      </c>
      <c r="D93" s="378" t="s">
        <v>575</v>
      </c>
      <c r="E93" s="378">
        <v>1.0</v>
      </c>
      <c r="F93" s="379">
        <v>45468.68472222222</v>
      </c>
      <c r="G93" s="378">
        <v>1.0</v>
      </c>
      <c r="H93" s="378">
        <v>51.3807</v>
      </c>
      <c r="I93" s="378">
        <v>8.18497</v>
      </c>
      <c r="J93" s="378">
        <v>-24.82715</v>
      </c>
      <c r="K93" s="378">
        <v>-23.334356</v>
      </c>
      <c r="L93" s="378">
        <v>1058.27</v>
      </c>
      <c r="M93" s="378">
        <v>70.501129</v>
      </c>
      <c r="N93" s="378">
        <v>11792.907</v>
      </c>
      <c r="O93" s="378">
        <v>11803.69926</v>
      </c>
      <c r="P93" s="380">
        <v>2067.696222</v>
      </c>
      <c r="Q93" s="376" t="s">
        <v>12</v>
      </c>
      <c r="R93" s="380" t="s">
        <v>539</v>
      </c>
      <c r="S93" s="380">
        <v>10.0</v>
      </c>
      <c r="T93" s="380">
        <v>5.0</v>
      </c>
      <c r="U93" s="380">
        <v>0.7</v>
      </c>
      <c r="V93" s="382">
        <v>0.7</v>
      </c>
      <c r="W93" s="380">
        <v>0.7</v>
      </c>
      <c r="X93" s="378">
        <v>2000.0</v>
      </c>
      <c r="Y93" s="378" t="s">
        <v>540</v>
      </c>
      <c r="Z93" s="378">
        <v>0.2</v>
      </c>
      <c r="AA93" s="378" t="s">
        <v>541</v>
      </c>
      <c r="AB93" s="378" t="s">
        <v>542</v>
      </c>
      <c r="AC93" s="378">
        <v>220.0</v>
      </c>
      <c r="AE93" s="377"/>
    </row>
    <row r="94">
      <c r="A94" s="378" t="s">
        <v>653</v>
      </c>
      <c r="B94" s="378">
        <v>5.0</v>
      </c>
      <c r="C94" s="378">
        <v>67.0</v>
      </c>
      <c r="D94" s="378" t="s">
        <v>575</v>
      </c>
      <c r="E94" s="378">
        <v>1.0</v>
      </c>
      <c r="F94" s="379">
        <v>45468.6875</v>
      </c>
      <c r="G94" s="378">
        <v>1.0</v>
      </c>
      <c r="H94" s="378">
        <v>51.3807</v>
      </c>
      <c r="I94" s="378">
        <v>8.3984</v>
      </c>
      <c r="J94" s="378">
        <v>-24.901206</v>
      </c>
      <c r="K94" s="378">
        <v>-23.276913</v>
      </c>
      <c r="L94" s="378">
        <v>1083.84</v>
      </c>
      <c r="M94" s="378">
        <v>67.999289</v>
      </c>
      <c r="N94" s="378">
        <v>11814.49151</v>
      </c>
      <c r="O94" s="378">
        <v>11803.69926</v>
      </c>
      <c r="P94" s="380">
        <v>2067.696222</v>
      </c>
      <c r="Q94" s="376" t="s">
        <v>12</v>
      </c>
      <c r="R94" s="380" t="s">
        <v>539</v>
      </c>
      <c r="S94" s="380">
        <v>10.0</v>
      </c>
      <c r="T94" s="380">
        <v>5.0</v>
      </c>
      <c r="U94" s="380">
        <v>0.7</v>
      </c>
      <c r="V94" s="382">
        <v>0.7</v>
      </c>
      <c r="W94" s="380">
        <v>0.7</v>
      </c>
      <c r="X94" s="378">
        <v>2000.0</v>
      </c>
      <c r="Y94" s="378" t="s">
        <v>540</v>
      </c>
      <c r="Z94" s="378">
        <v>0.2</v>
      </c>
      <c r="AA94" s="378" t="s">
        <v>541</v>
      </c>
      <c r="AB94" s="378" t="s">
        <v>542</v>
      </c>
      <c r="AC94" s="378">
        <v>220.0</v>
      </c>
      <c r="AE94" s="377"/>
    </row>
    <row r="95">
      <c r="A95" s="373" t="s">
        <v>654</v>
      </c>
      <c r="B95" s="373">
        <v>6.0</v>
      </c>
      <c r="C95" s="373">
        <v>144.0</v>
      </c>
      <c r="D95" s="373" t="s">
        <v>579</v>
      </c>
      <c r="E95" s="373">
        <v>1.0</v>
      </c>
      <c r="F95" s="375">
        <v>45468.69097222222</v>
      </c>
      <c r="G95" s="373">
        <v>1.0</v>
      </c>
      <c r="H95" s="373">
        <v>51.3807</v>
      </c>
      <c r="I95" s="373">
        <v>8.39582</v>
      </c>
      <c r="J95" s="373">
        <v>-24.774962</v>
      </c>
      <c r="K95" s="373">
        <v>-23.045588</v>
      </c>
      <c r="L95" s="373">
        <v>1083.69</v>
      </c>
      <c r="M95" s="373">
        <v>68.999136</v>
      </c>
      <c r="N95" s="373">
        <v>11784.72744</v>
      </c>
      <c r="O95" s="373">
        <v>11736.68896</v>
      </c>
      <c r="P95" s="376">
        <v>2055.862736</v>
      </c>
      <c r="Q95" s="376" t="s">
        <v>12</v>
      </c>
      <c r="R95" s="376" t="s">
        <v>553</v>
      </c>
      <c r="S95" s="376">
        <v>10.0</v>
      </c>
      <c r="T95" s="376">
        <v>5.0</v>
      </c>
      <c r="U95" s="376">
        <v>0.7</v>
      </c>
      <c r="V95" s="381">
        <v>0.7</v>
      </c>
      <c r="W95" s="376">
        <v>0.7</v>
      </c>
      <c r="X95" s="373">
        <v>2000.0</v>
      </c>
      <c r="Y95" s="373" t="s">
        <v>540</v>
      </c>
      <c r="Z95" s="373">
        <v>0.2</v>
      </c>
      <c r="AA95" s="373" t="s">
        <v>541</v>
      </c>
      <c r="AB95" s="373" t="s">
        <v>542</v>
      </c>
      <c r="AC95" s="373">
        <v>220.0</v>
      </c>
      <c r="AD95" s="193"/>
      <c r="AE95" s="377"/>
    </row>
    <row r="96">
      <c r="A96" s="373" t="s">
        <v>655</v>
      </c>
      <c r="B96" s="373">
        <v>6.0</v>
      </c>
      <c r="C96" s="373">
        <v>144.0</v>
      </c>
      <c r="D96" s="373" t="s">
        <v>579</v>
      </c>
      <c r="E96" s="373">
        <v>1.0</v>
      </c>
      <c r="F96" s="375">
        <v>45468.69375</v>
      </c>
      <c r="G96" s="373">
        <v>1.0</v>
      </c>
      <c r="H96" s="373">
        <v>51.3807</v>
      </c>
      <c r="I96" s="373">
        <v>8.41278</v>
      </c>
      <c r="J96" s="373">
        <v>-24.968819</v>
      </c>
      <c r="K96" s="373">
        <v>-22.914406</v>
      </c>
      <c r="L96" s="373">
        <v>1072.95</v>
      </c>
      <c r="M96" s="373">
        <v>62.500698</v>
      </c>
      <c r="N96" s="373">
        <v>11744.81497</v>
      </c>
      <c r="O96" s="373">
        <v>11736.68896</v>
      </c>
      <c r="P96" s="376">
        <v>2055.862736</v>
      </c>
      <c r="Q96" s="376" t="s">
        <v>12</v>
      </c>
      <c r="R96" s="376" t="s">
        <v>539</v>
      </c>
      <c r="S96" s="376">
        <v>10.0</v>
      </c>
      <c r="T96" s="376">
        <v>5.0</v>
      </c>
      <c r="U96" s="376">
        <v>0.7</v>
      </c>
      <c r="V96" s="381">
        <v>0.7</v>
      </c>
      <c r="W96" s="376">
        <v>0.7</v>
      </c>
      <c r="X96" s="373">
        <v>2000.0</v>
      </c>
      <c r="Y96" s="373" t="s">
        <v>540</v>
      </c>
      <c r="Z96" s="373">
        <v>0.2</v>
      </c>
      <c r="AA96" s="373" t="s">
        <v>541</v>
      </c>
      <c r="AB96" s="373" t="s">
        <v>542</v>
      </c>
      <c r="AC96" s="373">
        <v>220.0</v>
      </c>
      <c r="AD96" s="193"/>
      <c r="AE96" s="377"/>
    </row>
    <row r="97">
      <c r="A97" s="373" t="s">
        <v>656</v>
      </c>
      <c r="B97" s="373">
        <v>6.0</v>
      </c>
      <c r="C97" s="373">
        <v>144.0</v>
      </c>
      <c r="D97" s="373" t="s">
        <v>579</v>
      </c>
      <c r="E97" s="373">
        <v>1.0</v>
      </c>
      <c r="F97" s="375">
        <v>45468.69652777778</v>
      </c>
      <c r="G97" s="373">
        <v>1.0</v>
      </c>
      <c r="H97" s="373">
        <v>51.3807</v>
      </c>
      <c r="I97" s="373">
        <v>8.3635</v>
      </c>
      <c r="J97" s="373">
        <v>-24.904225</v>
      </c>
      <c r="K97" s="373">
        <v>-22.920269</v>
      </c>
      <c r="L97" s="373">
        <v>1080.79</v>
      </c>
      <c r="M97" s="373">
        <v>67.000354</v>
      </c>
      <c r="N97" s="373">
        <v>11728.56295</v>
      </c>
      <c r="O97" s="373">
        <v>11736.68896</v>
      </c>
      <c r="P97" s="376">
        <v>2055.862736</v>
      </c>
      <c r="Q97" s="376" t="s">
        <v>12</v>
      </c>
      <c r="R97" s="376" t="s">
        <v>539</v>
      </c>
      <c r="S97" s="376">
        <v>10.0</v>
      </c>
      <c r="T97" s="376">
        <v>5.0</v>
      </c>
      <c r="U97" s="376">
        <v>0.7</v>
      </c>
      <c r="V97" s="381">
        <v>0.7</v>
      </c>
      <c r="W97" s="376">
        <v>0.7</v>
      </c>
      <c r="X97" s="373">
        <v>2000.0</v>
      </c>
      <c r="Y97" s="373" t="s">
        <v>540</v>
      </c>
      <c r="Z97" s="373">
        <v>0.2</v>
      </c>
      <c r="AA97" s="373" t="s">
        <v>541</v>
      </c>
      <c r="AB97" s="373" t="s">
        <v>542</v>
      </c>
      <c r="AC97" s="373">
        <v>220.0</v>
      </c>
      <c r="AD97" s="193"/>
      <c r="AE97" s="377"/>
    </row>
    <row r="98">
      <c r="A98" s="373" t="s">
        <v>657</v>
      </c>
      <c r="B98" s="373">
        <v>7.0</v>
      </c>
      <c r="C98" s="373">
        <v>145.0</v>
      </c>
      <c r="D98" s="373" t="s">
        <v>582</v>
      </c>
      <c r="E98" s="373">
        <v>1.0</v>
      </c>
      <c r="F98" s="375">
        <v>45468.7</v>
      </c>
      <c r="G98" s="373">
        <v>1.0</v>
      </c>
      <c r="H98" s="373">
        <v>51.3807</v>
      </c>
      <c r="I98" s="373">
        <v>8.32237</v>
      </c>
      <c r="J98" s="373">
        <v>-24.666344</v>
      </c>
      <c r="K98" s="373">
        <v>-23.144594</v>
      </c>
      <c r="L98" s="373">
        <v>1086.62</v>
      </c>
      <c r="M98" s="373">
        <v>70.498806</v>
      </c>
      <c r="N98" s="373">
        <v>11760.53208</v>
      </c>
      <c r="O98" s="373">
        <v>11765.80406</v>
      </c>
      <c r="P98" s="376">
        <v>2061.004231</v>
      </c>
      <c r="Q98" s="376" t="s">
        <v>12</v>
      </c>
      <c r="R98" s="376" t="s">
        <v>539</v>
      </c>
      <c r="S98" s="376">
        <v>10.0</v>
      </c>
      <c r="T98" s="376">
        <v>5.0</v>
      </c>
      <c r="U98" s="376">
        <v>0.7</v>
      </c>
      <c r="V98" s="381">
        <v>0.7</v>
      </c>
      <c r="W98" s="376">
        <v>0.7</v>
      </c>
      <c r="X98" s="373">
        <v>2000.0</v>
      </c>
      <c r="Y98" s="373" t="s">
        <v>540</v>
      </c>
      <c r="Z98" s="373">
        <v>0.2</v>
      </c>
      <c r="AA98" s="373" t="s">
        <v>541</v>
      </c>
      <c r="AB98" s="373" t="s">
        <v>542</v>
      </c>
      <c r="AC98" s="373">
        <v>220.0</v>
      </c>
      <c r="AD98" s="193"/>
      <c r="AE98" s="377"/>
    </row>
    <row r="99">
      <c r="A99" s="373" t="s">
        <v>658</v>
      </c>
      <c r="B99" s="373">
        <v>7.0</v>
      </c>
      <c r="C99" s="373">
        <v>145.0</v>
      </c>
      <c r="D99" s="373" t="s">
        <v>582</v>
      </c>
      <c r="E99" s="373">
        <v>1.0</v>
      </c>
      <c r="F99" s="375">
        <v>45468.70277777778</v>
      </c>
      <c r="G99" s="373">
        <v>1.0</v>
      </c>
      <c r="H99" s="373">
        <v>51.3774</v>
      </c>
      <c r="I99" s="373">
        <v>8.40186</v>
      </c>
      <c r="J99" s="373">
        <v>-24.879687</v>
      </c>
      <c r="K99" s="373">
        <v>-23.537981</v>
      </c>
      <c r="L99" s="373">
        <v>1092.72</v>
      </c>
      <c r="M99" s="373">
        <v>74.49877</v>
      </c>
      <c r="N99" s="373">
        <v>11771.07604</v>
      </c>
      <c r="O99" s="373">
        <v>11765.80406</v>
      </c>
      <c r="P99" s="376">
        <v>2061.004231</v>
      </c>
      <c r="Q99" s="376" t="s">
        <v>12</v>
      </c>
      <c r="R99" s="376" t="s">
        <v>539</v>
      </c>
      <c r="S99" s="376">
        <v>10.0</v>
      </c>
      <c r="T99" s="376">
        <v>5.0</v>
      </c>
      <c r="U99" s="376">
        <v>0.7</v>
      </c>
      <c r="V99" s="381">
        <v>0.7</v>
      </c>
      <c r="W99" s="376">
        <v>0.7</v>
      </c>
      <c r="X99" s="373">
        <v>2000.0</v>
      </c>
      <c r="Y99" s="373" t="s">
        <v>540</v>
      </c>
      <c r="Z99" s="373">
        <v>0.2</v>
      </c>
      <c r="AA99" s="373" t="s">
        <v>541</v>
      </c>
      <c r="AB99" s="373" t="s">
        <v>542</v>
      </c>
      <c r="AC99" s="373">
        <v>220.0</v>
      </c>
      <c r="AD99" s="193"/>
      <c r="AE99" s="377"/>
    </row>
    <row r="100">
      <c r="A100" s="373" t="s">
        <v>659</v>
      </c>
      <c r="B100" s="373">
        <v>8.0</v>
      </c>
      <c r="C100" s="373">
        <v>157.0</v>
      </c>
      <c r="D100" s="373" t="s">
        <v>585</v>
      </c>
      <c r="E100" s="373">
        <v>1.0</v>
      </c>
      <c r="F100" s="375">
        <v>45468.70625</v>
      </c>
      <c r="G100" s="373">
        <v>1.0</v>
      </c>
      <c r="H100" s="373">
        <v>51.3807</v>
      </c>
      <c r="I100" s="373">
        <v>8.27407</v>
      </c>
      <c r="J100" s="373">
        <v>-24.9034</v>
      </c>
      <c r="K100" s="373">
        <v>-23.951588</v>
      </c>
      <c r="L100" s="373">
        <v>1081.03</v>
      </c>
      <c r="M100" s="373">
        <v>79.500288</v>
      </c>
      <c r="N100" s="373">
        <v>11787.97085</v>
      </c>
      <c r="O100" s="373">
        <v>11738.35743</v>
      </c>
      <c r="P100" s="376">
        <v>2056.157375</v>
      </c>
      <c r="Q100" s="376" t="s">
        <v>12</v>
      </c>
      <c r="R100" s="376" t="s">
        <v>553</v>
      </c>
      <c r="S100" s="376">
        <v>10.0</v>
      </c>
      <c r="T100" s="376">
        <v>5.0</v>
      </c>
      <c r="U100" s="376">
        <v>0.7</v>
      </c>
      <c r="V100" s="381">
        <v>0.7</v>
      </c>
      <c r="W100" s="376">
        <v>0.7</v>
      </c>
      <c r="X100" s="373">
        <v>2000.0</v>
      </c>
      <c r="Y100" s="373" t="s">
        <v>540</v>
      </c>
      <c r="Z100" s="373">
        <v>0.2</v>
      </c>
      <c r="AA100" s="373" t="s">
        <v>541</v>
      </c>
      <c r="AB100" s="373" t="s">
        <v>542</v>
      </c>
      <c r="AC100" s="373">
        <v>220.0</v>
      </c>
      <c r="AD100" s="193"/>
      <c r="AE100" s="377"/>
    </row>
    <row r="101">
      <c r="A101" s="373" t="s">
        <v>660</v>
      </c>
      <c r="B101" s="373">
        <v>8.0</v>
      </c>
      <c r="C101" s="373">
        <v>157.0</v>
      </c>
      <c r="D101" s="373" t="s">
        <v>585</v>
      </c>
      <c r="E101" s="373">
        <v>1.0</v>
      </c>
      <c r="F101" s="375">
        <v>45468.709027777775</v>
      </c>
      <c r="G101" s="373">
        <v>1.0</v>
      </c>
      <c r="H101" s="373">
        <v>51.3807</v>
      </c>
      <c r="I101" s="373">
        <v>8.37995</v>
      </c>
      <c r="J101" s="373">
        <v>-24.983238</v>
      </c>
      <c r="K101" s="373">
        <v>-23.249056</v>
      </c>
      <c r="L101" s="373">
        <v>1079.8</v>
      </c>
      <c r="M101" s="373">
        <v>69.500292</v>
      </c>
      <c r="N101" s="373">
        <v>11709.44749</v>
      </c>
      <c r="O101" s="373">
        <v>11738.35743</v>
      </c>
      <c r="P101" s="376">
        <v>2056.157375</v>
      </c>
      <c r="Q101" s="376" t="s">
        <v>12</v>
      </c>
      <c r="R101" s="376" t="s">
        <v>553</v>
      </c>
      <c r="S101" s="376">
        <v>10.0</v>
      </c>
      <c r="T101" s="376">
        <v>5.0</v>
      </c>
      <c r="U101" s="376">
        <v>0.7</v>
      </c>
      <c r="V101" s="381">
        <v>0.7</v>
      </c>
      <c r="W101" s="376">
        <v>0.7</v>
      </c>
      <c r="X101" s="373">
        <v>2000.0</v>
      </c>
      <c r="Y101" s="373" t="s">
        <v>540</v>
      </c>
      <c r="Z101" s="373">
        <v>0.2</v>
      </c>
      <c r="AA101" s="373" t="s">
        <v>541</v>
      </c>
      <c r="AB101" s="373" t="s">
        <v>542</v>
      </c>
      <c r="AC101" s="373">
        <v>220.0</v>
      </c>
      <c r="AD101" s="193"/>
      <c r="AE101" s="377"/>
    </row>
    <row r="102">
      <c r="A102" s="373" t="s">
        <v>661</v>
      </c>
      <c r="B102" s="373">
        <v>8.0</v>
      </c>
      <c r="C102" s="373">
        <v>157.0</v>
      </c>
      <c r="D102" s="373" t="s">
        <v>585</v>
      </c>
      <c r="E102" s="373">
        <v>1.0</v>
      </c>
      <c r="F102" s="375">
        <v>45468.711805555555</v>
      </c>
      <c r="G102" s="373">
        <v>1.0</v>
      </c>
      <c r="H102" s="373">
        <v>51.3774</v>
      </c>
      <c r="I102" s="373">
        <v>8.2563</v>
      </c>
      <c r="J102" s="373">
        <v>-24.923681</v>
      </c>
      <c r="K102" s="373">
        <v>-22.589762</v>
      </c>
      <c r="L102" s="373">
        <v>1084.48</v>
      </c>
      <c r="M102" s="373">
        <v>64.000164</v>
      </c>
      <c r="N102" s="373">
        <v>11665.33236</v>
      </c>
      <c r="O102" s="376">
        <v>11738.35743</v>
      </c>
      <c r="P102" s="376">
        <v>2056.157375</v>
      </c>
      <c r="Q102" s="376" t="s">
        <v>12</v>
      </c>
      <c r="R102" s="376" t="s">
        <v>553</v>
      </c>
      <c r="S102" s="376">
        <v>10.0</v>
      </c>
      <c r="T102" s="376">
        <v>5.0</v>
      </c>
      <c r="U102" s="376">
        <v>0.7</v>
      </c>
      <c r="V102" s="376">
        <v>0.7</v>
      </c>
      <c r="W102" s="376">
        <v>0.7</v>
      </c>
      <c r="X102" s="373">
        <v>2000.0</v>
      </c>
      <c r="Y102" s="373" t="s">
        <v>540</v>
      </c>
      <c r="Z102" s="373">
        <v>0.2</v>
      </c>
      <c r="AA102" s="373" t="s">
        <v>541</v>
      </c>
      <c r="AB102" s="373" t="s">
        <v>542</v>
      </c>
      <c r="AC102" s="373">
        <v>220.0</v>
      </c>
      <c r="AD102" s="193"/>
      <c r="AE102" s="377"/>
    </row>
    <row r="103">
      <c r="A103" s="373" t="s">
        <v>662</v>
      </c>
      <c r="B103" s="373">
        <v>8.0</v>
      </c>
      <c r="C103" s="373">
        <v>157.0</v>
      </c>
      <c r="D103" s="373" t="s">
        <v>585</v>
      </c>
      <c r="E103" s="373">
        <v>1.0</v>
      </c>
      <c r="F103" s="375">
        <v>45468.714583333334</v>
      </c>
      <c r="G103" s="373">
        <v>1.0</v>
      </c>
      <c r="H103" s="373">
        <v>51.3774</v>
      </c>
      <c r="I103" s="373">
        <v>8.30503</v>
      </c>
      <c r="J103" s="373">
        <v>-24.839631</v>
      </c>
      <c r="K103" s="373">
        <v>-23.261463</v>
      </c>
      <c r="L103" s="373">
        <v>1074.46</v>
      </c>
      <c r="M103" s="373">
        <v>66.998828</v>
      </c>
      <c r="N103" s="373">
        <v>11738.00842</v>
      </c>
      <c r="O103" s="376">
        <v>11738.35743</v>
      </c>
      <c r="P103" s="376">
        <v>2056.157375</v>
      </c>
      <c r="Q103" s="376" t="s">
        <v>12</v>
      </c>
      <c r="R103" s="376" t="s">
        <v>539</v>
      </c>
      <c r="S103" s="376">
        <v>10.0</v>
      </c>
      <c r="T103" s="376">
        <v>5.0</v>
      </c>
      <c r="U103" s="376">
        <v>0.7</v>
      </c>
      <c r="V103" s="376">
        <v>0.7</v>
      </c>
      <c r="W103" s="376">
        <v>0.7</v>
      </c>
      <c r="X103" s="373">
        <v>2000.0</v>
      </c>
      <c r="Y103" s="373" t="s">
        <v>540</v>
      </c>
      <c r="Z103" s="373">
        <v>0.2</v>
      </c>
      <c r="AA103" s="373" t="s">
        <v>541</v>
      </c>
      <c r="AB103" s="373" t="s">
        <v>542</v>
      </c>
      <c r="AC103" s="373">
        <v>220.0</v>
      </c>
      <c r="AD103" s="193"/>
      <c r="AE103" s="377"/>
    </row>
    <row r="104">
      <c r="A104" s="373" t="s">
        <v>663</v>
      </c>
      <c r="B104" s="373">
        <v>8.0</v>
      </c>
      <c r="C104" s="373">
        <v>157.0</v>
      </c>
      <c r="D104" s="373" t="s">
        <v>585</v>
      </c>
      <c r="E104" s="373">
        <v>1.0</v>
      </c>
      <c r="F104" s="375">
        <v>45468.717361111114</v>
      </c>
      <c r="G104" s="373">
        <v>1.0</v>
      </c>
      <c r="H104" s="373">
        <v>51.3774</v>
      </c>
      <c r="I104" s="373">
        <v>8.29214</v>
      </c>
      <c r="J104" s="373">
        <v>-24.881756</v>
      </c>
      <c r="K104" s="373">
        <v>-23.31075</v>
      </c>
      <c r="L104" s="373">
        <v>1066.67</v>
      </c>
      <c r="M104" s="373">
        <v>68.000939</v>
      </c>
      <c r="N104" s="373">
        <v>11738.70644</v>
      </c>
      <c r="O104" s="376">
        <v>11738.35743</v>
      </c>
      <c r="P104" s="376">
        <v>2056.157375</v>
      </c>
      <c r="Q104" s="376" t="s">
        <v>12</v>
      </c>
      <c r="R104" s="376" t="s">
        <v>539</v>
      </c>
      <c r="S104" s="376">
        <v>10.0</v>
      </c>
      <c r="T104" s="376">
        <v>5.0</v>
      </c>
      <c r="U104" s="376">
        <v>0.7</v>
      </c>
      <c r="V104" s="376">
        <v>0.7</v>
      </c>
      <c r="W104" s="376">
        <v>0.7</v>
      </c>
      <c r="X104" s="373">
        <v>2000.0</v>
      </c>
      <c r="Y104" s="373" t="s">
        <v>540</v>
      </c>
      <c r="Z104" s="373">
        <v>0.2</v>
      </c>
      <c r="AA104" s="373" t="s">
        <v>541</v>
      </c>
      <c r="AB104" s="373" t="s">
        <v>542</v>
      </c>
      <c r="AC104" s="373">
        <v>220.0</v>
      </c>
      <c r="AD104" s="193"/>
      <c r="AE104" s="377"/>
    </row>
    <row r="105">
      <c r="A105" s="373" t="s">
        <v>664</v>
      </c>
      <c r="B105" s="373">
        <v>9.0</v>
      </c>
      <c r="C105" s="373">
        <v>158.0</v>
      </c>
      <c r="D105" s="373" t="s">
        <v>589</v>
      </c>
      <c r="E105" s="373">
        <v>1.0</v>
      </c>
      <c r="F105" s="375">
        <v>45468.72083333333</v>
      </c>
      <c r="G105" s="373">
        <v>1.0</v>
      </c>
      <c r="H105" s="373">
        <v>51.3807</v>
      </c>
      <c r="I105" s="373">
        <v>8.24182</v>
      </c>
      <c r="J105" s="373">
        <v>-24.710519</v>
      </c>
      <c r="K105" s="373">
        <v>-22.986856</v>
      </c>
      <c r="L105" s="373">
        <v>1080.42</v>
      </c>
      <c r="M105" s="373">
        <v>67.999803</v>
      </c>
      <c r="N105" s="373">
        <v>11720.01356</v>
      </c>
      <c r="O105" s="376">
        <v>11727.03841</v>
      </c>
      <c r="P105" s="376">
        <v>2054.158525</v>
      </c>
      <c r="Q105" s="376" t="s">
        <v>12</v>
      </c>
      <c r="R105" s="376" t="s">
        <v>539</v>
      </c>
      <c r="S105" s="376">
        <v>10.0</v>
      </c>
      <c r="T105" s="376">
        <v>5.0</v>
      </c>
      <c r="U105" s="376">
        <v>0.7</v>
      </c>
      <c r="V105" s="376">
        <v>0.7</v>
      </c>
      <c r="W105" s="376">
        <v>0.7</v>
      </c>
      <c r="X105" s="373">
        <v>2000.0</v>
      </c>
      <c r="Y105" s="373" t="s">
        <v>540</v>
      </c>
      <c r="Z105" s="373">
        <v>0.2</v>
      </c>
      <c r="AA105" s="373" t="s">
        <v>541</v>
      </c>
      <c r="AB105" s="373" t="s">
        <v>542</v>
      </c>
      <c r="AC105" s="373">
        <v>220.0</v>
      </c>
      <c r="AD105" s="193"/>
      <c r="AE105" s="377"/>
    </row>
    <row r="106">
      <c r="A106" s="373" t="s">
        <v>665</v>
      </c>
      <c r="B106" s="373">
        <v>9.0</v>
      </c>
      <c r="C106" s="373">
        <v>158.0</v>
      </c>
      <c r="D106" s="373" t="s">
        <v>589</v>
      </c>
      <c r="E106" s="373">
        <v>1.0</v>
      </c>
      <c r="F106" s="375">
        <v>45468.72361111111</v>
      </c>
      <c r="G106" s="373">
        <v>1.0</v>
      </c>
      <c r="H106" s="373">
        <v>51.384</v>
      </c>
      <c r="I106" s="373">
        <v>8.14898</v>
      </c>
      <c r="J106" s="373">
        <v>-24.888425</v>
      </c>
      <c r="K106" s="373">
        <v>-22.993956</v>
      </c>
      <c r="L106" s="373">
        <v>1088.88</v>
      </c>
      <c r="M106" s="373">
        <v>63.999676</v>
      </c>
      <c r="N106" s="373">
        <v>11734.06325</v>
      </c>
      <c r="O106" s="376">
        <v>11727.03841</v>
      </c>
      <c r="P106" s="376">
        <v>2054.158525</v>
      </c>
      <c r="Q106" s="376" t="s">
        <v>12</v>
      </c>
      <c r="R106" s="376" t="s">
        <v>539</v>
      </c>
      <c r="S106" s="376">
        <v>10.0</v>
      </c>
      <c r="T106" s="376">
        <v>5.0</v>
      </c>
      <c r="U106" s="376">
        <v>0.7</v>
      </c>
      <c r="V106" s="376">
        <v>0.7</v>
      </c>
      <c r="W106" s="376">
        <v>0.7</v>
      </c>
      <c r="X106" s="373">
        <v>2000.0</v>
      </c>
      <c r="Y106" s="373" t="s">
        <v>540</v>
      </c>
      <c r="Z106" s="373">
        <v>0.2</v>
      </c>
      <c r="AA106" s="373" t="s">
        <v>541</v>
      </c>
      <c r="AB106" s="373" t="s">
        <v>542</v>
      </c>
      <c r="AC106" s="373">
        <v>220.0</v>
      </c>
      <c r="AD106" s="193"/>
      <c r="AE106" s="377"/>
    </row>
    <row r="107">
      <c r="A107" s="373" t="s">
        <v>666</v>
      </c>
      <c r="B107" s="373" t="s">
        <v>551</v>
      </c>
      <c r="C107" s="373" t="s">
        <v>552</v>
      </c>
      <c r="D107" s="373" t="s">
        <v>538</v>
      </c>
      <c r="E107" s="373">
        <v>0.8</v>
      </c>
      <c r="F107" s="375">
        <v>45468.72708333333</v>
      </c>
      <c r="G107" s="373">
        <v>1.0</v>
      </c>
      <c r="H107" s="373">
        <v>51.3807</v>
      </c>
      <c r="I107" s="373">
        <v>8.22925</v>
      </c>
      <c r="J107" s="373">
        <v>-24.82045</v>
      </c>
      <c r="K107" s="373">
        <v>-23.672913</v>
      </c>
      <c r="L107" s="373">
        <v>1028.86</v>
      </c>
      <c r="M107" s="373">
        <v>69.4991</v>
      </c>
      <c r="N107" s="373">
        <v>9479.352117</v>
      </c>
      <c r="O107" s="373">
        <v>9461.328889</v>
      </c>
      <c r="P107" s="376">
        <v>2070.3457</v>
      </c>
      <c r="Q107" s="376" t="s">
        <v>12</v>
      </c>
      <c r="R107" s="376" t="s">
        <v>553</v>
      </c>
      <c r="S107" s="376">
        <v>10.0</v>
      </c>
      <c r="T107" s="376">
        <v>5.0</v>
      </c>
      <c r="U107" s="376">
        <v>0.7</v>
      </c>
      <c r="V107" s="381">
        <v>0.7</v>
      </c>
      <c r="W107" s="376">
        <v>0.7</v>
      </c>
      <c r="X107" s="373">
        <v>2000.0</v>
      </c>
      <c r="Y107" s="373" t="s">
        <v>540</v>
      </c>
      <c r="Z107" s="373">
        <v>0.2</v>
      </c>
      <c r="AA107" s="373" t="s">
        <v>541</v>
      </c>
      <c r="AB107" s="373" t="s">
        <v>542</v>
      </c>
      <c r="AC107" s="373">
        <v>220.0</v>
      </c>
      <c r="AD107" s="193"/>
      <c r="AE107" s="377"/>
    </row>
    <row r="108">
      <c r="A108" s="373" t="s">
        <v>667</v>
      </c>
      <c r="B108" s="373" t="s">
        <v>551</v>
      </c>
      <c r="C108" s="373" t="s">
        <v>552</v>
      </c>
      <c r="D108" s="373" t="s">
        <v>538</v>
      </c>
      <c r="E108" s="373">
        <v>0.8</v>
      </c>
      <c r="F108" s="375">
        <v>45468.729166666664</v>
      </c>
      <c r="G108" s="373">
        <v>1.0</v>
      </c>
      <c r="H108" s="373">
        <v>51.3807</v>
      </c>
      <c r="I108" s="373">
        <v>8.27108</v>
      </c>
      <c r="J108" s="373">
        <v>-24.900269</v>
      </c>
      <c r="K108" s="373">
        <v>-23.178063</v>
      </c>
      <c r="L108" s="373">
        <v>1019.74</v>
      </c>
      <c r="M108" s="373">
        <v>64.50069</v>
      </c>
      <c r="N108" s="373">
        <v>9434.846857</v>
      </c>
      <c r="O108" s="373">
        <v>9461.328889</v>
      </c>
      <c r="P108" s="376">
        <v>2070.3457</v>
      </c>
      <c r="Q108" s="376" t="s">
        <v>12</v>
      </c>
      <c r="R108" s="376" t="s">
        <v>553</v>
      </c>
      <c r="S108" s="376">
        <v>10.0</v>
      </c>
      <c r="T108" s="376">
        <v>5.0</v>
      </c>
      <c r="U108" s="376">
        <v>0.7</v>
      </c>
      <c r="V108" s="381">
        <v>0.7</v>
      </c>
      <c r="W108" s="376">
        <v>0.7</v>
      </c>
      <c r="X108" s="373">
        <v>2000.0</v>
      </c>
      <c r="Y108" s="373" t="s">
        <v>540</v>
      </c>
      <c r="Z108" s="373">
        <v>0.2</v>
      </c>
      <c r="AA108" s="373" t="s">
        <v>541</v>
      </c>
      <c r="AB108" s="373" t="s">
        <v>542</v>
      </c>
      <c r="AC108" s="373">
        <v>220.0</v>
      </c>
      <c r="AD108" s="193"/>
      <c r="AE108" s="377"/>
    </row>
    <row r="109">
      <c r="A109" s="373" t="s">
        <v>668</v>
      </c>
      <c r="B109" s="373" t="s">
        <v>551</v>
      </c>
      <c r="C109" s="373" t="s">
        <v>552</v>
      </c>
      <c r="D109" s="373" t="s">
        <v>538</v>
      </c>
      <c r="E109" s="373">
        <v>0.8</v>
      </c>
      <c r="F109" s="375">
        <v>45468.731944444444</v>
      </c>
      <c r="G109" s="373">
        <v>1.0</v>
      </c>
      <c r="H109" s="373">
        <v>51.3774</v>
      </c>
      <c r="I109" s="373">
        <v>8.25415</v>
      </c>
      <c r="J109" s="373">
        <v>-24.913362</v>
      </c>
      <c r="K109" s="373">
        <v>-23.572431</v>
      </c>
      <c r="L109" s="373">
        <v>1017.68</v>
      </c>
      <c r="M109" s="373">
        <v>67.000054</v>
      </c>
      <c r="N109" s="373">
        <v>9458.254365</v>
      </c>
      <c r="O109" s="373">
        <v>9461.328889</v>
      </c>
      <c r="P109" s="376">
        <v>2070.3457</v>
      </c>
      <c r="Q109" s="376" t="s">
        <v>12</v>
      </c>
      <c r="R109" s="376" t="s">
        <v>539</v>
      </c>
      <c r="S109" s="376">
        <v>10.0</v>
      </c>
      <c r="T109" s="376">
        <v>5.0</v>
      </c>
      <c r="U109" s="376">
        <v>0.7</v>
      </c>
      <c r="V109" s="381">
        <v>0.7</v>
      </c>
      <c r="W109" s="376">
        <v>0.7</v>
      </c>
      <c r="X109" s="373">
        <v>2000.0</v>
      </c>
      <c r="Y109" s="373" t="s">
        <v>540</v>
      </c>
      <c r="Z109" s="373">
        <v>0.2</v>
      </c>
      <c r="AA109" s="373" t="s">
        <v>541</v>
      </c>
      <c r="AB109" s="373" t="s">
        <v>542</v>
      </c>
      <c r="AC109" s="373">
        <v>220.0</v>
      </c>
      <c r="AD109" s="193"/>
      <c r="AE109" s="377"/>
    </row>
    <row r="110">
      <c r="A110" s="373" t="s">
        <v>669</v>
      </c>
      <c r="B110" s="373" t="s">
        <v>551</v>
      </c>
      <c r="C110" s="373" t="s">
        <v>552</v>
      </c>
      <c r="D110" s="373" t="s">
        <v>538</v>
      </c>
      <c r="E110" s="373">
        <v>0.8</v>
      </c>
      <c r="F110" s="375">
        <v>45468.73472222222</v>
      </c>
      <c r="G110" s="373">
        <v>1.0</v>
      </c>
      <c r="H110" s="373">
        <v>51.3774</v>
      </c>
      <c r="I110" s="373">
        <v>8.30103</v>
      </c>
      <c r="J110" s="373">
        <v>-24.863775</v>
      </c>
      <c r="K110" s="373">
        <v>-23.454206</v>
      </c>
      <c r="L110" s="373">
        <v>1005.84</v>
      </c>
      <c r="M110" s="373">
        <v>65.500694</v>
      </c>
      <c r="N110" s="373">
        <v>9464.403413</v>
      </c>
      <c r="O110" s="373">
        <v>9461.328889</v>
      </c>
      <c r="P110" s="376">
        <v>2070.3457</v>
      </c>
      <c r="Q110" s="376" t="s">
        <v>12</v>
      </c>
      <c r="R110" s="376" t="s">
        <v>539</v>
      </c>
      <c r="S110" s="376">
        <v>10.0</v>
      </c>
      <c r="T110" s="376">
        <v>5.0</v>
      </c>
      <c r="U110" s="376">
        <v>0.7</v>
      </c>
      <c r="V110" s="381">
        <v>0.7</v>
      </c>
      <c r="W110" s="376">
        <v>0.7</v>
      </c>
      <c r="X110" s="373">
        <v>2000.0</v>
      </c>
      <c r="Y110" s="373" t="s">
        <v>540</v>
      </c>
      <c r="Z110" s="373">
        <v>0.2</v>
      </c>
      <c r="AA110" s="373" t="s">
        <v>541</v>
      </c>
      <c r="AB110" s="373" t="s">
        <v>542</v>
      </c>
      <c r="AC110" s="373">
        <v>220.0</v>
      </c>
      <c r="AD110" s="193"/>
      <c r="AE110" s="377"/>
    </row>
    <row r="111">
      <c r="A111" s="378" t="s">
        <v>670</v>
      </c>
      <c r="B111" s="378" t="s">
        <v>558</v>
      </c>
      <c r="C111" s="378" t="s">
        <v>552</v>
      </c>
      <c r="D111" s="378" t="s">
        <v>538</v>
      </c>
      <c r="E111" s="378">
        <v>1.0</v>
      </c>
      <c r="F111" s="379">
        <v>45468.7375</v>
      </c>
      <c r="G111" s="378">
        <v>1.0</v>
      </c>
      <c r="H111" s="378">
        <v>51.3774</v>
      </c>
      <c r="I111" s="378">
        <v>8.22474</v>
      </c>
      <c r="J111" s="378">
        <v>-24.869425</v>
      </c>
      <c r="K111" s="378">
        <v>-23.285775</v>
      </c>
      <c r="L111" s="378">
        <v>1098.32</v>
      </c>
      <c r="M111" s="378">
        <v>68.499952</v>
      </c>
      <c r="N111" s="378">
        <v>11826.21315</v>
      </c>
      <c r="O111" s="378">
        <v>11829.165</v>
      </c>
      <c r="P111" s="380">
        <v>2070.3457</v>
      </c>
      <c r="Q111" s="376" t="s">
        <v>12</v>
      </c>
      <c r="R111" s="386" t="s">
        <v>539</v>
      </c>
      <c r="S111" s="386">
        <v>10.0</v>
      </c>
      <c r="T111" s="386">
        <v>5.0</v>
      </c>
      <c r="U111" s="386">
        <v>0.7</v>
      </c>
      <c r="V111" s="387">
        <v>0.7</v>
      </c>
      <c r="W111" s="386">
        <v>0.7</v>
      </c>
      <c r="X111" s="388">
        <v>2000.0</v>
      </c>
      <c r="Y111" s="388" t="s">
        <v>540</v>
      </c>
      <c r="Z111" s="388">
        <v>0.2</v>
      </c>
      <c r="AA111" s="388" t="s">
        <v>541</v>
      </c>
      <c r="AB111" s="388" t="s">
        <v>542</v>
      </c>
      <c r="AC111" s="388">
        <v>220.0</v>
      </c>
      <c r="AD111" s="193"/>
      <c r="AE111" s="377"/>
    </row>
    <row r="112">
      <c r="A112" s="373" t="s">
        <v>671</v>
      </c>
      <c r="B112" s="373" t="s">
        <v>558</v>
      </c>
      <c r="C112" s="373" t="s">
        <v>552</v>
      </c>
      <c r="D112" s="373" t="s">
        <v>538</v>
      </c>
      <c r="E112" s="373">
        <v>1.0</v>
      </c>
      <c r="F112" s="375">
        <v>45468.740277777775</v>
      </c>
      <c r="G112" s="373">
        <v>1.0</v>
      </c>
      <c r="H112" s="373">
        <v>51.384</v>
      </c>
      <c r="I112" s="373">
        <v>8.15194</v>
      </c>
      <c r="J112" s="373">
        <v>-24.892925</v>
      </c>
      <c r="K112" s="373">
        <v>-23.199544</v>
      </c>
      <c r="L112" s="373">
        <v>1099.38</v>
      </c>
      <c r="M112" s="373">
        <v>66.99826</v>
      </c>
      <c r="N112" s="373">
        <v>11832.11686</v>
      </c>
      <c r="O112" s="373">
        <v>11829.165</v>
      </c>
      <c r="P112" s="376">
        <v>2070.3457</v>
      </c>
      <c r="Q112" s="376" t="s">
        <v>12</v>
      </c>
      <c r="R112" s="376" t="s">
        <v>539</v>
      </c>
      <c r="S112" s="376">
        <v>10.0</v>
      </c>
      <c r="T112" s="376">
        <v>5.0</v>
      </c>
      <c r="U112" s="376">
        <v>0.7</v>
      </c>
      <c r="V112" s="381">
        <v>0.7</v>
      </c>
      <c r="W112" s="376">
        <v>0.7</v>
      </c>
      <c r="X112" s="373">
        <v>2000.0</v>
      </c>
      <c r="Y112" s="373" t="s">
        <v>540</v>
      </c>
      <c r="Z112" s="373">
        <v>0.2</v>
      </c>
      <c r="AA112" s="373" t="s">
        <v>541</v>
      </c>
      <c r="AB112" s="373" t="s">
        <v>542</v>
      </c>
      <c r="AC112" s="373">
        <v>220.0</v>
      </c>
      <c r="AD112" s="193"/>
      <c r="AE112" s="377"/>
    </row>
    <row r="113">
      <c r="A113" s="373" t="s">
        <v>672</v>
      </c>
      <c r="B113" s="373" t="s">
        <v>561</v>
      </c>
      <c r="C113" s="373" t="s">
        <v>552</v>
      </c>
      <c r="D113" s="373" t="s">
        <v>538</v>
      </c>
      <c r="E113" s="373">
        <v>1.2</v>
      </c>
      <c r="F113" s="375">
        <v>45468.743055555555</v>
      </c>
      <c r="G113" s="373">
        <v>1.0</v>
      </c>
      <c r="H113" s="373">
        <v>51.3741</v>
      </c>
      <c r="I113" s="373">
        <v>8.25705</v>
      </c>
      <c r="J113" s="373">
        <v>-24.842063</v>
      </c>
      <c r="K113" s="373">
        <v>-22.678925</v>
      </c>
      <c r="L113" s="373">
        <v>1103.38</v>
      </c>
      <c r="M113" s="373">
        <v>67.998654</v>
      </c>
      <c r="N113" s="373">
        <v>14157.78538</v>
      </c>
      <c r="O113" s="373">
        <v>14187.53083</v>
      </c>
      <c r="P113" s="376">
        <v>2070.3457</v>
      </c>
      <c r="Q113" s="376" t="s">
        <v>12</v>
      </c>
      <c r="R113" s="376" t="s">
        <v>553</v>
      </c>
      <c r="S113" s="376">
        <v>10.0</v>
      </c>
      <c r="T113" s="376">
        <v>5.0</v>
      </c>
      <c r="U113" s="376">
        <v>0.7</v>
      </c>
      <c r="V113" s="381">
        <v>0.7</v>
      </c>
      <c r="W113" s="376">
        <v>0.7</v>
      </c>
      <c r="X113" s="373">
        <v>2000.0</v>
      </c>
      <c r="Y113" s="373" t="s">
        <v>540</v>
      </c>
      <c r="Z113" s="373">
        <v>0.2</v>
      </c>
      <c r="AA113" s="373" t="s">
        <v>541</v>
      </c>
      <c r="AB113" s="373" t="s">
        <v>542</v>
      </c>
      <c r="AC113" s="373">
        <v>220.0</v>
      </c>
      <c r="AD113" s="193"/>
      <c r="AE113" s="377"/>
    </row>
    <row r="114">
      <c r="A114" s="373" t="s">
        <v>673</v>
      </c>
      <c r="B114" s="373" t="s">
        <v>561</v>
      </c>
      <c r="C114" s="373" t="s">
        <v>552</v>
      </c>
      <c r="D114" s="373" t="s">
        <v>538</v>
      </c>
      <c r="E114" s="373">
        <v>1.2</v>
      </c>
      <c r="F114" s="375">
        <v>45468.745833333334</v>
      </c>
      <c r="G114" s="373">
        <v>1.0</v>
      </c>
      <c r="H114" s="373">
        <v>51.3774</v>
      </c>
      <c r="I114" s="373">
        <v>8.42486</v>
      </c>
      <c r="J114" s="373">
        <v>-24.833825</v>
      </c>
      <c r="K114" s="373">
        <v>-23.433425</v>
      </c>
      <c r="L114" s="373">
        <v>1119.95</v>
      </c>
      <c r="M114" s="373">
        <v>76.500337</v>
      </c>
      <c r="N114" s="373">
        <v>14190.85018</v>
      </c>
      <c r="O114" s="373">
        <v>14187.53083</v>
      </c>
      <c r="P114" s="376">
        <v>2070.3457</v>
      </c>
      <c r="Q114" s="376" t="s">
        <v>12</v>
      </c>
      <c r="R114" s="376" t="s">
        <v>539</v>
      </c>
      <c r="S114" s="376">
        <v>10.0</v>
      </c>
      <c r="T114" s="376">
        <v>5.0</v>
      </c>
      <c r="U114" s="376">
        <v>0.7</v>
      </c>
      <c r="V114" s="381">
        <v>0.7</v>
      </c>
      <c r="W114" s="376">
        <v>0.7</v>
      </c>
      <c r="X114" s="373">
        <v>2000.0</v>
      </c>
      <c r="Y114" s="373" t="s">
        <v>540</v>
      </c>
      <c r="Z114" s="373">
        <v>0.2</v>
      </c>
      <c r="AA114" s="373" t="s">
        <v>541</v>
      </c>
      <c r="AB114" s="373" t="s">
        <v>542</v>
      </c>
      <c r="AC114" s="373">
        <v>220.0</v>
      </c>
      <c r="AD114" s="193"/>
      <c r="AE114" s="377"/>
    </row>
    <row r="115">
      <c r="A115" s="373" t="s">
        <v>674</v>
      </c>
      <c r="B115" s="373" t="s">
        <v>561</v>
      </c>
      <c r="C115" s="373" t="s">
        <v>552</v>
      </c>
      <c r="D115" s="373" t="s">
        <v>538</v>
      </c>
      <c r="E115" s="373">
        <v>1.2</v>
      </c>
      <c r="F115" s="375">
        <v>45468.74930555555</v>
      </c>
      <c r="G115" s="373">
        <v>1.0</v>
      </c>
      <c r="H115" s="373">
        <v>51.3807</v>
      </c>
      <c r="I115" s="373">
        <v>8.38944</v>
      </c>
      <c r="J115" s="373">
        <v>-24.872144</v>
      </c>
      <c r="K115" s="373">
        <v>-22.918569</v>
      </c>
      <c r="L115" s="373">
        <v>1155.21</v>
      </c>
      <c r="M115" s="373">
        <v>70.999195</v>
      </c>
      <c r="N115" s="373">
        <v>14184.21147</v>
      </c>
      <c r="O115" s="373">
        <v>14187.53083</v>
      </c>
      <c r="P115" s="376">
        <v>2070.3457</v>
      </c>
      <c r="Q115" s="376" t="s">
        <v>12</v>
      </c>
      <c r="R115" s="376" t="s">
        <v>539</v>
      </c>
      <c r="S115" s="376">
        <v>10.0</v>
      </c>
      <c r="T115" s="376">
        <v>5.0</v>
      </c>
      <c r="U115" s="376">
        <v>0.7</v>
      </c>
      <c r="V115" s="381">
        <v>0.7</v>
      </c>
      <c r="W115" s="376">
        <v>0.7</v>
      </c>
      <c r="X115" s="373">
        <v>2000.0</v>
      </c>
      <c r="Y115" s="373" t="s">
        <v>540</v>
      </c>
      <c r="Z115" s="373">
        <v>0.2</v>
      </c>
      <c r="AA115" s="373" t="s">
        <v>541</v>
      </c>
      <c r="AB115" s="373" t="s">
        <v>542</v>
      </c>
      <c r="AC115" s="373">
        <v>220.0</v>
      </c>
      <c r="AD115" s="193"/>
      <c r="AE115" s="377"/>
    </row>
    <row r="116">
      <c r="A116" s="373" t="s">
        <v>536</v>
      </c>
      <c r="B116" s="373" t="s">
        <v>537</v>
      </c>
      <c r="C116" s="373" t="s">
        <v>675</v>
      </c>
      <c r="D116" s="373" t="s">
        <v>538</v>
      </c>
      <c r="E116" s="373">
        <v>1.0</v>
      </c>
      <c r="F116" s="389">
        <v>45469.415972222225</v>
      </c>
      <c r="G116" s="373">
        <v>1.0</v>
      </c>
      <c r="H116" s="373">
        <v>51.3741</v>
      </c>
      <c r="I116" s="373">
        <v>10.1924</v>
      </c>
      <c r="J116" s="373">
        <v>-23.694056</v>
      </c>
      <c r="K116" s="373">
        <v>-21.37555</v>
      </c>
      <c r="L116" s="373">
        <v>1016.75</v>
      </c>
      <c r="M116" s="373">
        <v>64.499926</v>
      </c>
      <c r="N116" s="373">
        <v>11451.86282</v>
      </c>
      <c r="O116" s="373">
        <v>11451.86282</v>
      </c>
      <c r="P116" s="376">
        <v>2004.786896</v>
      </c>
      <c r="Q116" s="376" t="s">
        <v>12</v>
      </c>
      <c r="R116" s="376" t="s">
        <v>539</v>
      </c>
      <c r="S116" s="376">
        <v>10.0</v>
      </c>
      <c r="T116" s="376">
        <v>5.0</v>
      </c>
      <c r="U116" s="376">
        <v>0.7</v>
      </c>
      <c r="V116" s="381">
        <v>0.7</v>
      </c>
      <c r="W116" s="376">
        <v>0.7</v>
      </c>
      <c r="X116" s="373">
        <v>2000.0</v>
      </c>
      <c r="Y116" s="373" t="s">
        <v>540</v>
      </c>
      <c r="Z116" s="373">
        <v>0.2</v>
      </c>
      <c r="AA116" s="373" t="s">
        <v>541</v>
      </c>
      <c r="AB116" s="373" t="s">
        <v>542</v>
      </c>
      <c r="AC116" s="373">
        <v>220.0</v>
      </c>
      <c r="AD116" s="193"/>
      <c r="AE116" s="377"/>
    </row>
    <row r="117">
      <c r="A117" s="373" t="s">
        <v>543</v>
      </c>
      <c r="B117" s="373" t="s">
        <v>537</v>
      </c>
      <c r="C117" s="373" t="s">
        <v>675</v>
      </c>
      <c r="D117" s="373" t="s">
        <v>538</v>
      </c>
      <c r="E117" s="373">
        <v>1.0</v>
      </c>
      <c r="F117" s="389">
        <v>45469.41805555556</v>
      </c>
      <c r="G117" s="373">
        <v>1.0</v>
      </c>
      <c r="H117" s="373">
        <v>51.3708</v>
      </c>
      <c r="I117" s="373">
        <v>10.9667</v>
      </c>
      <c r="J117" s="373">
        <v>-23.894031</v>
      </c>
      <c r="K117" s="373">
        <v>-22.266769</v>
      </c>
      <c r="L117" s="373">
        <v>1018.55</v>
      </c>
      <c r="M117" s="373">
        <v>69.499999</v>
      </c>
      <c r="N117" s="373">
        <v>11415.39351</v>
      </c>
      <c r="O117" s="373">
        <v>11415.39351</v>
      </c>
      <c r="P117" s="376">
        <v>1998.396642</v>
      </c>
      <c r="Q117" s="376" t="s">
        <v>12</v>
      </c>
      <c r="R117" s="376" t="s">
        <v>539</v>
      </c>
      <c r="S117" s="376">
        <v>10.0</v>
      </c>
      <c r="T117" s="376">
        <v>5.0</v>
      </c>
      <c r="U117" s="376">
        <v>0.7</v>
      </c>
      <c r="V117" s="381">
        <v>0.7</v>
      </c>
      <c r="W117" s="376">
        <v>0.7</v>
      </c>
      <c r="X117" s="373">
        <v>2000.0</v>
      </c>
      <c r="Y117" s="373" t="s">
        <v>540</v>
      </c>
      <c r="Z117" s="373">
        <v>0.2</v>
      </c>
      <c r="AA117" s="373" t="s">
        <v>541</v>
      </c>
      <c r="AB117" s="373" t="s">
        <v>542</v>
      </c>
      <c r="AC117" s="373">
        <v>220.0</v>
      </c>
      <c r="AD117" s="193"/>
      <c r="AE117" s="377"/>
    </row>
    <row r="118">
      <c r="A118" s="373" t="s">
        <v>544</v>
      </c>
      <c r="B118" s="373" t="s">
        <v>537</v>
      </c>
      <c r="C118" s="373" t="s">
        <v>675</v>
      </c>
      <c r="D118" s="373" t="s">
        <v>538</v>
      </c>
      <c r="E118" s="373">
        <v>1.0</v>
      </c>
      <c r="F118" s="389">
        <v>45469.42083333333</v>
      </c>
      <c r="G118" s="373">
        <v>1.0</v>
      </c>
      <c r="H118" s="373">
        <v>51.3774</v>
      </c>
      <c r="I118" s="373">
        <v>10.3883</v>
      </c>
      <c r="J118" s="373">
        <v>-23.882469</v>
      </c>
      <c r="K118" s="373">
        <v>-22.676156</v>
      </c>
      <c r="L118" s="373">
        <v>1014.44</v>
      </c>
      <c r="M118" s="373">
        <v>74.499348</v>
      </c>
      <c r="N118" s="373">
        <v>11458.20401</v>
      </c>
      <c r="O118" s="373">
        <v>11458.20401</v>
      </c>
      <c r="P118" s="376">
        <v>2005.898017</v>
      </c>
      <c r="Q118" s="376" t="s">
        <v>12</v>
      </c>
      <c r="R118" s="376" t="s">
        <v>539</v>
      </c>
      <c r="S118" s="376">
        <v>10.0</v>
      </c>
      <c r="T118" s="376">
        <v>5.0</v>
      </c>
      <c r="U118" s="376">
        <v>0.7</v>
      </c>
      <c r="V118" s="381">
        <v>0.7</v>
      </c>
      <c r="W118" s="376">
        <v>0.7</v>
      </c>
      <c r="X118" s="373">
        <v>2000.0</v>
      </c>
      <c r="Y118" s="373" t="s">
        <v>540</v>
      </c>
      <c r="Z118" s="373">
        <v>0.2</v>
      </c>
      <c r="AA118" s="373" t="s">
        <v>541</v>
      </c>
      <c r="AB118" s="373" t="s">
        <v>542</v>
      </c>
      <c r="AC118" s="373">
        <v>220.0</v>
      </c>
      <c r="AD118" s="193"/>
      <c r="AE118" s="377"/>
    </row>
    <row r="119">
      <c r="A119" s="373" t="s">
        <v>545</v>
      </c>
      <c r="B119" s="373" t="s">
        <v>537</v>
      </c>
      <c r="C119" s="373" t="s">
        <v>675</v>
      </c>
      <c r="D119" s="373" t="s">
        <v>538</v>
      </c>
      <c r="E119" s="373">
        <v>1.0</v>
      </c>
      <c r="F119" s="389">
        <v>45469.42361111111</v>
      </c>
      <c r="G119" s="373">
        <v>1.0</v>
      </c>
      <c r="H119" s="373">
        <v>51.3741</v>
      </c>
      <c r="I119" s="373">
        <v>9.60506</v>
      </c>
      <c r="J119" s="373">
        <v>-24.013694</v>
      </c>
      <c r="K119" s="373">
        <v>-22.783831</v>
      </c>
      <c r="L119" s="373">
        <v>1019.41</v>
      </c>
      <c r="M119" s="373">
        <v>80.500251</v>
      </c>
      <c r="N119" s="373">
        <v>11481.22607</v>
      </c>
      <c r="O119" s="373">
        <v>11481.22607</v>
      </c>
      <c r="P119" s="376">
        <v>2009.932008</v>
      </c>
      <c r="Q119" s="376" t="s">
        <v>12</v>
      </c>
      <c r="R119" s="376" t="s">
        <v>539</v>
      </c>
      <c r="S119" s="376">
        <v>10.0</v>
      </c>
      <c r="T119" s="376">
        <v>5.0</v>
      </c>
      <c r="U119" s="376">
        <v>0.7</v>
      </c>
      <c r="V119" s="381">
        <v>0.7</v>
      </c>
      <c r="W119" s="376">
        <v>0.7</v>
      </c>
      <c r="X119" s="373">
        <v>2000.0</v>
      </c>
      <c r="Y119" s="373" t="s">
        <v>540</v>
      </c>
      <c r="Z119" s="373">
        <v>0.2</v>
      </c>
      <c r="AA119" s="373" t="s">
        <v>541</v>
      </c>
      <c r="AB119" s="373" t="s">
        <v>542</v>
      </c>
      <c r="AC119" s="373">
        <v>220.0</v>
      </c>
      <c r="AD119" s="193"/>
      <c r="AE119" s="377"/>
    </row>
    <row r="120">
      <c r="A120" s="373" t="s">
        <v>546</v>
      </c>
      <c r="B120" s="373" t="s">
        <v>537</v>
      </c>
      <c r="C120" s="373" t="s">
        <v>675</v>
      </c>
      <c r="D120" s="373" t="s">
        <v>538</v>
      </c>
      <c r="E120" s="373">
        <v>1.0</v>
      </c>
      <c r="F120" s="389">
        <v>45469.42638888889</v>
      </c>
      <c r="G120" s="373">
        <v>1.0</v>
      </c>
      <c r="H120" s="373">
        <v>51.3774</v>
      </c>
      <c r="I120" s="373">
        <v>8.99958</v>
      </c>
      <c r="J120" s="373">
        <v>-24.01265</v>
      </c>
      <c r="K120" s="373">
        <v>-21.847875</v>
      </c>
      <c r="L120" s="373">
        <v>1025.62</v>
      </c>
      <c r="M120" s="373">
        <v>70.000338</v>
      </c>
      <c r="N120" s="373">
        <v>11451.73971</v>
      </c>
      <c r="O120" s="373">
        <v>11451.73971</v>
      </c>
      <c r="P120" s="376">
        <v>2004.765326</v>
      </c>
      <c r="Q120" s="376" t="s">
        <v>12</v>
      </c>
      <c r="R120" s="376" t="s">
        <v>539</v>
      </c>
      <c r="S120" s="376">
        <v>10.0</v>
      </c>
      <c r="T120" s="376">
        <v>5.0</v>
      </c>
      <c r="U120" s="376">
        <v>0.7</v>
      </c>
      <c r="V120" s="381">
        <v>0.7</v>
      </c>
      <c r="W120" s="376">
        <v>0.7</v>
      </c>
      <c r="X120" s="373">
        <v>2000.0</v>
      </c>
      <c r="Y120" s="373" t="s">
        <v>540</v>
      </c>
      <c r="Z120" s="373">
        <v>0.2</v>
      </c>
      <c r="AA120" s="373" t="s">
        <v>541</v>
      </c>
      <c r="AB120" s="373" t="s">
        <v>542</v>
      </c>
      <c r="AC120" s="373">
        <v>220.0</v>
      </c>
      <c r="AD120" s="193"/>
      <c r="AE120" s="377"/>
    </row>
    <row r="121">
      <c r="A121" s="373" t="s">
        <v>547</v>
      </c>
      <c r="B121" s="373" t="s">
        <v>537</v>
      </c>
      <c r="C121" s="373" t="s">
        <v>675</v>
      </c>
      <c r="D121" s="373" t="s">
        <v>538</v>
      </c>
      <c r="E121" s="373">
        <v>1.0</v>
      </c>
      <c r="F121" s="389">
        <v>45469.42916666667</v>
      </c>
      <c r="G121" s="373">
        <v>1.0</v>
      </c>
      <c r="H121" s="373">
        <v>51.3741</v>
      </c>
      <c r="I121" s="373">
        <v>8.80399</v>
      </c>
      <c r="J121" s="373">
        <v>-23.9923</v>
      </c>
      <c r="K121" s="373">
        <v>-22.150756</v>
      </c>
      <c r="L121" s="373">
        <v>1021.51</v>
      </c>
      <c r="M121" s="373">
        <v>66.499174</v>
      </c>
      <c r="N121" s="373">
        <v>11435.57141</v>
      </c>
      <c r="O121" s="373">
        <v>11435.57141</v>
      </c>
      <c r="P121" s="376">
        <v>2001.932271</v>
      </c>
      <c r="Q121" s="376" t="s">
        <v>12</v>
      </c>
      <c r="R121" s="376" t="s">
        <v>539</v>
      </c>
      <c r="S121" s="376">
        <v>10.0</v>
      </c>
      <c r="T121" s="376">
        <v>5.0</v>
      </c>
      <c r="U121" s="376">
        <v>0.7</v>
      </c>
      <c r="V121" s="381">
        <v>0.7</v>
      </c>
      <c r="W121" s="376">
        <v>0.7</v>
      </c>
      <c r="X121" s="373">
        <v>2000.0</v>
      </c>
      <c r="Y121" s="373" t="s">
        <v>540</v>
      </c>
      <c r="Z121" s="373">
        <v>0.2</v>
      </c>
      <c r="AA121" s="373" t="s">
        <v>541</v>
      </c>
      <c r="AB121" s="373" t="s">
        <v>542</v>
      </c>
      <c r="AC121" s="373">
        <v>220.0</v>
      </c>
      <c r="AD121" s="193"/>
      <c r="AE121" s="377"/>
    </row>
    <row r="122">
      <c r="A122" s="373" t="s">
        <v>548</v>
      </c>
      <c r="B122" s="373" t="s">
        <v>537</v>
      </c>
      <c r="C122" s="373" t="s">
        <v>675</v>
      </c>
      <c r="D122" s="373" t="s">
        <v>538</v>
      </c>
      <c r="E122" s="373">
        <v>1.0</v>
      </c>
      <c r="F122" s="389">
        <v>45469.43194444444</v>
      </c>
      <c r="G122" s="373">
        <v>1.0</v>
      </c>
      <c r="H122" s="373">
        <v>51.3708</v>
      </c>
      <c r="I122" s="373">
        <v>8.57276</v>
      </c>
      <c r="J122" s="373">
        <v>-23.958069</v>
      </c>
      <c r="K122" s="373">
        <v>-20.7942</v>
      </c>
      <c r="L122" s="373">
        <v>1013.29</v>
      </c>
      <c r="M122" s="373">
        <v>60.500385</v>
      </c>
      <c r="N122" s="373">
        <v>11401.59213</v>
      </c>
      <c r="O122" s="373">
        <v>11401.59213</v>
      </c>
      <c r="P122" s="376">
        <v>1995.978327</v>
      </c>
      <c r="Q122" s="376" t="s">
        <v>12</v>
      </c>
      <c r="R122" s="376" t="s">
        <v>539</v>
      </c>
      <c r="S122" s="376">
        <v>10.0</v>
      </c>
      <c r="T122" s="376">
        <v>5.0</v>
      </c>
      <c r="U122" s="376">
        <v>0.7</v>
      </c>
      <c r="V122" s="381">
        <v>0.7</v>
      </c>
      <c r="W122" s="376">
        <v>0.7</v>
      </c>
      <c r="X122" s="373">
        <v>2000.0</v>
      </c>
      <c r="Y122" s="373" t="s">
        <v>540</v>
      </c>
      <c r="Z122" s="373">
        <v>0.2</v>
      </c>
      <c r="AA122" s="373" t="s">
        <v>541</v>
      </c>
      <c r="AB122" s="373" t="s">
        <v>542</v>
      </c>
      <c r="AC122" s="373">
        <v>220.0</v>
      </c>
      <c r="AD122" s="193"/>
      <c r="AE122" s="193"/>
    </row>
    <row r="123">
      <c r="A123" s="373" t="s">
        <v>549</v>
      </c>
      <c r="B123" s="373" t="s">
        <v>537</v>
      </c>
      <c r="C123" s="373" t="s">
        <v>675</v>
      </c>
      <c r="D123" s="373" t="s">
        <v>538</v>
      </c>
      <c r="E123" s="373">
        <v>1.0</v>
      </c>
      <c r="F123" s="389">
        <v>45469.43472222222</v>
      </c>
      <c r="G123" s="373">
        <v>1.0</v>
      </c>
      <c r="H123" s="373">
        <v>51.3741</v>
      </c>
      <c r="I123" s="373">
        <v>8.60841</v>
      </c>
      <c r="J123" s="373">
        <v>-23.906131</v>
      </c>
      <c r="K123" s="373">
        <v>-21.874562</v>
      </c>
      <c r="L123" s="373">
        <v>1019.87</v>
      </c>
      <c r="M123" s="373">
        <v>66.999989</v>
      </c>
      <c r="N123" s="373">
        <v>11434.3997</v>
      </c>
      <c r="O123" s="373">
        <v>11434.3997</v>
      </c>
      <c r="P123" s="376">
        <v>2001.726961</v>
      </c>
      <c r="Q123" s="376" t="s">
        <v>12</v>
      </c>
      <c r="R123" s="376" t="s">
        <v>539</v>
      </c>
      <c r="S123" s="376">
        <v>10.0</v>
      </c>
      <c r="T123" s="376">
        <v>5.0</v>
      </c>
      <c r="U123" s="376">
        <v>0.7</v>
      </c>
      <c r="V123" s="381">
        <v>0.7</v>
      </c>
      <c r="W123" s="376">
        <v>0.7</v>
      </c>
      <c r="X123" s="373">
        <v>2000.0</v>
      </c>
      <c r="Y123" s="373" t="s">
        <v>540</v>
      </c>
      <c r="Z123" s="373">
        <v>0.2</v>
      </c>
      <c r="AA123" s="373" t="s">
        <v>541</v>
      </c>
      <c r="AB123" s="373" t="s">
        <v>542</v>
      </c>
      <c r="AC123" s="373">
        <v>220.0</v>
      </c>
      <c r="AD123" s="193"/>
      <c r="AE123" s="193"/>
    </row>
    <row r="124">
      <c r="A124" s="373" t="s">
        <v>676</v>
      </c>
      <c r="B124" s="373" t="s">
        <v>537</v>
      </c>
      <c r="C124" s="373" t="s">
        <v>675</v>
      </c>
      <c r="D124" s="373" t="s">
        <v>538</v>
      </c>
      <c r="E124" s="373">
        <v>1.0</v>
      </c>
      <c r="F124" s="389">
        <v>45469.43680555555</v>
      </c>
      <c r="G124" s="373">
        <v>1.0</v>
      </c>
      <c r="H124" s="373">
        <v>51.3807</v>
      </c>
      <c r="I124" s="373">
        <v>8.60289</v>
      </c>
      <c r="J124" s="373">
        <v>-24.016687</v>
      </c>
      <c r="K124" s="373">
        <v>-22.274781</v>
      </c>
      <c r="L124" s="373">
        <v>1021.61</v>
      </c>
      <c r="M124" s="373">
        <v>67.499999</v>
      </c>
      <c r="N124" s="373">
        <v>11448.39568</v>
      </c>
      <c r="O124" s="373">
        <v>11448.39568</v>
      </c>
      <c r="P124" s="376">
        <v>2004.179375</v>
      </c>
      <c r="Q124" s="376" t="s">
        <v>12</v>
      </c>
      <c r="R124" s="376" t="s">
        <v>539</v>
      </c>
      <c r="S124" s="376">
        <v>10.0</v>
      </c>
      <c r="T124" s="376">
        <v>5.0</v>
      </c>
      <c r="U124" s="376">
        <v>0.7</v>
      </c>
      <c r="V124" s="381">
        <v>0.7</v>
      </c>
      <c r="W124" s="376">
        <v>0.7</v>
      </c>
      <c r="X124" s="373">
        <v>2000.0</v>
      </c>
      <c r="Y124" s="373" t="s">
        <v>540</v>
      </c>
      <c r="Z124" s="373">
        <v>0.2</v>
      </c>
      <c r="AA124" s="373" t="s">
        <v>541</v>
      </c>
      <c r="AB124" s="373" t="s">
        <v>542</v>
      </c>
      <c r="AC124" s="373">
        <v>220.0</v>
      </c>
      <c r="AD124" s="193"/>
      <c r="AE124" s="193"/>
    </row>
    <row r="125">
      <c r="A125" s="373" t="s">
        <v>563</v>
      </c>
      <c r="B125" s="373" t="s">
        <v>537</v>
      </c>
      <c r="C125" s="373" t="s">
        <v>675</v>
      </c>
      <c r="D125" s="373" t="s">
        <v>538</v>
      </c>
      <c r="E125" s="373">
        <v>1.0</v>
      </c>
      <c r="F125" s="389">
        <v>45469.43958333333</v>
      </c>
      <c r="G125" s="373">
        <v>1.0</v>
      </c>
      <c r="H125" s="373">
        <v>51.3708</v>
      </c>
      <c r="I125" s="373">
        <v>8.55156</v>
      </c>
      <c r="J125" s="373">
        <v>-24.116631</v>
      </c>
      <c r="K125" s="373">
        <v>-22.484006</v>
      </c>
      <c r="L125" s="373">
        <v>1019.76</v>
      </c>
      <c r="M125" s="373">
        <v>71.499851</v>
      </c>
      <c r="N125" s="373">
        <v>11456.54858</v>
      </c>
      <c r="O125" s="373">
        <v>11456.54858</v>
      </c>
      <c r="P125" s="376">
        <v>2005.607949</v>
      </c>
      <c r="Q125" s="376" t="s">
        <v>12</v>
      </c>
      <c r="R125" s="376" t="s">
        <v>539</v>
      </c>
      <c r="S125" s="376">
        <v>10.0</v>
      </c>
      <c r="T125" s="376">
        <v>5.0</v>
      </c>
      <c r="U125" s="376">
        <v>0.7</v>
      </c>
      <c r="V125" s="381">
        <v>0.7</v>
      </c>
      <c r="W125" s="376">
        <v>0.7</v>
      </c>
      <c r="X125" s="373">
        <v>2000.0</v>
      </c>
      <c r="Y125" s="373" t="s">
        <v>540</v>
      </c>
      <c r="Z125" s="373">
        <v>0.2</v>
      </c>
      <c r="AA125" s="373" t="s">
        <v>541</v>
      </c>
      <c r="AB125" s="373" t="s">
        <v>542</v>
      </c>
      <c r="AC125" s="373">
        <v>220.0</v>
      </c>
      <c r="AD125" s="193"/>
      <c r="AE125" s="193"/>
    </row>
    <row r="126">
      <c r="A126" s="373" t="s">
        <v>567</v>
      </c>
      <c r="B126" s="373" t="s">
        <v>537</v>
      </c>
      <c r="C126" s="373" t="s">
        <v>675</v>
      </c>
      <c r="D126" s="373" t="s">
        <v>538</v>
      </c>
      <c r="E126" s="373">
        <v>1.0</v>
      </c>
      <c r="F126" s="389">
        <v>45469.44236111111</v>
      </c>
      <c r="G126" s="373">
        <v>1.0</v>
      </c>
      <c r="H126" s="373">
        <v>51.3741</v>
      </c>
      <c r="I126" s="373">
        <v>8.48728</v>
      </c>
      <c r="J126" s="373">
        <v>-24.159925</v>
      </c>
      <c r="K126" s="373">
        <v>-22.460425</v>
      </c>
      <c r="L126" s="373">
        <v>1027.04</v>
      </c>
      <c r="M126" s="373">
        <v>68.500438</v>
      </c>
      <c r="N126" s="373">
        <v>11446.87618</v>
      </c>
      <c r="O126" s="373">
        <v>11446.87618</v>
      </c>
      <c r="P126" s="376">
        <v>2003.913124</v>
      </c>
      <c r="Q126" s="376" t="s">
        <v>12</v>
      </c>
      <c r="R126" s="376" t="s">
        <v>539</v>
      </c>
      <c r="S126" s="376">
        <v>10.0</v>
      </c>
      <c r="T126" s="376">
        <v>5.0</v>
      </c>
      <c r="U126" s="376">
        <v>0.7</v>
      </c>
      <c r="V126" s="381">
        <v>0.7</v>
      </c>
      <c r="W126" s="376">
        <v>0.7</v>
      </c>
      <c r="X126" s="373">
        <v>2000.0</v>
      </c>
      <c r="Y126" s="373" t="s">
        <v>540</v>
      </c>
      <c r="Z126" s="373">
        <v>0.2</v>
      </c>
      <c r="AA126" s="373" t="s">
        <v>541</v>
      </c>
      <c r="AB126" s="373" t="s">
        <v>542</v>
      </c>
      <c r="AC126" s="373">
        <v>220.0</v>
      </c>
      <c r="AD126" s="193"/>
      <c r="AE126" s="193"/>
    </row>
    <row r="127">
      <c r="A127" s="373" t="s">
        <v>677</v>
      </c>
      <c r="B127" s="373" t="s">
        <v>551</v>
      </c>
      <c r="C127" s="373" t="s">
        <v>678</v>
      </c>
      <c r="D127" s="373" t="s">
        <v>538</v>
      </c>
      <c r="E127" s="373">
        <v>0.8</v>
      </c>
      <c r="F127" s="389">
        <v>45469.447222222225</v>
      </c>
      <c r="G127" s="373">
        <v>1.0</v>
      </c>
      <c r="H127" s="373">
        <v>51.3708</v>
      </c>
      <c r="I127" s="373">
        <v>8.51414</v>
      </c>
      <c r="J127" s="373">
        <v>-24.122594</v>
      </c>
      <c r="K127" s="373">
        <v>-23.009438</v>
      </c>
      <c r="L127" s="373">
        <v>997.807</v>
      </c>
      <c r="M127" s="373">
        <v>69.498632</v>
      </c>
      <c r="N127" s="373">
        <v>9279.978763</v>
      </c>
      <c r="O127" s="373">
        <v>9338.986674</v>
      </c>
      <c r="P127" s="376">
        <v>2070.3457</v>
      </c>
      <c r="Q127" s="376" t="s">
        <v>12</v>
      </c>
      <c r="R127" s="376" t="s">
        <v>553</v>
      </c>
      <c r="S127" s="376">
        <v>10.0</v>
      </c>
      <c r="T127" s="376">
        <v>5.0</v>
      </c>
      <c r="U127" s="376">
        <v>0.7</v>
      </c>
      <c r="V127" s="381">
        <v>0.7</v>
      </c>
      <c r="W127" s="376">
        <v>0.7</v>
      </c>
      <c r="X127" s="373">
        <v>2000.0</v>
      </c>
      <c r="Y127" s="373" t="s">
        <v>540</v>
      </c>
      <c r="Z127" s="373">
        <v>0.2</v>
      </c>
      <c r="AA127" s="373" t="s">
        <v>541</v>
      </c>
      <c r="AB127" s="373" t="s">
        <v>542</v>
      </c>
      <c r="AC127" s="373">
        <v>220.0</v>
      </c>
      <c r="AD127" s="193"/>
      <c r="AE127" s="193"/>
    </row>
    <row r="128">
      <c r="A128" s="373" t="s">
        <v>679</v>
      </c>
      <c r="B128" s="373" t="s">
        <v>551</v>
      </c>
      <c r="C128" s="373" t="s">
        <v>678</v>
      </c>
      <c r="D128" s="373" t="s">
        <v>538</v>
      </c>
      <c r="E128" s="373">
        <v>0.8</v>
      </c>
      <c r="F128" s="389">
        <v>45469.45</v>
      </c>
      <c r="G128" s="373">
        <v>1.0</v>
      </c>
      <c r="H128" s="373">
        <v>51.3708</v>
      </c>
      <c r="I128" s="373">
        <v>8.53004</v>
      </c>
      <c r="J128" s="373">
        <v>-24.003988</v>
      </c>
      <c r="K128" s="373">
        <v>-22.873863</v>
      </c>
      <c r="L128" s="373">
        <v>1002.13</v>
      </c>
      <c r="M128" s="373">
        <v>68.498364</v>
      </c>
      <c r="N128" s="373">
        <v>9342.192802</v>
      </c>
      <c r="O128" s="373">
        <v>9338.986674</v>
      </c>
      <c r="P128" s="376">
        <v>2070.3457</v>
      </c>
      <c r="Q128" s="376" t="s">
        <v>12</v>
      </c>
      <c r="R128" s="376" t="s">
        <v>539</v>
      </c>
      <c r="S128" s="376">
        <v>10.0</v>
      </c>
      <c r="T128" s="376">
        <v>5.0</v>
      </c>
      <c r="U128" s="376">
        <v>0.7</v>
      </c>
      <c r="V128" s="381">
        <v>0.7</v>
      </c>
      <c r="W128" s="376">
        <v>0.7</v>
      </c>
      <c r="X128" s="373">
        <v>2000.0</v>
      </c>
      <c r="Y128" s="373" t="s">
        <v>540</v>
      </c>
      <c r="Z128" s="373">
        <v>0.2</v>
      </c>
      <c r="AA128" s="373" t="s">
        <v>541</v>
      </c>
      <c r="AB128" s="373" t="s">
        <v>542</v>
      </c>
      <c r="AC128" s="373">
        <v>220.0</v>
      </c>
      <c r="AD128" s="193"/>
      <c r="AE128" s="193"/>
    </row>
    <row r="129">
      <c r="A129" s="373" t="s">
        <v>680</v>
      </c>
      <c r="B129" s="373" t="s">
        <v>551</v>
      </c>
      <c r="C129" s="373" t="s">
        <v>678</v>
      </c>
      <c r="D129" s="373" t="s">
        <v>538</v>
      </c>
      <c r="E129" s="373">
        <v>0.8</v>
      </c>
      <c r="F129" s="389">
        <v>45469.45277777778</v>
      </c>
      <c r="G129" s="373">
        <v>1.0</v>
      </c>
      <c r="H129" s="373">
        <v>51.3741</v>
      </c>
      <c r="I129" s="373">
        <v>8.32254</v>
      </c>
      <c r="J129" s="373">
        <v>-24.042156</v>
      </c>
      <c r="K129" s="373">
        <v>-22.425</v>
      </c>
      <c r="L129" s="373">
        <v>1013.04</v>
      </c>
      <c r="M129" s="373">
        <v>61.999258</v>
      </c>
      <c r="N129" s="373">
        <v>9335.780547</v>
      </c>
      <c r="O129" s="373">
        <v>9338.986674</v>
      </c>
      <c r="P129" s="376">
        <v>2070.3457</v>
      </c>
      <c r="Q129" s="376" t="s">
        <v>12</v>
      </c>
      <c r="R129" s="376" t="s">
        <v>539</v>
      </c>
      <c r="S129" s="376">
        <v>10.0</v>
      </c>
      <c r="T129" s="376">
        <v>5.0</v>
      </c>
      <c r="U129" s="376">
        <v>0.7</v>
      </c>
      <c r="V129" s="381">
        <v>0.7</v>
      </c>
      <c r="W129" s="376">
        <v>0.7</v>
      </c>
      <c r="X129" s="373">
        <v>2000.0</v>
      </c>
      <c r="Y129" s="373" t="s">
        <v>540</v>
      </c>
      <c r="Z129" s="373">
        <v>0.2</v>
      </c>
      <c r="AA129" s="373" t="s">
        <v>541</v>
      </c>
      <c r="AB129" s="373" t="s">
        <v>542</v>
      </c>
      <c r="AC129" s="373">
        <v>220.0</v>
      </c>
      <c r="AD129" s="193"/>
      <c r="AE129" s="193"/>
    </row>
    <row r="130">
      <c r="A130" s="378" t="s">
        <v>681</v>
      </c>
      <c r="B130" s="378" t="s">
        <v>558</v>
      </c>
      <c r="C130" s="378" t="s">
        <v>678</v>
      </c>
      <c r="D130" s="378" t="s">
        <v>538</v>
      </c>
      <c r="E130" s="378">
        <v>1.0</v>
      </c>
      <c r="F130" s="390">
        <v>45469.455555555556</v>
      </c>
      <c r="G130" s="378">
        <v>1.0</v>
      </c>
      <c r="H130" s="378">
        <v>51.3675</v>
      </c>
      <c r="I130" s="378">
        <v>8.57027</v>
      </c>
      <c r="J130" s="378">
        <v>-24.024869</v>
      </c>
      <c r="K130" s="378">
        <v>-22.650462</v>
      </c>
      <c r="L130" s="378">
        <v>1094.11</v>
      </c>
      <c r="M130" s="378">
        <v>70.000646</v>
      </c>
      <c r="N130" s="378">
        <v>11702.08434</v>
      </c>
      <c r="O130" s="378">
        <v>11698.67419</v>
      </c>
      <c r="P130" s="380">
        <v>2070.3457</v>
      </c>
      <c r="Q130" s="376" t="s">
        <v>12</v>
      </c>
      <c r="R130" s="380" t="s">
        <v>539</v>
      </c>
      <c r="S130" s="380">
        <v>10.0</v>
      </c>
      <c r="T130" s="380">
        <v>5.0</v>
      </c>
      <c r="U130" s="380">
        <v>0.7</v>
      </c>
      <c r="V130" s="382">
        <v>0.7</v>
      </c>
      <c r="W130" s="380">
        <v>0.7</v>
      </c>
      <c r="X130" s="378">
        <v>2000.0</v>
      </c>
      <c r="Y130" s="378" t="s">
        <v>540</v>
      </c>
      <c r="Z130" s="378">
        <v>0.2</v>
      </c>
      <c r="AA130" s="378" t="s">
        <v>541</v>
      </c>
      <c r="AB130" s="378" t="s">
        <v>542</v>
      </c>
      <c r="AC130" s="378">
        <v>220.0</v>
      </c>
      <c r="AD130" s="193"/>
      <c r="AE130" s="193"/>
    </row>
    <row r="131">
      <c r="A131" s="373" t="s">
        <v>682</v>
      </c>
      <c r="B131" s="373" t="s">
        <v>558</v>
      </c>
      <c r="C131" s="373" t="s">
        <v>678</v>
      </c>
      <c r="D131" s="373" t="s">
        <v>538</v>
      </c>
      <c r="E131" s="373">
        <v>1.0</v>
      </c>
      <c r="F131" s="389">
        <v>45469.458333333336</v>
      </c>
      <c r="G131" s="373">
        <v>1.0</v>
      </c>
      <c r="H131" s="373">
        <v>51.3774</v>
      </c>
      <c r="I131" s="373">
        <v>8.54587</v>
      </c>
      <c r="J131" s="373">
        <v>-24.258963</v>
      </c>
      <c r="K131" s="373">
        <v>-22.455206</v>
      </c>
      <c r="L131" s="373">
        <v>1092.59</v>
      </c>
      <c r="M131" s="373">
        <v>68.500171</v>
      </c>
      <c r="N131" s="373">
        <v>11695.26404</v>
      </c>
      <c r="O131" s="373">
        <v>11698.67419</v>
      </c>
      <c r="P131" s="376">
        <v>2070.3457</v>
      </c>
      <c r="Q131" s="376" t="s">
        <v>12</v>
      </c>
      <c r="R131" s="376" t="s">
        <v>539</v>
      </c>
      <c r="S131" s="376">
        <v>10.0</v>
      </c>
      <c r="T131" s="376">
        <v>5.0</v>
      </c>
      <c r="U131" s="376">
        <v>0.7</v>
      </c>
      <c r="V131" s="381">
        <v>0.7</v>
      </c>
      <c r="W131" s="376">
        <v>0.7</v>
      </c>
      <c r="X131" s="373">
        <v>2000.0</v>
      </c>
      <c r="Y131" s="373" t="s">
        <v>540</v>
      </c>
      <c r="Z131" s="373">
        <v>0.2</v>
      </c>
      <c r="AA131" s="373" t="s">
        <v>541</v>
      </c>
      <c r="AB131" s="373" t="s">
        <v>542</v>
      </c>
      <c r="AC131" s="373">
        <v>220.0</v>
      </c>
      <c r="AD131" s="193"/>
      <c r="AE131" s="193"/>
    </row>
    <row r="132">
      <c r="A132" s="373" t="s">
        <v>683</v>
      </c>
      <c r="B132" s="373" t="s">
        <v>561</v>
      </c>
      <c r="C132" s="373" t="s">
        <v>678</v>
      </c>
      <c r="D132" s="373" t="s">
        <v>538</v>
      </c>
      <c r="E132" s="373">
        <v>1.2</v>
      </c>
      <c r="F132" s="389">
        <v>45469.46111111111</v>
      </c>
      <c r="G132" s="373">
        <v>1.0</v>
      </c>
      <c r="H132" s="373">
        <v>51.3741</v>
      </c>
      <c r="I132" s="373">
        <v>8.65552</v>
      </c>
      <c r="J132" s="373">
        <v>-24.093469</v>
      </c>
      <c r="K132" s="373">
        <v>-22.649381</v>
      </c>
      <c r="L132" s="373">
        <v>1119.81</v>
      </c>
      <c r="M132" s="373">
        <v>75.500107</v>
      </c>
      <c r="N132" s="373">
        <v>14070.25461</v>
      </c>
      <c r="O132" s="373">
        <v>14073.23804</v>
      </c>
      <c r="P132" s="376">
        <v>2070.3457</v>
      </c>
      <c r="Q132" s="376" t="s">
        <v>12</v>
      </c>
      <c r="R132" s="376" t="s">
        <v>539</v>
      </c>
      <c r="S132" s="376">
        <v>10.0</v>
      </c>
      <c r="T132" s="376">
        <v>5.0</v>
      </c>
      <c r="U132" s="376">
        <v>0.7</v>
      </c>
      <c r="V132" s="381">
        <v>0.7</v>
      </c>
      <c r="W132" s="376">
        <v>0.7</v>
      </c>
      <c r="X132" s="373">
        <v>2000.0</v>
      </c>
      <c r="Y132" s="373" t="s">
        <v>540</v>
      </c>
      <c r="Z132" s="373">
        <v>0.2</v>
      </c>
      <c r="AA132" s="373" t="s">
        <v>541</v>
      </c>
      <c r="AB132" s="373" t="s">
        <v>542</v>
      </c>
      <c r="AC132" s="373">
        <v>220.0</v>
      </c>
      <c r="AD132" s="193"/>
      <c r="AE132" s="193"/>
    </row>
    <row r="133">
      <c r="A133" s="373" t="s">
        <v>684</v>
      </c>
      <c r="B133" s="373" t="s">
        <v>561</v>
      </c>
      <c r="C133" s="373" t="s">
        <v>678</v>
      </c>
      <c r="D133" s="373" t="s">
        <v>538</v>
      </c>
      <c r="E133" s="373">
        <v>1.2</v>
      </c>
      <c r="F133" s="389">
        <v>45469.46388888889</v>
      </c>
      <c r="G133" s="373">
        <v>1.0</v>
      </c>
      <c r="H133" s="373">
        <v>51.3741</v>
      </c>
      <c r="I133" s="373">
        <v>8.68873</v>
      </c>
      <c r="J133" s="373">
        <v>-24.143219</v>
      </c>
      <c r="K133" s="373">
        <v>-22.555544</v>
      </c>
      <c r="L133" s="373">
        <v>1113.62</v>
      </c>
      <c r="M133" s="373">
        <v>75.499821</v>
      </c>
      <c r="N133" s="373">
        <v>14076.22146</v>
      </c>
      <c r="O133" s="373">
        <v>14073.23804</v>
      </c>
      <c r="P133" s="376">
        <v>2070.3457</v>
      </c>
      <c r="Q133" s="376" t="s">
        <v>12</v>
      </c>
      <c r="R133" s="376" t="s">
        <v>539</v>
      </c>
      <c r="S133" s="376">
        <v>10.0</v>
      </c>
      <c r="T133" s="376">
        <v>5.0</v>
      </c>
      <c r="U133" s="376">
        <v>0.7</v>
      </c>
      <c r="V133" s="381">
        <v>0.7</v>
      </c>
      <c r="W133" s="376">
        <v>0.7</v>
      </c>
      <c r="X133" s="373">
        <v>2000.0</v>
      </c>
      <c r="Y133" s="373" t="s">
        <v>540</v>
      </c>
      <c r="Z133" s="373">
        <v>0.2</v>
      </c>
      <c r="AA133" s="373" t="s">
        <v>541</v>
      </c>
      <c r="AB133" s="373" t="s">
        <v>542</v>
      </c>
      <c r="AC133" s="373">
        <v>220.0</v>
      </c>
      <c r="AD133" s="193"/>
      <c r="AE133" s="193"/>
    </row>
    <row r="134">
      <c r="A134" s="373" t="s">
        <v>574</v>
      </c>
      <c r="B134" s="373">
        <v>2.0</v>
      </c>
      <c r="C134" s="373">
        <v>131.0</v>
      </c>
      <c r="D134" s="373" t="s">
        <v>564</v>
      </c>
      <c r="E134" s="373">
        <v>1.0</v>
      </c>
      <c r="F134" s="389">
        <v>45469.467361111114</v>
      </c>
      <c r="G134" s="373">
        <v>1.0</v>
      </c>
      <c r="H134" s="373">
        <v>51.3741</v>
      </c>
      <c r="I134" s="373">
        <v>8.47589</v>
      </c>
      <c r="J134" s="373">
        <v>-24.173419</v>
      </c>
      <c r="K134" s="373">
        <v>-22.522825</v>
      </c>
      <c r="L134" s="373">
        <v>1079.22</v>
      </c>
      <c r="M134" s="373">
        <v>67.498625</v>
      </c>
      <c r="N134" s="373">
        <v>11579.74622</v>
      </c>
      <c r="O134" s="373">
        <v>11641.85501</v>
      </c>
      <c r="P134" s="376">
        <v>2059.539199</v>
      </c>
      <c r="Q134" s="376" t="s">
        <v>12</v>
      </c>
      <c r="R134" s="376" t="s">
        <v>553</v>
      </c>
      <c r="S134" s="376">
        <v>10.0</v>
      </c>
      <c r="T134" s="376">
        <v>5.0</v>
      </c>
      <c r="U134" s="376">
        <v>0.7</v>
      </c>
      <c r="V134" s="381">
        <v>0.7</v>
      </c>
      <c r="W134" s="376">
        <v>0.7</v>
      </c>
      <c r="X134" s="373">
        <v>2000.0</v>
      </c>
      <c r="Y134" s="373" t="s">
        <v>540</v>
      </c>
      <c r="Z134" s="373">
        <v>0.2</v>
      </c>
      <c r="AA134" s="373" t="s">
        <v>541</v>
      </c>
      <c r="AB134" s="373" t="s">
        <v>542</v>
      </c>
      <c r="AC134" s="373">
        <v>220.0</v>
      </c>
      <c r="AD134" s="193"/>
      <c r="AE134" s="193"/>
    </row>
    <row r="135">
      <c r="A135" s="373" t="s">
        <v>576</v>
      </c>
      <c r="B135" s="373">
        <v>2.0</v>
      </c>
      <c r="C135" s="373">
        <v>131.0</v>
      </c>
      <c r="D135" s="373" t="s">
        <v>564</v>
      </c>
      <c r="E135" s="373">
        <v>1.0</v>
      </c>
      <c r="F135" s="389">
        <v>45469.470138888886</v>
      </c>
      <c r="G135" s="373">
        <v>1.0</v>
      </c>
      <c r="H135" s="373">
        <v>51.3774</v>
      </c>
      <c r="I135" s="373">
        <v>8.40196</v>
      </c>
      <c r="J135" s="373">
        <v>-24.159931</v>
      </c>
      <c r="K135" s="373">
        <v>-22.937906</v>
      </c>
      <c r="L135" s="373">
        <v>1082.62</v>
      </c>
      <c r="M135" s="373">
        <v>72.001375</v>
      </c>
      <c r="N135" s="373">
        <v>11635.52281</v>
      </c>
      <c r="O135" s="373">
        <v>11641.85501</v>
      </c>
      <c r="P135" s="376">
        <v>2059.539199</v>
      </c>
      <c r="Q135" s="376" t="s">
        <v>12</v>
      </c>
      <c r="R135" s="376" t="s">
        <v>539</v>
      </c>
      <c r="S135" s="376">
        <v>10.0</v>
      </c>
      <c r="T135" s="376">
        <v>5.0</v>
      </c>
      <c r="U135" s="376">
        <v>0.7</v>
      </c>
      <c r="V135" s="376">
        <v>0.7</v>
      </c>
      <c r="W135" s="376">
        <v>0.7</v>
      </c>
      <c r="X135" s="373">
        <v>2000.0</v>
      </c>
      <c r="Y135" s="373" t="s">
        <v>540</v>
      </c>
      <c r="Z135" s="373">
        <v>0.2</v>
      </c>
      <c r="AA135" s="373" t="s">
        <v>541</v>
      </c>
      <c r="AB135" s="373" t="s">
        <v>542</v>
      </c>
      <c r="AC135" s="373">
        <v>220.0</v>
      </c>
      <c r="AD135" s="193"/>
      <c r="AE135" s="193"/>
    </row>
    <row r="136">
      <c r="A136" s="373" t="s">
        <v>577</v>
      </c>
      <c r="B136" s="373">
        <v>2.0</v>
      </c>
      <c r="C136" s="373">
        <v>131.0</v>
      </c>
      <c r="D136" s="373" t="s">
        <v>564</v>
      </c>
      <c r="E136" s="373">
        <v>1.0</v>
      </c>
      <c r="F136" s="389">
        <v>45469.472916666666</v>
      </c>
      <c r="G136" s="373">
        <v>1.0</v>
      </c>
      <c r="H136" s="373">
        <v>51.3774</v>
      </c>
      <c r="I136" s="373">
        <v>8.44108</v>
      </c>
      <c r="J136" s="373">
        <v>-24.282088</v>
      </c>
      <c r="K136" s="373">
        <v>-23.097375</v>
      </c>
      <c r="L136" s="373">
        <v>1092.38</v>
      </c>
      <c r="M136" s="373">
        <v>78.500371</v>
      </c>
      <c r="N136" s="373">
        <v>11648.18721</v>
      </c>
      <c r="O136" s="373">
        <v>11641.85501</v>
      </c>
      <c r="P136" s="376">
        <v>2059.539199</v>
      </c>
      <c r="Q136" s="376" t="s">
        <v>12</v>
      </c>
      <c r="R136" s="376" t="s">
        <v>539</v>
      </c>
      <c r="S136" s="376">
        <v>10.0</v>
      </c>
      <c r="T136" s="376">
        <v>5.0</v>
      </c>
      <c r="U136" s="376">
        <v>0.7</v>
      </c>
      <c r="V136" s="376">
        <v>0.7</v>
      </c>
      <c r="W136" s="376">
        <v>0.7</v>
      </c>
      <c r="X136" s="373">
        <v>2000.0</v>
      </c>
      <c r="Y136" s="373" t="s">
        <v>540</v>
      </c>
      <c r="Z136" s="373">
        <v>0.2</v>
      </c>
      <c r="AA136" s="373" t="s">
        <v>541</v>
      </c>
      <c r="AB136" s="373" t="s">
        <v>542</v>
      </c>
      <c r="AC136" s="373">
        <v>220.0</v>
      </c>
      <c r="AD136" s="193"/>
      <c r="AE136" s="377"/>
    </row>
    <row r="137">
      <c r="A137" s="373" t="s">
        <v>578</v>
      </c>
      <c r="B137" s="373">
        <v>3.0</v>
      </c>
      <c r="C137" s="373">
        <v>132.0</v>
      </c>
      <c r="D137" s="373" t="s">
        <v>568</v>
      </c>
      <c r="E137" s="373">
        <v>1.0</v>
      </c>
      <c r="F137" s="389">
        <v>45469.47638888889</v>
      </c>
      <c r="G137" s="373">
        <v>1.0</v>
      </c>
      <c r="H137" s="373">
        <v>51.3774</v>
      </c>
      <c r="I137" s="373">
        <v>8.41112</v>
      </c>
      <c r="J137" s="373">
        <v>-24.284331</v>
      </c>
      <c r="K137" s="373">
        <v>-22.683062</v>
      </c>
      <c r="L137" s="373">
        <v>1074.88</v>
      </c>
      <c r="M137" s="373">
        <v>69.500177</v>
      </c>
      <c r="N137" s="373">
        <v>11605.69173</v>
      </c>
      <c r="O137" s="373">
        <v>11609.49008</v>
      </c>
      <c r="P137" s="376">
        <v>2053.877768</v>
      </c>
      <c r="Q137" s="376" t="s">
        <v>12</v>
      </c>
      <c r="R137" s="376" t="s">
        <v>539</v>
      </c>
      <c r="S137" s="376">
        <v>10.0</v>
      </c>
      <c r="T137" s="376">
        <v>5.0</v>
      </c>
      <c r="U137" s="376">
        <v>0.7</v>
      </c>
      <c r="V137" s="376">
        <v>0.7</v>
      </c>
      <c r="W137" s="376">
        <v>0.7</v>
      </c>
      <c r="X137" s="373">
        <v>2000.0</v>
      </c>
      <c r="Y137" s="373" t="s">
        <v>540</v>
      </c>
      <c r="Z137" s="373">
        <v>0.2</v>
      </c>
      <c r="AA137" s="373" t="s">
        <v>541</v>
      </c>
      <c r="AB137" s="373" t="s">
        <v>542</v>
      </c>
      <c r="AC137" s="373">
        <v>220.0</v>
      </c>
      <c r="AD137" s="193"/>
      <c r="AE137" s="377"/>
    </row>
    <row r="138">
      <c r="A138" s="373" t="s">
        <v>580</v>
      </c>
      <c r="B138" s="373">
        <v>3.0</v>
      </c>
      <c r="C138" s="373">
        <v>132.0</v>
      </c>
      <c r="D138" s="373" t="s">
        <v>568</v>
      </c>
      <c r="E138" s="373">
        <v>1.0</v>
      </c>
      <c r="F138" s="389">
        <v>45469.479166666664</v>
      </c>
      <c r="G138" s="373">
        <v>1.0</v>
      </c>
      <c r="H138" s="373">
        <v>51.3774</v>
      </c>
      <c r="I138" s="373">
        <v>8.44428</v>
      </c>
      <c r="J138" s="373">
        <v>-24.216363</v>
      </c>
      <c r="K138" s="373">
        <v>-22.712875</v>
      </c>
      <c r="L138" s="373">
        <v>1082.33</v>
      </c>
      <c r="M138" s="373">
        <v>67.00012</v>
      </c>
      <c r="N138" s="373">
        <v>11613.28843</v>
      </c>
      <c r="O138" s="373">
        <v>11609.49008</v>
      </c>
      <c r="P138" s="376">
        <v>2053.877768</v>
      </c>
      <c r="Q138" s="376" t="s">
        <v>12</v>
      </c>
      <c r="R138" s="376" t="s">
        <v>539</v>
      </c>
      <c r="S138" s="376">
        <v>10.0</v>
      </c>
      <c r="T138" s="376">
        <v>5.0</v>
      </c>
      <c r="U138" s="376">
        <v>0.7</v>
      </c>
      <c r="V138" s="376">
        <v>0.7</v>
      </c>
      <c r="W138" s="376">
        <v>0.7</v>
      </c>
      <c r="X138" s="373">
        <v>2000.0</v>
      </c>
      <c r="Y138" s="373" t="s">
        <v>540</v>
      </c>
      <c r="Z138" s="373">
        <v>0.2</v>
      </c>
      <c r="AA138" s="373" t="s">
        <v>541</v>
      </c>
      <c r="AB138" s="373" t="s">
        <v>542</v>
      </c>
      <c r="AC138" s="373">
        <v>220.0</v>
      </c>
      <c r="AD138" s="193"/>
      <c r="AE138" s="377"/>
    </row>
    <row r="139">
      <c r="A139" s="373" t="s">
        <v>581</v>
      </c>
      <c r="B139" s="373">
        <v>4.0</v>
      </c>
      <c r="C139" s="373">
        <v>27.0</v>
      </c>
      <c r="D139" s="373" t="s">
        <v>571</v>
      </c>
      <c r="E139" s="373">
        <v>1.0</v>
      </c>
      <c r="F139" s="389">
        <v>45469.48263888889</v>
      </c>
      <c r="G139" s="373">
        <v>1.0</v>
      </c>
      <c r="H139" s="373">
        <v>51.3774</v>
      </c>
      <c r="I139" s="373">
        <v>8.4409</v>
      </c>
      <c r="J139" s="373">
        <v>-24.137269</v>
      </c>
      <c r="K139" s="373">
        <v>-23.068</v>
      </c>
      <c r="L139" s="373">
        <v>1092.58</v>
      </c>
      <c r="M139" s="373">
        <v>76.999105</v>
      </c>
      <c r="N139" s="373">
        <v>11591.63694</v>
      </c>
      <c r="O139" s="373">
        <v>11580.09071</v>
      </c>
      <c r="P139" s="376">
        <v>2048.735087</v>
      </c>
      <c r="Q139" s="376" t="s">
        <v>12</v>
      </c>
      <c r="R139" s="376" t="s">
        <v>539</v>
      </c>
      <c r="S139" s="376">
        <v>10.0</v>
      </c>
      <c r="T139" s="376">
        <v>5.0</v>
      </c>
      <c r="U139" s="376">
        <v>0.7</v>
      </c>
      <c r="V139" s="376">
        <v>0.7</v>
      </c>
      <c r="W139" s="376">
        <v>0.7</v>
      </c>
      <c r="X139" s="373">
        <v>2000.0</v>
      </c>
      <c r="Y139" s="373" t="s">
        <v>540</v>
      </c>
      <c r="Z139" s="373">
        <v>0.2</v>
      </c>
      <c r="AA139" s="373" t="s">
        <v>541</v>
      </c>
      <c r="AB139" s="373" t="s">
        <v>542</v>
      </c>
      <c r="AC139" s="373">
        <v>220.0</v>
      </c>
      <c r="AD139" s="193"/>
      <c r="AE139" s="377"/>
    </row>
    <row r="140">
      <c r="A140" s="373" t="s">
        <v>583</v>
      </c>
      <c r="B140" s="373">
        <v>4.0</v>
      </c>
      <c r="C140" s="373">
        <v>27.0</v>
      </c>
      <c r="D140" s="373" t="s">
        <v>571</v>
      </c>
      <c r="E140" s="373">
        <v>1.0</v>
      </c>
      <c r="F140" s="389">
        <v>45469.48541666667</v>
      </c>
      <c r="G140" s="373">
        <v>1.0</v>
      </c>
      <c r="H140" s="373">
        <v>51.3708</v>
      </c>
      <c r="I140" s="373">
        <v>8.38198</v>
      </c>
      <c r="J140" s="373">
        <v>-24.340231</v>
      </c>
      <c r="K140" s="373">
        <v>-22.468888</v>
      </c>
      <c r="L140" s="373">
        <v>1062.83</v>
      </c>
      <c r="M140" s="373">
        <v>66.000526</v>
      </c>
      <c r="N140" s="373">
        <v>11568.54448</v>
      </c>
      <c r="O140" s="373">
        <v>11580.09071</v>
      </c>
      <c r="P140" s="376">
        <v>2048.735087</v>
      </c>
      <c r="Q140" s="376" t="s">
        <v>12</v>
      </c>
      <c r="R140" s="376" t="s">
        <v>539</v>
      </c>
      <c r="S140" s="376">
        <v>10.0</v>
      </c>
      <c r="T140" s="376">
        <v>5.0</v>
      </c>
      <c r="U140" s="376">
        <v>0.7</v>
      </c>
      <c r="V140" s="376">
        <v>0.7</v>
      </c>
      <c r="W140" s="376">
        <v>0.7</v>
      </c>
      <c r="X140" s="373">
        <v>2000.0</v>
      </c>
      <c r="Y140" s="373" t="s">
        <v>540</v>
      </c>
      <c r="Z140" s="373">
        <v>0.2</v>
      </c>
      <c r="AA140" s="373" t="s">
        <v>541</v>
      </c>
      <c r="AB140" s="373" t="s">
        <v>542</v>
      </c>
      <c r="AC140" s="373">
        <v>220.0</v>
      </c>
      <c r="AD140" s="193"/>
      <c r="AE140" s="377"/>
    </row>
    <row r="141">
      <c r="A141" s="373" t="s">
        <v>584</v>
      </c>
      <c r="B141" s="373">
        <v>5.0</v>
      </c>
      <c r="C141" s="373">
        <v>28.0</v>
      </c>
      <c r="D141" s="373" t="s">
        <v>575</v>
      </c>
      <c r="E141" s="373">
        <v>1.0</v>
      </c>
      <c r="F141" s="389">
        <v>45469.48888888889</v>
      </c>
      <c r="G141" s="373">
        <v>1.0</v>
      </c>
      <c r="H141" s="373">
        <v>51.3774</v>
      </c>
      <c r="I141" s="373">
        <v>8.38412</v>
      </c>
      <c r="J141" s="373">
        <v>-24.148013</v>
      </c>
      <c r="K141" s="373">
        <v>-23.309313</v>
      </c>
      <c r="L141" s="373">
        <v>1077.98</v>
      </c>
      <c r="M141" s="373">
        <v>85.499934</v>
      </c>
      <c r="N141" s="373">
        <v>11609.81817</v>
      </c>
      <c r="O141" s="373">
        <v>11571.46412</v>
      </c>
      <c r="P141" s="376">
        <v>2047.226082</v>
      </c>
      <c r="Q141" s="376" t="s">
        <v>12</v>
      </c>
      <c r="R141" s="376" t="s">
        <v>553</v>
      </c>
      <c r="S141" s="376">
        <v>10.0</v>
      </c>
      <c r="T141" s="376">
        <v>5.0</v>
      </c>
      <c r="U141" s="376">
        <v>0.7</v>
      </c>
      <c r="V141" s="376">
        <v>0.7</v>
      </c>
      <c r="W141" s="376">
        <v>0.7</v>
      </c>
      <c r="X141" s="373">
        <v>2000.0</v>
      </c>
      <c r="Y141" s="373" t="s">
        <v>540</v>
      </c>
      <c r="Z141" s="373">
        <v>0.2</v>
      </c>
      <c r="AA141" s="373" t="s">
        <v>541</v>
      </c>
      <c r="AB141" s="373" t="s">
        <v>542</v>
      </c>
      <c r="AC141" s="373">
        <v>220.0</v>
      </c>
      <c r="AD141" s="193"/>
      <c r="AE141" s="377"/>
    </row>
    <row r="142">
      <c r="A142" s="373" t="s">
        <v>586</v>
      </c>
      <c r="B142" s="373">
        <v>5.0</v>
      </c>
      <c r="C142" s="373">
        <v>28.0</v>
      </c>
      <c r="D142" s="373" t="s">
        <v>575</v>
      </c>
      <c r="E142" s="373">
        <v>1.0</v>
      </c>
      <c r="F142" s="389">
        <v>45469.49166666667</v>
      </c>
      <c r="G142" s="373">
        <v>1.0</v>
      </c>
      <c r="H142" s="373">
        <v>51.3741</v>
      </c>
      <c r="I142" s="373">
        <v>8.3582</v>
      </c>
      <c r="J142" s="373">
        <v>-24.154781</v>
      </c>
      <c r="K142" s="373">
        <v>-22.717944</v>
      </c>
      <c r="L142" s="373">
        <v>1080.84</v>
      </c>
      <c r="M142" s="373">
        <v>69.499049</v>
      </c>
      <c r="N142" s="373">
        <v>11566.10738</v>
      </c>
      <c r="O142" s="373">
        <v>11571.46412</v>
      </c>
      <c r="P142" s="376">
        <v>2047.226082</v>
      </c>
      <c r="Q142" s="376" t="s">
        <v>12</v>
      </c>
      <c r="R142" s="376" t="s">
        <v>539</v>
      </c>
      <c r="S142" s="376">
        <v>10.0</v>
      </c>
      <c r="T142" s="376">
        <v>5.0</v>
      </c>
      <c r="U142" s="376">
        <v>0.7</v>
      </c>
      <c r="V142" s="376">
        <v>0.7</v>
      </c>
      <c r="W142" s="376">
        <v>0.7</v>
      </c>
      <c r="X142" s="373">
        <v>2000.0</v>
      </c>
      <c r="Y142" s="373" t="s">
        <v>540</v>
      </c>
      <c r="Z142" s="373">
        <v>0.2</v>
      </c>
      <c r="AA142" s="373" t="s">
        <v>541</v>
      </c>
      <c r="AB142" s="373" t="s">
        <v>542</v>
      </c>
      <c r="AC142" s="373">
        <v>220.0</v>
      </c>
      <c r="AD142" s="193"/>
      <c r="AE142" s="377"/>
    </row>
    <row r="143">
      <c r="A143" s="373" t="s">
        <v>587</v>
      </c>
      <c r="B143" s="373">
        <v>5.0</v>
      </c>
      <c r="C143" s="373">
        <v>28.0</v>
      </c>
      <c r="D143" s="373" t="s">
        <v>575</v>
      </c>
      <c r="E143" s="373">
        <v>1.0</v>
      </c>
      <c r="F143" s="389">
        <v>45469.49444444444</v>
      </c>
      <c r="G143" s="373">
        <v>1.0</v>
      </c>
      <c r="H143" s="373">
        <v>51.3741</v>
      </c>
      <c r="I143" s="373">
        <v>8.28876</v>
      </c>
      <c r="J143" s="373">
        <v>-24.151388</v>
      </c>
      <c r="K143" s="373">
        <v>-22.819206</v>
      </c>
      <c r="L143" s="373">
        <v>1072.09</v>
      </c>
      <c r="M143" s="373">
        <v>68.999653</v>
      </c>
      <c r="N143" s="373">
        <v>11576.82086</v>
      </c>
      <c r="O143" s="373">
        <v>11571.46412</v>
      </c>
      <c r="P143" s="376">
        <v>2047.226082</v>
      </c>
      <c r="Q143" s="376" t="s">
        <v>12</v>
      </c>
      <c r="R143" s="376" t="s">
        <v>539</v>
      </c>
      <c r="S143" s="376">
        <v>10.0</v>
      </c>
      <c r="T143" s="376">
        <v>5.0</v>
      </c>
      <c r="U143" s="376">
        <v>0.7</v>
      </c>
      <c r="V143" s="376">
        <v>0.7</v>
      </c>
      <c r="W143" s="376">
        <v>0.7</v>
      </c>
      <c r="X143" s="373">
        <v>2000.0</v>
      </c>
      <c r="Y143" s="373" t="s">
        <v>540</v>
      </c>
      <c r="Z143" s="373">
        <v>0.2</v>
      </c>
      <c r="AA143" s="373" t="s">
        <v>541</v>
      </c>
      <c r="AB143" s="373" t="s">
        <v>542</v>
      </c>
      <c r="AC143" s="373">
        <v>220.0</v>
      </c>
      <c r="AD143" s="193"/>
      <c r="AE143" s="377"/>
    </row>
    <row r="144">
      <c r="A144" s="373" t="s">
        <v>588</v>
      </c>
      <c r="B144" s="373">
        <v>6.0</v>
      </c>
      <c r="C144" s="373">
        <v>170.0</v>
      </c>
      <c r="D144" s="373" t="s">
        <v>579</v>
      </c>
      <c r="E144" s="373">
        <v>1.0</v>
      </c>
      <c r="F144" s="389">
        <v>45469.49791666667</v>
      </c>
      <c r="G144" s="373">
        <v>1.0</v>
      </c>
      <c r="H144" s="373">
        <v>51.3708</v>
      </c>
      <c r="I144" s="373">
        <v>8.26037</v>
      </c>
      <c r="J144" s="373">
        <v>-24.258356</v>
      </c>
      <c r="K144" s="373">
        <v>-22.6701</v>
      </c>
      <c r="L144" s="373">
        <v>1083.26</v>
      </c>
      <c r="M144" s="373">
        <v>68.498792</v>
      </c>
      <c r="N144" s="373">
        <v>11747.03823</v>
      </c>
      <c r="O144" s="373">
        <v>11737.15781</v>
      </c>
      <c r="P144" s="376">
        <v>2076.210029</v>
      </c>
      <c r="Q144" s="376" t="s">
        <v>12</v>
      </c>
      <c r="R144" s="376" t="s">
        <v>553</v>
      </c>
      <c r="S144" s="376">
        <v>10.0</v>
      </c>
      <c r="T144" s="376">
        <v>5.0</v>
      </c>
      <c r="U144" s="376">
        <v>0.7</v>
      </c>
      <c r="V144" s="376">
        <v>0.7</v>
      </c>
      <c r="W144" s="376">
        <v>0.7</v>
      </c>
      <c r="X144" s="373">
        <v>2000.0</v>
      </c>
      <c r="Y144" s="373" t="s">
        <v>540</v>
      </c>
      <c r="Z144" s="373">
        <v>0.2</v>
      </c>
      <c r="AA144" s="373" t="s">
        <v>541</v>
      </c>
      <c r="AB144" s="373" t="s">
        <v>542</v>
      </c>
      <c r="AC144" s="373">
        <v>220.0</v>
      </c>
      <c r="AD144" s="193"/>
      <c r="AE144" s="377"/>
    </row>
    <row r="145">
      <c r="A145" s="373" t="s">
        <v>590</v>
      </c>
      <c r="B145" s="373">
        <v>6.0</v>
      </c>
      <c r="C145" s="373">
        <v>170.0</v>
      </c>
      <c r="D145" s="373" t="s">
        <v>579</v>
      </c>
      <c r="E145" s="373">
        <v>1.0</v>
      </c>
      <c r="F145" s="389">
        <v>45469.50069444445</v>
      </c>
      <c r="G145" s="373">
        <v>1.0</v>
      </c>
      <c r="H145" s="373">
        <v>51.3774</v>
      </c>
      <c r="I145" s="373">
        <v>8.3338</v>
      </c>
      <c r="J145" s="373">
        <v>-23.9485</v>
      </c>
      <c r="K145" s="373">
        <v>-22.4962</v>
      </c>
      <c r="L145" s="373">
        <v>1077.52</v>
      </c>
      <c r="M145" s="373">
        <v>66.99903</v>
      </c>
      <c r="N145" s="373">
        <v>11723.28523</v>
      </c>
      <c r="O145" s="373">
        <v>11737.15781</v>
      </c>
      <c r="P145" s="376">
        <v>2076.210029</v>
      </c>
      <c r="Q145" s="376" t="s">
        <v>12</v>
      </c>
      <c r="R145" s="376" t="s">
        <v>553</v>
      </c>
      <c r="S145" s="376">
        <v>10.0</v>
      </c>
      <c r="T145" s="376">
        <v>5.0</v>
      </c>
      <c r="U145" s="376">
        <v>0.7</v>
      </c>
      <c r="V145" s="376">
        <v>0.7</v>
      </c>
      <c r="W145" s="376">
        <v>0.7</v>
      </c>
      <c r="X145" s="373">
        <v>2000.0</v>
      </c>
      <c r="Y145" s="373" t="s">
        <v>540</v>
      </c>
      <c r="Z145" s="373">
        <v>0.2</v>
      </c>
      <c r="AA145" s="373" t="s">
        <v>541</v>
      </c>
      <c r="AB145" s="373" t="s">
        <v>542</v>
      </c>
      <c r="AC145" s="373">
        <v>220.0</v>
      </c>
      <c r="AD145" s="193"/>
      <c r="AE145" s="377"/>
    </row>
    <row r="146">
      <c r="A146" s="373" t="s">
        <v>685</v>
      </c>
      <c r="B146" s="373">
        <v>6.0</v>
      </c>
      <c r="C146" s="373">
        <v>170.0</v>
      </c>
      <c r="D146" s="373" t="s">
        <v>579</v>
      </c>
      <c r="E146" s="373">
        <v>1.0</v>
      </c>
      <c r="F146" s="389">
        <v>45469.50347222222</v>
      </c>
      <c r="G146" s="373">
        <v>1.0</v>
      </c>
      <c r="H146" s="373">
        <v>51.3741</v>
      </c>
      <c r="I146" s="373">
        <v>8.43088</v>
      </c>
      <c r="J146" s="373">
        <v>-24.281281</v>
      </c>
      <c r="K146" s="373">
        <v>-22.878963</v>
      </c>
      <c r="L146" s="373">
        <v>1109.87</v>
      </c>
      <c r="M146" s="373">
        <v>75.999435</v>
      </c>
      <c r="N146" s="373">
        <v>11789.54968</v>
      </c>
      <c r="O146" s="373">
        <v>11737.15781</v>
      </c>
      <c r="P146" s="376">
        <v>2076.210029</v>
      </c>
      <c r="Q146" s="376" t="s">
        <v>12</v>
      </c>
      <c r="R146" s="376" t="s">
        <v>553</v>
      </c>
      <c r="S146" s="376">
        <v>10.0</v>
      </c>
      <c r="T146" s="376">
        <v>5.0</v>
      </c>
      <c r="U146" s="376">
        <v>0.7</v>
      </c>
      <c r="V146" s="376">
        <v>0.7</v>
      </c>
      <c r="W146" s="376">
        <v>0.7</v>
      </c>
      <c r="X146" s="373">
        <v>2000.0</v>
      </c>
      <c r="Y146" s="373" t="s">
        <v>540</v>
      </c>
      <c r="Z146" s="373">
        <v>0.2</v>
      </c>
      <c r="AA146" s="373" t="s">
        <v>541</v>
      </c>
      <c r="AB146" s="373" t="s">
        <v>542</v>
      </c>
      <c r="AC146" s="373">
        <v>220.0</v>
      </c>
      <c r="AD146" s="193"/>
      <c r="AE146" s="377"/>
    </row>
    <row r="147">
      <c r="A147" s="373" t="s">
        <v>686</v>
      </c>
      <c r="B147" s="373">
        <v>6.0</v>
      </c>
      <c r="C147" s="373">
        <v>170.0</v>
      </c>
      <c r="D147" s="373" t="s">
        <v>579</v>
      </c>
      <c r="E147" s="373">
        <v>1.0</v>
      </c>
      <c r="F147" s="389">
        <v>45469.50625</v>
      </c>
      <c r="G147" s="373">
        <v>1.0</v>
      </c>
      <c r="H147" s="373">
        <v>51.3774</v>
      </c>
      <c r="I147" s="373">
        <v>8.3836</v>
      </c>
      <c r="J147" s="373">
        <v>-24.174269</v>
      </c>
      <c r="K147" s="373">
        <v>-22.378213</v>
      </c>
      <c r="L147" s="373">
        <v>1086.97</v>
      </c>
      <c r="M147" s="373">
        <v>67.500541</v>
      </c>
      <c r="N147" s="373">
        <v>11736.98831</v>
      </c>
      <c r="O147" s="373">
        <v>11737.15781</v>
      </c>
      <c r="P147" s="376">
        <v>2076.210029</v>
      </c>
      <c r="Q147" s="376" t="s">
        <v>12</v>
      </c>
      <c r="R147" s="376" t="s">
        <v>539</v>
      </c>
      <c r="S147" s="376">
        <v>10.0</v>
      </c>
      <c r="T147" s="376">
        <v>5.0</v>
      </c>
      <c r="U147" s="376">
        <v>0.7</v>
      </c>
      <c r="V147" s="376">
        <v>0.7</v>
      </c>
      <c r="W147" s="376">
        <v>0.7</v>
      </c>
      <c r="X147" s="373">
        <v>2000.0</v>
      </c>
      <c r="Y147" s="373" t="s">
        <v>540</v>
      </c>
      <c r="Z147" s="373">
        <v>0.2</v>
      </c>
      <c r="AA147" s="373" t="s">
        <v>541</v>
      </c>
      <c r="AB147" s="373" t="s">
        <v>542</v>
      </c>
      <c r="AC147" s="373">
        <v>220.0</v>
      </c>
      <c r="AD147" s="193"/>
      <c r="AE147" s="377"/>
    </row>
    <row r="148">
      <c r="A148" s="373" t="s">
        <v>687</v>
      </c>
      <c r="B148" s="373">
        <v>6.0</v>
      </c>
      <c r="C148" s="373">
        <v>170.0</v>
      </c>
      <c r="D148" s="373" t="s">
        <v>579</v>
      </c>
      <c r="E148" s="373">
        <v>1.0</v>
      </c>
      <c r="F148" s="389">
        <v>45469.50902777778</v>
      </c>
      <c r="G148" s="373">
        <v>1.0</v>
      </c>
      <c r="H148" s="373">
        <v>51.3741</v>
      </c>
      <c r="I148" s="373">
        <v>8.42877</v>
      </c>
      <c r="J148" s="373">
        <v>-24.151638</v>
      </c>
      <c r="K148" s="373">
        <v>-22.583181</v>
      </c>
      <c r="L148" s="373">
        <v>1094.1</v>
      </c>
      <c r="M148" s="373">
        <v>68.999176</v>
      </c>
      <c r="N148" s="373">
        <v>11737.32731</v>
      </c>
      <c r="O148" s="373">
        <v>11737.15781</v>
      </c>
      <c r="P148" s="376">
        <v>2076.210029</v>
      </c>
      <c r="Q148" s="376" t="s">
        <v>12</v>
      </c>
      <c r="R148" s="376" t="s">
        <v>539</v>
      </c>
      <c r="S148" s="376">
        <v>10.0</v>
      </c>
      <c r="T148" s="376">
        <v>5.0</v>
      </c>
      <c r="U148" s="376">
        <v>0.7</v>
      </c>
      <c r="V148" s="376">
        <v>0.7</v>
      </c>
      <c r="W148" s="376">
        <v>0.7</v>
      </c>
      <c r="X148" s="373">
        <v>2000.0</v>
      </c>
      <c r="Y148" s="373" t="s">
        <v>540</v>
      </c>
      <c r="Z148" s="373">
        <v>0.2</v>
      </c>
      <c r="AA148" s="373" t="s">
        <v>541</v>
      </c>
      <c r="AB148" s="373" t="s">
        <v>542</v>
      </c>
      <c r="AC148" s="373">
        <v>220.0</v>
      </c>
      <c r="AD148" s="193"/>
      <c r="AE148" s="377"/>
    </row>
    <row r="149">
      <c r="A149" s="373" t="s">
        <v>688</v>
      </c>
      <c r="B149" s="373">
        <v>7.0</v>
      </c>
      <c r="C149" s="373">
        <v>171.0</v>
      </c>
      <c r="D149" s="373" t="s">
        <v>582</v>
      </c>
      <c r="E149" s="373">
        <v>1.0</v>
      </c>
      <c r="F149" s="389">
        <v>45469.5125</v>
      </c>
      <c r="G149" s="373">
        <v>1.0</v>
      </c>
      <c r="H149" s="373">
        <v>51.3807</v>
      </c>
      <c r="I149" s="373">
        <v>8.33927</v>
      </c>
      <c r="J149" s="373">
        <v>-24.259838</v>
      </c>
      <c r="K149" s="373">
        <v>-22.929006</v>
      </c>
      <c r="L149" s="373">
        <v>1109.79</v>
      </c>
      <c r="M149" s="373">
        <v>72.499554</v>
      </c>
      <c r="N149" s="373">
        <v>11808.94387</v>
      </c>
      <c r="O149" s="373">
        <v>11775.68102</v>
      </c>
      <c r="P149" s="376">
        <v>2082.948697</v>
      </c>
      <c r="Q149" s="376" t="s">
        <v>12</v>
      </c>
      <c r="R149" s="376" t="s">
        <v>553</v>
      </c>
      <c r="S149" s="376">
        <v>10.0</v>
      </c>
      <c r="T149" s="376">
        <v>5.0</v>
      </c>
      <c r="U149" s="376">
        <v>0.7</v>
      </c>
      <c r="V149" s="376">
        <v>0.7</v>
      </c>
      <c r="W149" s="376">
        <v>0.7</v>
      </c>
      <c r="X149" s="373">
        <v>2000.0</v>
      </c>
      <c r="Y149" s="373" t="s">
        <v>540</v>
      </c>
      <c r="Z149" s="373">
        <v>0.2</v>
      </c>
      <c r="AA149" s="373" t="s">
        <v>541</v>
      </c>
      <c r="AB149" s="373" t="s">
        <v>542</v>
      </c>
      <c r="AC149" s="373">
        <v>220.0</v>
      </c>
      <c r="AD149" s="193"/>
      <c r="AE149" s="377"/>
    </row>
    <row r="150">
      <c r="A150" s="373" t="s">
        <v>689</v>
      </c>
      <c r="B150" s="373">
        <v>7.0</v>
      </c>
      <c r="C150" s="373">
        <v>171.0</v>
      </c>
      <c r="D150" s="373" t="s">
        <v>582</v>
      </c>
      <c r="E150" s="373">
        <v>1.0</v>
      </c>
      <c r="F150" s="389">
        <v>45469.51527777778</v>
      </c>
      <c r="G150" s="373">
        <v>1.0</v>
      </c>
      <c r="H150" s="373">
        <v>51.3807</v>
      </c>
      <c r="I150" s="373">
        <v>8.22308</v>
      </c>
      <c r="J150" s="373">
        <v>-24.251056</v>
      </c>
      <c r="K150" s="373">
        <v>-22.425056</v>
      </c>
      <c r="L150" s="373">
        <v>1087.65</v>
      </c>
      <c r="M150" s="373">
        <v>68.000393</v>
      </c>
      <c r="N150" s="373">
        <v>11765.76421</v>
      </c>
      <c r="O150" s="373">
        <v>11775.68102</v>
      </c>
      <c r="P150" s="376">
        <v>2082.948697</v>
      </c>
      <c r="Q150" s="376" t="s">
        <v>12</v>
      </c>
      <c r="R150" s="376" t="s">
        <v>539</v>
      </c>
      <c r="S150" s="376">
        <v>10.0</v>
      </c>
      <c r="T150" s="376">
        <v>5.0</v>
      </c>
      <c r="U150" s="376">
        <v>0.7</v>
      </c>
      <c r="V150" s="376">
        <v>0.7</v>
      </c>
      <c r="W150" s="376">
        <v>0.7</v>
      </c>
      <c r="X150" s="373">
        <v>2000.0</v>
      </c>
      <c r="Y150" s="373" t="s">
        <v>540</v>
      </c>
      <c r="Z150" s="373">
        <v>0.2</v>
      </c>
      <c r="AA150" s="373" t="s">
        <v>541</v>
      </c>
      <c r="AB150" s="373" t="s">
        <v>542</v>
      </c>
      <c r="AC150" s="373">
        <v>220.0</v>
      </c>
      <c r="AD150" s="193"/>
      <c r="AE150" s="377"/>
    </row>
    <row r="151">
      <c r="A151" s="373" t="s">
        <v>690</v>
      </c>
      <c r="B151" s="373">
        <v>7.0</v>
      </c>
      <c r="C151" s="373">
        <v>171.0</v>
      </c>
      <c r="D151" s="373" t="s">
        <v>582</v>
      </c>
      <c r="E151" s="373">
        <v>1.0</v>
      </c>
      <c r="F151" s="389">
        <v>45469.518055555556</v>
      </c>
      <c r="G151" s="373">
        <v>1.0</v>
      </c>
      <c r="H151" s="373">
        <v>51.3774</v>
      </c>
      <c r="I151" s="373">
        <v>8.13098</v>
      </c>
      <c r="J151" s="373">
        <v>-24.1226</v>
      </c>
      <c r="K151" s="373">
        <v>-22.457469</v>
      </c>
      <c r="L151" s="373">
        <v>1110.35</v>
      </c>
      <c r="M151" s="373">
        <v>66.49944</v>
      </c>
      <c r="N151" s="373">
        <v>11785.59783</v>
      </c>
      <c r="O151" s="373">
        <v>11775.68102</v>
      </c>
      <c r="P151" s="376">
        <v>2082.948697</v>
      </c>
      <c r="Q151" s="376" t="s">
        <v>12</v>
      </c>
      <c r="R151" s="376" t="s">
        <v>539</v>
      </c>
      <c r="S151" s="376">
        <v>10.0</v>
      </c>
      <c r="T151" s="376">
        <v>5.0</v>
      </c>
      <c r="U151" s="376">
        <v>0.7</v>
      </c>
      <c r="V151" s="376">
        <v>0.7</v>
      </c>
      <c r="W151" s="376">
        <v>0.7</v>
      </c>
      <c r="X151" s="373">
        <v>2000.0</v>
      </c>
      <c r="Y151" s="373" t="s">
        <v>540</v>
      </c>
      <c r="Z151" s="373">
        <v>0.2</v>
      </c>
      <c r="AA151" s="373" t="s">
        <v>541</v>
      </c>
      <c r="AB151" s="373" t="s">
        <v>542</v>
      </c>
      <c r="AC151" s="373">
        <v>220.0</v>
      </c>
      <c r="AD151" s="193"/>
      <c r="AE151" s="377"/>
    </row>
    <row r="152">
      <c r="A152" s="373" t="s">
        <v>597</v>
      </c>
      <c r="B152" s="373">
        <v>8.0</v>
      </c>
      <c r="C152" s="373">
        <v>287.0</v>
      </c>
      <c r="D152" s="373" t="s">
        <v>585</v>
      </c>
      <c r="E152" s="373">
        <v>1.0</v>
      </c>
      <c r="F152" s="389">
        <v>45469.521527777775</v>
      </c>
      <c r="G152" s="373">
        <v>1.0</v>
      </c>
      <c r="H152" s="373">
        <v>51.3774</v>
      </c>
      <c r="I152" s="373">
        <v>8.13644</v>
      </c>
      <c r="J152" s="373">
        <v>-24.155162</v>
      </c>
      <c r="K152" s="373">
        <v>-22.591487</v>
      </c>
      <c r="L152" s="373">
        <v>1088.71</v>
      </c>
      <c r="M152" s="373">
        <v>69.499661</v>
      </c>
      <c r="N152" s="373">
        <v>11732.28902</v>
      </c>
      <c r="O152" s="373">
        <v>11734.6158</v>
      </c>
      <c r="P152" s="376">
        <v>2075.765367</v>
      </c>
      <c r="Q152" s="376" t="s">
        <v>12</v>
      </c>
      <c r="R152" s="376" t="s">
        <v>539</v>
      </c>
      <c r="S152" s="376">
        <v>10.0</v>
      </c>
      <c r="T152" s="376">
        <v>5.0</v>
      </c>
      <c r="U152" s="376">
        <v>0.7</v>
      </c>
      <c r="V152" s="376">
        <v>0.7</v>
      </c>
      <c r="W152" s="376">
        <v>0.7</v>
      </c>
      <c r="X152" s="373">
        <v>2000.0</v>
      </c>
      <c r="Y152" s="373" t="s">
        <v>540</v>
      </c>
      <c r="Z152" s="373">
        <v>0.2</v>
      </c>
      <c r="AA152" s="373" t="s">
        <v>541</v>
      </c>
      <c r="AB152" s="373" t="s">
        <v>542</v>
      </c>
      <c r="AC152" s="373">
        <v>220.0</v>
      </c>
      <c r="AD152" s="193"/>
      <c r="AE152" s="377"/>
    </row>
    <row r="153">
      <c r="A153" s="373" t="s">
        <v>598</v>
      </c>
      <c r="B153" s="373">
        <v>8.0</v>
      </c>
      <c r="C153" s="373">
        <v>287.0</v>
      </c>
      <c r="D153" s="373" t="s">
        <v>585</v>
      </c>
      <c r="E153" s="373">
        <v>1.0</v>
      </c>
      <c r="F153" s="389">
        <v>45469.524305555555</v>
      </c>
      <c r="G153" s="373">
        <v>1.0</v>
      </c>
      <c r="H153" s="373">
        <v>51.3807</v>
      </c>
      <c r="I153" s="373">
        <v>8.22797</v>
      </c>
      <c r="J153" s="373">
        <v>-24.260706</v>
      </c>
      <c r="K153" s="373">
        <v>-22.582375</v>
      </c>
      <c r="L153" s="373">
        <v>1088.23</v>
      </c>
      <c r="M153" s="373">
        <v>67.999419</v>
      </c>
      <c r="N153" s="373">
        <v>11736.94257</v>
      </c>
      <c r="O153" s="373">
        <v>11734.6158</v>
      </c>
      <c r="P153" s="376">
        <v>2075.765367</v>
      </c>
      <c r="Q153" s="376" t="s">
        <v>12</v>
      </c>
      <c r="R153" s="376" t="s">
        <v>539</v>
      </c>
      <c r="S153" s="376">
        <v>10.0</v>
      </c>
      <c r="T153" s="376">
        <v>5.0</v>
      </c>
      <c r="U153" s="376">
        <v>0.7</v>
      </c>
      <c r="V153" s="376">
        <v>0.7</v>
      </c>
      <c r="W153" s="376">
        <v>0.7</v>
      </c>
      <c r="X153" s="373">
        <v>2000.0</v>
      </c>
      <c r="Y153" s="373" t="s">
        <v>540</v>
      </c>
      <c r="Z153" s="373">
        <v>0.2</v>
      </c>
      <c r="AA153" s="373" t="s">
        <v>541</v>
      </c>
      <c r="AB153" s="373" t="s">
        <v>542</v>
      </c>
      <c r="AC153" s="373">
        <v>220.0</v>
      </c>
      <c r="AD153" s="193"/>
      <c r="AE153" s="377"/>
    </row>
    <row r="154">
      <c r="A154" s="373" t="s">
        <v>599</v>
      </c>
      <c r="B154" s="373">
        <v>9.0</v>
      </c>
      <c r="C154" s="373">
        <v>288.0</v>
      </c>
      <c r="D154" s="373" t="s">
        <v>589</v>
      </c>
      <c r="E154" s="373">
        <v>1.0</v>
      </c>
      <c r="F154" s="389">
        <v>45469.52777777778</v>
      </c>
      <c r="G154" s="373">
        <v>1.0</v>
      </c>
      <c r="H154" s="373">
        <v>51.3807</v>
      </c>
      <c r="I154" s="373">
        <v>8.11883</v>
      </c>
      <c r="J154" s="373">
        <v>-24.029925</v>
      </c>
      <c r="K154" s="373">
        <v>-21.452319</v>
      </c>
      <c r="L154" s="373">
        <v>1086.6</v>
      </c>
      <c r="M154" s="373">
        <v>60.999615</v>
      </c>
      <c r="N154" s="373">
        <v>11696.71487</v>
      </c>
      <c r="O154" s="373">
        <v>11734.97253</v>
      </c>
      <c r="P154" s="376">
        <v>2075.827768</v>
      </c>
      <c r="Q154" s="376" t="s">
        <v>12</v>
      </c>
      <c r="R154" s="376" t="s">
        <v>553</v>
      </c>
      <c r="S154" s="376">
        <v>10.0</v>
      </c>
      <c r="T154" s="376">
        <v>5.0</v>
      </c>
      <c r="U154" s="376">
        <v>0.7</v>
      </c>
      <c r="V154" s="376">
        <v>0.7</v>
      </c>
      <c r="W154" s="376">
        <v>0.7</v>
      </c>
      <c r="X154" s="373">
        <v>2000.0</v>
      </c>
      <c r="Y154" s="373" t="s">
        <v>540</v>
      </c>
      <c r="Z154" s="373">
        <v>0.2</v>
      </c>
      <c r="AA154" s="373" t="s">
        <v>541</v>
      </c>
      <c r="AB154" s="373" t="s">
        <v>542</v>
      </c>
      <c r="AC154" s="373">
        <v>220.0</v>
      </c>
      <c r="AD154" s="193"/>
      <c r="AE154" s="377"/>
    </row>
    <row r="155">
      <c r="A155" s="373" t="s">
        <v>600</v>
      </c>
      <c r="B155" s="373">
        <v>9.0</v>
      </c>
      <c r="C155" s="373">
        <v>288.0</v>
      </c>
      <c r="D155" s="373" t="s">
        <v>589</v>
      </c>
      <c r="E155" s="373">
        <v>1.0</v>
      </c>
      <c r="F155" s="389">
        <v>45469.53055555555</v>
      </c>
      <c r="G155" s="373">
        <v>1.0</v>
      </c>
      <c r="H155" s="373">
        <v>51.3741</v>
      </c>
      <c r="I155" s="373">
        <v>8.31203</v>
      </c>
      <c r="J155" s="373">
        <v>-24.084875</v>
      </c>
      <c r="K155" s="373">
        <v>-22.751887</v>
      </c>
      <c r="L155" s="373">
        <v>1074.91</v>
      </c>
      <c r="M155" s="373">
        <v>77.999764</v>
      </c>
      <c r="N155" s="373">
        <v>11731.71144</v>
      </c>
      <c r="O155" s="373">
        <v>11734.97253</v>
      </c>
      <c r="P155" s="376">
        <v>2075.827768</v>
      </c>
      <c r="Q155" s="376" t="s">
        <v>12</v>
      </c>
      <c r="R155" s="376" t="s">
        <v>539</v>
      </c>
      <c r="S155" s="376">
        <v>10.0</v>
      </c>
      <c r="T155" s="376">
        <v>5.0</v>
      </c>
      <c r="U155" s="376">
        <v>0.7</v>
      </c>
      <c r="V155" s="376">
        <v>0.7</v>
      </c>
      <c r="W155" s="376">
        <v>0.7</v>
      </c>
      <c r="X155" s="373">
        <v>2000.0</v>
      </c>
      <c r="Y155" s="373" t="s">
        <v>540</v>
      </c>
      <c r="Z155" s="373">
        <v>0.2</v>
      </c>
      <c r="AA155" s="373" t="s">
        <v>541</v>
      </c>
      <c r="AB155" s="373" t="s">
        <v>542</v>
      </c>
      <c r="AC155" s="373">
        <v>220.0</v>
      </c>
      <c r="AD155" s="193"/>
      <c r="AE155" s="377"/>
    </row>
    <row r="156">
      <c r="A156" s="373" t="s">
        <v>691</v>
      </c>
      <c r="B156" s="373">
        <v>9.0</v>
      </c>
      <c r="C156" s="373">
        <v>288.0</v>
      </c>
      <c r="D156" s="373" t="s">
        <v>589</v>
      </c>
      <c r="E156" s="373">
        <v>1.0</v>
      </c>
      <c r="F156" s="389">
        <v>45469.53333333333</v>
      </c>
      <c r="G156" s="373">
        <v>1.0</v>
      </c>
      <c r="H156" s="373">
        <v>51.3741</v>
      </c>
      <c r="I156" s="373">
        <v>8.15657</v>
      </c>
      <c r="J156" s="373">
        <v>-24.230788</v>
      </c>
      <c r="K156" s="373">
        <v>-22.047631</v>
      </c>
      <c r="L156" s="373">
        <v>1106.45</v>
      </c>
      <c r="M156" s="373">
        <v>64.000104</v>
      </c>
      <c r="N156" s="373">
        <v>11738.23361</v>
      </c>
      <c r="O156" s="373">
        <v>11734.97253</v>
      </c>
      <c r="P156" s="376">
        <v>2075.827768</v>
      </c>
      <c r="Q156" s="376" t="s">
        <v>12</v>
      </c>
      <c r="R156" s="376" t="s">
        <v>539</v>
      </c>
      <c r="S156" s="376">
        <v>10.0</v>
      </c>
      <c r="T156" s="376">
        <v>5.0</v>
      </c>
      <c r="U156" s="376">
        <v>0.7</v>
      </c>
      <c r="V156" s="376">
        <v>0.7</v>
      </c>
      <c r="W156" s="376">
        <v>0.7</v>
      </c>
      <c r="X156" s="373">
        <v>2000.0</v>
      </c>
      <c r="Y156" s="373" t="s">
        <v>540</v>
      </c>
      <c r="Z156" s="373">
        <v>0.2</v>
      </c>
      <c r="AA156" s="373" t="s">
        <v>541</v>
      </c>
      <c r="AB156" s="373" t="s">
        <v>542</v>
      </c>
      <c r="AC156" s="373">
        <v>220.0</v>
      </c>
      <c r="AD156" s="193"/>
      <c r="AE156" s="377"/>
    </row>
    <row r="157">
      <c r="A157" s="373" t="s">
        <v>692</v>
      </c>
      <c r="B157" s="373" t="s">
        <v>551</v>
      </c>
      <c r="C157" s="373" t="s">
        <v>678</v>
      </c>
      <c r="D157" s="373" t="s">
        <v>538</v>
      </c>
      <c r="E157" s="373">
        <v>0.8</v>
      </c>
      <c r="F157" s="389">
        <v>45469.5375</v>
      </c>
      <c r="G157" s="373">
        <v>1.0</v>
      </c>
      <c r="H157" s="373">
        <v>51.3774</v>
      </c>
      <c r="I157" s="373">
        <v>8.03289</v>
      </c>
      <c r="J157" s="373">
        <v>-24.112531</v>
      </c>
      <c r="K157" s="373">
        <v>-22.495162</v>
      </c>
      <c r="L157" s="373">
        <v>1027.5</v>
      </c>
      <c r="M157" s="373">
        <v>62.001863</v>
      </c>
      <c r="N157" s="373">
        <v>9356.653335</v>
      </c>
      <c r="O157" s="373">
        <v>9352.188021</v>
      </c>
      <c r="P157" s="376">
        <v>2070.3457</v>
      </c>
      <c r="Q157" s="376" t="s">
        <v>12</v>
      </c>
      <c r="R157" s="376" t="s">
        <v>539</v>
      </c>
      <c r="S157" s="376">
        <v>10.0</v>
      </c>
      <c r="T157" s="376">
        <v>5.0</v>
      </c>
      <c r="U157" s="376">
        <v>0.7</v>
      </c>
      <c r="V157" s="376">
        <v>0.7</v>
      </c>
      <c r="W157" s="376">
        <v>0.7</v>
      </c>
      <c r="X157" s="373">
        <v>2000.0</v>
      </c>
      <c r="Y157" s="373" t="s">
        <v>540</v>
      </c>
      <c r="Z157" s="373">
        <v>0.2</v>
      </c>
      <c r="AA157" s="373" t="s">
        <v>541</v>
      </c>
      <c r="AB157" s="373" t="s">
        <v>542</v>
      </c>
      <c r="AC157" s="373">
        <v>220.0</v>
      </c>
      <c r="AD157" s="193"/>
      <c r="AE157" s="377"/>
    </row>
    <row r="158">
      <c r="A158" s="373" t="s">
        <v>693</v>
      </c>
      <c r="B158" s="373" t="s">
        <v>551</v>
      </c>
      <c r="C158" s="373" t="s">
        <v>678</v>
      </c>
      <c r="D158" s="373" t="s">
        <v>538</v>
      </c>
      <c r="E158" s="373">
        <v>0.8</v>
      </c>
      <c r="F158" s="389">
        <v>45469.54027777778</v>
      </c>
      <c r="G158" s="373">
        <v>1.0</v>
      </c>
      <c r="H158" s="373">
        <v>51.3807</v>
      </c>
      <c r="I158" s="373">
        <v>8.01254</v>
      </c>
      <c r="J158" s="373">
        <v>-24.119138</v>
      </c>
      <c r="K158" s="373">
        <v>-22.533731</v>
      </c>
      <c r="L158" s="373">
        <v>1024.02</v>
      </c>
      <c r="M158" s="373">
        <v>62.500135</v>
      </c>
      <c r="N158" s="373">
        <v>9347.722707</v>
      </c>
      <c r="O158" s="373">
        <v>9352.188021</v>
      </c>
      <c r="P158" s="376">
        <v>2070.3457</v>
      </c>
      <c r="Q158" s="376" t="s">
        <v>12</v>
      </c>
      <c r="R158" s="376" t="s">
        <v>539</v>
      </c>
      <c r="S158" s="376">
        <v>10.0</v>
      </c>
      <c r="T158" s="376">
        <v>5.0</v>
      </c>
      <c r="U158" s="376">
        <v>0.7</v>
      </c>
      <c r="V158" s="376">
        <v>0.7</v>
      </c>
      <c r="W158" s="376">
        <v>0.7</v>
      </c>
      <c r="X158" s="373">
        <v>2000.0</v>
      </c>
      <c r="Y158" s="373" t="s">
        <v>540</v>
      </c>
      <c r="Z158" s="373">
        <v>0.2</v>
      </c>
      <c r="AA158" s="373" t="s">
        <v>541</v>
      </c>
      <c r="AB158" s="373" t="s">
        <v>542</v>
      </c>
      <c r="AC158" s="373">
        <v>220.0</v>
      </c>
      <c r="AD158" s="193"/>
      <c r="AE158" s="377"/>
    </row>
    <row r="159">
      <c r="A159" s="373" t="s">
        <v>694</v>
      </c>
      <c r="B159" s="373" t="s">
        <v>558</v>
      </c>
      <c r="C159" s="373" t="s">
        <v>678</v>
      </c>
      <c r="D159" s="373" t="s">
        <v>538</v>
      </c>
      <c r="E159" s="373">
        <v>1.0</v>
      </c>
      <c r="F159" s="389">
        <v>45469.54305555556</v>
      </c>
      <c r="G159" s="373">
        <v>1.0</v>
      </c>
      <c r="H159" s="373">
        <v>51.3708</v>
      </c>
      <c r="I159" s="373">
        <v>8.12698</v>
      </c>
      <c r="J159" s="373">
        <v>-23.98715</v>
      </c>
      <c r="K159" s="373">
        <v>-22.403219</v>
      </c>
      <c r="L159" s="373">
        <v>1104.63</v>
      </c>
      <c r="M159" s="373">
        <v>67.000066</v>
      </c>
      <c r="N159" s="373">
        <v>11707.04732</v>
      </c>
      <c r="O159" s="373">
        <v>11710.02048</v>
      </c>
      <c r="P159" s="376">
        <v>2070.3457</v>
      </c>
      <c r="Q159" s="376" t="s">
        <v>12</v>
      </c>
      <c r="R159" s="376" t="s">
        <v>553</v>
      </c>
      <c r="S159" s="376">
        <v>10.0</v>
      </c>
      <c r="T159" s="376">
        <v>5.0</v>
      </c>
      <c r="U159" s="376">
        <v>0.7</v>
      </c>
      <c r="V159" s="376">
        <v>0.7</v>
      </c>
      <c r="W159" s="376">
        <v>0.7</v>
      </c>
      <c r="X159" s="373">
        <v>2000.0</v>
      </c>
      <c r="Y159" s="373" t="s">
        <v>540</v>
      </c>
      <c r="Z159" s="373">
        <v>0.2</v>
      </c>
      <c r="AA159" s="373" t="s">
        <v>541</v>
      </c>
      <c r="AB159" s="373" t="s">
        <v>542</v>
      </c>
      <c r="AC159" s="373">
        <v>220.0</v>
      </c>
      <c r="AD159" s="193"/>
      <c r="AE159" s="377"/>
    </row>
    <row r="160">
      <c r="A160" s="373" t="s">
        <v>695</v>
      </c>
      <c r="B160" s="373" t="s">
        <v>558</v>
      </c>
      <c r="C160" s="373" t="s">
        <v>678</v>
      </c>
      <c r="D160" s="373" t="s">
        <v>538</v>
      </c>
      <c r="E160" s="373">
        <v>1.0</v>
      </c>
      <c r="F160" s="389">
        <v>45469.54583333333</v>
      </c>
      <c r="G160" s="373">
        <v>1.0</v>
      </c>
      <c r="H160" s="373">
        <v>51.3741</v>
      </c>
      <c r="I160" s="373">
        <v>8.18379</v>
      </c>
      <c r="J160" s="373">
        <v>-24.051244</v>
      </c>
      <c r="K160" s="373">
        <v>-22.301988</v>
      </c>
      <c r="L160" s="373">
        <v>1093.41</v>
      </c>
      <c r="M160" s="373">
        <v>66.500009</v>
      </c>
      <c r="N160" s="373">
        <v>11665.82061</v>
      </c>
      <c r="O160" s="373">
        <v>11710.02048</v>
      </c>
      <c r="P160" s="376">
        <v>2070.3457</v>
      </c>
      <c r="Q160" s="376" t="s">
        <v>12</v>
      </c>
      <c r="R160" s="376" t="s">
        <v>553</v>
      </c>
      <c r="S160" s="376">
        <v>10.0</v>
      </c>
      <c r="T160" s="376">
        <v>5.0</v>
      </c>
      <c r="U160" s="376">
        <v>0.7</v>
      </c>
      <c r="V160" s="376">
        <v>0.7</v>
      </c>
      <c r="W160" s="376">
        <v>0.7</v>
      </c>
      <c r="X160" s="373">
        <v>2000.0</v>
      </c>
      <c r="Y160" s="373" t="s">
        <v>540</v>
      </c>
      <c r="Z160" s="373">
        <v>0.2</v>
      </c>
      <c r="AA160" s="373" t="s">
        <v>541</v>
      </c>
      <c r="AB160" s="373" t="s">
        <v>542</v>
      </c>
      <c r="AC160" s="373">
        <v>220.0</v>
      </c>
      <c r="AD160" s="193"/>
      <c r="AE160" s="377"/>
    </row>
    <row r="161">
      <c r="A161" s="378" t="s">
        <v>696</v>
      </c>
      <c r="B161" s="378" t="s">
        <v>558</v>
      </c>
      <c r="C161" s="378" t="s">
        <v>678</v>
      </c>
      <c r="D161" s="378" t="s">
        <v>538</v>
      </c>
      <c r="E161" s="378">
        <v>1.0</v>
      </c>
      <c r="F161" s="390">
        <v>45469.54861111111</v>
      </c>
      <c r="G161" s="378">
        <v>1.0</v>
      </c>
      <c r="H161" s="378">
        <v>51.3708</v>
      </c>
      <c r="I161" s="378">
        <v>8.2638</v>
      </c>
      <c r="J161" s="378">
        <v>-24.213513</v>
      </c>
      <c r="K161" s="378">
        <v>-22.258944</v>
      </c>
      <c r="L161" s="378">
        <v>1086.74</v>
      </c>
      <c r="M161" s="378">
        <v>65.499052</v>
      </c>
      <c r="N161" s="378">
        <v>11701.41207</v>
      </c>
      <c r="O161" s="378">
        <v>11710.02048</v>
      </c>
      <c r="P161" s="380">
        <v>2070.3457</v>
      </c>
      <c r="Q161" s="376" t="s">
        <v>12</v>
      </c>
      <c r="R161" s="380" t="s">
        <v>539</v>
      </c>
      <c r="S161" s="380">
        <v>10.0</v>
      </c>
      <c r="T161" s="380">
        <v>5.0</v>
      </c>
      <c r="U161" s="380">
        <v>0.7</v>
      </c>
      <c r="V161" s="380">
        <v>0.7</v>
      </c>
      <c r="W161" s="380">
        <v>0.7</v>
      </c>
      <c r="X161" s="378">
        <v>2000.0</v>
      </c>
      <c r="Y161" s="378" t="s">
        <v>540</v>
      </c>
      <c r="Z161" s="378">
        <v>0.2</v>
      </c>
      <c r="AA161" s="378" t="s">
        <v>541</v>
      </c>
      <c r="AB161" s="378" t="s">
        <v>542</v>
      </c>
      <c r="AC161" s="378">
        <v>220.0</v>
      </c>
      <c r="AD161" s="193"/>
      <c r="AE161" s="377"/>
    </row>
    <row r="162">
      <c r="A162" s="373" t="s">
        <v>697</v>
      </c>
      <c r="B162" s="373" t="s">
        <v>558</v>
      </c>
      <c r="C162" s="373" t="s">
        <v>678</v>
      </c>
      <c r="D162" s="373" t="s">
        <v>538</v>
      </c>
      <c r="E162" s="373">
        <v>1.0</v>
      </c>
      <c r="F162" s="389">
        <v>45469.55138888889</v>
      </c>
      <c r="G162" s="373">
        <v>1.0</v>
      </c>
      <c r="H162" s="373">
        <v>51.3774</v>
      </c>
      <c r="I162" s="373">
        <v>8.10671</v>
      </c>
      <c r="J162" s="373">
        <v>-24.147062</v>
      </c>
      <c r="K162" s="373">
        <v>-22.763731</v>
      </c>
      <c r="L162" s="373">
        <v>1103.27</v>
      </c>
      <c r="M162" s="373">
        <v>69.499748</v>
      </c>
      <c r="N162" s="373">
        <v>11718.62888</v>
      </c>
      <c r="O162" s="373">
        <v>11710.02048</v>
      </c>
      <c r="P162" s="376">
        <v>2070.3457</v>
      </c>
      <c r="Q162" s="376" t="s">
        <v>12</v>
      </c>
      <c r="R162" s="376" t="s">
        <v>539</v>
      </c>
      <c r="S162" s="376">
        <v>10.0</v>
      </c>
      <c r="T162" s="376">
        <v>5.0</v>
      </c>
      <c r="U162" s="376">
        <v>0.7</v>
      </c>
      <c r="V162" s="376">
        <v>0.7</v>
      </c>
      <c r="W162" s="376">
        <v>0.7</v>
      </c>
      <c r="X162" s="373">
        <v>2000.0</v>
      </c>
      <c r="Y162" s="373" t="s">
        <v>540</v>
      </c>
      <c r="Z162" s="373">
        <v>0.2</v>
      </c>
      <c r="AA162" s="373" t="s">
        <v>541</v>
      </c>
      <c r="AB162" s="373" t="s">
        <v>542</v>
      </c>
      <c r="AC162" s="373">
        <v>220.0</v>
      </c>
      <c r="AD162" s="193"/>
      <c r="AE162" s="377"/>
    </row>
    <row r="163">
      <c r="A163" s="373" t="s">
        <v>698</v>
      </c>
      <c r="B163" s="373" t="s">
        <v>561</v>
      </c>
      <c r="C163" s="373" t="s">
        <v>678</v>
      </c>
      <c r="D163" s="373" t="s">
        <v>538</v>
      </c>
      <c r="E163" s="373">
        <v>1.2</v>
      </c>
      <c r="F163" s="389">
        <v>45469.55416666667</v>
      </c>
      <c r="G163" s="373">
        <v>1.0</v>
      </c>
      <c r="H163" s="373">
        <v>51.3807</v>
      </c>
      <c r="I163" s="373">
        <v>8.18652</v>
      </c>
      <c r="J163" s="373">
        <v>-24.124169</v>
      </c>
      <c r="K163" s="373">
        <v>-22.020287</v>
      </c>
      <c r="L163" s="373">
        <v>1132.7</v>
      </c>
      <c r="M163" s="373">
        <v>68.499928</v>
      </c>
      <c r="N163" s="373">
        <v>14046.50314</v>
      </c>
      <c r="O163" s="373">
        <v>14059.13077</v>
      </c>
      <c r="P163" s="376">
        <v>2070.3457</v>
      </c>
      <c r="Q163" s="376" t="s">
        <v>12</v>
      </c>
      <c r="R163" s="376" t="s">
        <v>539</v>
      </c>
      <c r="S163" s="376">
        <v>10.0</v>
      </c>
      <c r="T163" s="376">
        <v>5.0</v>
      </c>
      <c r="U163" s="376">
        <v>0.7</v>
      </c>
      <c r="V163" s="376">
        <v>0.7</v>
      </c>
      <c r="W163" s="376">
        <v>0.7</v>
      </c>
      <c r="X163" s="373">
        <v>2000.0</v>
      </c>
      <c r="Y163" s="373" t="s">
        <v>540</v>
      </c>
      <c r="Z163" s="373">
        <v>0.2</v>
      </c>
      <c r="AA163" s="373" t="s">
        <v>541</v>
      </c>
      <c r="AB163" s="373" t="s">
        <v>542</v>
      </c>
      <c r="AC163" s="373">
        <v>220.0</v>
      </c>
      <c r="AD163" s="193"/>
      <c r="AE163" s="377"/>
    </row>
    <row r="164">
      <c r="A164" s="373" t="s">
        <v>699</v>
      </c>
      <c r="B164" s="373" t="s">
        <v>561</v>
      </c>
      <c r="C164" s="373" t="s">
        <v>678</v>
      </c>
      <c r="D164" s="373" t="s">
        <v>538</v>
      </c>
      <c r="E164" s="373">
        <v>1.2</v>
      </c>
      <c r="F164" s="389">
        <v>45469.55694444444</v>
      </c>
      <c r="G164" s="373">
        <v>1.0</v>
      </c>
      <c r="H164" s="373">
        <v>51.3774</v>
      </c>
      <c r="I164" s="373">
        <v>8.08922</v>
      </c>
      <c r="J164" s="373">
        <v>-24.189906</v>
      </c>
      <c r="K164" s="373">
        <v>-22.571813</v>
      </c>
      <c r="L164" s="373">
        <v>1130.12</v>
      </c>
      <c r="M164" s="373">
        <v>71.499626</v>
      </c>
      <c r="N164" s="373">
        <v>14071.75841</v>
      </c>
      <c r="O164" s="373">
        <v>14059.13077</v>
      </c>
      <c r="P164" s="376">
        <v>2070.3457</v>
      </c>
      <c r="Q164" s="376" t="s">
        <v>12</v>
      </c>
      <c r="R164" s="376" t="s">
        <v>539</v>
      </c>
      <c r="S164" s="376">
        <v>10.0</v>
      </c>
      <c r="T164" s="376">
        <v>5.0</v>
      </c>
      <c r="U164" s="376">
        <v>0.7</v>
      </c>
      <c r="V164" s="376">
        <v>0.7</v>
      </c>
      <c r="W164" s="376">
        <v>0.7</v>
      </c>
      <c r="X164" s="373">
        <v>2000.0</v>
      </c>
      <c r="Y164" s="373" t="s">
        <v>540</v>
      </c>
      <c r="Z164" s="373">
        <v>0.2</v>
      </c>
      <c r="AA164" s="373" t="s">
        <v>541</v>
      </c>
      <c r="AB164" s="373" t="s">
        <v>542</v>
      </c>
      <c r="AC164" s="373">
        <v>220.0</v>
      </c>
      <c r="AD164" s="193"/>
      <c r="AE164" s="377"/>
    </row>
    <row r="165">
      <c r="A165" s="373" t="s">
        <v>606</v>
      </c>
      <c r="B165" s="373">
        <v>2.0</v>
      </c>
      <c r="C165" s="373">
        <v>209.0</v>
      </c>
      <c r="D165" s="373" t="s">
        <v>564</v>
      </c>
      <c r="E165" s="373">
        <v>1.0</v>
      </c>
      <c r="F165" s="389">
        <v>45469.56041666667</v>
      </c>
      <c r="G165" s="373">
        <v>1.0</v>
      </c>
      <c r="H165" s="373">
        <v>51.3774</v>
      </c>
      <c r="I165" s="373">
        <v>8.09175</v>
      </c>
      <c r="J165" s="373">
        <v>-24.226288</v>
      </c>
      <c r="K165" s="373">
        <v>-22.380356</v>
      </c>
      <c r="L165" s="373">
        <v>1112.08</v>
      </c>
      <c r="M165" s="373">
        <v>66.001264</v>
      </c>
      <c r="N165" s="373">
        <v>11727.15642</v>
      </c>
      <c r="O165" s="373">
        <v>11717.22893</v>
      </c>
      <c r="P165" s="376">
        <v>2072.125478</v>
      </c>
      <c r="Q165" s="376" t="s">
        <v>12</v>
      </c>
      <c r="R165" s="376" t="s">
        <v>539</v>
      </c>
      <c r="S165" s="376">
        <v>10.0</v>
      </c>
      <c r="T165" s="376">
        <v>5.0</v>
      </c>
      <c r="U165" s="376">
        <v>0.7</v>
      </c>
      <c r="V165" s="376">
        <v>0.7</v>
      </c>
      <c r="W165" s="376">
        <v>0.7</v>
      </c>
      <c r="X165" s="373">
        <v>2000.0</v>
      </c>
      <c r="Y165" s="373" t="s">
        <v>540</v>
      </c>
      <c r="Z165" s="373">
        <v>0.2</v>
      </c>
      <c r="AA165" s="373" t="s">
        <v>541</v>
      </c>
      <c r="AB165" s="373" t="s">
        <v>542</v>
      </c>
      <c r="AC165" s="373">
        <v>220.0</v>
      </c>
      <c r="AD165" s="193"/>
      <c r="AE165" s="377"/>
    </row>
    <row r="166">
      <c r="A166" s="373" t="s">
        <v>608</v>
      </c>
      <c r="B166" s="373">
        <v>2.0</v>
      </c>
      <c r="C166" s="373">
        <v>209.0</v>
      </c>
      <c r="D166" s="373" t="s">
        <v>564</v>
      </c>
      <c r="E166" s="373">
        <v>1.0</v>
      </c>
      <c r="F166" s="389">
        <v>45469.56319444445</v>
      </c>
      <c r="G166" s="373">
        <v>1.0</v>
      </c>
      <c r="H166" s="373">
        <v>51.3774</v>
      </c>
      <c r="I166" s="373">
        <v>8.0492</v>
      </c>
      <c r="J166" s="373">
        <v>-24.240513</v>
      </c>
      <c r="K166" s="373">
        <v>-22.685363</v>
      </c>
      <c r="L166" s="373">
        <v>1080.44</v>
      </c>
      <c r="M166" s="373">
        <v>70.499311</v>
      </c>
      <c r="N166" s="373">
        <v>11707.30144</v>
      </c>
      <c r="O166" s="373">
        <v>11717.22893</v>
      </c>
      <c r="P166" s="376">
        <v>2072.125478</v>
      </c>
      <c r="Q166" s="376" t="s">
        <v>12</v>
      </c>
      <c r="R166" s="376" t="s">
        <v>539</v>
      </c>
      <c r="S166" s="376">
        <v>10.0</v>
      </c>
      <c r="T166" s="376">
        <v>5.0</v>
      </c>
      <c r="U166" s="376">
        <v>0.7</v>
      </c>
      <c r="V166" s="376">
        <v>0.7</v>
      </c>
      <c r="W166" s="376">
        <v>0.7</v>
      </c>
      <c r="X166" s="373">
        <v>2000.0</v>
      </c>
      <c r="Y166" s="373" t="s">
        <v>540</v>
      </c>
      <c r="Z166" s="373">
        <v>0.2</v>
      </c>
      <c r="AA166" s="373" t="s">
        <v>541</v>
      </c>
      <c r="AB166" s="373" t="s">
        <v>542</v>
      </c>
      <c r="AC166" s="373">
        <v>220.0</v>
      </c>
      <c r="AD166" s="193"/>
      <c r="AE166" s="377"/>
    </row>
    <row r="167">
      <c r="A167" s="373" t="s">
        <v>618</v>
      </c>
      <c r="B167" s="373">
        <v>3.0</v>
      </c>
      <c r="C167" s="373">
        <v>210.0</v>
      </c>
      <c r="D167" s="373" t="s">
        <v>568</v>
      </c>
      <c r="E167" s="373">
        <v>1.0</v>
      </c>
      <c r="F167" s="389">
        <v>45469.566666666666</v>
      </c>
      <c r="G167" s="373">
        <v>1.0</v>
      </c>
      <c r="H167" s="373">
        <v>51.3774</v>
      </c>
      <c r="I167" s="373">
        <v>8.09631</v>
      </c>
      <c r="J167" s="373">
        <v>-24.135631</v>
      </c>
      <c r="K167" s="373">
        <v>-22.281475</v>
      </c>
      <c r="L167" s="373">
        <v>1105.09</v>
      </c>
      <c r="M167" s="373">
        <v>64.999339</v>
      </c>
      <c r="N167" s="373">
        <v>11676.27207</v>
      </c>
      <c r="O167" s="373">
        <v>11711.75601</v>
      </c>
      <c r="P167" s="376">
        <v>2071.162574</v>
      </c>
      <c r="Q167" s="376" t="s">
        <v>12</v>
      </c>
      <c r="R167" s="376" t="s">
        <v>553</v>
      </c>
      <c r="S167" s="376">
        <v>10.0</v>
      </c>
      <c r="T167" s="376">
        <v>5.0</v>
      </c>
      <c r="U167" s="376">
        <v>0.7</v>
      </c>
      <c r="V167" s="376">
        <v>0.7</v>
      </c>
      <c r="W167" s="376">
        <v>0.7</v>
      </c>
      <c r="X167" s="373">
        <v>2000.0</v>
      </c>
      <c r="Y167" s="373" t="s">
        <v>540</v>
      </c>
      <c r="Z167" s="373">
        <v>0.2</v>
      </c>
      <c r="AA167" s="373" t="s">
        <v>541</v>
      </c>
      <c r="AB167" s="373" t="s">
        <v>542</v>
      </c>
      <c r="AC167" s="373">
        <v>220.0</v>
      </c>
      <c r="AD167" s="193"/>
      <c r="AE167" s="377"/>
    </row>
    <row r="168">
      <c r="A168" s="373" t="s">
        <v>620</v>
      </c>
      <c r="B168" s="373">
        <v>3.0</v>
      </c>
      <c r="C168" s="373">
        <v>210.0</v>
      </c>
      <c r="D168" s="373" t="s">
        <v>568</v>
      </c>
      <c r="E168" s="373">
        <v>1.0</v>
      </c>
      <c r="F168" s="389">
        <v>45469.569444444445</v>
      </c>
      <c r="G168" s="373">
        <v>1.0</v>
      </c>
      <c r="H168" s="373">
        <v>51.3774</v>
      </c>
      <c r="I168" s="373">
        <v>8.14747</v>
      </c>
      <c r="J168" s="373">
        <v>-24.135744</v>
      </c>
      <c r="K168" s="373">
        <v>-22.615356</v>
      </c>
      <c r="L168" s="373">
        <v>1096.47</v>
      </c>
      <c r="M168" s="373">
        <v>69.499785</v>
      </c>
      <c r="N168" s="373">
        <v>11736.27133</v>
      </c>
      <c r="O168" s="373">
        <v>11711.75601</v>
      </c>
      <c r="P168" s="376">
        <v>2071.162574</v>
      </c>
      <c r="Q168" s="376" t="s">
        <v>12</v>
      </c>
      <c r="R168" s="376" t="s">
        <v>553</v>
      </c>
      <c r="S168" s="376">
        <v>10.0</v>
      </c>
      <c r="T168" s="376">
        <v>5.0</v>
      </c>
      <c r="U168" s="376">
        <v>0.7</v>
      </c>
      <c r="V168" s="376">
        <v>0.7</v>
      </c>
      <c r="W168" s="376">
        <v>0.7</v>
      </c>
      <c r="X168" s="373">
        <v>2000.0</v>
      </c>
      <c r="Y168" s="373" t="s">
        <v>540</v>
      </c>
      <c r="Z168" s="373">
        <v>0.2</v>
      </c>
      <c r="AA168" s="373" t="s">
        <v>541</v>
      </c>
      <c r="AB168" s="373" t="s">
        <v>542</v>
      </c>
      <c r="AC168" s="373">
        <v>220.0</v>
      </c>
      <c r="AD168" s="193"/>
      <c r="AE168" s="377"/>
    </row>
    <row r="169">
      <c r="A169" s="373" t="s">
        <v>621</v>
      </c>
      <c r="B169" s="373">
        <v>3.0</v>
      </c>
      <c r="C169" s="373">
        <v>210.0</v>
      </c>
      <c r="D169" s="373" t="s">
        <v>568</v>
      </c>
      <c r="E169" s="373">
        <v>1.0</v>
      </c>
      <c r="F169" s="389">
        <v>45469.572222222225</v>
      </c>
      <c r="G169" s="373">
        <v>1.0</v>
      </c>
      <c r="H169" s="373">
        <v>51.3741</v>
      </c>
      <c r="I169" s="373">
        <v>8.12045</v>
      </c>
      <c r="J169" s="373">
        <v>-24.078719</v>
      </c>
      <c r="K169" s="373">
        <v>-22.289525</v>
      </c>
      <c r="L169" s="373">
        <v>1094.04</v>
      </c>
      <c r="M169" s="373">
        <v>66.499685</v>
      </c>
      <c r="N169" s="373">
        <v>11706.766</v>
      </c>
      <c r="O169" s="373">
        <v>11711.75601</v>
      </c>
      <c r="P169" s="376">
        <v>2071.162574</v>
      </c>
      <c r="Q169" s="376" t="s">
        <v>12</v>
      </c>
      <c r="R169" s="376" t="s">
        <v>539</v>
      </c>
      <c r="S169" s="376">
        <v>10.0</v>
      </c>
      <c r="T169" s="376">
        <v>5.0</v>
      </c>
      <c r="U169" s="376">
        <v>0.7</v>
      </c>
      <c r="V169" s="376">
        <v>0.7</v>
      </c>
      <c r="W169" s="376">
        <v>0.7</v>
      </c>
      <c r="X169" s="373">
        <v>2000.0</v>
      </c>
      <c r="Y169" s="373" t="s">
        <v>540</v>
      </c>
      <c r="Z169" s="373">
        <v>0.2</v>
      </c>
      <c r="AA169" s="373" t="s">
        <v>541</v>
      </c>
      <c r="AB169" s="373" t="s">
        <v>542</v>
      </c>
      <c r="AC169" s="373">
        <v>220.0</v>
      </c>
      <c r="AD169" s="193"/>
      <c r="AE169" s="377"/>
    </row>
    <row r="170">
      <c r="A170" s="373" t="s">
        <v>622</v>
      </c>
      <c r="B170" s="373">
        <v>3.0</v>
      </c>
      <c r="C170" s="373">
        <v>210.0</v>
      </c>
      <c r="D170" s="373" t="s">
        <v>568</v>
      </c>
      <c r="E170" s="373">
        <v>1.0</v>
      </c>
      <c r="F170" s="389">
        <v>45469.575</v>
      </c>
      <c r="G170" s="373">
        <v>1.0</v>
      </c>
      <c r="H170" s="373">
        <v>51.3708</v>
      </c>
      <c r="I170" s="373">
        <v>8.10593</v>
      </c>
      <c r="J170" s="373">
        <v>-24.254731</v>
      </c>
      <c r="K170" s="373">
        <v>-22.611944</v>
      </c>
      <c r="L170" s="373">
        <v>1104.01</v>
      </c>
      <c r="M170" s="373">
        <v>68.001129</v>
      </c>
      <c r="N170" s="373">
        <v>11716.74602</v>
      </c>
      <c r="O170" s="373">
        <v>11711.75601</v>
      </c>
      <c r="P170" s="376">
        <v>2071.162574</v>
      </c>
      <c r="Q170" s="376" t="s">
        <v>12</v>
      </c>
      <c r="R170" s="376" t="s">
        <v>539</v>
      </c>
      <c r="S170" s="376">
        <v>10.0</v>
      </c>
      <c r="T170" s="376">
        <v>5.0</v>
      </c>
      <c r="U170" s="376">
        <v>0.7</v>
      </c>
      <c r="V170" s="376">
        <v>0.7</v>
      </c>
      <c r="W170" s="376">
        <v>0.7</v>
      </c>
      <c r="X170" s="373">
        <v>2000.0</v>
      </c>
      <c r="Y170" s="373" t="s">
        <v>540</v>
      </c>
      <c r="Z170" s="373">
        <v>0.2</v>
      </c>
      <c r="AA170" s="373" t="s">
        <v>541</v>
      </c>
      <c r="AB170" s="373" t="s">
        <v>542</v>
      </c>
      <c r="AC170" s="373">
        <v>220.0</v>
      </c>
      <c r="AD170" s="193"/>
      <c r="AE170" s="377"/>
    </row>
    <row r="171">
      <c r="A171" s="373" t="s">
        <v>627</v>
      </c>
      <c r="B171" s="373">
        <v>4.0</v>
      </c>
      <c r="C171" s="373">
        <v>183.0</v>
      </c>
      <c r="D171" s="373" t="s">
        <v>571</v>
      </c>
      <c r="E171" s="373">
        <v>1.0</v>
      </c>
      <c r="F171" s="389">
        <v>45469.57777777778</v>
      </c>
      <c r="G171" s="373">
        <v>1.0</v>
      </c>
      <c r="H171" s="373">
        <v>51.3774</v>
      </c>
      <c r="I171" s="373">
        <v>7.97987</v>
      </c>
      <c r="J171" s="373">
        <v>-24.0449</v>
      </c>
      <c r="K171" s="373">
        <v>-22.329606</v>
      </c>
      <c r="L171" s="373">
        <v>1104.93</v>
      </c>
      <c r="M171" s="373">
        <v>65.001208</v>
      </c>
      <c r="N171" s="373">
        <v>11760.81126</v>
      </c>
      <c r="O171" s="373">
        <v>11766.13682</v>
      </c>
      <c r="P171" s="376">
        <v>2080.730319</v>
      </c>
      <c r="Q171" s="376" t="s">
        <v>12</v>
      </c>
      <c r="R171" s="376" t="s">
        <v>539</v>
      </c>
      <c r="S171" s="376">
        <v>10.0</v>
      </c>
      <c r="T171" s="376">
        <v>5.0</v>
      </c>
      <c r="U171" s="376">
        <v>0.7</v>
      </c>
      <c r="V171" s="376">
        <v>0.7</v>
      </c>
      <c r="W171" s="376">
        <v>0.7</v>
      </c>
      <c r="X171" s="373">
        <v>2000.0</v>
      </c>
      <c r="Y171" s="373" t="s">
        <v>540</v>
      </c>
      <c r="Z171" s="373">
        <v>0.2</v>
      </c>
      <c r="AA171" s="373" t="s">
        <v>541</v>
      </c>
      <c r="AB171" s="373" t="s">
        <v>542</v>
      </c>
      <c r="AC171" s="373">
        <v>220.0</v>
      </c>
      <c r="AD171" s="193"/>
      <c r="AE171" s="377"/>
    </row>
    <row r="172">
      <c r="A172" s="373" t="s">
        <v>628</v>
      </c>
      <c r="B172" s="373">
        <v>4.0</v>
      </c>
      <c r="C172" s="373">
        <v>183.0</v>
      </c>
      <c r="D172" s="373" t="s">
        <v>571</v>
      </c>
      <c r="E172" s="373">
        <v>1.0</v>
      </c>
      <c r="F172" s="389">
        <v>45469.580555555556</v>
      </c>
      <c r="G172" s="373">
        <v>1.0</v>
      </c>
      <c r="H172" s="373">
        <v>51.3741</v>
      </c>
      <c r="I172" s="373">
        <v>7.96974</v>
      </c>
      <c r="J172" s="373">
        <v>-24.148125</v>
      </c>
      <c r="K172" s="373">
        <v>-22.093038</v>
      </c>
      <c r="L172" s="373">
        <v>1111.3</v>
      </c>
      <c r="M172" s="373">
        <v>63.499011</v>
      </c>
      <c r="N172" s="373">
        <v>11771.46237</v>
      </c>
      <c r="O172" s="373">
        <v>11766.13682</v>
      </c>
      <c r="P172" s="376">
        <v>2080.730319</v>
      </c>
      <c r="Q172" s="376" t="s">
        <v>12</v>
      </c>
      <c r="R172" s="376" t="s">
        <v>539</v>
      </c>
      <c r="S172" s="376">
        <v>10.0</v>
      </c>
      <c r="T172" s="376">
        <v>5.0</v>
      </c>
      <c r="U172" s="376">
        <v>0.7</v>
      </c>
      <c r="V172" s="376">
        <v>0.7</v>
      </c>
      <c r="W172" s="376">
        <v>0.7</v>
      </c>
      <c r="X172" s="373">
        <v>2000.0</v>
      </c>
      <c r="Y172" s="373" t="s">
        <v>540</v>
      </c>
      <c r="Z172" s="373">
        <v>0.2</v>
      </c>
      <c r="AA172" s="373" t="s">
        <v>541</v>
      </c>
      <c r="AB172" s="373" t="s">
        <v>542</v>
      </c>
      <c r="AC172" s="373">
        <v>220.0</v>
      </c>
      <c r="AD172" s="193"/>
      <c r="AE172" s="377"/>
    </row>
    <row r="173">
      <c r="A173" s="373" t="s">
        <v>629</v>
      </c>
      <c r="B173" s="373">
        <v>5.0</v>
      </c>
      <c r="C173" s="373">
        <v>184.0</v>
      </c>
      <c r="D173" s="373" t="s">
        <v>575</v>
      </c>
      <c r="E173" s="373">
        <v>1.0</v>
      </c>
      <c r="F173" s="389">
        <v>45469.584027777775</v>
      </c>
      <c r="G173" s="373">
        <v>1.0</v>
      </c>
      <c r="H173" s="373">
        <v>51.3774</v>
      </c>
      <c r="I173" s="373">
        <v>7.91207</v>
      </c>
      <c r="J173" s="373">
        <v>-24.208494</v>
      </c>
      <c r="K173" s="373">
        <v>-21.787575</v>
      </c>
      <c r="L173" s="373">
        <v>1099.46</v>
      </c>
      <c r="M173" s="373">
        <v>61.498429</v>
      </c>
      <c r="N173" s="373">
        <v>11668.52258</v>
      </c>
      <c r="O173" s="373">
        <v>0.0</v>
      </c>
      <c r="P173" s="376">
        <v>0.0</v>
      </c>
      <c r="Q173" s="376" t="s">
        <v>280</v>
      </c>
      <c r="R173" s="376" t="s">
        <v>607</v>
      </c>
      <c r="S173" s="376">
        <v>10.0</v>
      </c>
      <c r="T173" s="376">
        <v>5.0</v>
      </c>
      <c r="U173" s="376">
        <v>0.7</v>
      </c>
      <c r="V173" s="376">
        <v>0.7</v>
      </c>
      <c r="W173" s="376">
        <v>0.7</v>
      </c>
      <c r="X173" s="373">
        <v>2000.0</v>
      </c>
      <c r="Y173" s="373" t="s">
        <v>540</v>
      </c>
      <c r="Z173" s="373">
        <v>0.2</v>
      </c>
      <c r="AA173" s="373" t="s">
        <v>541</v>
      </c>
      <c r="AB173" s="373" t="s">
        <v>542</v>
      </c>
      <c r="AC173" s="373">
        <v>220.0</v>
      </c>
      <c r="AD173" s="193"/>
      <c r="AE173" s="377"/>
    </row>
    <row r="174">
      <c r="A174" s="373" t="s">
        <v>630</v>
      </c>
      <c r="B174" s="373">
        <v>5.0</v>
      </c>
      <c r="C174" s="373">
        <v>184.0</v>
      </c>
      <c r="D174" s="373" t="s">
        <v>575</v>
      </c>
      <c r="E174" s="373">
        <v>1.0</v>
      </c>
      <c r="F174" s="389">
        <v>45469.586805555555</v>
      </c>
      <c r="G174" s="373">
        <v>1.0</v>
      </c>
      <c r="H174" s="373">
        <v>51.3708</v>
      </c>
      <c r="I174" s="373">
        <v>8.07137</v>
      </c>
      <c r="J174" s="373">
        <v>-23.943594</v>
      </c>
      <c r="K174" s="373">
        <v>-22.170106</v>
      </c>
      <c r="L174" s="373">
        <v>1079.43</v>
      </c>
      <c r="M174" s="373">
        <v>64.000311</v>
      </c>
      <c r="N174" s="373">
        <v>11739.28636</v>
      </c>
      <c r="O174" s="373">
        <v>0.0</v>
      </c>
      <c r="P174" s="376">
        <v>0.0</v>
      </c>
      <c r="Q174" s="376" t="s">
        <v>280</v>
      </c>
      <c r="R174" s="376" t="s">
        <v>607</v>
      </c>
      <c r="S174" s="376">
        <v>10.0</v>
      </c>
      <c r="T174" s="376">
        <v>5.0</v>
      </c>
      <c r="U174" s="376">
        <v>0.7</v>
      </c>
      <c r="V174" s="376">
        <v>0.7</v>
      </c>
      <c r="W174" s="376">
        <v>0.7</v>
      </c>
      <c r="X174" s="373">
        <v>2000.0</v>
      </c>
      <c r="Y174" s="373" t="s">
        <v>540</v>
      </c>
      <c r="Z174" s="373">
        <v>0.2</v>
      </c>
      <c r="AA174" s="373" t="s">
        <v>541</v>
      </c>
      <c r="AB174" s="373" t="s">
        <v>542</v>
      </c>
      <c r="AC174" s="373">
        <v>220.0</v>
      </c>
      <c r="AD174" s="193"/>
      <c r="AE174" s="377"/>
    </row>
    <row r="175">
      <c r="A175" s="373" t="s">
        <v>631</v>
      </c>
      <c r="B175" s="373">
        <v>5.0</v>
      </c>
      <c r="C175" s="373">
        <v>184.0</v>
      </c>
      <c r="D175" s="373" t="s">
        <v>575</v>
      </c>
      <c r="E175" s="373">
        <v>1.0</v>
      </c>
      <c r="F175" s="389">
        <v>45469.589583333334</v>
      </c>
      <c r="G175" s="373">
        <v>1.0</v>
      </c>
      <c r="H175" s="373">
        <v>51.3741</v>
      </c>
      <c r="I175" s="373">
        <v>8.16931</v>
      </c>
      <c r="J175" s="373">
        <v>-24.026919</v>
      </c>
      <c r="K175" s="373">
        <v>-22.894444</v>
      </c>
      <c r="L175" s="373">
        <v>1095.36</v>
      </c>
      <c r="M175" s="373">
        <v>71.999846</v>
      </c>
      <c r="N175" s="373">
        <v>11771.48018</v>
      </c>
      <c r="O175" s="373">
        <v>0.0</v>
      </c>
      <c r="P175" s="376">
        <v>0.0</v>
      </c>
      <c r="Q175" s="376" t="s">
        <v>280</v>
      </c>
      <c r="R175" s="376" t="s">
        <v>607</v>
      </c>
      <c r="S175" s="376">
        <v>10.0</v>
      </c>
      <c r="T175" s="376">
        <v>5.0</v>
      </c>
      <c r="U175" s="376">
        <v>0.7</v>
      </c>
      <c r="V175" s="376">
        <v>0.7</v>
      </c>
      <c r="W175" s="376">
        <v>0.7</v>
      </c>
      <c r="X175" s="373">
        <v>2000.0</v>
      </c>
      <c r="Y175" s="373" t="s">
        <v>540</v>
      </c>
      <c r="Z175" s="373">
        <v>0.2</v>
      </c>
      <c r="AA175" s="373" t="s">
        <v>541</v>
      </c>
      <c r="AB175" s="373" t="s">
        <v>542</v>
      </c>
      <c r="AC175" s="373">
        <v>220.0</v>
      </c>
      <c r="AD175" s="193"/>
      <c r="AE175" s="377"/>
    </row>
    <row r="176">
      <c r="A176" s="373" t="s">
        <v>700</v>
      </c>
      <c r="B176" s="373">
        <v>5.0</v>
      </c>
      <c r="C176" s="373">
        <v>184.0</v>
      </c>
      <c r="D176" s="373" t="s">
        <v>575</v>
      </c>
      <c r="E176" s="373">
        <v>1.0</v>
      </c>
      <c r="F176" s="389">
        <v>45469.592361111114</v>
      </c>
      <c r="G176" s="373">
        <v>1.0</v>
      </c>
      <c r="H176" s="373">
        <v>51.3741</v>
      </c>
      <c r="I176" s="373">
        <v>8.07109</v>
      </c>
      <c r="J176" s="373">
        <v>-24.055531</v>
      </c>
      <c r="K176" s="373">
        <v>-22.343206</v>
      </c>
      <c r="L176" s="373">
        <v>1094.14</v>
      </c>
      <c r="M176" s="373">
        <v>66.000933</v>
      </c>
      <c r="N176" s="373">
        <v>11741.62949</v>
      </c>
      <c r="O176" s="373">
        <v>0.0</v>
      </c>
      <c r="P176" s="376">
        <v>0.0</v>
      </c>
      <c r="Q176" s="376" t="s">
        <v>280</v>
      </c>
      <c r="R176" s="376" t="s">
        <v>607</v>
      </c>
      <c r="S176" s="376">
        <v>10.0</v>
      </c>
      <c r="T176" s="376">
        <v>5.0</v>
      </c>
      <c r="U176" s="376">
        <v>0.7</v>
      </c>
      <c r="V176" s="376">
        <v>0.7</v>
      </c>
      <c r="W176" s="376">
        <v>0.7</v>
      </c>
      <c r="X176" s="373">
        <v>2000.0</v>
      </c>
      <c r="Y176" s="373" t="s">
        <v>540</v>
      </c>
      <c r="Z176" s="373">
        <v>0.2</v>
      </c>
      <c r="AA176" s="373" t="s">
        <v>541</v>
      </c>
      <c r="AB176" s="373" t="s">
        <v>542</v>
      </c>
      <c r="AC176" s="373">
        <v>220.0</v>
      </c>
      <c r="AD176" s="193"/>
      <c r="AE176" s="377"/>
    </row>
    <row r="177">
      <c r="A177" s="373" t="s">
        <v>701</v>
      </c>
      <c r="B177" s="373">
        <v>5.0</v>
      </c>
      <c r="C177" s="373">
        <v>184.0</v>
      </c>
      <c r="D177" s="373" t="s">
        <v>575</v>
      </c>
      <c r="E177" s="373">
        <v>1.0</v>
      </c>
      <c r="F177" s="389">
        <v>45469.595138888886</v>
      </c>
      <c r="G177" s="373">
        <v>1.0</v>
      </c>
      <c r="H177" s="373">
        <v>51.3741</v>
      </c>
      <c r="I177" s="373">
        <v>8.10342</v>
      </c>
      <c r="J177" s="373">
        <v>-24.097269</v>
      </c>
      <c r="K177" s="373">
        <v>-22.134538</v>
      </c>
      <c r="L177" s="373">
        <v>1051.41</v>
      </c>
      <c r="M177" s="373">
        <v>64.500024</v>
      </c>
      <c r="N177" s="373">
        <v>11568.34136</v>
      </c>
      <c r="O177" s="373">
        <v>0.0</v>
      </c>
      <c r="P177" s="376">
        <v>0.0</v>
      </c>
      <c r="Q177" s="376" t="s">
        <v>280</v>
      </c>
      <c r="R177" s="376" t="s">
        <v>607</v>
      </c>
      <c r="S177" s="376">
        <v>10.0</v>
      </c>
      <c r="T177" s="376">
        <v>5.0</v>
      </c>
      <c r="U177" s="376">
        <v>0.7</v>
      </c>
      <c r="V177" s="376">
        <v>0.7</v>
      </c>
      <c r="W177" s="376">
        <v>0.7</v>
      </c>
      <c r="X177" s="373">
        <v>2000.0</v>
      </c>
      <c r="Y177" s="373" t="s">
        <v>540</v>
      </c>
      <c r="Z177" s="373">
        <v>0.2</v>
      </c>
      <c r="AA177" s="373" t="s">
        <v>541</v>
      </c>
      <c r="AB177" s="373" t="s">
        <v>542</v>
      </c>
      <c r="AC177" s="373">
        <v>220.0</v>
      </c>
      <c r="AD177" s="193"/>
      <c r="AE177" s="377"/>
    </row>
    <row r="178">
      <c r="A178" s="373" t="s">
        <v>702</v>
      </c>
      <c r="B178" s="373">
        <v>5.0</v>
      </c>
      <c r="C178" s="373">
        <v>184.0</v>
      </c>
      <c r="D178" s="373" t="s">
        <v>575</v>
      </c>
      <c r="E178" s="373">
        <v>1.0</v>
      </c>
      <c r="F178" s="389">
        <v>45469.597916666666</v>
      </c>
      <c r="G178" s="373">
        <v>2.0</v>
      </c>
      <c r="H178" s="373">
        <v>51.3675</v>
      </c>
      <c r="I178" s="373">
        <v>8.01072</v>
      </c>
      <c r="J178" s="373">
        <v>-24.0841</v>
      </c>
      <c r="K178" s="373">
        <v>-22.324725</v>
      </c>
      <c r="L178" s="373">
        <v>1078.31</v>
      </c>
      <c r="M178" s="373">
        <v>66.999495</v>
      </c>
      <c r="N178" s="373">
        <v>11740.81058</v>
      </c>
      <c r="O178" s="373">
        <v>11746.65911</v>
      </c>
      <c r="P178" s="376">
        <v>2077.303416</v>
      </c>
      <c r="Q178" s="376" t="s">
        <v>12</v>
      </c>
      <c r="R178" s="376" t="s">
        <v>539</v>
      </c>
      <c r="S178" s="376">
        <v>10.0</v>
      </c>
      <c r="T178" s="376">
        <v>5.0</v>
      </c>
      <c r="U178" s="376">
        <v>0.7</v>
      </c>
      <c r="V178" s="376">
        <v>0.7</v>
      </c>
      <c r="W178" s="376">
        <v>0.7</v>
      </c>
      <c r="X178" s="373">
        <v>2000.0</v>
      </c>
      <c r="Y178" s="373" t="s">
        <v>540</v>
      </c>
      <c r="Z178" s="373">
        <v>0.2</v>
      </c>
      <c r="AA178" s="373" t="s">
        <v>541</v>
      </c>
      <c r="AB178" s="373" t="s">
        <v>542</v>
      </c>
      <c r="AC178" s="373">
        <v>220.0</v>
      </c>
      <c r="AD178" s="193"/>
      <c r="AE178" s="377"/>
    </row>
    <row r="179">
      <c r="A179" s="373" t="s">
        <v>703</v>
      </c>
      <c r="B179" s="373">
        <v>5.0</v>
      </c>
      <c r="C179" s="373">
        <v>184.0</v>
      </c>
      <c r="D179" s="373" t="s">
        <v>575</v>
      </c>
      <c r="E179" s="373">
        <v>1.0</v>
      </c>
      <c r="F179" s="389">
        <v>45469.600694444445</v>
      </c>
      <c r="G179" s="373">
        <v>2.0</v>
      </c>
      <c r="H179" s="373">
        <v>51.3741</v>
      </c>
      <c r="I179" s="373">
        <v>8.07152</v>
      </c>
      <c r="J179" s="373">
        <v>-24.09055</v>
      </c>
      <c r="K179" s="373">
        <v>-22.271119</v>
      </c>
      <c r="L179" s="373">
        <v>1086.35</v>
      </c>
      <c r="M179" s="373">
        <v>67.498304</v>
      </c>
      <c r="N179" s="373">
        <v>11752.50764</v>
      </c>
      <c r="O179" s="373">
        <v>11746.65911</v>
      </c>
      <c r="P179" s="376">
        <v>2077.303416</v>
      </c>
      <c r="Q179" s="376" t="s">
        <v>12</v>
      </c>
      <c r="R179" s="376" t="s">
        <v>539</v>
      </c>
      <c r="S179" s="376">
        <v>10.0</v>
      </c>
      <c r="T179" s="376">
        <v>5.0</v>
      </c>
      <c r="U179" s="376">
        <v>0.7</v>
      </c>
      <c r="V179" s="376">
        <v>0.7</v>
      </c>
      <c r="W179" s="376">
        <v>0.7</v>
      </c>
      <c r="X179" s="373">
        <v>2000.0</v>
      </c>
      <c r="Y179" s="373" t="s">
        <v>540</v>
      </c>
      <c r="Z179" s="373">
        <v>0.2</v>
      </c>
      <c r="AA179" s="373" t="s">
        <v>541</v>
      </c>
      <c r="AB179" s="373" t="s">
        <v>542</v>
      </c>
      <c r="AC179" s="373">
        <v>220.0</v>
      </c>
      <c r="AD179" s="193"/>
      <c r="AE179" s="377"/>
    </row>
    <row r="180">
      <c r="A180" s="373" t="s">
        <v>632</v>
      </c>
      <c r="B180" s="373">
        <v>6.0</v>
      </c>
      <c r="C180" s="373">
        <v>274.0</v>
      </c>
      <c r="D180" s="373" t="s">
        <v>579</v>
      </c>
      <c r="E180" s="373">
        <v>1.0</v>
      </c>
      <c r="F180" s="389">
        <v>45469.604166666664</v>
      </c>
      <c r="G180" s="373">
        <v>1.0</v>
      </c>
      <c r="H180" s="373">
        <v>51.3774</v>
      </c>
      <c r="I180" s="373">
        <v>8.01985</v>
      </c>
      <c r="J180" s="373">
        <v>-24.172669</v>
      </c>
      <c r="K180" s="373">
        <v>-22.660169</v>
      </c>
      <c r="L180" s="373">
        <v>1080.12</v>
      </c>
      <c r="M180" s="373">
        <v>69.500072</v>
      </c>
      <c r="N180" s="373">
        <v>11650.59539</v>
      </c>
      <c r="O180" s="373">
        <v>11639.06304</v>
      </c>
      <c r="P180" s="376">
        <v>2058.372992</v>
      </c>
      <c r="Q180" s="376" t="s">
        <v>12</v>
      </c>
      <c r="R180" s="376" t="s">
        <v>539</v>
      </c>
      <c r="S180" s="376">
        <v>10.0</v>
      </c>
      <c r="T180" s="376">
        <v>5.0</v>
      </c>
      <c r="U180" s="376">
        <v>0.7</v>
      </c>
      <c r="V180" s="376">
        <v>0.7</v>
      </c>
      <c r="W180" s="376">
        <v>0.7</v>
      </c>
      <c r="X180" s="373">
        <v>2000.0</v>
      </c>
      <c r="Y180" s="373" t="s">
        <v>540</v>
      </c>
      <c r="Z180" s="373">
        <v>0.2</v>
      </c>
      <c r="AA180" s="373" t="s">
        <v>541</v>
      </c>
      <c r="AB180" s="373" t="s">
        <v>542</v>
      </c>
      <c r="AC180" s="373">
        <v>220.0</v>
      </c>
      <c r="AD180" s="193"/>
      <c r="AE180" s="377"/>
    </row>
    <row r="181">
      <c r="A181" s="373" t="s">
        <v>633</v>
      </c>
      <c r="B181" s="373">
        <v>6.0</v>
      </c>
      <c r="C181" s="373">
        <v>274.0</v>
      </c>
      <c r="D181" s="373" t="s">
        <v>579</v>
      </c>
      <c r="E181" s="373">
        <v>1.0</v>
      </c>
      <c r="F181" s="389">
        <v>45469.606944444444</v>
      </c>
      <c r="G181" s="373">
        <v>1.0</v>
      </c>
      <c r="H181" s="373">
        <v>51.3807</v>
      </c>
      <c r="I181" s="373">
        <v>8.04589</v>
      </c>
      <c r="J181" s="373">
        <v>-24.117875</v>
      </c>
      <c r="K181" s="373">
        <v>-22.523606</v>
      </c>
      <c r="L181" s="373">
        <v>1054.32</v>
      </c>
      <c r="M181" s="373">
        <v>69.000258</v>
      </c>
      <c r="N181" s="373">
        <v>11627.53069</v>
      </c>
      <c r="O181" s="373">
        <v>11639.06304</v>
      </c>
      <c r="P181" s="376">
        <v>2058.372992</v>
      </c>
      <c r="Q181" s="376" t="s">
        <v>12</v>
      </c>
      <c r="R181" s="376" t="s">
        <v>539</v>
      </c>
      <c r="S181" s="376">
        <v>10.0</v>
      </c>
      <c r="T181" s="376">
        <v>5.0</v>
      </c>
      <c r="U181" s="376">
        <v>0.7</v>
      </c>
      <c r="V181" s="376">
        <v>0.7</v>
      </c>
      <c r="W181" s="376">
        <v>0.7</v>
      </c>
      <c r="X181" s="373">
        <v>2000.0</v>
      </c>
      <c r="Y181" s="373" t="s">
        <v>540</v>
      </c>
      <c r="Z181" s="373">
        <v>0.2</v>
      </c>
      <c r="AA181" s="373" t="s">
        <v>541</v>
      </c>
      <c r="AB181" s="373" t="s">
        <v>542</v>
      </c>
      <c r="AC181" s="373">
        <v>220.0</v>
      </c>
      <c r="AD181" s="193"/>
      <c r="AE181" s="377"/>
    </row>
    <row r="182">
      <c r="A182" s="373" t="s">
        <v>704</v>
      </c>
      <c r="B182" s="373">
        <v>7.0</v>
      </c>
      <c r="C182" s="373">
        <v>275.0</v>
      </c>
      <c r="D182" s="373" t="s">
        <v>582</v>
      </c>
      <c r="E182" s="373">
        <v>1.0</v>
      </c>
      <c r="F182" s="389">
        <v>45469.61041666667</v>
      </c>
      <c r="G182" s="373">
        <v>1.0</v>
      </c>
      <c r="H182" s="373">
        <v>51.3774</v>
      </c>
      <c r="I182" s="373">
        <v>8.04714</v>
      </c>
      <c r="J182" s="373">
        <v>-24.113925</v>
      </c>
      <c r="K182" s="373">
        <v>-22.571431</v>
      </c>
      <c r="L182" s="373">
        <v>1096.97</v>
      </c>
      <c r="M182" s="373">
        <v>67.500944</v>
      </c>
      <c r="N182" s="373">
        <v>11732.0249</v>
      </c>
      <c r="O182" s="373">
        <v>11707.54253</v>
      </c>
      <c r="P182" s="376">
        <v>2070.421255</v>
      </c>
      <c r="Q182" s="376" t="s">
        <v>12</v>
      </c>
      <c r="R182" s="376" t="s">
        <v>553</v>
      </c>
      <c r="S182" s="376">
        <v>10.0</v>
      </c>
      <c r="T182" s="376">
        <v>5.0</v>
      </c>
      <c r="U182" s="376">
        <v>0.7</v>
      </c>
      <c r="V182" s="376">
        <v>0.7</v>
      </c>
      <c r="W182" s="376">
        <v>0.7</v>
      </c>
      <c r="X182" s="373">
        <v>2000.0</v>
      </c>
      <c r="Y182" s="373" t="s">
        <v>540</v>
      </c>
      <c r="Z182" s="373">
        <v>0.2</v>
      </c>
      <c r="AA182" s="373" t="s">
        <v>541</v>
      </c>
      <c r="AB182" s="373" t="s">
        <v>542</v>
      </c>
      <c r="AC182" s="373">
        <v>220.0</v>
      </c>
      <c r="AD182" s="193"/>
      <c r="AE182" s="377"/>
    </row>
    <row r="183">
      <c r="A183" s="373" t="s">
        <v>705</v>
      </c>
      <c r="B183" s="373">
        <v>7.0</v>
      </c>
      <c r="C183" s="373">
        <v>275.0</v>
      </c>
      <c r="D183" s="373" t="s">
        <v>582</v>
      </c>
      <c r="E183" s="373">
        <v>1.0</v>
      </c>
      <c r="F183" s="389">
        <v>45469.61319444444</v>
      </c>
      <c r="G183" s="373">
        <v>1.0</v>
      </c>
      <c r="H183" s="373">
        <v>51.3774</v>
      </c>
      <c r="I183" s="373">
        <v>8.10652</v>
      </c>
      <c r="J183" s="373">
        <v>-24.083306</v>
      </c>
      <c r="K183" s="373">
        <v>-22.465406</v>
      </c>
      <c r="L183" s="373">
        <v>1085.01</v>
      </c>
      <c r="M183" s="373">
        <v>69.500053</v>
      </c>
      <c r="N183" s="373">
        <v>11704.31805</v>
      </c>
      <c r="O183" s="373">
        <v>11707.54253</v>
      </c>
      <c r="P183" s="376">
        <v>2070.421255</v>
      </c>
      <c r="Q183" s="376" t="s">
        <v>12</v>
      </c>
      <c r="R183" s="376" t="s">
        <v>539</v>
      </c>
      <c r="S183" s="376">
        <v>10.0</v>
      </c>
      <c r="T183" s="376">
        <v>5.0</v>
      </c>
      <c r="U183" s="376">
        <v>0.7</v>
      </c>
      <c r="V183" s="376">
        <v>0.7</v>
      </c>
      <c r="W183" s="376">
        <v>0.7</v>
      </c>
      <c r="X183" s="373">
        <v>2000.0</v>
      </c>
      <c r="Y183" s="373" t="s">
        <v>540</v>
      </c>
      <c r="Z183" s="373">
        <v>0.2</v>
      </c>
      <c r="AA183" s="373" t="s">
        <v>541</v>
      </c>
      <c r="AB183" s="373" t="s">
        <v>542</v>
      </c>
      <c r="AC183" s="373">
        <v>220.0</v>
      </c>
      <c r="AD183" s="193"/>
      <c r="AE183" s="377"/>
    </row>
    <row r="184">
      <c r="A184" s="373" t="s">
        <v>706</v>
      </c>
      <c r="B184" s="373">
        <v>7.0</v>
      </c>
      <c r="C184" s="373">
        <v>275.0</v>
      </c>
      <c r="D184" s="373" t="s">
        <v>582</v>
      </c>
      <c r="E184" s="373">
        <v>1.0</v>
      </c>
      <c r="F184" s="389">
        <v>45469.61597222222</v>
      </c>
      <c r="G184" s="373">
        <v>1.0</v>
      </c>
      <c r="H184" s="373">
        <v>51.3741</v>
      </c>
      <c r="I184" s="373">
        <v>8.0365</v>
      </c>
      <c r="J184" s="373">
        <v>-24.119412</v>
      </c>
      <c r="K184" s="373">
        <v>-22.460269</v>
      </c>
      <c r="L184" s="373">
        <v>1083.6</v>
      </c>
      <c r="M184" s="373">
        <v>66.999567</v>
      </c>
      <c r="N184" s="373">
        <v>11710.76701</v>
      </c>
      <c r="O184" s="373">
        <v>11707.54253</v>
      </c>
      <c r="P184" s="376">
        <v>2070.421255</v>
      </c>
      <c r="Q184" s="376" t="s">
        <v>12</v>
      </c>
      <c r="R184" s="376" t="s">
        <v>539</v>
      </c>
      <c r="S184" s="376">
        <v>10.0</v>
      </c>
      <c r="T184" s="376">
        <v>5.0</v>
      </c>
      <c r="U184" s="376">
        <v>0.7</v>
      </c>
      <c r="V184" s="376">
        <v>0.7</v>
      </c>
      <c r="W184" s="376">
        <v>0.7</v>
      </c>
      <c r="X184" s="373">
        <v>2000.0</v>
      </c>
      <c r="Y184" s="373" t="s">
        <v>540</v>
      </c>
      <c r="Z184" s="373">
        <v>0.2</v>
      </c>
      <c r="AA184" s="373" t="s">
        <v>541</v>
      </c>
      <c r="AB184" s="373" t="s">
        <v>542</v>
      </c>
      <c r="AC184" s="373">
        <v>220.0</v>
      </c>
      <c r="AD184" s="193"/>
      <c r="AE184" s="377"/>
    </row>
    <row r="185">
      <c r="A185" s="373" t="s">
        <v>640</v>
      </c>
      <c r="B185" s="373">
        <v>8.0</v>
      </c>
      <c r="C185" s="373">
        <v>235.0</v>
      </c>
      <c r="D185" s="373" t="s">
        <v>585</v>
      </c>
      <c r="E185" s="373">
        <v>1.0</v>
      </c>
      <c r="F185" s="389">
        <v>45469.61944444444</v>
      </c>
      <c r="G185" s="373">
        <v>1.0</v>
      </c>
      <c r="H185" s="373">
        <v>51.3774</v>
      </c>
      <c r="I185" s="373">
        <v>7.90233</v>
      </c>
      <c r="J185" s="373">
        <v>-24.024719</v>
      </c>
      <c r="K185" s="373">
        <v>-22.282975</v>
      </c>
      <c r="L185" s="373">
        <v>1086.48</v>
      </c>
      <c r="M185" s="373">
        <v>64.50094</v>
      </c>
      <c r="N185" s="373">
        <v>11640.78399</v>
      </c>
      <c r="O185" s="373">
        <v>11641.24502</v>
      </c>
      <c r="P185" s="376">
        <v>2058.756889</v>
      </c>
      <c r="Q185" s="376" t="s">
        <v>12</v>
      </c>
      <c r="R185" s="376" t="s">
        <v>539</v>
      </c>
      <c r="S185" s="376">
        <v>10.0</v>
      </c>
      <c r="T185" s="376">
        <v>5.0</v>
      </c>
      <c r="U185" s="376">
        <v>0.7</v>
      </c>
      <c r="V185" s="376">
        <v>0.7</v>
      </c>
      <c r="W185" s="376">
        <v>0.7</v>
      </c>
      <c r="X185" s="373">
        <v>2000.0</v>
      </c>
      <c r="Y185" s="373" t="s">
        <v>540</v>
      </c>
      <c r="Z185" s="373">
        <v>0.2</v>
      </c>
      <c r="AA185" s="373" t="s">
        <v>541</v>
      </c>
      <c r="AB185" s="373" t="s">
        <v>542</v>
      </c>
      <c r="AC185" s="373">
        <v>220.0</v>
      </c>
      <c r="AD185" s="193"/>
      <c r="AE185" s="377"/>
    </row>
    <row r="186">
      <c r="A186" s="373" t="s">
        <v>641</v>
      </c>
      <c r="B186" s="373">
        <v>8.0</v>
      </c>
      <c r="C186" s="373">
        <v>235.0</v>
      </c>
      <c r="D186" s="373" t="s">
        <v>585</v>
      </c>
      <c r="E186" s="373">
        <v>1.0</v>
      </c>
      <c r="F186" s="389">
        <v>45469.62222222222</v>
      </c>
      <c r="G186" s="373">
        <v>1.0</v>
      </c>
      <c r="H186" s="373">
        <v>51.3774</v>
      </c>
      <c r="I186" s="373">
        <v>7.97541</v>
      </c>
      <c r="J186" s="373">
        <v>-23.889781</v>
      </c>
      <c r="K186" s="373">
        <v>-22.710912</v>
      </c>
      <c r="L186" s="373">
        <v>1072.06</v>
      </c>
      <c r="M186" s="373">
        <v>71.999934</v>
      </c>
      <c r="N186" s="373">
        <v>11641.70605</v>
      </c>
      <c r="O186" s="373">
        <v>11641.24502</v>
      </c>
      <c r="P186" s="376">
        <v>2058.756889</v>
      </c>
      <c r="Q186" s="376" t="s">
        <v>12</v>
      </c>
      <c r="R186" s="376" t="s">
        <v>539</v>
      </c>
      <c r="S186" s="376">
        <v>10.0</v>
      </c>
      <c r="T186" s="376">
        <v>5.0</v>
      </c>
      <c r="U186" s="376">
        <v>0.7</v>
      </c>
      <c r="V186" s="376">
        <v>0.7</v>
      </c>
      <c r="W186" s="376">
        <v>0.7</v>
      </c>
      <c r="X186" s="373">
        <v>2000.0</v>
      </c>
      <c r="Y186" s="373" t="s">
        <v>540</v>
      </c>
      <c r="Z186" s="373">
        <v>0.2</v>
      </c>
      <c r="AA186" s="373" t="s">
        <v>541</v>
      </c>
      <c r="AB186" s="373" t="s">
        <v>542</v>
      </c>
      <c r="AC186" s="373">
        <v>220.0</v>
      </c>
      <c r="AD186" s="193"/>
      <c r="AE186" s="377"/>
    </row>
    <row r="187">
      <c r="A187" s="373" t="s">
        <v>643</v>
      </c>
      <c r="B187" s="373">
        <v>9.0</v>
      </c>
      <c r="C187" s="373">
        <v>236.0</v>
      </c>
      <c r="D187" s="373" t="s">
        <v>589</v>
      </c>
      <c r="E187" s="373">
        <v>1.0</v>
      </c>
      <c r="F187" s="389">
        <v>45469.625</v>
      </c>
      <c r="G187" s="373">
        <v>1.0</v>
      </c>
      <c r="H187" s="373">
        <v>51.3774</v>
      </c>
      <c r="I187" s="373">
        <v>7.97776</v>
      </c>
      <c r="J187" s="373">
        <v>-24.095181</v>
      </c>
      <c r="K187" s="373">
        <v>-22.274906</v>
      </c>
      <c r="L187" s="373">
        <v>1080.19</v>
      </c>
      <c r="M187" s="373">
        <v>74.499749</v>
      </c>
      <c r="N187" s="373">
        <v>11664.59363</v>
      </c>
      <c r="O187" s="373">
        <v>11661.55185</v>
      </c>
      <c r="P187" s="376">
        <v>2062.329667</v>
      </c>
      <c r="Q187" s="376" t="s">
        <v>12</v>
      </c>
      <c r="R187" s="376" t="s">
        <v>539</v>
      </c>
      <c r="S187" s="376">
        <v>10.0</v>
      </c>
      <c r="T187" s="376">
        <v>5.0</v>
      </c>
      <c r="U187" s="376">
        <v>0.7</v>
      </c>
      <c r="V187" s="376">
        <v>0.7</v>
      </c>
      <c r="W187" s="376">
        <v>0.7</v>
      </c>
      <c r="X187" s="373">
        <v>2000.0</v>
      </c>
      <c r="Y187" s="373" t="s">
        <v>540</v>
      </c>
      <c r="Z187" s="373">
        <v>0.2</v>
      </c>
      <c r="AA187" s="373" t="s">
        <v>541</v>
      </c>
      <c r="AB187" s="373" t="s">
        <v>542</v>
      </c>
      <c r="AC187" s="373">
        <v>220.0</v>
      </c>
      <c r="AD187" s="193"/>
      <c r="AE187" s="377"/>
    </row>
    <row r="188">
      <c r="A188" s="373" t="s">
        <v>644</v>
      </c>
      <c r="B188" s="373">
        <v>9.0</v>
      </c>
      <c r="C188" s="373">
        <v>236.0</v>
      </c>
      <c r="D188" s="373" t="s">
        <v>589</v>
      </c>
      <c r="E188" s="373">
        <v>1.0</v>
      </c>
      <c r="F188" s="389">
        <v>45469.62847222222</v>
      </c>
      <c r="G188" s="373">
        <v>1.0</v>
      </c>
      <c r="H188" s="373">
        <v>51.3807</v>
      </c>
      <c r="I188" s="373">
        <v>7.86506</v>
      </c>
      <c r="J188" s="373">
        <v>-24.067656</v>
      </c>
      <c r="K188" s="373">
        <v>-22.625419</v>
      </c>
      <c r="L188" s="373">
        <v>1070.83</v>
      </c>
      <c r="M188" s="373">
        <v>71.001615</v>
      </c>
      <c r="N188" s="373">
        <v>11658.51007</v>
      </c>
      <c r="O188" s="373">
        <v>11661.55185</v>
      </c>
      <c r="P188" s="376">
        <v>2062.329667</v>
      </c>
      <c r="Q188" s="376" t="s">
        <v>12</v>
      </c>
      <c r="R188" s="376" t="s">
        <v>539</v>
      </c>
      <c r="S188" s="376">
        <v>10.0</v>
      </c>
      <c r="T188" s="376">
        <v>5.0</v>
      </c>
      <c r="U188" s="376">
        <v>0.7</v>
      </c>
      <c r="V188" s="376">
        <v>0.7</v>
      </c>
      <c r="W188" s="376">
        <v>0.7</v>
      </c>
      <c r="X188" s="373">
        <v>2000.0</v>
      </c>
      <c r="Y188" s="373" t="s">
        <v>540</v>
      </c>
      <c r="Z188" s="373">
        <v>0.2</v>
      </c>
      <c r="AA188" s="373" t="s">
        <v>541</v>
      </c>
      <c r="AB188" s="373" t="s">
        <v>542</v>
      </c>
      <c r="AC188" s="373">
        <v>220.0</v>
      </c>
      <c r="AD188" s="193"/>
      <c r="AE188" s="377"/>
    </row>
    <row r="189">
      <c r="A189" s="373" t="s">
        <v>707</v>
      </c>
      <c r="B189" s="373" t="s">
        <v>551</v>
      </c>
      <c r="C189" s="373" t="s">
        <v>678</v>
      </c>
      <c r="D189" s="373" t="s">
        <v>538</v>
      </c>
      <c r="E189" s="373">
        <v>0.8</v>
      </c>
      <c r="F189" s="389">
        <v>45469.63263888889</v>
      </c>
      <c r="G189" s="373">
        <v>1.0</v>
      </c>
      <c r="H189" s="373">
        <v>51.3774</v>
      </c>
      <c r="I189" s="373">
        <v>7.84411</v>
      </c>
      <c r="J189" s="373">
        <v>-23.868844</v>
      </c>
      <c r="K189" s="373">
        <v>-22.683525</v>
      </c>
      <c r="L189" s="373">
        <v>1036.98</v>
      </c>
      <c r="M189" s="373">
        <v>67.001464</v>
      </c>
      <c r="N189" s="373">
        <v>9358.410489</v>
      </c>
      <c r="O189" s="373">
        <v>9350.95279</v>
      </c>
      <c r="P189" s="376">
        <v>2070.3457</v>
      </c>
      <c r="Q189" s="376" t="s">
        <v>12</v>
      </c>
      <c r="R189" s="376" t="s">
        <v>539</v>
      </c>
      <c r="S189" s="376">
        <v>10.0</v>
      </c>
      <c r="T189" s="376">
        <v>5.0</v>
      </c>
      <c r="U189" s="376">
        <v>0.7</v>
      </c>
      <c r="V189" s="376">
        <v>0.7</v>
      </c>
      <c r="W189" s="376">
        <v>0.7</v>
      </c>
      <c r="X189" s="373">
        <v>2000.0</v>
      </c>
      <c r="Y189" s="373" t="s">
        <v>540</v>
      </c>
      <c r="Z189" s="373">
        <v>0.2</v>
      </c>
      <c r="AA189" s="373" t="s">
        <v>541</v>
      </c>
      <c r="AB189" s="373" t="s">
        <v>542</v>
      </c>
      <c r="AC189" s="373">
        <v>220.0</v>
      </c>
      <c r="AD189" s="193"/>
      <c r="AE189" s="377"/>
    </row>
    <row r="190">
      <c r="A190" s="373" t="s">
        <v>708</v>
      </c>
      <c r="B190" s="373" t="s">
        <v>551</v>
      </c>
      <c r="C190" s="373" t="s">
        <v>678</v>
      </c>
      <c r="D190" s="373" t="s">
        <v>538</v>
      </c>
      <c r="E190" s="373">
        <v>0.8</v>
      </c>
      <c r="F190" s="389">
        <v>45469.635416666664</v>
      </c>
      <c r="G190" s="373">
        <v>1.0</v>
      </c>
      <c r="H190" s="373">
        <v>51.3774</v>
      </c>
      <c r="I190" s="373">
        <v>7.97416</v>
      </c>
      <c r="J190" s="373">
        <v>-24.118075</v>
      </c>
      <c r="K190" s="373">
        <v>-22.754775</v>
      </c>
      <c r="L190" s="373">
        <v>1005.49</v>
      </c>
      <c r="M190" s="373">
        <v>66.500384</v>
      </c>
      <c r="N190" s="373">
        <v>9343.495091</v>
      </c>
      <c r="O190" s="373">
        <v>9350.95279</v>
      </c>
      <c r="P190" s="376">
        <v>2070.3457</v>
      </c>
      <c r="Q190" s="376" t="s">
        <v>12</v>
      </c>
      <c r="R190" s="376" t="s">
        <v>539</v>
      </c>
      <c r="S190" s="376">
        <v>10.0</v>
      </c>
      <c r="T190" s="376">
        <v>5.0</v>
      </c>
      <c r="U190" s="376">
        <v>0.7</v>
      </c>
      <c r="V190" s="376">
        <v>0.7</v>
      </c>
      <c r="W190" s="376">
        <v>0.7</v>
      </c>
      <c r="X190" s="373">
        <v>2000.0</v>
      </c>
      <c r="Y190" s="373" t="s">
        <v>540</v>
      </c>
      <c r="Z190" s="373">
        <v>0.2</v>
      </c>
      <c r="AA190" s="373" t="s">
        <v>541</v>
      </c>
      <c r="AB190" s="373" t="s">
        <v>542</v>
      </c>
      <c r="AC190" s="373">
        <v>220.0</v>
      </c>
      <c r="AD190" s="193"/>
      <c r="AE190" s="377"/>
    </row>
    <row r="191">
      <c r="A191" s="378" t="s">
        <v>709</v>
      </c>
      <c r="B191" s="378" t="s">
        <v>558</v>
      </c>
      <c r="C191" s="378" t="s">
        <v>678</v>
      </c>
      <c r="D191" s="378" t="s">
        <v>538</v>
      </c>
      <c r="E191" s="378">
        <v>1.0</v>
      </c>
      <c r="F191" s="390">
        <v>45469.638194444444</v>
      </c>
      <c r="G191" s="378">
        <v>1.0</v>
      </c>
      <c r="H191" s="378">
        <v>51.3807</v>
      </c>
      <c r="I191" s="378">
        <v>7.9808</v>
      </c>
      <c r="J191" s="378">
        <v>-24.152819</v>
      </c>
      <c r="K191" s="378">
        <v>-22.6947</v>
      </c>
      <c r="L191" s="378">
        <v>1081.55</v>
      </c>
      <c r="M191" s="378">
        <v>73.001088</v>
      </c>
      <c r="N191" s="378">
        <v>11706.14392</v>
      </c>
      <c r="O191" s="378">
        <v>11701.79612</v>
      </c>
      <c r="P191" s="380">
        <v>2070.3457</v>
      </c>
      <c r="Q191" s="376" t="s">
        <v>12</v>
      </c>
      <c r="R191" s="386" t="s">
        <v>539</v>
      </c>
      <c r="S191" s="386">
        <v>10.0</v>
      </c>
      <c r="T191" s="386">
        <v>5.0</v>
      </c>
      <c r="U191" s="386">
        <v>0.7</v>
      </c>
      <c r="V191" s="386">
        <v>0.7</v>
      </c>
      <c r="W191" s="386">
        <v>0.7</v>
      </c>
      <c r="X191" s="388">
        <v>2000.0</v>
      </c>
      <c r="Y191" s="388" t="s">
        <v>540</v>
      </c>
      <c r="Z191" s="388">
        <v>0.2</v>
      </c>
      <c r="AA191" s="388" t="s">
        <v>541</v>
      </c>
      <c r="AB191" s="388" t="s">
        <v>542</v>
      </c>
      <c r="AC191" s="388">
        <v>220.0</v>
      </c>
      <c r="AD191" s="193"/>
      <c r="AE191" s="377"/>
    </row>
    <row r="192">
      <c r="A192" s="373" t="s">
        <v>710</v>
      </c>
      <c r="B192" s="373" t="s">
        <v>558</v>
      </c>
      <c r="C192" s="373" t="s">
        <v>678</v>
      </c>
      <c r="D192" s="373" t="s">
        <v>538</v>
      </c>
      <c r="E192" s="373">
        <v>1.0</v>
      </c>
      <c r="F192" s="389">
        <v>45469.64097222222</v>
      </c>
      <c r="G192" s="373">
        <v>1.0</v>
      </c>
      <c r="H192" s="373">
        <v>51.3774</v>
      </c>
      <c r="I192" s="373">
        <v>7.94005</v>
      </c>
      <c r="J192" s="373">
        <v>-24.026044</v>
      </c>
      <c r="K192" s="373">
        <v>-22.613481</v>
      </c>
      <c r="L192" s="373">
        <v>1075.17</v>
      </c>
      <c r="M192" s="373">
        <v>70.00061</v>
      </c>
      <c r="N192" s="373">
        <v>11697.44832</v>
      </c>
      <c r="O192" s="373">
        <v>11701.79612</v>
      </c>
      <c r="P192" s="376">
        <v>2070.3457</v>
      </c>
      <c r="Q192" s="376" t="s">
        <v>12</v>
      </c>
      <c r="R192" s="376" t="s">
        <v>539</v>
      </c>
      <c r="S192" s="376">
        <v>10.0</v>
      </c>
      <c r="T192" s="376">
        <v>5.0</v>
      </c>
      <c r="U192" s="376">
        <v>0.7</v>
      </c>
      <c r="V192" s="376">
        <v>0.7</v>
      </c>
      <c r="W192" s="376">
        <v>0.7</v>
      </c>
      <c r="X192" s="373">
        <v>2000.0</v>
      </c>
      <c r="Y192" s="373" t="s">
        <v>540</v>
      </c>
      <c r="Z192" s="373">
        <v>0.2</v>
      </c>
      <c r="AA192" s="373" t="s">
        <v>541</v>
      </c>
      <c r="AB192" s="373" t="s">
        <v>542</v>
      </c>
      <c r="AC192" s="373">
        <v>220.0</v>
      </c>
      <c r="AD192" s="193"/>
      <c r="AE192" s="377"/>
    </row>
    <row r="193">
      <c r="A193" s="373" t="s">
        <v>711</v>
      </c>
      <c r="B193" s="373" t="s">
        <v>561</v>
      </c>
      <c r="C193" s="373" t="s">
        <v>678</v>
      </c>
      <c r="D193" s="373" t="s">
        <v>538</v>
      </c>
      <c r="E193" s="373">
        <v>1.2</v>
      </c>
      <c r="F193" s="389">
        <v>45469.64444444444</v>
      </c>
      <c r="G193" s="373">
        <v>1.0</v>
      </c>
      <c r="H193" s="373">
        <v>51.3774</v>
      </c>
      <c r="I193" s="373">
        <v>8.06185</v>
      </c>
      <c r="J193" s="373">
        <v>-24.034406</v>
      </c>
      <c r="K193" s="373">
        <v>-22.100413</v>
      </c>
      <c r="L193" s="373">
        <v>1117.38</v>
      </c>
      <c r="M193" s="373">
        <v>68.999485</v>
      </c>
      <c r="N193" s="373">
        <v>13993.66246</v>
      </c>
      <c r="O193" s="373">
        <v>14042.46312</v>
      </c>
      <c r="P193" s="376">
        <v>2070.3457</v>
      </c>
      <c r="Q193" s="376" t="s">
        <v>12</v>
      </c>
      <c r="R193" s="376" t="s">
        <v>553</v>
      </c>
      <c r="S193" s="376">
        <v>10.0</v>
      </c>
      <c r="T193" s="376">
        <v>5.0</v>
      </c>
      <c r="U193" s="376">
        <v>0.7</v>
      </c>
      <c r="V193" s="376">
        <v>0.7</v>
      </c>
      <c r="W193" s="376">
        <v>0.7</v>
      </c>
      <c r="X193" s="373">
        <v>2000.0</v>
      </c>
      <c r="Y193" s="373" t="s">
        <v>540</v>
      </c>
      <c r="Z193" s="373">
        <v>0.2</v>
      </c>
      <c r="AA193" s="373" t="s">
        <v>541</v>
      </c>
      <c r="AB193" s="373" t="s">
        <v>542</v>
      </c>
      <c r="AC193" s="373">
        <v>220.0</v>
      </c>
      <c r="AD193" s="193"/>
      <c r="AE193" s="377"/>
    </row>
    <row r="194">
      <c r="A194" s="373" t="s">
        <v>712</v>
      </c>
      <c r="B194" s="373" t="s">
        <v>561</v>
      </c>
      <c r="C194" s="373" t="s">
        <v>678</v>
      </c>
      <c r="D194" s="373" t="s">
        <v>538</v>
      </c>
      <c r="E194" s="373">
        <v>1.2</v>
      </c>
      <c r="F194" s="389">
        <v>45469.64722222222</v>
      </c>
      <c r="G194" s="373">
        <v>1.0</v>
      </c>
      <c r="H194" s="373">
        <v>51.3741</v>
      </c>
      <c r="I194" s="373">
        <v>8.0465</v>
      </c>
      <c r="J194" s="373">
        <v>-24.1006</v>
      </c>
      <c r="K194" s="373">
        <v>-23.081288</v>
      </c>
      <c r="L194" s="373">
        <v>1109.89</v>
      </c>
      <c r="M194" s="373">
        <v>84.999902</v>
      </c>
      <c r="N194" s="373">
        <v>14106.6026</v>
      </c>
      <c r="O194" s="373">
        <v>14042.46312</v>
      </c>
      <c r="P194" s="376">
        <v>2070.3457</v>
      </c>
      <c r="Q194" s="376" t="s">
        <v>12</v>
      </c>
      <c r="R194" s="376" t="s">
        <v>553</v>
      </c>
      <c r="S194" s="376">
        <v>10.0</v>
      </c>
      <c r="T194" s="376">
        <v>5.0</v>
      </c>
      <c r="U194" s="376">
        <v>0.7</v>
      </c>
      <c r="V194" s="376">
        <v>0.7</v>
      </c>
      <c r="W194" s="376">
        <v>0.7</v>
      </c>
      <c r="X194" s="373">
        <v>2000.0</v>
      </c>
      <c r="Y194" s="373" t="s">
        <v>540</v>
      </c>
      <c r="Z194" s="373">
        <v>0.2</v>
      </c>
      <c r="AA194" s="373" t="s">
        <v>541</v>
      </c>
      <c r="AB194" s="373" t="s">
        <v>542</v>
      </c>
      <c r="AC194" s="373">
        <v>220.0</v>
      </c>
      <c r="AD194" s="193"/>
      <c r="AE194" s="377"/>
    </row>
    <row r="195">
      <c r="A195" s="373" t="s">
        <v>713</v>
      </c>
      <c r="B195" s="373" t="s">
        <v>561</v>
      </c>
      <c r="C195" s="373" t="s">
        <v>678</v>
      </c>
      <c r="D195" s="373" t="s">
        <v>538</v>
      </c>
      <c r="E195" s="373">
        <v>1.2</v>
      </c>
      <c r="F195" s="389">
        <v>45469.65</v>
      </c>
      <c r="G195" s="373">
        <v>1.0</v>
      </c>
      <c r="H195" s="373">
        <v>51.3774</v>
      </c>
      <c r="I195" s="373">
        <v>8.03797</v>
      </c>
      <c r="J195" s="373">
        <v>-24.148231</v>
      </c>
      <c r="K195" s="373">
        <v>-22.095319</v>
      </c>
      <c r="L195" s="373">
        <v>1119.56</v>
      </c>
      <c r="M195" s="373">
        <v>69.499962</v>
      </c>
      <c r="N195" s="373">
        <v>14033.28881</v>
      </c>
      <c r="O195" s="373">
        <v>14042.46312</v>
      </c>
      <c r="P195" s="376">
        <v>2070.3457</v>
      </c>
      <c r="Q195" s="376" t="s">
        <v>12</v>
      </c>
      <c r="R195" s="376" t="s">
        <v>539</v>
      </c>
      <c r="S195" s="376">
        <v>10.0</v>
      </c>
      <c r="T195" s="376">
        <v>5.0</v>
      </c>
      <c r="U195" s="376">
        <v>0.7</v>
      </c>
      <c r="V195" s="376">
        <v>0.7</v>
      </c>
      <c r="W195" s="376">
        <v>0.7</v>
      </c>
      <c r="X195" s="373">
        <v>2000.0</v>
      </c>
      <c r="Y195" s="373" t="s">
        <v>540</v>
      </c>
      <c r="Z195" s="373">
        <v>0.2</v>
      </c>
      <c r="AA195" s="373" t="s">
        <v>541</v>
      </c>
      <c r="AB195" s="373" t="s">
        <v>542</v>
      </c>
      <c r="AC195" s="373">
        <v>220.0</v>
      </c>
      <c r="AD195" s="193"/>
      <c r="AE195" s="377"/>
    </row>
    <row r="196">
      <c r="A196" s="373" t="s">
        <v>714</v>
      </c>
      <c r="B196" s="373" t="s">
        <v>561</v>
      </c>
      <c r="C196" s="373" t="s">
        <v>678</v>
      </c>
      <c r="D196" s="373" t="s">
        <v>538</v>
      </c>
      <c r="E196" s="373">
        <v>1.2</v>
      </c>
      <c r="F196" s="389">
        <v>45469.65277777778</v>
      </c>
      <c r="G196" s="373">
        <v>1.0</v>
      </c>
      <c r="H196" s="373">
        <v>51.3708</v>
      </c>
      <c r="I196" s="373">
        <v>8.05223</v>
      </c>
      <c r="J196" s="373">
        <v>-24.035562</v>
      </c>
      <c r="K196" s="373">
        <v>-22.19935</v>
      </c>
      <c r="L196" s="373">
        <v>1112.97</v>
      </c>
      <c r="M196" s="373">
        <v>70.499567</v>
      </c>
      <c r="N196" s="373">
        <v>14051.63742</v>
      </c>
      <c r="O196" s="373">
        <v>14042.46312</v>
      </c>
      <c r="P196" s="376">
        <v>2070.3457</v>
      </c>
      <c r="Q196" s="376" t="s">
        <v>12</v>
      </c>
      <c r="R196" s="376" t="s">
        <v>539</v>
      </c>
      <c r="S196" s="376">
        <v>10.0</v>
      </c>
      <c r="T196" s="376">
        <v>5.0</v>
      </c>
      <c r="U196" s="376">
        <v>0.7</v>
      </c>
      <c r="V196" s="376">
        <v>0.7</v>
      </c>
      <c r="W196" s="376">
        <v>0.7</v>
      </c>
      <c r="X196" s="373">
        <v>2000.0</v>
      </c>
      <c r="Y196" s="373" t="s">
        <v>540</v>
      </c>
      <c r="Z196" s="373">
        <v>0.2</v>
      </c>
      <c r="AA196" s="373" t="s">
        <v>541</v>
      </c>
      <c r="AB196" s="373" t="s">
        <v>542</v>
      </c>
      <c r="AC196" s="373">
        <v>220.0</v>
      </c>
      <c r="AD196" s="193"/>
      <c r="AE196" s="377"/>
    </row>
    <row r="197">
      <c r="A197" s="373" t="s">
        <v>651</v>
      </c>
      <c r="B197" s="373">
        <v>2.0</v>
      </c>
      <c r="C197" s="373">
        <v>222.0</v>
      </c>
      <c r="D197" s="373" t="s">
        <v>564</v>
      </c>
      <c r="E197" s="373">
        <v>1.0</v>
      </c>
      <c r="F197" s="389">
        <v>45469.65625</v>
      </c>
      <c r="G197" s="373">
        <v>1.0</v>
      </c>
      <c r="H197" s="373">
        <v>51.3807</v>
      </c>
      <c r="I197" s="373">
        <v>8.066</v>
      </c>
      <c r="J197" s="373">
        <v>-23.977819</v>
      </c>
      <c r="K197" s="373">
        <v>-22.362219</v>
      </c>
      <c r="L197" s="373">
        <v>1084.3</v>
      </c>
      <c r="M197" s="373">
        <v>67.001254</v>
      </c>
      <c r="N197" s="373">
        <v>11658.91896</v>
      </c>
      <c r="O197" s="373">
        <v>11648.28625</v>
      </c>
      <c r="P197" s="376">
        <v>2061.49899</v>
      </c>
      <c r="Q197" s="376" t="s">
        <v>12</v>
      </c>
      <c r="R197" s="376" t="s">
        <v>539</v>
      </c>
      <c r="S197" s="376">
        <v>10.0</v>
      </c>
      <c r="T197" s="376">
        <v>5.0</v>
      </c>
      <c r="U197" s="376">
        <v>0.7</v>
      </c>
      <c r="V197" s="376">
        <v>0.7</v>
      </c>
      <c r="W197" s="376">
        <v>0.7</v>
      </c>
      <c r="X197" s="373">
        <v>2000.0</v>
      </c>
      <c r="Y197" s="373" t="s">
        <v>540</v>
      </c>
      <c r="Z197" s="373">
        <v>0.2</v>
      </c>
      <c r="AA197" s="373" t="s">
        <v>541</v>
      </c>
      <c r="AB197" s="373" t="s">
        <v>542</v>
      </c>
      <c r="AC197" s="373">
        <v>220.0</v>
      </c>
      <c r="AD197" s="193"/>
      <c r="AE197" s="377"/>
    </row>
    <row r="198">
      <c r="A198" s="373" t="s">
        <v>652</v>
      </c>
      <c r="B198" s="373">
        <v>2.0</v>
      </c>
      <c r="C198" s="373">
        <v>222.0</v>
      </c>
      <c r="D198" s="373" t="s">
        <v>564</v>
      </c>
      <c r="E198" s="373">
        <v>1.0</v>
      </c>
      <c r="F198" s="389">
        <v>45469.65902777778</v>
      </c>
      <c r="G198" s="373">
        <v>1.0</v>
      </c>
      <c r="H198" s="373">
        <v>51.3774</v>
      </c>
      <c r="I198" s="373">
        <v>8.11558</v>
      </c>
      <c r="J198" s="373">
        <v>-24.0697</v>
      </c>
      <c r="K198" s="373">
        <v>-22.195156</v>
      </c>
      <c r="L198" s="373">
        <v>1081.84</v>
      </c>
      <c r="M198" s="373">
        <v>69.000528</v>
      </c>
      <c r="N198" s="373">
        <v>11637.65355</v>
      </c>
      <c r="O198" s="373">
        <v>11648.28625</v>
      </c>
      <c r="P198" s="376">
        <v>2061.49899</v>
      </c>
      <c r="Q198" s="376" t="s">
        <v>12</v>
      </c>
      <c r="R198" s="376" t="s">
        <v>539</v>
      </c>
      <c r="S198" s="376">
        <v>10.0</v>
      </c>
      <c r="T198" s="376">
        <v>5.0</v>
      </c>
      <c r="U198" s="376">
        <v>0.7</v>
      </c>
      <c r="V198" s="376">
        <v>0.7</v>
      </c>
      <c r="W198" s="376">
        <v>0.7</v>
      </c>
      <c r="X198" s="373">
        <v>2000.0</v>
      </c>
      <c r="Y198" s="373" t="s">
        <v>540</v>
      </c>
      <c r="Z198" s="373">
        <v>0.2</v>
      </c>
      <c r="AA198" s="373" t="s">
        <v>541</v>
      </c>
      <c r="AB198" s="373" t="s">
        <v>542</v>
      </c>
      <c r="AC198" s="373">
        <v>220.0</v>
      </c>
      <c r="AD198" s="193"/>
      <c r="AE198" s="377"/>
    </row>
    <row r="199">
      <c r="A199" s="373" t="s">
        <v>654</v>
      </c>
      <c r="B199" s="373">
        <v>3.0</v>
      </c>
      <c r="C199" s="373">
        <v>223.0</v>
      </c>
      <c r="D199" s="373" t="s">
        <v>568</v>
      </c>
      <c r="E199" s="373">
        <v>1.0</v>
      </c>
      <c r="F199" s="389">
        <v>45469.6625</v>
      </c>
      <c r="G199" s="373">
        <v>1.0</v>
      </c>
      <c r="H199" s="373">
        <v>51.3774</v>
      </c>
      <c r="I199" s="373">
        <v>8.02705</v>
      </c>
      <c r="J199" s="373">
        <v>-24.102487</v>
      </c>
      <c r="K199" s="373">
        <v>-22.277881</v>
      </c>
      <c r="L199" s="373">
        <v>1093.73</v>
      </c>
      <c r="M199" s="373">
        <v>65.000109</v>
      </c>
      <c r="N199" s="373">
        <v>11648.41716</v>
      </c>
      <c r="O199" s="373">
        <v>11647.2736</v>
      </c>
      <c r="P199" s="376">
        <v>2061.320237</v>
      </c>
      <c r="Q199" s="376" t="s">
        <v>12</v>
      </c>
      <c r="R199" s="376" t="s">
        <v>539</v>
      </c>
      <c r="S199" s="376">
        <v>10.0</v>
      </c>
      <c r="T199" s="376">
        <v>5.0</v>
      </c>
      <c r="U199" s="376">
        <v>0.7</v>
      </c>
      <c r="V199" s="376">
        <v>0.7</v>
      </c>
      <c r="W199" s="376">
        <v>0.7</v>
      </c>
      <c r="X199" s="373">
        <v>2000.0</v>
      </c>
      <c r="Y199" s="373" t="s">
        <v>540</v>
      </c>
      <c r="Z199" s="373">
        <v>0.2</v>
      </c>
      <c r="AA199" s="373" t="s">
        <v>541</v>
      </c>
      <c r="AB199" s="373" t="s">
        <v>542</v>
      </c>
      <c r="AC199" s="373">
        <v>220.0</v>
      </c>
      <c r="AD199" s="193"/>
      <c r="AE199" s="377"/>
    </row>
    <row r="200">
      <c r="A200" s="373" t="s">
        <v>655</v>
      </c>
      <c r="B200" s="373">
        <v>3.0</v>
      </c>
      <c r="C200" s="373">
        <v>223.0</v>
      </c>
      <c r="D200" s="373" t="s">
        <v>568</v>
      </c>
      <c r="E200" s="373">
        <v>1.0</v>
      </c>
      <c r="F200" s="389">
        <v>45469.66527777778</v>
      </c>
      <c r="G200" s="373">
        <v>1.0</v>
      </c>
      <c r="H200" s="373">
        <v>51.3741</v>
      </c>
      <c r="I200" s="373">
        <v>7.89292</v>
      </c>
      <c r="J200" s="373">
        <v>-24.026156</v>
      </c>
      <c r="K200" s="373">
        <v>-22.321569</v>
      </c>
      <c r="L200" s="373">
        <v>1098.63</v>
      </c>
      <c r="M200" s="373">
        <v>66.000922</v>
      </c>
      <c r="N200" s="373">
        <v>11646.13003</v>
      </c>
      <c r="O200" s="373">
        <v>11647.2736</v>
      </c>
      <c r="P200" s="376">
        <v>2061.320237</v>
      </c>
      <c r="Q200" s="376" t="s">
        <v>12</v>
      </c>
      <c r="R200" s="376" t="s">
        <v>539</v>
      </c>
      <c r="S200" s="376">
        <v>10.0</v>
      </c>
      <c r="T200" s="376">
        <v>5.0</v>
      </c>
      <c r="U200" s="376">
        <v>0.7</v>
      </c>
      <c r="V200" s="376">
        <v>0.7</v>
      </c>
      <c r="W200" s="376">
        <v>0.7</v>
      </c>
      <c r="X200" s="373">
        <v>2000.0</v>
      </c>
      <c r="Y200" s="373" t="s">
        <v>540</v>
      </c>
      <c r="Z200" s="373">
        <v>0.2</v>
      </c>
      <c r="AA200" s="373" t="s">
        <v>541</v>
      </c>
      <c r="AB200" s="373" t="s">
        <v>542</v>
      </c>
      <c r="AC200" s="373">
        <v>220.0</v>
      </c>
      <c r="AD200" s="193"/>
      <c r="AE200" s="377"/>
    </row>
    <row r="201">
      <c r="A201" s="373" t="s">
        <v>657</v>
      </c>
      <c r="B201" s="373">
        <v>4.0</v>
      </c>
      <c r="C201" s="373">
        <v>261.0</v>
      </c>
      <c r="D201" s="373" t="s">
        <v>571</v>
      </c>
      <c r="E201" s="373">
        <v>1.0</v>
      </c>
      <c r="F201" s="389">
        <v>45469.66875</v>
      </c>
      <c r="G201" s="373">
        <v>1.0</v>
      </c>
      <c r="H201" s="373">
        <v>51.3807</v>
      </c>
      <c r="I201" s="373">
        <v>7.84597</v>
      </c>
      <c r="J201" s="373">
        <v>-24.0797</v>
      </c>
      <c r="K201" s="373">
        <v>-22.14715</v>
      </c>
      <c r="L201" s="373">
        <v>1097.77</v>
      </c>
      <c r="M201" s="373">
        <v>66.000514</v>
      </c>
      <c r="N201" s="373">
        <v>11654.7831</v>
      </c>
      <c r="O201" s="373">
        <v>11683.20763</v>
      </c>
      <c r="P201" s="376">
        <v>2067.663259</v>
      </c>
      <c r="Q201" s="376" t="s">
        <v>12</v>
      </c>
      <c r="R201" s="376" t="s">
        <v>553</v>
      </c>
      <c r="S201" s="376">
        <v>10.0</v>
      </c>
      <c r="T201" s="376">
        <v>5.0</v>
      </c>
      <c r="U201" s="376">
        <v>0.7</v>
      </c>
      <c r="V201" s="376">
        <v>0.7</v>
      </c>
      <c r="W201" s="376">
        <v>0.7</v>
      </c>
      <c r="X201" s="373">
        <v>2000.0</v>
      </c>
      <c r="Y201" s="373" t="s">
        <v>540</v>
      </c>
      <c r="Z201" s="373">
        <v>0.2</v>
      </c>
      <c r="AA201" s="373" t="s">
        <v>541</v>
      </c>
      <c r="AB201" s="373" t="s">
        <v>542</v>
      </c>
      <c r="AC201" s="373">
        <v>220.0</v>
      </c>
      <c r="AD201" s="193"/>
      <c r="AE201" s="377"/>
    </row>
    <row r="202">
      <c r="A202" s="373" t="s">
        <v>658</v>
      </c>
      <c r="B202" s="373">
        <v>4.0</v>
      </c>
      <c r="C202" s="373">
        <v>261.0</v>
      </c>
      <c r="D202" s="373" t="s">
        <v>571</v>
      </c>
      <c r="E202" s="373">
        <v>1.0</v>
      </c>
      <c r="F202" s="389">
        <v>45469.67152777778</v>
      </c>
      <c r="G202" s="373">
        <v>1.0</v>
      </c>
      <c r="H202" s="373">
        <v>51.3741</v>
      </c>
      <c r="I202" s="373">
        <v>7.95531</v>
      </c>
      <c r="J202" s="373">
        <v>-24.047625</v>
      </c>
      <c r="K202" s="373">
        <v>-22.395831</v>
      </c>
      <c r="L202" s="373">
        <v>1078.66</v>
      </c>
      <c r="M202" s="373">
        <v>68.999526</v>
      </c>
      <c r="N202" s="373">
        <v>11689.3963</v>
      </c>
      <c r="O202" s="373">
        <v>11683.20763</v>
      </c>
      <c r="P202" s="376">
        <v>2067.663259</v>
      </c>
      <c r="Q202" s="376" t="s">
        <v>12</v>
      </c>
      <c r="R202" s="376" t="s">
        <v>539</v>
      </c>
      <c r="S202" s="376">
        <v>10.0</v>
      </c>
      <c r="T202" s="376">
        <v>5.0</v>
      </c>
      <c r="U202" s="376">
        <v>0.7</v>
      </c>
      <c r="V202" s="376">
        <v>0.7</v>
      </c>
      <c r="W202" s="376">
        <v>0.7</v>
      </c>
      <c r="X202" s="373">
        <v>2000.0</v>
      </c>
      <c r="Y202" s="373" t="s">
        <v>540</v>
      </c>
      <c r="Z202" s="373">
        <v>0.2</v>
      </c>
      <c r="AA202" s="373" t="s">
        <v>541</v>
      </c>
      <c r="AB202" s="373" t="s">
        <v>542</v>
      </c>
      <c r="AC202" s="373">
        <v>220.0</v>
      </c>
      <c r="AD202" s="193"/>
      <c r="AE202" s="377"/>
    </row>
    <row r="203">
      <c r="A203" s="373" t="s">
        <v>715</v>
      </c>
      <c r="B203" s="373">
        <v>4.0</v>
      </c>
      <c r="C203" s="373">
        <v>261.0</v>
      </c>
      <c r="D203" s="373" t="s">
        <v>571</v>
      </c>
      <c r="E203" s="373">
        <v>1.0</v>
      </c>
      <c r="F203" s="389">
        <v>45469.674305555556</v>
      </c>
      <c r="G203" s="373">
        <v>1.0</v>
      </c>
      <c r="H203" s="373">
        <v>51.3675</v>
      </c>
      <c r="I203" s="373">
        <v>8.01057</v>
      </c>
      <c r="J203" s="373">
        <v>-23.959838</v>
      </c>
      <c r="K203" s="373">
        <v>-22.156031</v>
      </c>
      <c r="L203" s="373">
        <v>1065.22</v>
      </c>
      <c r="M203" s="373">
        <v>64.500499</v>
      </c>
      <c r="N203" s="373">
        <v>11677.01897</v>
      </c>
      <c r="O203" s="373">
        <v>11683.20763</v>
      </c>
      <c r="P203" s="376">
        <v>2067.663259</v>
      </c>
      <c r="Q203" s="376" t="s">
        <v>12</v>
      </c>
      <c r="R203" s="376" t="s">
        <v>539</v>
      </c>
      <c r="S203" s="376">
        <v>10.0</v>
      </c>
      <c r="T203" s="376">
        <v>5.0</v>
      </c>
      <c r="U203" s="376">
        <v>0.7</v>
      </c>
      <c r="V203" s="376">
        <v>0.7</v>
      </c>
      <c r="W203" s="376">
        <v>0.7</v>
      </c>
      <c r="X203" s="373">
        <v>2000.0</v>
      </c>
      <c r="Y203" s="373" t="s">
        <v>540</v>
      </c>
      <c r="Z203" s="373">
        <v>0.2</v>
      </c>
      <c r="AA203" s="373" t="s">
        <v>541</v>
      </c>
      <c r="AB203" s="373" t="s">
        <v>542</v>
      </c>
      <c r="AC203" s="373">
        <v>220.0</v>
      </c>
      <c r="AD203" s="193"/>
      <c r="AE203" s="377"/>
    </row>
    <row r="204">
      <c r="A204" s="373" t="s">
        <v>659</v>
      </c>
      <c r="B204" s="373">
        <v>5.0</v>
      </c>
      <c r="C204" s="373">
        <v>262.0</v>
      </c>
      <c r="D204" s="373" t="s">
        <v>575</v>
      </c>
      <c r="E204" s="373">
        <v>1.0</v>
      </c>
      <c r="F204" s="389">
        <v>45469.677083333336</v>
      </c>
      <c r="G204" s="373">
        <v>1.0</v>
      </c>
      <c r="H204" s="373">
        <v>51.3741</v>
      </c>
      <c r="I204" s="373">
        <v>7.86326</v>
      </c>
      <c r="J204" s="373">
        <v>-24.083612</v>
      </c>
      <c r="K204" s="373">
        <v>-22.300525</v>
      </c>
      <c r="L204" s="373">
        <v>1086.5</v>
      </c>
      <c r="M204" s="373">
        <v>68.501087</v>
      </c>
      <c r="N204" s="373">
        <v>11695.01744</v>
      </c>
      <c r="O204" s="373">
        <v>11666.26712</v>
      </c>
      <c r="P204" s="376">
        <v>2064.672946</v>
      </c>
      <c r="Q204" s="376" t="s">
        <v>12</v>
      </c>
      <c r="R204" s="376" t="s">
        <v>553</v>
      </c>
      <c r="S204" s="376">
        <v>10.0</v>
      </c>
      <c r="T204" s="376">
        <v>5.0</v>
      </c>
      <c r="U204" s="376">
        <v>0.7</v>
      </c>
      <c r="V204" s="376">
        <v>0.7</v>
      </c>
      <c r="W204" s="376">
        <v>0.7</v>
      </c>
      <c r="X204" s="373">
        <v>2000.0</v>
      </c>
      <c r="Y204" s="373" t="s">
        <v>540</v>
      </c>
      <c r="Z204" s="373">
        <v>0.2</v>
      </c>
      <c r="AA204" s="373" t="s">
        <v>541</v>
      </c>
      <c r="AB204" s="373" t="s">
        <v>542</v>
      </c>
      <c r="AC204" s="373">
        <v>220.0</v>
      </c>
      <c r="AD204" s="193"/>
      <c r="AE204" s="377"/>
    </row>
    <row r="205">
      <c r="A205" s="373" t="s">
        <v>660</v>
      </c>
      <c r="B205" s="373">
        <v>5.0</v>
      </c>
      <c r="C205" s="373">
        <v>262.0</v>
      </c>
      <c r="D205" s="373" t="s">
        <v>575</v>
      </c>
      <c r="E205" s="373">
        <v>1.0</v>
      </c>
      <c r="F205" s="389">
        <v>45469.67986111111</v>
      </c>
      <c r="G205" s="373">
        <v>1.0</v>
      </c>
      <c r="H205" s="373">
        <v>51.3741</v>
      </c>
      <c r="I205" s="373">
        <v>7.99642</v>
      </c>
      <c r="J205" s="373">
        <v>-24.089263</v>
      </c>
      <c r="K205" s="373">
        <v>-22.56625</v>
      </c>
      <c r="L205" s="373">
        <v>1060.44</v>
      </c>
      <c r="M205" s="373">
        <v>69.500313</v>
      </c>
      <c r="N205" s="373">
        <v>11670.28773</v>
      </c>
      <c r="O205" s="373">
        <v>11666.26712</v>
      </c>
      <c r="P205" s="376">
        <v>2064.672946</v>
      </c>
      <c r="Q205" s="376" t="s">
        <v>12</v>
      </c>
      <c r="R205" s="376" t="s">
        <v>553</v>
      </c>
      <c r="S205" s="376">
        <v>10.0</v>
      </c>
      <c r="T205" s="376">
        <v>5.0</v>
      </c>
      <c r="U205" s="376">
        <v>0.7</v>
      </c>
      <c r="V205" s="376">
        <v>0.7</v>
      </c>
      <c r="W205" s="376">
        <v>0.7</v>
      </c>
      <c r="X205" s="373">
        <v>2000.0</v>
      </c>
      <c r="Y205" s="373" t="s">
        <v>540</v>
      </c>
      <c r="Z205" s="373">
        <v>0.2</v>
      </c>
      <c r="AA205" s="373" t="s">
        <v>541</v>
      </c>
      <c r="AB205" s="373" t="s">
        <v>542</v>
      </c>
      <c r="AC205" s="373">
        <v>220.0</v>
      </c>
      <c r="AD205" s="193"/>
      <c r="AE205" s="377"/>
    </row>
    <row r="206">
      <c r="A206" s="373" t="s">
        <v>661</v>
      </c>
      <c r="B206" s="373">
        <v>5.0</v>
      </c>
      <c r="C206" s="373">
        <v>262.0</v>
      </c>
      <c r="D206" s="373" t="s">
        <v>575</v>
      </c>
      <c r="E206" s="373">
        <v>1.0</v>
      </c>
      <c r="F206" s="389">
        <v>45469.68263888889</v>
      </c>
      <c r="G206" s="373">
        <v>1.0</v>
      </c>
      <c r="H206" s="373">
        <v>51.3741</v>
      </c>
      <c r="I206" s="373">
        <v>7.97943</v>
      </c>
      <c r="J206" s="373">
        <v>-24.03835</v>
      </c>
      <c r="K206" s="373">
        <v>-22.556612</v>
      </c>
      <c r="L206" s="373">
        <v>1082.51</v>
      </c>
      <c r="M206" s="373">
        <v>69.000041</v>
      </c>
      <c r="N206" s="373">
        <v>11698.16918</v>
      </c>
      <c r="O206" s="373">
        <v>11666.26712</v>
      </c>
      <c r="P206" s="376">
        <v>2064.672946</v>
      </c>
      <c r="Q206" s="376" t="s">
        <v>12</v>
      </c>
      <c r="R206" s="376" t="s">
        <v>553</v>
      </c>
      <c r="S206" s="376">
        <v>10.0</v>
      </c>
      <c r="T206" s="376">
        <v>5.0</v>
      </c>
      <c r="U206" s="376">
        <v>0.7</v>
      </c>
      <c r="V206" s="376">
        <v>0.7</v>
      </c>
      <c r="W206" s="376">
        <v>0.7</v>
      </c>
      <c r="X206" s="373">
        <v>2000.0</v>
      </c>
      <c r="Y206" s="373" t="s">
        <v>540</v>
      </c>
      <c r="Z206" s="373">
        <v>0.2</v>
      </c>
      <c r="AA206" s="373" t="s">
        <v>541</v>
      </c>
      <c r="AB206" s="373" t="s">
        <v>542</v>
      </c>
      <c r="AC206" s="373">
        <v>220.0</v>
      </c>
      <c r="AD206" s="193"/>
      <c r="AE206" s="377"/>
    </row>
    <row r="207">
      <c r="A207" s="373" t="s">
        <v>662</v>
      </c>
      <c r="B207" s="373">
        <v>5.0</v>
      </c>
      <c r="C207" s="373">
        <v>262.0</v>
      </c>
      <c r="D207" s="373" t="s">
        <v>575</v>
      </c>
      <c r="E207" s="373">
        <v>1.0</v>
      </c>
      <c r="F207" s="389">
        <v>45469.68541666667</v>
      </c>
      <c r="G207" s="373">
        <v>1.0</v>
      </c>
      <c r="H207" s="373">
        <v>51.3741</v>
      </c>
      <c r="I207" s="373">
        <v>7.95415</v>
      </c>
      <c r="J207" s="373">
        <v>-24.0208</v>
      </c>
      <c r="K207" s="373">
        <v>-21.970456</v>
      </c>
      <c r="L207" s="373">
        <v>1069.14</v>
      </c>
      <c r="M207" s="373">
        <v>62.999432</v>
      </c>
      <c r="N207" s="373">
        <v>11657.87635</v>
      </c>
      <c r="O207" s="373">
        <v>11666.26712</v>
      </c>
      <c r="P207" s="376">
        <v>2064.672946</v>
      </c>
      <c r="Q207" s="376" t="s">
        <v>12</v>
      </c>
      <c r="R207" s="376" t="s">
        <v>539</v>
      </c>
      <c r="S207" s="376">
        <v>10.0</v>
      </c>
      <c r="T207" s="376">
        <v>5.0</v>
      </c>
      <c r="U207" s="376">
        <v>0.7</v>
      </c>
      <c r="V207" s="376">
        <v>0.7</v>
      </c>
      <c r="W207" s="376">
        <v>0.7</v>
      </c>
      <c r="X207" s="373">
        <v>2000.0</v>
      </c>
      <c r="Y207" s="373" t="s">
        <v>540</v>
      </c>
      <c r="Z207" s="373">
        <v>0.2</v>
      </c>
      <c r="AA207" s="373" t="s">
        <v>541</v>
      </c>
      <c r="AB207" s="373" t="s">
        <v>542</v>
      </c>
      <c r="AC207" s="373">
        <v>220.0</v>
      </c>
      <c r="AD207" s="193"/>
      <c r="AE207" s="377"/>
    </row>
    <row r="208">
      <c r="A208" s="373" t="s">
        <v>663</v>
      </c>
      <c r="B208" s="373">
        <v>5.0</v>
      </c>
      <c r="C208" s="373">
        <v>262.0</v>
      </c>
      <c r="D208" s="373" t="s">
        <v>575</v>
      </c>
      <c r="E208" s="373">
        <v>1.0</v>
      </c>
      <c r="F208" s="389">
        <v>45469.68819444445</v>
      </c>
      <c r="G208" s="373">
        <v>1.0</v>
      </c>
      <c r="H208" s="373">
        <v>51.3708</v>
      </c>
      <c r="I208" s="373">
        <v>7.91227</v>
      </c>
      <c r="J208" s="373">
        <v>-23.785456</v>
      </c>
      <c r="K208" s="373">
        <v>-22.305419</v>
      </c>
      <c r="L208" s="373">
        <v>1080.3</v>
      </c>
      <c r="M208" s="373">
        <v>68.498617</v>
      </c>
      <c r="N208" s="373">
        <v>11674.6579</v>
      </c>
      <c r="O208" s="373">
        <v>11666.26712</v>
      </c>
      <c r="P208" s="376">
        <v>2064.672946</v>
      </c>
      <c r="Q208" s="376" t="s">
        <v>12</v>
      </c>
      <c r="R208" s="376" t="s">
        <v>539</v>
      </c>
      <c r="S208" s="376">
        <v>10.0</v>
      </c>
      <c r="T208" s="376">
        <v>5.0</v>
      </c>
      <c r="U208" s="376">
        <v>0.7</v>
      </c>
      <c r="V208" s="376">
        <v>0.7</v>
      </c>
      <c r="W208" s="376">
        <v>0.7</v>
      </c>
      <c r="X208" s="373">
        <v>2000.0</v>
      </c>
      <c r="Y208" s="373" t="s">
        <v>540</v>
      </c>
      <c r="Z208" s="373">
        <v>0.2</v>
      </c>
      <c r="AA208" s="373" t="s">
        <v>541</v>
      </c>
      <c r="AB208" s="373" t="s">
        <v>542</v>
      </c>
      <c r="AC208" s="373">
        <v>220.0</v>
      </c>
      <c r="AD208" s="193"/>
      <c r="AE208" s="377"/>
    </row>
    <row r="209">
      <c r="A209" s="373" t="s">
        <v>664</v>
      </c>
      <c r="B209" s="373">
        <v>6.0</v>
      </c>
      <c r="C209" s="373" t="s">
        <v>678</v>
      </c>
      <c r="D209" s="373" t="s">
        <v>579</v>
      </c>
      <c r="E209" s="373">
        <v>1.0</v>
      </c>
      <c r="F209" s="389">
        <v>45469.691666666666</v>
      </c>
      <c r="G209" s="373">
        <v>1.0</v>
      </c>
      <c r="H209" s="373">
        <v>51.3807</v>
      </c>
      <c r="I209" s="373">
        <v>7.72939</v>
      </c>
      <c r="J209" s="373">
        <v>-23.841088</v>
      </c>
      <c r="K209" s="373">
        <v>-23.701206</v>
      </c>
      <c r="L209" s="373">
        <v>2.97846</v>
      </c>
      <c r="M209" s="373">
        <v>49.001844</v>
      </c>
      <c r="N209" s="373">
        <v>331.54593</v>
      </c>
      <c r="O209" s="373">
        <v>0.0</v>
      </c>
      <c r="P209" s="376">
        <v>0.0</v>
      </c>
      <c r="Q209" s="376" t="s">
        <v>280</v>
      </c>
      <c r="R209" s="376" t="s">
        <v>607</v>
      </c>
      <c r="S209" s="376">
        <v>10.0</v>
      </c>
      <c r="T209" s="376">
        <v>5.0</v>
      </c>
      <c r="U209" s="376">
        <v>0.7</v>
      </c>
      <c r="V209" s="376">
        <v>0.7</v>
      </c>
      <c r="W209" s="376">
        <v>0.7</v>
      </c>
      <c r="X209" s="373">
        <v>2000.0</v>
      </c>
      <c r="Y209" s="373" t="s">
        <v>540</v>
      </c>
      <c r="Z209" s="373">
        <v>0.2</v>
      </c>
      <c r="AA209" s="373" t="s">
        <v>541</v>
      </c>
      <c r="AB209" s="373" t="s">
        <v>542</v>
      </c>
      <c r="AC209" s="373">
        <v>220.0</v>
      </c>
      <c r="AD209" s="193"/>
      <c r="AE209" s="377"/>
    </row>
    <row r="210">
      <c r="A210" s="373" t="s">
        <v>665</v>
      </c>
      <c r="B210" s="373">
        <v>6.0</v>
      </c>
      <c r="C210" s="373" t="s">
        <v>678</v>
      </c>
      <c r="D210" s="373" t="s">
        <v>579</v>
      </c>
      <c r="E210" s="373">
        <v>1.0</v>
      </c>
      <c r="F210" s="389">
        <v>45469.694444444445</v>
      </c>
      <c r="G210" s="373">
        <v>1.0</v>
      </c>
      <c r="H210" s="373">
        <v>51.3774</v>
      </c>
      <c r="I210" s="373">
        <v>7.77027</v>
      </c>
      <c r="J210" s="373">
        <v>-24.125644</v>
      </c>
      <c r="K210" s="373">
        <v>-23.786006</v>
      </c>
      <c r="L210" s="373">
        <v>-2.64188</v>
      </c>
      <c r="M210" s="373">
        <v>48.999579</v>
      </c>
      <c r="N210" s="373">
        <v>281.081143</v>
      </c>
      <c r="O210" s="373">
        <v>0.0</v>
      </c>
      <c r="P210" s="376">
        <v>0.0</v>
      </c>
      <c r="Q210" s="376" t="s">
        <v>280</v>
      </c>
      <c r="R210" s="376" t="s">
        <v>607</v>
      </c>
      <c r="S210" s="376">
        <v>10.0</v>
      </c>
      <c r="T210" s="376">
        <v>5.0</v>
      </c>
      <c r="U210" s="376">
        <v>0.7</v>
      </c>
      <c r="V210" s="376">
        <v>0.7</v>
      </c>
      <c r="W210" s="376">
        <v>0.7</v>
      </c>
      <c r="X210" s="373">
        <v>2000.0</v>
      </c>
      <c r="Y210" s="373" t="s">
        <v>540</v>
      </c>
      <c r="Z210" s="373">
        <v>0.2</v>
      </c>
      <c r="AA210" s="373" t="s">
        <v>541</v>
      </c>
      <c r="AB210" s="373" t="s">
        <v>542</v>
      </c>
      <c r="AC210" s="373">
        <v>220.0</v>
      </c>
      <c r="AD210" s="193"/>
      <c r="AE210" s="377"/>
    </row>
    <row r="211">
      <c r="A211" s="373" t="s">
        <v>716</v>
      </c>
      <c r="B211" s="373">
        <v>6.0</v>
      </c>
      <c r="C211" s="373" t="s">
        <v>678</v>
      </c>
      <c r="D211" s="373" t="s">
        <v>579</v>
      </c>
      <c r="E211" s="373">
        <v>1.0</v>
      </c>
      <c r="F211" s="389">
        <v>45469.697222222225</v>
      </c>
      <c r="G211" s="373">
        <v>1.0</v>
      </c>
      <c r="H211" s="373">
        <v>51.3741</v>
      </c>
      <c r="I211" s="373">
        <v>7.71249</v>
      </c>
      <c r="J211" s="373">
        <v>-24.092125</v>
      </c>
      <c r="K211" s="373">
        <v>-23.907444</v>
      </c>
      <c r="L211" s="373">
        <v>-3.41343</v>
      </c>
      <c r="M211" s="373">
        <v>50.000908</v>
      </c>
      <c r="N211" s="373">
        <v>276.091745</v>
      </c>
      <c r="O211" s="373">
        <v>0.0</v>
      </c>
      <c r="P211" s="376">
        <v>0.0</v>
      </c>
      <c r="Q211" s="376" t="s">
        <v>280</v>
      </c>
      <c r="R211" s="376" t="s">
        <v>607</v>
      </c>
      <c r="S211" s="376">
        <v>10.0</v>
      </c>
      <c r="T211" s="376">
        <v>5.0</v>
      </c>
      <c r="U211" s="376">
        <v>0.7</v>
      </c>
      <c r="V211" s="376">
        <v>0.7</v>
      </c>
      <c r="W211" s="376">
        <v>0.7</v>
      </c>
      <c r="X211" s="373">
        <v>2000.0</v>
      </c>
      <c r="Y211" s="373" t="s">
        <v>540</v>
      </c>
      <c r="Z211" s="373">
        <v>0.2</v>
      </c>
      <c r="AA211" s="373" t="s">
        <v>541</v>
      </c>
      <c r="AB211" s="373" t="s">
        <v>542</v>
      </c>
      <c r="AC211" s="373">
        <v>220.0</v>
      </c>
      <c r="AD211" s="193"/>
      <c r="AE211" s="377"/>
    </row>
    <row r="212">
      <c r="A212" s="373" t="s">
        <v>717</v>
      </c>
      <c r="B212" s="373">
        <v>6.0</v>
      </c>
      <c r="C212" s="373" t="s">
        <v>678</v>
      </c>
      <c r="D212" s="373" t="s">
        <v>579</v>
      </c>
      <c r="E212" s="373">
        <v>1.0</v>
      </c>
      <c r="F212" s="389">
        <v>45469.69930555556</v>
      </c>
      <c r="G212" s="373">
        <v>1.0</v>
      </c>
      <c r="H212" s="373">
        <v>51.3807</v>
      </c>
      <c r="I212" s="373">
        <v>7.83476</v>
      </c>
      <c r="J212" s="373">
        <v>-24.214081</v>
      </c>
      <c r="K212" s="373">
        <v>-23.892412</v>
      </c>
      <c r="L212" s="373">
        <v>-3.75987</v>
      </c>
      <c r="M212" s="373">
        <v>48.500332</v>
      </c>
      <c r="N212" s="373">
        <v>271.921222</v>
      </c>
      <c r="O212" s="373">
        <v>0.0</v>
      </c>
      <c r="P212" s="376">
        <v>0.0</v>
      </c>
      <c r="Q212" s="376" t="s">
        <v>280</v>
      </c>
      <c r="R212" s="376" t="s">
        <v>607</v>
      </c>
      <c r="S212" s="376">
        <v>10.0</v>
      </c>
      <c r="T212" s="376">
        <v>5.0</v>
      </c>
      <c r="U212" s="376">
        <v>0.7</v>
      </c>
      <c r="V212" s="376">
        <v>0.7</v>
      </c>
      <c r="W212" s="376">
        <v>0.7</v>
      </c>
      <c r="X212" s="373">
        <v>2000.0</v>
      </c>
      <c r="Y212" s="373" t="s">
        <v>540</v>
      </c>
      <c r="Z212" s="373">
        <v>0.2</v>
      </c>
      <c r="AA212" s="373" t="s">
        <v>541</v>
      </c>
      <c r="AB212" s="373" t="s">
        <v>542</v>
      </c>
      <c r="AC212" s="373">
        <v>220.0</v>
      </c>
      <c r="AD212" s="193"/>
      <c r="AE212" s="377"/>
    </row>
    <row r="213">
      <c r="A213" s="373" t="s">
        <v>718</v>
      </c>
      <c r="B213" s="373">
        <v>6.0</v>
      </c>
      <c r="C213" s="373" t="s">
        <v>678</v>
      </c>
      <c r="D213" s="373" t="s">
        <v>579</v>
      </c>
      <c r="E213" s="373">
        <v>1.0</v>
      </c>
      <c r="F213" s="389">
        <v>45469.70208333333</v>
      </c>
      <c r="G213" s="373">
        <v>1.0</v>
      </c>
      <c r="H213" s="373">
        <v>51.3774</v>
      </c>
      <c r="I213" s="373">
        <v>7.76613</v>
      </c>
      <c r="J213" s="373">
        <v>-24.156213</v>
      </c>
      <c r="K213" s="373">
        <v>-23.941575</v>
      </c>
      <c r="L213" s="373">
        <v>-3.80711</v>
      </c>
      <c r="M213" s="373">
        <v>48.998538</v>
      </c>
      <c r="N213" s="373">
        <v>268.07927</v>
      </c>
      <c r="O213" s="373">
        <v>0.0</v>
      </c>
      <c r="P213" s="376">
        <v>0.0</v>
      </c>
      <c r="Q213" s="376" t="s">
        <v>280</v>
      </c>
      <c r="R213" s="376" t="s">
        <v>607</v>
      </c>
      <c r="S213" s="376">
        <v>10.0</v>
      </c>
      <c r="T213" s="376">
        <v>5.0</v>
      </c>
      <c r="U213" s="376">
        <v>0.7</v>
      </c>
      <c r="V213" s="376">
        <v>0.7</v>
      </c>
      <c r="W213" s="376">
        <v>0.7</v>
      </c>
      <c r="X213" s="373">
        <v>2000.0</v>
      </c>
      <c r="Y213" s="373" t="s">
        <v>540</v>
      </c>
      <c r="Z213" s="373">
        <v>0.2</v>
      </c>
      <c r="AA213" s="373" t="s">
        <v>541</v>
      </c>
      <c r="AB213" s="373" t="s">
        <v>542</v>
      </c>
      <c r="AC213" s="373">
        <v>220.0</v>
      </c>
      <c r="AD213" s="193"/>
      <c r="AE213" s="377"/>
    </row>
    <row r="214">
      <c r="A214" s="373" t="s">
        <v>719</v>
      </c>
      <c r="B214" s="373">
        <v>6.0</v>
      </c>
      <c r="C214" s="373" t="s">
        <v>678</v>
      </c>
      <c r="D214" s="373" t="s">
        <v>579</v>
      </c>
      <c r="E214" s="373">
        <v>1.0</v>
      </c>
      <c r="F214" s="389">
        <v>45469.70486111111</v>
      </c>
      <c r="G214" s="373">
        <v>2.0</v>
      </c>
      <c r="H214" s="373">
        <v>51.3807</v>
      </c>
      <c r="I214" s="373">
        <v>7.85222</v>
      </c>
      <c r="J214" s="373">
        <v>-24.153587</v>
      </c>
      <c r="K214" s="373">
        <v>-22.807063</v>
      </c>
      <c r="L214" s="373">
        <v>771.676</v>
      </c>
      <c r="M214" s="373">
        <v>65.500107</v>
      </c>
      <c r="N214" s="373">
        <v>7957.405645</v>
      </c>
      <c r="O214" s="373">
        <v>11658.58137</v>
      </c>
      <c r="P214" s="376">
        <v>2063.316269</v>
      </c>
      <c r="Q214" s="376" t="s">
        <v>12</v>
      </c>
      <c r="R214" s="376" t="s">
        <v>553</v>
      </c>
      <c r="S214" s="376">
        <v>10.0</v>
      </c>
      <c r="T214" s="376">
        <v>5.0</v>
      </c>
      <c r="U214" s="376">
        <v>0.7</v>
      </c>
      <c r="V214" s="376">
        <v>0.7</v>
      </c>
      <c r="W214" s="376">
        <v>0.7</v>
      </c>
      <c r="X214" s="373">
        <v>2000.0</v>
      </c>
      <c r="Y214" s="373" t="s">
        <v>540</v>
      </c>
      <c r="Z214" s="373">
        <v>0.2</v>
      </c>
      <c r="AA214" s="373" t="s">
        <v>541</v>
      </c>
      <c r="AB214" s="373" t="s">
        <v>542</v>
      </c>
      <c r="AC214" s="373">
        <v>220.0</v>
      </c>
      <c r="AD214" s="193"/>
      <c r="AE214" s="377"/>
    </row>
    <row r="215">
      <c r="A215" s="373" t="s">
        <v>720</v>
      </c>
      <c r="B215" s="373">
        <v>6.0</v>
      </c>
      <c r="C215" s="373" t="s">
        <v>678</v>
      </c>
      <c r="D215" s="373" t="s">
        <v>579</v>
      </c>
      <c r="E215" s="373">
        <v>1.0</v>
      </c>
      <c r="F215" s="389">
        <v>45469.70763888889</v>
      </c>
      <c r="G215" s="373">
        <v>2.0</v>
      </c>
      <c r="H215" s="373">
        <v>51.3741</v>
      </c>
      <c r="I215" s="373">
        <v>7.89489</v>
      </c>
      <c r="J215" s="373">
        <v>-24.107631</v>
      </c>
      <c r="K215" s="373">
        <v>-22.512531</v>
      </c>
      <c r="L215" s="373">
        <v>1073.31</v>
      </c>
      <c r="M215" s="373">
        <v>67.999741</v>
      </c>
      <c r="N215" s="373">
        <v>11653.58367</v>
      </c>
      <c r="O215" s="373">
        <v>11658.58137</v>
      </c>
      <c r="P215" s="376">
        <v>2063.316269</v>
      </c>
      <c r="Q215" s="376" t="s">
        <v>12</v>
      </c>
      <c r="R215" s="376" t="s">
        <v>539</v>
      </c>
      <c r="S215" s="376">
        <v>10.0</v>
      </c>
      <c r="T215" s="376">
        <v>5.0</v>
      </c>
      <c r="U215" s="376">
        <v>0.7</v>
      </c>
      <c r="V215" s="376">
        <v>0.7</v>
      </c>
      <c r="W215" s="376">
        <v>0.7</v>
      </c>
      <c r="X215" s="373">
        <v>2000.0</v>
      </c>
      <c r="Y215" s="373" t="s">
        <v>540</v>
      </c>
      <c r="Z215" s="373">
        <v>0.2</v>
      </c>
      <c r="AA215" s="373" t="s">
        <v>541</v>
      </c>
      <c r="AB215" s="373" t="s">
        <v>542</v>
      </c>
      <c r="AC215" s="373">
        <v>220.0</v>
      </c>
      <c r="AD215" s="193"/>
      <c r="AE215" s="377"/>
    </row>
    <row r="216">
      <c r="A216" s="373" t="s">
        <v>721</v>
      </c>
      <c r="B216" s="373">
        <v>6.0</v>
      </c>
      <c r="C216" s="373" t="s">
        <v>678</v>
      </c>
      <c r="D216" s="373" t="s">
        <v>579</v>
      </c>
      <c r="E216" s="373">
        <v>1.0</v>
      </c>
      <c r="F216" s="389">
        <v>45469.71041666667</v>
      </c>
      <c r="G216" s="373">
        <v>2.0</v>
      </c>
      <c r="H216" s="373">
        <v>51.3774</v>
      </c>
      <c r="I216" s="373">
        <v>7.92777</v>
      </c>
      <c r="J216" s="373">
        <v>-24.157756</v>
      </c>
      <c r="K216" s="373">
        <v>-22.412906</v>
      </c>
      <c r="L216" s="373">
        <v>1077.96</v>
      </c>
      <c r="M216" s="373">
        <v>67.998912</v>
      </c>
      <c r="N216" s="373">
        <v>11663.57907</v>
      </c>
      <c r="O216" s="373">
        <v>11658.58137</v>
      </c>
      <c r="P216" s="376">
        <v>2063.316269</v>
      </c>
      <c r="Q216" s="376" t="s">
        <v>12</v>
      </c>
      <c r="R216" s="376" t="s">
        <v>539</v>
      </c>
      <c r="S216" s="376">
        <v>10.0</v>
      </c>
      <c r="T216" s="376">
        <v>5.0</v>
      </c>
      <c r="U216" s="376">
        <v>0.7</v>
      </c>
      <c r="V216" s="376">
        <v>0.7</v>
      </c>
      <c r="W216" s="376">
        <v>0.7</v>
      </c>
      <c r="X216" s="373">
        <v>2000.0</v>
      </c>
      <c r="Y216" s="373" t="s">
        <v>540</v>
      </c>
      <c r="Z216" s="373">
        <v>0.2</v>
      </c>
      <c r="AA216" s="373" t="s">
        <v>541</v>
      </c>
      <c r="AB216" s="373" t="s">
        <v>542</v>
      </c>
      <c r="AC216" s="373">
        <v>220.0</v>
      </c>
      <c r="AD216" s="193"/>
      <c r="AE216" s="377"/>
    </row>
    <row r="217">
      <c r="A217" s="378" t="s">
        <v>722</v>
      </c>
      <c r="B217" s="378" t="s">
        <v>537</v>
      </c>
      <c r="C217" s="378" t="s">
        <v>678</v>
      </c>
      <c r="D217" s="378" t="s">
        <v>538</v>
      </c>
      <c r="E217" s="378">
        <v>1.0</v>
      </c>
      <c r="F217" s="390">
        <v>45469.714583333334</v>
      </c>
      <c r="G217" s="378">
        <v>1.0</v>
      </c>
      <c r="H217" s="378">
        <v>51.3807</v>
      </c>
      <c r="I217" s="378">
        <v>7.91416</v>
      </c>
      <c r="J217" s="378">
        <v>-23.922963</v>
      </c>
      <c r="K217" s="378">
        <v>-22.860681</v>
      </c>
      <c r="L217" s="378">
        <v>1078.14</v>
      </c>
      <c r="M217" s="378">
        <v>70.999688</v>
      </c>
      <c r="N217" s="378">
        <v>11679.89095</v>
      </c>
      <c r="O217" s="378">
        <v>11679.89095</v>
      </c>
      <c r="P217" s="380">
        <v>2067.077803</v>
      </c>
      <c r="Q217" s="376" t="s">
        <v>12</v>
      </c>
      <c r="R217" s="380" t="s">
        <v>539</v>
      </c>
      <c r="S217" s="380">
        <v>10.0</v>
      </c>
      <c r="T217" s="380">
        <v>5.0</v>
      </c>
      <c r="U217" s="380">
        <v>0.7</v>
      </c>
      <c r="V217" s="380">
        <v>0.7</v>
      </c>
      <c r="W217" s="380">
        <v>0.7</v>
      </c>
      <c r="X217" s="378">
        <v>2000.0</v>
      </c>
      <c r="Y217" s="378" t="s">
        <v>540</v>
      </c>
      <c r="Z217" s="378">
        <v>0.2</v>
      </c>
      <c r="AA217" s="378" t="s">
        <v>541</v>
      </c>
      <c r="AB217" s="378" t="s">
        <v>542</v>
      </c>
      <c r="AC217" s="378">
        <v>220.0</v>
      </c>
      <c r="AD217" s="193"/>
      <c r="AE217" s="377"/>
    </row>
    <row r="218">
      <c r="A218" s="373" t="s">
        <v>723</v>
      </c>
      <c r="B218" s="373" t="s">
        <v>537</v>
      </c>
      <c r="C218" s="373" t="s">
        <v>678</v>
      </c>
      <c r="D218" s="373" t="s">
        <v>538</v>
      </c>
      <c r="E218" s="373">
        <v>1.0</v>
      </c>
      <c r="F218" s="389">
        <v>45469.717361111114</v>
      </c>
      <c r="G218" s="373">
        <v>1.0</v>
      </c>
      <c r="H218" s="373">
        <v>51.3774</v>
      </c>
      <c r="I218" s="373">
        <v>7.7906</v>
      </c>
      <c r="J218" s="373">
        <v>-23.984344</v>
      </c>
      <c r="K218" s="373">
        <v>-22.240525</v>
      </c>
      <c r="L218" s="373">
        <v>1078.08</v>
      </c>
      <c r="M218" s="373">
        <v>67.000606</v>
      </c>
      <c r="N218" s="373">
        <v>11668.78657</v>
      </c>
      <c r="O218" s="373">
        <v>11668.78657</v>
      </c>
      <c r="P218" s="376">
        <v>2065.117674</v>
      </c>
      <c r="Q218" s="376" t="s">
        <v>12</v>
      </c>
      <c r="R218" s="376" t="s">
        <v>539</v>
      </c>
      <c r="S218" s="376">
        <v>10.0</v>
      </c>
      <c r="T218" s="376">
        <v>5.0</v>
      </c>
      <c r="U218" s="376">
        <v>0.7</v>
      </c>
      <c r="V218" s="376">
        <v>0.7</v>
      </c>
      <c r="W218" s="376">
        <v>0.7</v>
      </c>
      <c r="X218" s="373">
        <v>2000.0</v>
      </c>
      <c r="Y218" s="373" t="s">
        <v>540</v>
      </c>
      <c r="Z218" s="373">
        <v>0.2</v>
      </c>
      <c r="AA218" s="373" t="s">
        <v>541</v>
      </c>
      <c r="AB218" s="373" t="s">
        <v>542</v>
      </c>
      <c r="AC218" s="373">
        <v>220.0</v>
      </c>
      <c r="AD218" s="193"/>
      <c r="AE218" s="377"/>
    </row>
    <row r="219">
      <c r="A219" s="373" t="s">
        <v>724</v>
      </c>
      <c r="B219" s="373" t="s">
        <v>537</v>
      </c>
      <c r="C219" s="373" t="s">
        <v>678</v>
      </c>
      <c r="D219" s="373" t="s">
        <v>538</v>
      </c>
      <c r="E219" s="373">
        <v>1.0</v>
      </c>
      <c r="F219" s="389">
        <v>45469.71944444445</v>
      </c>
      <c r="G219" s="373">
        <v>1.0</v>
      </c>
      <c r="H219" s="373">
        <v>51.3741</v>
      </c>
      <c r="I219" s="373">
        <v>7.76527</v>
      </c>
      <c r="J219" s="373">
        <v>-24.067612</v>
      </c>
      <c r="K219" s="373">
        <v>-22.0737</v>
      </c>
      <c r="L219" s="373">
        <v>1079.75</v>
      </c>
      <c r="M219" s="373">
        <v>65.002036</v>
      </c>
      <c r="N219" s="373">
        <v>11664.71084</v>
      </c>
      <c r="O219" s="373">
        <v>11664.71084</v>
      </c>
      <c r="P219" s="376">
        <v>2064.398233</v>
      </c>
      <c r="Q219" s="376" t="s">
        <v>12</v>
      </c>
      <c r="R219" s="376" t="s">
        <v>539</v>
      </c>
      <c r="S219" s="376">
        <v>10.0</v>
      </c>
      <c r="T219" s="376">
        <v>5.0</v>
      </c>
      <c r="U219" s="376">
        <v>0.7</v>
      </c>
      <c r="V219" s="376">
        <v>0.7</v>
      </c>
      <c r="W219" s="376">
        <v>0.7</v>
      </c>
      <c r="X219" s="373">
        <v>2000.0</v>
      </c>
      <c r="Y219" s="373" t="s">
        <v>540</v>
      </c>
      <c r="Z219" s="373">
        <v>0.2</v>
      </c>
      <c r="AA219" s="373" t="s">
        <v>541</v>
      </c>
      <c r="AB219" s="373" t="s">
        <v>542</v>
      </c>
      <c r="AC219" s="373">
        <v>220.0</v>
      </c>
      <c r="AD219" s="193"/>
      <c r="AE219" s="377"/>
    </row>
    <row r="220">
      <c r="A220" s="391" t="s">
        <v>536</v>
      </c>
      <c r="B220" s="391" t="s">
        <v>537</v>
      </c>
      <c r="C220" s="392"/>
      <c r="D220" s="391" t="s">
        <v>538</v>
      </c>
      <c r="E220" s="391">
        <v>1.0</v>
      </c>
      <c r="F220" s="393">
        <v>45488.447916666664</v>
      </c>
      <c r="G220" s="391">
        <v>1.0</v>
      </c>
      <c r="H220" s="391">
        <v>51.3774</v>
      </c>
      <c r="I220" s="391">
        <v>18.5166</v>
      </c>
      <c r="J220" s="391">
        <v>-23.022044</v>
      </c>
      <c r="K220" s="391">
        <v>-21.495006</v>
      </c>
      <c r="L220" s="391">
        <v>998.598</v>
      </c>
      <c r="M220" s="391">
        <v>66.500293</v>
      </c>
      <c r="N220" s="391">
        <v>11211.9816</v>
      </c>
      <c r="O220" s="391">
        <v>11211.9816</v>
      </c>
      <c r="P220" s="394">
        <v>1984.48316</v>
      </c>
      <c r="Q220" s="376" t="s">
        <v>12</v>
      </c>
      <c r="R220" s="394" t="s">
        <v>539</v>
      </c>
      <c r="S220" s="394">
        <v>10.0</v>
      </c>
      <c r="T220" s="394">
        <v>5.0</v>
      </c>
      <c r="U220" s="394">
        <v>0.7</v>
      </c>
      <c r="V220" s="394">
        <v>0.7</v>
      </c>
      <c r="W220" s="394">
        <v>0.7</v>
      </c>
      <c r="X220" s="391">
        <v>2000.0</v>
      </c>
      <c r="Y220" s="391" t="s">
        <v>540</v>
      </c>
      <c r="Z220" s="391">
        <v>0.2</v>
      </c>
      <c r="AA220" s="391" t="s">
        <v>541</v>
      </c>
      <c r="AB220" s="391" t="s">
        <v>542</v>
      </c>
      <c r="AC220" s="391">
        <v>220.0</v>
      </c>
      <c r="AD220" s="193"/>
      <c r="AE220" s="377"/>
    </row>
    <row r="221">
      <c r="A221" s="391" t="s">
        <v>543</v>
      </c>
      <c r="B221" s="391" t="s">
        <v>537</v>
      </c>
      <c r="C221" s="392"/>
      <c r="D221" s="391" t="s">
        <v>538</v>
      </c>
      <c r="E221" s="391">
        <v>1.0</v>
      </c>
      <c r="F221" s="393">
        <v>45488.450694444444</v>
      </c>
      <c r="G221" s="391">
        <v>1.0</v>
      </c>
      <c r="H221" s="391">
        <v>51.3807</v>
      </c>
      <c r="I221" s="391">
        <v>19.4338</v>
      </c>
      <c r="J221" s="391">
        <v>-23.465938</v>
      </c>
      <c r="K221" s="391">
        <v>-21.878344</v>
      </c>
      <c r="L221" s="391">
        <v>989.884</v>
      </c>
      <c r="M221" s="391">
        <v>64.498483</v>
      </c>
      <c r="N221" s="391">
        <v>11179.4578</v>
      </c>
      <c r="O221" s="391">
        <v>11179.4578</v>
      </c>
      <c r="P221" s="394">
        <v>1978.74211</v>
      </c>
      <c r="Q221" s="376" t="s">
        <v>12</v>
      </c>
      <c r="R221" s="394" t="s">
        <v>539</v>
      </c>
      <c r="S221" s="394">
        <v>10.0</v>
      </c>
      <c r="T221" s="394">
        <v>5.0</v>
      </c>
      <c r="U221" s="394">
        <v>0.7</v>
      </c>
      <c r="V221" s="394">
        <v>0.7</v>
      </c>
      <c r="W221" s="394">
        <v>0.7</v>
      </c>
      <c r="X221" s="391">
        <v>2000.0</v>
      </c>
      <c r="Y221" s="391" t="s">
        <v>540</v>
      </c>
      <c r="Z221" s="391">
        <v>0.2</v>
      </c>
      <c r="AA221" s="391" t="s">
        <v>541</v>
      </c>
      <c r="AB221" s="391" t="s">
        <v>542</v>
      </c>
      <c r="AC221" s="391">
        <v>220.0</v>
      </c>
      <c r="AD221" s="193"/>
      <c r="AE221" s="377"/>
    </row>
    <row r="222">
      <c r="A222" s="391" t="s">
        <v>544</v>
      </c>
      <c r="B222" s="391" t="s">
        <v>537</v>
      </c>
      <c r="C222" s="392"/>
      <c r="D222" s="391" t="s">
        <v>538</v>
      </c>
      <c r="E222" s="391">
        <v>1.0</v>
      </c>
      <c r="F222" s="393">
        <v>45488.45277777778</v>
      </c>
      <c r="G222" s="391">
        <v>1.0</v>
      </c>
      <c r="H222" s="391">
        <v>51.3807</v>
      </c>
      <c r="I222" s="391">
        <v>18.1954</v>
      </c>
      <c r="J222" s="391">
        <v>-23.487031</v>
      </c>
      <c r="K222" s="391">
        <v>-21.917375</v>
      </c>
      <c r="L222" s="391">
        <v>997.703</v>
      </c>
      <c r="M222" s="391">
        <v>68.00051</v>
      </c>
      <c r="N222" s="391">
        <v>11147.3417</v>
      </c>
      <c r="O222" s="391">
        <v>11147.3417</v>
      </c>
      <c r="P222" s="394">
        <v>1973.07301</v>
      </c>
      <c r="Q222" s="376" t="s">
        <v>12</v>
      </c>
      <c r="R222" s="394" t="s">
        <v>539</v>
      </c>
      <c r="S222" s="394">
        <v>10.0</v>
      </c>
      <c r="T222" s="394">
        <v>5.0</v>
      </c>
      <c r="U222" s="394">
        <v>0.7</v>
      </c>
      <c r="V222" s="394">
        <v>0.7</v>
      </c>
      <c r="W222" s="394">
        <v>0.7</v>
      </c>
      <c r="X222" s="391">
        <v>2000.0</v>
      </c>
      <c r="Y222" s="391" t="s">
        <v>540</v>
      </c>
      <c r="Z222" s="391">
        <v>0.2</v>
      </c>
      <c r="AA222" s="391" t="s">
        <v>541</v>
      </c>
      <c r="AB222" s="391" t="s">
        <v>542</v>
      </c>
      <c r="AC222" s="391">
        <v>220.0</v>
      </c>
      <c r="AD222" s="193"/>
      <c r="AE222" s="377"/>
    </row>
    <row r="223">
      <c r="A223" s="391" t="s">
        <v>545</v>
      </c>
      <c r="B223" s="391" t="s">
        <v>537</v>
      </c>
      <c r="C223" s="392"/>
      <c r="D223" s="391" t="s">
        <v>538</v>
      </c>
      <c r="E223" s="391">
        <v>1.0</v>
      </c>
      <c r="F223" s="393">
        <v>45488.455555555556</v>
      </c>
      <c r="G223" s="391">
        <v>1.0</v>
      </c>
      <c r="H223" s="391">
        <v>51.3774</v>
      </c>
      <c r="I223" s="391">
        <v>15.7221</v>
      </c>
      <c r="J223" s="391">
        <v>-23.601994</v>
      </c>
      <c r="K223" s="391">
        <v>-22.560212</v>
      </c>
      <c r="L223" s="391">
        <v>1001.53</v>
      </c>
      <c r="M223" s="391">
        <v>72.500315</v>
      </c>
      <c r="N223" s="391">
        <v>11248.7004</v>
      </c>
      <c r="O223" s="391">
        <v>11248.7004</v>
      </c>
      <c r="P223" s="394">
        <v>1990.96471</v>
      </c>
      <c r="Q223" s="376" t="s">
        <v>12</v>
      </c>
      <c r="R223" s="394" t="s">
        <v>539</v>
      </c>
      <c r="S223" s="394">
        <v>10.0</v>
      </c>
      <c r="T223" s="394">
        <v>5.0</v>
      </c>
      <c r="U223" s="394">
        <v>0.7</v>
      </c>
      <c r="V223" s="394">
        <v>0.7</v>
      </c>
      <c r="W223" s="394">
        <v>0.7</v>
      </c>
      <c r="X223" s="391">
        <v>2000.0</v>
      </c>
      <c r="Y223" s="391" t="s">
        <v>540</v>
      </c>
      <c r="Z223" s="391">
        <v>0.2</v>
      </c>
      <c r="AA223" s="391" t="s">
        <v>541</v>
      </c>
      <c r="AB223" s="391" t="s">
        <v>542</v>
      </c>
      <c r="AC223" s="391">
        <v>220.0</v>
      </c>
      <c r="AD223" s="193"/>
      <c r="AE223" s="377"/>
    </row>
    <row r="224">
      <c r="A224" s="391" t="s">
        <v>546</v>
      </c>
      <c r="B224" s="391" t="s">
        <v>537</v>
      </c>
      <c r="C224" s="392"/>
      <c r="D224" s="391" t="s">
        <v>538</v>
      </c>
      <c r="E224" s="391">
        <v>1.0</v>
      </c>
      <c r="F224" s="393">
        <v>45488.458333333336</v>
      </c>
      <c r="G224" s="391">
        <v>1.0</v>
      </c>
      <c r="H224" s="391">
        <v>51.384</v>
      </c>
      <c r="I224" s="391">
        <v>14.3162</v>
      </c>
      <c r="J224" s="391">
        <v>-23.652219</v>
      </c>
      <c r="K224" s="391">
        <v>-22.145544</v>
      </c>
      <c r="L224" s="391">
        <v>1003.35</v>
      </c>
      <c r="M224" s="391">
        <v>70.001486</v>
      </c>
      <c r="N224" s="391">
        <v>11242.2281</v>
      </c>
      <c r="O224" s="391">
        <v>11242.2281</v>
      </c>
      <c r="P224" s="394">
        <v>1989.82223</v>
      </c>
      <c r="Q224" s="376" t="s">
        <v>12</v>
      </c>
      <c r="R224" s="394" t="s">
        <v>539</v>
      </c>
      <c r="S224" s="394">
        <v>10.0</v>
      </c>
      <c r="T224" s="394">
        <v>5.0</v>
      </c>
      <c r="U224" s="394">
        <v>0.7</v>
      </c>
      <c r="V224" s="394">
        <v>0.7</v>
      </c>
      <c r="W224" s="394">
        <v>0.7</v>
      </c>
      <c r="X224" s="391">
        <v>2000.0</v>
      </c>
      <c r="Y224" s="391" t="s">
        <v>540</v>
      </c>
      <c r="Z224" s="391">
        <v>0.2</v>
      </c>
      <c r="AA224" s="391" t="s">
        <v>541</v>
      </c>
      <c r="AB224" s="391" t="s">
        <v>542</v>
      </c>
      <c r="AC224" s="391">
        <v>220.0</v>
      </c>
      <c r="AD224" s="193"/>
      <c r="AE224" s="377"/>
    </row>
    <row r="225">
      <c r="A225" s="391" t="s">
        <v>547</v>
      </c>
      <c r="B225" s="391" t="s">
        <v>537</v>
      </c>
      <c r="C225" s="392"/>
      <c r="D225" s="391" t="s">
        <v>538</v>
      </c>
      <c r="E225" s="391">
        <v>1.0</v>
      </c>
      <c r="F225" s="393">
        <v>45488.46111111111</v>
      </c>
      <c r="G225" s="391">
        <v>1.0</v>
      </c>
      <c r="H225" s="391">
        <v>51.3708</v>
      </c>
      <c r="I225" s="391">
        <v>13.2165</v>
      </c>
      <c r="J225" s="391">
        <v>-23.711662</v>
      </c>
      <c r="K225" s="391">
        <v>-22.125681</v>
      </c>
      <c r="L225" s="391">
        <v>984.595</v>
      </c>
      <c r="M225" s="391">
        <v>67.001743</v>
      </c>
      <c r="N225" s="391">
        <v>11211.0818</v>
      </c>
      <c r="O225" s="391">
        <v>11211.0818</v>
      </c>
      <c r="P225" s="394">
        <v>1984.32432</v>
      </c>
      <c r="Q225" s="376" t="s">
        <v>12</v>
      </c>
      <c r="R225" s="394" t="s">
        <v>539</v>
      </c>
      <c r="S225" s="394">
        <v>10.0</v>
      </c>
      <c r="T225" s="394">
        <v>5.0</v>
      </c>
      <c r="U225" s="394">
        <v>0.7</v>
      </c>
      <c r="V225" s="394">
        <v>0.7</v>
      </c>
      <c r="W225" s="394">
        <v>0.7</v>
      </c>
      <c r="X225" s="391">
        <v>2000.0</v>
      </c>
      <c r="Y225" s="391" t="s">
        <v>540</v>
      </c>
      <c r="Z225" s="391">
        <v>0.2</v>
      </c>
      <c r="AA225" s="391" t="s">
        <v>541</v>
      </c>
      <c r="AB225" s="391" t="s">
        <v>542</v>
      </c>
      <c r="AC225" s="391">
        <v>220.0</v>
      </c>
      <c r="AD225" s="193"/>
      <c r="AE225" s="377"/>
    </row>
    <row r="226">
      <c r="A226" s="391" t="s">
        <v>548</v>
      </c>
      <c r="B226" s="391" t="s">
        <v>537</v>
      </c>
      <c r="C226" s="392"/>
      <c r="D226" s="391" t="s">
        <v>538</v>
      </c>
      <c r="E226" s="391">
        <v>1.0</v>
      </c>
      <c r="F226" s="393">
        <v>45488.46388888889</v>
      </c>
      <c r="G226" s="391">
        <v>1.0</v>
      </c>
      <c r="H226" s="391">
        <v>51.3807</v>
      </c>
      <c r="I226" s="391">
        <v>12.6059</v>
      </c>
      <c r="J226" s="391">
        <v>-23.774244</v>
      </c>
      <c r="K226" s="391">
        <v>-22.095025</v>
      </c>
      <c r="L226" s="391">
        <v>986.917</v>
      </c>
      <c r="M226" s="391">
        <v>69.000161</v>
      </c>
      <c r="N226" s="391">
        <v>11217.984</v>
      </c>
      <c r="O226" s="391">
        <v>11217.984</v>
      </c>
      <c r="P226" s="394">
        <v>1985.54269</v>
      </c>
      <c r="Q226" s="376" t="s">
        <v>12</v>
      </c>
      <c r="R226" s="394" t="s">
        <v>539</v>
      </c>
      <c r="S226" s="394">
        <v>10.0</v>
      </c>
      <c r="T226" s="394">
        <v>5.0</v>
      </c>
      <c r="U226" s="394">
        <v>0.7</v>
      </c>
      <c r="V226" s="394">
        <v>0.7</v>
      </c>
      <c r="W226" s="394">
        <v>0.7</v>
      </c>
      <c r="X226" s="391">
        <v>2000.0</v>
      </c>
      <c r="Y226" s="391" t="s">
        <v>540</v>
      </c>
      <c r="Z226" s="391">
        <v>0.2</v>
      </c>
      <c r="AA226" s="391" t="s">
        <v>541</v>
      </c>
      <c r="AB226" s="391" t="s">
        <v>542</v>
      </c>
      <c r="AC226" s="391">
        <v>220.0</v>
      </c>
      <c r="AD226" s="193"/>
      <c r="AE226" s="377"/>
    </row>
    <row r="227">
      <c r="A227" s="391" t="s">
        <v>549</v>
      </c>
      <c r="B227" s="391" t="s">
        <v>537</v>
      </c>
      <c r="C227" s="392"/>
      <c r="D227" s="391" t="s">
        <v>538</v>
      </c>
      <c r="E227" s="391">
        <v>1.0</v>
      </c>
      <c r="F227" s="393">
        <v>45488.46666666667</v>
      </c>
      <c r="G227" s="391">
        <v>1.0</v>
      </c>
      <c r="H227" s="391">
        <v>51.3741</v>
      </c>
      <c r="I227" s="391">
        <v>11.9519</v>
      </c>
      <c r="J227" s="391">
        <v>-23.793019</v>
      </c>
      <c r="K227" s="391">
        <v>-22.240244</v>
      </c>
      <c r="L227" s="391">
        <v>1010.13</v>
      </c>
      <c r="M227" s="391">
        <v>67.999783</v>
      </c>
      <c r="N227" s="391">
        <v>11251.6801</v>
      </c>
      <c r="O227" s="391">
        <v>11251.6801</v>
      </c>
      <c r="P227" s="394">
        <v>1991.49068</v>
      </c>
      <c r="Q227" s="376" t="s">
        <v>12</v>
      </c>
      <c r="R227" s="394" t="s">
        <v>539</v>
      </c>
      <c r="S227" s="394">
        <v>10.0</v>
      </c>
      <c r="T227" s="394">
        <v>5.0</v>
      </c>
      <c r="U227" s="394">
        <v>0.7</v>
      </c>
      <c r="V227" s="394">
        <v>0.7</v>
      </c>
      <c r="W227" s="394">
        <v>0.7</v>
      </c>
      <c r="X227" s="391">
        <v>2000.0</v>
      </c>
      <c r="Y227" s="391" t="s">
        <v>540</v>
      </c>
      <c r="Z227" s="391">
        <v>0.2</v>
      </c>
      <c r="AA227" s="391" t="s">
        <v>541</v>
      </c>
      <c r="AB227" s="391" t="s">
        <v>542</v>
      </c>
      <c r="AC227" s="391">
        <v>220.0</v>
      </c>
      <c r="AD227" s="193"/>
      <c r="AE227" s="377"/>
    </row>
    <row r="228">
      <c r="A228" s="391" t="s">
        <v>676</v>
      </c>
      <c r="B228" s="391" t="s">
        <v>537</v>
      </c>
      <c r="C228" s="392"/>
      <c r="D228" s="391" t="s">
        <v>538</v>
      </c>
      <c r="E228" s="391">
        <v>1.0</v>
      </c>
      <c r="F228" s="393">
        <v>45488.470138888886</v>
      </c>
      <c r="G228" s="391">
        <v>1.0</v>
      </c>
      <c r="H228" s="391">
        <v>51.3807</v>
      </c>
      <c r="I228" s="391">
        <v>11.0255</v>
      </c>
      <c r="J228" s="391">
        <v>-23.782219</v>
      </c>
      <c r="K228" s="391">
        <v>-22.162506</v>
      </c>
      <c r="L228" s="391">
        <v>1001.92</v>
      </c>
      <c r="M228" s="391">
        <v>67.500105</v>
      </c>
      <c r="N228" s="391">
        <v>11247.2227</v>
      </c>
      <c r="O228" s="391">
        <v>11247.2227</v>
      </c>
      <c r="P228" s="394">
        <v>1990.70385</v>
      </c>
      <c r="Q228" s="376" t="s">
        <v>12</v>
      </c>
      <c r="R228" s="394" t="s">
        <v>539</v>
      </c>
      <c r="S228" s="394">
        <v>10.0</v>
      </c>
      <c r="T228" s="394">
        <v>5.0</v>
      </c>
      <c r="U228" s="394">
        <v>0.7</v>
      </c>
      <c r="V228" s="394">
        <v>0.7</v>
      </c>
      <c r="W228" s="394">
        <v>0.7</v>
      </c>
      <c r="X228" s="391">
        <v>2000.0</v>
      </c>
      <c r="Y228" s="391" t="s">
        <v>540</v>
      </c>
      <c r="Z228" s="391">
        <v>0.2</v>
      </c>
      <c r="AA228" s="391" t="s">
        <v>541</v>
      </c>
      <c r="AB228" s="391" t="s">
        <v>542</v>
      </c>
      <c r="AC228" s="391">
        <v>220.0</v>
      </c>
      <c r="AD228" s="193"/>
      <c r="AE228" s="377"/>
    </row>
    <row r="229">
      <c r="A229" s="391" t="s">
        <v>563</v>
      </c>
      <c r="B229" s="391" t="s">
        <v>537</v>
      </c>
      <c r="C229" s="392"/>
      <c r="D229" s="391" t="s">
        <v>538</v>
      </c>
      <c r="E229" s="391">
        <v>1.0</v>
      </c>
      <c r="F229" s="393">
        <v>45488.47222222222</v>
      </c>
      <c r="G229" s="391">
        <v>1.0</v>
      </c>
      <c r="H229" s="391">
        <v>51.3774</v>
      </c>
      <c r="I229" s="391">
        <v>9.9962</v>
      </c>
      <c r="J229" s="391">
        <v>-23.769025</v>
      </c>
      <c r="K229" s="391">
        <v>-22.170175</v>
      </c>
      <c r="L229" s="391">
        <v>991.968</v>
      </c>
      <c r="M229" s="391">
        <v>66.499986</v>
      </c>
      <c r="N229" s="391">
        <v>11253.8578</v>
      </c>
      <c r="O229" s="391">
        <v>11253.8578</v>
      </c>
      <c r="P229" s="394">
        <v>1991.87508</v>
      </c>
      <c r="Q229" s="376" t="s">
        <v>12</v>
      </c>
      <c r="R229" s="394" t="s">
        <v>539</v>
      </c>
      <c r="S229" s="394">
        <v>10.0</v>
      </c>
      <c r="T229" s="394">
        <v>5.0</v>
      </c>
      <c r="U229" s="394">
        <v>0.7</v>
      </c>
      <c r="V229" s="394">
        <v>0.7</v>
      </c>
      <c r="W229" s="394">
        <v>0.7</v>
      </c>
      <c r="X229" s="391">
        <v>2000.0</v>
      </c>
      <c r="Y229" s="391" t="s">
        <v>540</v>
      </c>
      <c r="Z229" s="391">
        <v>0.2</v>
      </c>
      <c r="AA229" s="391" t="s">
        <v>541</v>
      </c>
      <c r="AB229" s="391" t="s">
        <v>542</v>
      </c>
      <c r="AC229" s="391">
        <v>220.0</v>
      </c>
      <c r="AD229" s="193"/>
      <c r="AE229" s="377"/>
    </row>
    <row r="230">
      <c r="A230" s="391" t="s">
        <v>725</v>
      </c>
      <c r="B230" s="391" t="s">
        <v>551</v>
      </c>
      <c r="C230" s="391" t="s">
        <v>726</v>
      </c>
      <c r="D230" s="391" t="s">
        <v>538</v>
      </c>
      <c r="E230" s="391">
        <v>0.8</v>
      </c>
      <c r="F230" s="393">
        <v>45488.47638888889</v>
      </c>
      <c r="G230" s="391">
        <v>1.0</v>
      </c>
      <c r="H230" s="391">
        <v>51.3807</v>
      </c>
      <c r="I230" s="391">
        <v>9.60771</v>
      </c>
      <c r="J230" s="391">
        <v>-23.897512</v>
      </c>
      <c r="K230" s="391">
        <v>-22.904994</v>
      </c>
      <c r="L230" s="391">
        <v>997.908</v>
      </c>
      <c r="M230" s="391">
        <v>71.000177</v>
      </c>
      <c r="N230" s="391">
        <v>9158.69219</v>
      </c>
      <c r="O230" s="391">
        <v>9226.20837</v>
      </c>
      <c r="P230" s="394">
        <v>2070.3457</v>
      </c>
      <c r="Q230" s="376" t="s">
        <v>12</v>
      </c>
      <c r="R230" s="394" t="s">
        <v>553</v>
      </c>
      <c r="S230" s="394">
        <v>10.0</v>
      </c>
      <c r="T230" s="394">
        <v>5.0</v>
      </c>
      <c r="U230" s="394">
        <v>0.7</v>
      </c>
      <c r="V230" s="394">
        <v>0.7</v>
      </c>
      <c r="W230" s="394">
        <v>0.7</v>
      </c>
      <c r="X230" s="391">
        <v>2000.0</v>
      </c>
      <c r="Y230" s="391" t="s">
        <v>540</v>
      </c>
      <c r="Z230" s="391">
        <v>0.2</v>
      </c>
      <c r="AA230" s="391" t="s">
        <v>541</v>
      </c>
      <c r="AB230" s="391" t="s">
        <v>542</v>
      </c>
      <c r="AC230" s="391">
        <v>220.0</v>
      </c>
      <c r="AD230" s="193"/>
      <c r="AE230" s="377"/>
    </row>
    <row r="231">
      <c r="A231" s="391" t="s">
        <v>727</v>
      </c>
      <c r="B231" s="391" t="s">
        <v>551</v>
      </c>
      <c r="C231" s="391" t="s">
        <v>726</v>
      </c>
      <c r="D231" s="391" t="s">
        <v>538</v>
      </c>
      <c r="E231" s="391">
        <v>0.8</v>
      </c>
      <c r="F231" s="393">
        <v>45488.479166666664</v>
      </c>
      <c r="G231" s="391">
        <v>1.0</v>
      </c>
      <c r="H231" s="391">
        <v>51.3741</v>
      </c>
      <c r="I231" s="391">
        <v>9.24755</v>
      </c>
      <c r="J231" s="391">
        <v>-23.97455</v>
      </c>
      <c r="K231" s="391">
        <v>-22.854081</v>
      </c>
      <c r="L231" s="391">
        <v>1015.25</v>
      </c>
      <c r="M231" s="391">
        <v>69.500064</v>
      </c>
      <c r="N231" s="391">
        <v>9237.14039</v>
      </c>
      <c r="O231" s="391">
        <v>9226.20837</v>
      </c>
      <c r="P231" s="394">
        <v>2070.3457</v>
      </c>
      <c r="Q231" s="376" t="s">
        <v>12</v>
      </c>
      <c r="R231" s="394" t="s">
        <v>553</v>
      </c>
      <c r="S231" s="394">
        <v>10.0</v>
      </c>
      <c r="T231" s="394">
        <v>5.0</v>
      </c>
      <c r="U231" s="394">
        <v>0.7</v>
      </c>
      <c r="V231" s="394">
        <v>0.7</v>
      </c>
      <c r="W231" s="394">
        <v>0.7</v>
      </c>
      <c r="X231" s="391">
        <v>2000.0</v>
      </c>
      <c r="Y231" s="391" t="s">
        <v>540</v>
      </c>
      <c r="Z231" s="391">
        <v>0.2</v>
      </c>
      <c r="AA231" s="391" t="s">
        <v>541</v>
      </c>
      <c r="AB231" s="391" t="s">
        <v>542</v>
      </c>
      <c r="AC231" s="391">
        <v>220.0</v>
      </c>
      <c r="AD231" s="193"/>
      <c r="AE231" s="377"/>
    </row>
    <row r="232">
      <c r="A232" s="391" t="s">
        <v>728</v>
      </c>
      <c r="B232" s="391" t="s">
        <v>551</v>
      </c>
      <c r="C232" s="391" t="s">
        <v>726</v>
      </c>
      <c r="D232" s="391" t="s">
        <v>538</v>
      </c>
      <c r="E232" s="391">
        <v>0.8</v>
      </c>
      <c r="F232" s="393">
        <v>45488.481944444444</v>
      </c>
      <c r="G232" s="391">
        <v>1.0</v>
      </c>
      <c r="H232" s="391">
        <v>51.3708</v>
      </c>
      <c r="I232" s="391">
        <v>9.03304</v>
      </c>
      <c r="J232" s="391">
        <v>-23.910269</v>
      </c>
      <c r="K232" s="391">
        <v>-22.375925</v>
      </c>
      <c r="L232" s="391">
        <v>1001.87</v>
      </c>
      <c r="M232" s="391">
        <v>61.49939</v>
      </c>
      <c r="N232" s="391">
        <v>9207.0507</v>
      </c>
      <c r="O232" s="391">
        <v>9226.20837</v>
      </c>
      <c r="P232" s="394">
        <v>2070.3457</v>
      </c>
      <c r="Q232" s="376" t="s">
        <v>12</v>
      </c>
      <c r="R232" s="394" t="s">
        <v>553</v>
      </c>
      <c r="S232" s="394">
        <v>10.0</v>
      </c>
      <c r="T232" s="394">
        <v>5.0</v>
      </c>
      <c r="U232" s="394">
        <v>0.7</v>
      </c>
      <c r="V232" s="394">
        <v>0.7</v>
      </c>
      <c r="W232" s="394">
        <v>0.7</v>
      </c>
      <c r="X232" s="391">
        <v>2000.0</v>
      </c>
      <c r="Y232" s="391" t="s">
        <v>540</v>
      </c>
      <c r="Z232" s="391">
        <v>0.2</v>
      </c>
      <c r="AA232" s="391" t="s">
        <v>541</v>
      </c>
      <c r="AB232" s="391" t="s">
        <v>542</v>
      </c>
      <c r="AC232" s="391">
        <v>220.0</v>
      </c>
      <c r="AD232" s="193"/>
      <c r="AE232" s="377"/>
    </row>
    <row r="233">
      <c r="A233" s="391" t="s">
        <v>729</v>
      </c>
      <c r="B233" s="391" t="s">
        <v>551</v>
      </c>
      <c r="C233" s="391" t="s">
        <v>726</v>
      </c>
      <c r="D233" s="391" t="s">
        <v>538</v>
      </c>
      <c r="E233" s="391">
        <v>0.8</v>
      </c>
      <c r="F233" s="393">
        <v>45488.48472222222</v>
      </c>
      <c r="G233" s="391">
        <v>1.0</v>
      </c>
      <c r="H233" s="391">
        <v>51.3774</v>
      </c>
      <c r="I233" s="391">
        <v>8.84806</v>
      </c>
      <c r="J233" s="391">
        <v>-23.895456</v>
      </c>
      <c r="K233" s="391">
        <v>-22.800469</v>
      </c>
      <c r="L233" s="391">
        <v>990.812</v>
      </c>
      <c r="M233" s="391">
        <v>72.500951</v>
      </c>
      <c r="N233" s="391">
        <v>9232.24311</v>
      </c>
      <c r="O233" s="391">
        <v>9226.20837</v>
      </c>
      <c r="P233" s="394">
        <v>2070.3457</v>
      </c>
      <c r="Q233" s="376" t="s">
        <v>12</v>
      </c>
      <c r="R233" s="394" t="s">
        <v>539</v>
      </c>
      <c r="S233" s="394">
        <v>10.0</v>
      </c>
      <c r="T233" s="394">
        <v>5.0</v>
      </c>
      <c r="U233" s="394">
        <v>0.7</v>
      </c>
      <c r="V233" s="394">
        <v>0.7</v>
      </c>
      <c r="W233" s="394">
        <v>0.7</v>
      </c>
      <c r="X233" s="391">
        <v>2000.0</v>
      </c>
      <c r="Y233" s="391" t="s">
        <v>540</v>
      </c>
      <c r="Z233" s="391">
        <v>0.2</v>
      </c>
      <c r="AA233" s="391" t="s">
        <v>541</v>
      </c>
      <c r="AB233" s="391" t="s">
        <v>542</v>
      </c>
      <c r="AC233" s="391">
        <v>220.0</v>
      </c>
      <c r="AD233" s="193"/>
      <c r="AE233" s="377"/>
    </row>
    <row r="234">
      <c r="A234" s="391" t="s">
        <v>730</v>
      </c>
      <c r="B234" s="391" t="s">
        <v>551</v>
      </c>
      <c r="C234" s="391" t="s">
        <v>726</v>
      </c>
      <c r="D234" s="391" t="s">
        <v>538</v>
      </c>
      <c r="E234" s="391">
        <v>0.8</v>
      </c>
      <c r="F234" s="393">
        <v>45488.4875</v>
      </c>
      <c r="G234" s="391">
        <v>1.0</v>
      </c>
      <c r="H234" s="391">
        <v>51.3774</v>
      </c>
      <c r="I234" s="391">
        <v>8.83393</v>
      </c>
      <c r="J234" s="391">
        <v>-24.013506</v>
      </c>
      <c r="K234" s="391">
        <v>-22.717462</v>
      </c>
      <c r="L234" s="391">
        <v>1009.46</v>
      </c>
      <c r="M234" s="391">
        <v>64.998991</v>
      </c>
      <c r="N234" s="391">
        <v>9220.17362</v>
      </c>
      <c r="O234" s="391">
        <v>9226.20837</v>
      </c>
      <c r="P234" s="394">
        <v>2070.3457</v>
      </c>
      <c r="Q234" s="376" t="s">
        <v>12</v>
      </c>
      <c r="R234" s="394" t="s">
        <v>539</v>
      </c>
      <c r="S234" s="394">
        <v>10.0</v>
      </c>
      <c r="T234" s="394">
        <v>5.0</v>
      </c>
      <c r="U234" s="394">
        <v>0.7</v>
      </c>
      <c r="V234" s="394">
        <v>0.7</v>
      </c>
      <c r="W234" s="394">
        <v>0.7</v>
      </c>
      <c r="X234" s="391">
        <v>2000.0</v>
      </c>
      <c r="Y234" s="391" t="s">
        <v>540</v>
      </c>
      <c r="Z234" s="391">
        <v>0.2</v>
      </c>
      <c r="AA234" s="391" t="s">
        <v>541</v>
      </c>
      <c r="AB234" s="391" t="s">
        <v>542</v>
      </c>
      <c r="AC234" s="391">
        <v>220.0</v>
      </c>
      <c r="AD234" s="193"/>
      <c r="AE234" s="377"/>
    </row>
    <row r="235">
      <c r="A235" s="395" t="s">
        <v>731</v>
      </c>
      <c r="B235" s="395" t="s">
        <v>558</v>
      </c>
      <c r="C235" s="395" t="s">
        <v>726</v>
      </c>
      <c r="D235" s="395" t="s">
        <v>538</v>
      </c>
      <c r="E235" s="395">
        <v>1.0</v>
      </c>
      <c r="F235" s="396">
        <v>45488.490277777775</v>
      </c>
      <c r="G235" s="395">
        <v>1.0</v>
      </c>
      <c r="H235" s="395">
        <v>51.3774</v>
      </c>
      <c r="I235" s="395">
        <v>8.72758</v>
      </c>
      <c r="J235" s="395">
        <v>-23.993106</v>
      </c>
      <c r="K235" s="395">
        <v>-22.499812</v>
      </c>
      <c r="L235" s="395">
        <v>1066.31</v>
      </c>
      <c r="M235" s="395">
        <v>70.000666</v>
      </c>
      <c r="N235" s="395">
        <v>11561.2269</v>
      </c>
      <c r="O235" s="395">
        <v>11569.8962</v>
      </c>
      <c r="P235" s="397">
        <v>2070.3457</v>
      </c>
      <c r="Q235" s="376" t="s">
        <v>12</v>
      </c>
      <c r="R235" s="397" t="s">
        <v>539</v>
      </c>
      <c r="S235" s="394">
        <v>10.0</v>
      </c>
      <c r="T235" s="394">
        <v>5.0</v>
      </c>
      <c r="U235" s="394">
        <v>0.7</v>
      </c>
      <c r="V235" s="394">
        <v>0.7</v>
      </c>
      <c r="W235" s="394">
        <v>0.7</v>
      </c>
      <c r="X235" s="391">
        <v>2000.0</v>
      </c>
      <c r="Y235" s="391" t="s">
        <v>540</v>
      </c>
      <c r="Z235" s="391">
        <v>0.2</v>
      </c>
      <c r="AA235" s="391" t="s">
        <v>541</v>
      </c>
      <c r="AB235" s="391" t="s">
        <v>542</v>
      </c>
      <c r="AC235" s="391">
        <v>220.0</v>
      </c>
      <c r="AD235" s="193"/>
      <c r="AE235" s="377"/>
    </row>
    <row r="236">
      <c r="A236" s="391" t="s">
        <v>732</v>
      </c>
      <c r="B236" s="391" t="s">
        <v>558</v>
      </c>
      <c r="C236" s="391" t="s">
        <v>726</v>
      </c>
      <c r="D236" s="391" t="s">
        <v>538</v>
      </c>
      <c r="E236" s="391">
        <v>1.0</v>
      </c>
      <c r="F236" s="393">
        <v>45488.493055555555</v>
      </c>
      <c r="G236" s="391">
        <v>1.0</v>
      </c>
      <c r="H236" s="391">
        <v>51.3774</v>
      </c>
      <c r="I236" s="391">
        <v>8.68175</v>
      </c>
      <c r="J236" s="391">
        <v>-24.040525</v>
      </c>
      <c r="K236" s="391">
        <v>-22.666644</v>
      </c>
      <c r="L236" s="391">
        <v>1068.81</v>
      </c>
      <c r="M236" s="391">
        <v>70.500362</v>
      </c>
      <c r="N236" s="391">
        <v>11578.5654</v>
      </c>
      <c r="O236" s="391">
        <v>11569.8962</v>
      </c>
      <c r="P236" s="394">
        <v>2070.3457</v>
      </c>
      <c r="Q236" s="376" t="s">
        <v>12</v>
      </c>
      <c r="R236" s="394" t="s">
        <v>539</v>
      </c>
      <c r="S236" s="394">
        <v>10.0</v>
      </c>
      <c r="T236" s="394">
        <v>5.0</v>
      </c>
      <c r="U236" s="394">
        <v>0.7</v>
      </c>
      <c r="V236" s="394">
        <v>0.7</v>
      </c>
      <c r="W236" s="394">
        <v>0.7</v>
      </c>
      <c r="X236" s="391">
        <v>2000.0</v>
      </c>
      <c r="Y236" s="391" t="s">
        <v>540</v>
      </c>
      <c r="Z236" s="391">
        <v>0.2</v>
      </c>
      <c r="AA236" s="391" t="s">
        <v>541</v>
      </c>
      <c r="AB236" s="391" t="s">
        <v>542</v>
      </c>
      <c r="AC236" s="391">
        <v>220.0</v>
      </c>
      <c r="AD236" s="193"/>
      <c r="AE236" s="377"/>
    </row>
    <row r="237">
      <c r="A237" s="391" t="s">
        <v>733</v>
      </c>
      <c r="B237" s="391" t="s">
        <v>561</v>
      </c>
      <c r="C237" s="391" t="s">
        <v>726</v>
      </c>
      <c r="D237" s="391" t="s">
        <v>538</v>
      </c>
      <c r="E237" s="391">
        <v>1.2</v>
      </c>
      <c r="F237" s="393">
        <v>45488.495833333334</v>
      </c>
      <c r="G237" s="391">
        <v>1.0</v>
      </c>
      <c r="H237" s="391">
        <v>51.3741</v>
      </c>
      <c r="I237" s="391">
        <v>8.65737</v>
      </c>
      <c r="J237" s="391">
        <v>-23.963194</v>
      </c>
      <c r="K237" s="391">
        <v>-22.451381</v>
      </c>
      <c r="L237" s="391">
        <v>1092.02</v>
      </c>
      <c r="M237" s="391">
        <v>73.499857</v>
      </c>
      <c r="N237" s="391">
        <v>13907.9478</v>
      </c>
      <c r="O237" s="391">
        <v>13916.0108</v>
      </c>
      <c r="P237" s="394">
        <v>2070.3457</v>
      </c>
      <c r="Q237" s="376" t="s">
        <v>12</v>
      </c>
      <c r="R237" s="394" t="s">
        <v>539</v>
      </c>
      <c r="S237" s="394">
        <v>10.0</v>
      </c>
      <c r="T237" s="394">
        <v>5.0</v>
      </c>
      <c r="U237" s="394">
        <v>0.7</v>
      </c>
      <c r="V237" s="394">
        <v>0.7</v>
      </c>
      <c r="W237" s="394">
        <v>0.7</v>
      </c>
      <c r="X237" s="391">
        <v>2000.0</v>
      </c>
      <c r="Y237" s="391" t="s">
        <v>540</v>
      </c>
      <c r="Z237" s="391">
        <v>0.2</v>
      </c>
      <c r="AA237" s="391" t="s">
        <v>541</v>
      </c>
      <c r="AB237" s="391" t="s">
        <v>542</v>
      </c>
      <c r="AC237" s="391">
        <v>220.0</v>
      </c>
      <c r="AD237" s="193"/>
      <c r="AE237" s="377"/>
    </row>
    <row r="238">
      <c r="A238" s="391" t="s">
        <v>734</v>
      </c>
      <c r="B238" s="391" t="s">
        <v>561</v>
      </c>
      <c r="C238" s="391" t="s">
        <v>726</v>
      </c>
      <c r="D238" s="391" t="s">
        <v>538</v>
      </c>
      <c r="E238" s="391">
        <v>1.2</v>
      </c>
      <c r="F238" s="393">
        <v>45488.498611111114</v>
      </c>
      <c r="G238" s="391">
        <v>1.0</v>
      </c>
      <c r="H238" s="391">
        <v>51.3741</v>
      </c>
      <c r="I238" s="391">
        <v>8.59455</v>
      </c>
      <c r="J238" s="391">
        <v>-24.011825</v>
      </c>
      <c r="K238" s="391">
        <v>-22.258881</v>
      </c>
      <c r="L238" s="391">
        <v>1130.55</v>
      </c>
      <c r="M238" s="391">
        <v>72.501427</v>
      </c>
      <c r="N238" s="391">
        <v>13924.0737</v>
      </c>
      <c r="O238" s="391">
        <v>13916.0108</v>
      </c>
      <c r="P238" s="394">
        <v>2070.3457</v>
      </c>
      <c r="Q238" s="376" t="s">
        <v>12</v>
      </c>
      <c r="R238" s="394" t="s">
        <v>539</v>
      </c>
      <c r="S238" s="394">
        <v>10.0</v>
      </c>
      <c r="T238" s="394">
        <v>5.0</v>
      </c>
      <c r="U238" s="394">
        <v>0.7</v>
      </c>
      <c r="V238" s="394">
        <v>0.7</v>
      </c>
      <c r="W238" s="394">
        <v>0.7</v>
      </c>
      <c r="X238" s="391">
        <v>2000.0</v>
      </c>
      <c r="Y238" s="391" t="s">
        <v>540</v>
      </c>
      <c r="Z238" s="391">
        <v>0.2</v>
      </c>
      <c r="AA238" s="391" t="s">
        <v>541</v>
      </c>
      <c r="AB238" s="391" t="s">
        <v>542</v>
      </c>
      <c r="AC238" s="391">
        <v>220.0</v>
      </c>
      <c r="AD238" s="193"/>
      <c r="AE238" s="377"/>
    </row>
    <row r="239">
      <c r="A239" s="391" t="s">
        <v>570</v>
      </c>
      <c r="B239" s="391">
        <v>2.0</v>
      </c>
      <c r="C239" s="391">
        <v>300.0</v>
      </c>
      <c r="D239" s="391" t="s">
        <v>564</v>
      </c>
      <c r="E239" s="391">
        <v>1.0</v>
      </c>
      <c r="F239" s="393">
        <v>45488.50208333333</v>
      </c>
      <c r="G239" s="391">
        <v>1.0</v>
      </c>
      <c r="H239" s="391">
        <v>51.3774</v>
      </c>
      <c r="I239" s="391">
        <v>8.50741</v>
      </c>
      <c r="J239" s="391">
        <v>-23.962581</v>
      </c>
      <c r="K239" s="391">
        <v>-22.404488</v>
      </c>
      <c r="L239" s="391">
        <v>1111.01</v>
      </c>
      <c r="M239" s="391">
        <v>67.000284</v>
      </c>
      <c r="N239" s="391">
        <v>11802.2765</v>
      </c>
      <c r="O239" s="391">
        <v>11790.7214</v>
      </c>
      <c r="P239" s="394">
        <v>2109.19679</v>
      </c>
      <c r="Q239" s="376" t="s">
        <v>12</v>
      </c>
      <c r="R239" s="394" t="s">
        <v>539</v>
      </c>
      <c r="S239" s="394">
        <v>10.0</v>
      </c>
      <c r="T239" s="394">
        <v>5.0</v>
      </c>
      <c r="U239" s="394">
        <v>0.7</v>
      </c>
      <c r="V239" s="394">
        <v>0.7</v>
      </c>
      <c r="W239" s="394">
        <v>0.7</v>
      </c>
      <c r="X239" s="391">
        <v>2000.0</v>
      </c>
      <c r="Y239" s="391" t="s">
        <v>540</v>
      </c>
      <c r="Z239" s="391">
        <v>0.2</v>
      </c>
      <c r="AA239" s="391" t="s">
        <v>541</v>
      </c>
      <c r="AB239" s="391" t="s">
        <v>542</v>
      </c>
      <c r="AC239" s="391">
        <v>220.0</v>
      </c>
      <c r="AD239" s="193"/>
      <c r="AE239" s="377"/>
    </row>
    <row r="240">
      <c r="A240" s="391" t="s">
        <v>572</v>
      </c>
      <c r="B240" s="391">
        <v>2.0</v>
      </c>
      <c r="C240" s="391">
        <v>300.0</v>
      </c>
      <c r="D240" s="391" t="s">
        <v>564</v>
      </c>
      <c r="E240" s="391">
        <v>1.0</v>
      </c>
      <c r="F240" s="393">
        <v>45488.50486111111</v>
      </c>
      <c r="G240" s="391">
        <v>1.0</v>
      </c>
      <c r="H240" s="391">
        <v>51.3708</v>
      </c>
      <c r="I240" s="391">
        <v>8.52363</v>
      </c>
      <c r="J240" s="391">
        <v>-23.906387</v>
      </c>
      <c r="K240" s="391">
        <v>-21.783525</v>
      </c>
      <c r="L240" s="391">
        <v>1104.9</v>
      </c>
      <c r="M240" s="391">
        <v>63.000022</v>
      </c>
      <c r="N240" s="391">
        <v>11779.1663</v>
      </c>
      <c r="O240" s="391">
        <v>11790.7214</v>
      </c>
      <c r="P240" s="394">
        <v>2109.19679</v>
      </c>
      <c r="Q240" s="376" t="s">
        <v>12</v>
      </c>
      <c r="R240" s="394" t="s">
        <v>539</v>
      </c>
      <c r="S240" s="394">
        <v>10.0</v>
      </c>
      <c r="T240" s="394">
        <v>5.0</v>
      </c>
      <c r="U240" s="394">
        <v>0.7</v>
      </c>
      <c r="V240" s="394">
        <v>0.7</v>
      </c>
      <c r="W240" s="394">
        <v>0.7</v>
      </c>
      <c r="X240" s="391">
        <v>2000.0</v>
      </c>
      <c r="Y240" s="391" t="s">
        <v>540</v>
      </c>
      <c r="Z240" s="391">
        <v>0.2</v>
      </c>
      <c r="AA240" s="391" t="s">
        <v>541</v>
      </c>
      <c r="AB240" s="391" t="s">
        <v>542</v>
      </c>
      <c r="AC240" s="391">
        <v>220.0</v>
      </c>
      <c r="AD240" s="193"/>
      <c r="AE240" s="377"/>
    </row>
    <row r="241">
      <c r="A241" s="391" t="s">
        <v>574</v>
      </c>
      <c r="B241" s="391">
        <v>3.0</v>
      </c>
      <c r="C241" s="391">
        <v>301.0</v>
      </c>
      <c r="D241" s="391" t="s">
        <v>568</v>
      </c>
      <c r="E241" s="391">
        <v>1.0</v>
      </c>
      <c r="F241" s="393">
        <v>45488.50833333333</v>
      </c>
      <c r="G241" s="391">
        <v>1.0</v>
      </c>
      <c r="H241" s="391">
        <v>51.3774</v>
      </c>
      <c r="I241" s="391">
        <v>8.44014</v>
      </c>
      <c r="J241" s="391">
        <v>-24.006412</v>
      </c>
      <c r="K241" s="391">
        <v>-22.136762</v>
      </c>
      <c r="L241" s="391">
        <v>1108.64</v>
      </c>
      <c r="M241" s="391">
        <v>63.999497</v>
      </c>
      <c r="N241" s="391">
        <v>11776.3741</v>
      </c>
      <c r="O241" s="391">
        <v>11812.9948</v>
      </c>
      <c r="P241" s="394">
        <v>2113.12989</v>
      </c>
      <c r="Q241" s="376" t="s">
        <v>12</v>
      </c>
      <c r="R241" s="394" t="s">
        <v>553</v>
      </c>
      <c r="S241" s="394">
        <v>10.0</v>
      </c>
      <c r="T241" s="394">
        <v>5.0</v>
      </c>
      <c r="U241" s="394">
        <v>0.7</v>
      </c>
      <c r="V241" s="394">
        <v>0.7</v>
      </c>
      <c r="W241" s="394">
        <v>0.7</v>
      </c>
      <c r="X241" s="391">
        <v>2000.0</v>
      </c>
      <c r="Y241" s="391" t="s">
        <v>540</v>
      </c>
      <c r="Z241" s="391">
        <v>0.2</v>
      </c>
      <c r="AA241" s="391" t="s">
        <v>541</v>
      </c>
      <c r="AB241" s="391" t="s">
        <v>542</v>
      </c>
      <c r="AC241" s="391">
        <v>220.0</v>
      </c>
      <c r="AD241" s="193"/>
      <c r="AE241" s="377"/>
    </row>
    <row r="242">
      <c r="A242" s="391" t="s">
        <v>576</v>
      </c>
      <c r="B242" s="391">
        <v>3.0</v>
      </c>
      <c r="C242" s="391">
        <v>301.0</v>
      </c>
      <c r="D242" s="391" t="s">
        <v>568</v>
      </c>
      <c r="E242" s="391">
        <v>1.0</v>
      </c>
      <c r="F242" s="393">
        <v>45488.51111111111</v>
      </c>
      <c r="G242" s="391">
        <v>1.0</v>
      </c>
      <c r="H242" s="391">
        <v>51.3741</v>
      </c>
      <c r="I242" s="391">
        <v>8.34631</v>
      </c>
      <c r="J242" s="391">
        <v>-23.984237</v>
      </c>
      <c r="K242" s="391">
        <v>-22.503144</v>
      </c>
      <c r="L242" s="391">
        <v>1099.89</v>
      </c>
      <c r="M242" s="391">
        <v>69.999985</v>
      </c>
      <c r="N242" s="391">
        <v>11811.9004</v>
      </c>
      <c r="O242" s="391">
        <v>11812.9948</v>
      </c>
      <c r="P242" s="394">
        <v>2113.12989</v>
      </c>
      <c r="Q242" s="376" t="s">
        <v>12</v>
      </c>
      <c r="R242" s="394" t="s">
        <v>539</v>
      </c>
      <c r="S242" s="394">
        <v>10.0</v>
      </c>
      <c r="T242" s="394">
        <v>5.0</v>
      </c>
      <c r="U242" s="394">
        <v>0.7</v>
      </c>
      <c r="V242" s="394">
        <v>0.7</v>
      </c>
      <c r="W242" s="394">
        <v>0.7</v>
      </c>
      <c r="X242" s="391">
        <v>2000.0</v>
      </c>
      <c r="Y242" s="391" t="s">
        <v>540</v>
      </c>
      <c r="Z242" s="391">
        <v>0.2</v>
      </c>
      <c r="AA242" s="391" t="s">
        <v>541</v>
      </c>
      <c r="AB242" s="391" t="s">
        <v>542</v>
      </c>
      <c r="AC242" s="391">
        <v>220.0</v>
      </c>
      <c r="AD242" s="193"/>
      <c r="AE242" s="377"/>
    </row>
    <row r="243">
      <c r="A243" s="391" t="s">
        <v>577</v>
      </c>
      <c r="B243" s="391">
        <v>3.0</v>
      </c>
      <c r="C243" s="391">
        <v>301.0</v>
      </c>
      <c r="D243" s="391" t="s">
        <v>568</v>
      </c>
      <c r="E243" s="391">
        <v>1.0</v>
      </c>
      <c r="F243" s="393">
        <v>45488.51388888889</v>
      </c>
      <c r="G243" s="391">
        <v>1.0</v>
      </c>
      <c r="H243" s="391">
        <v>51.3807</v>
      </c>
      <c r="I243" s="391">
        <v>8.43794</v>
      </c>
      <c r="J243" s="391">
        <v>-23.974737</v>
      </c>
      <c r="K243" s="391">
        <v>-22.753694</v>
      </c>
      <c r="L243" s="391">
        <v>1103.45</v>
      </c>
      <c r="M243" s="391">
        <v>75.999651</v>
      </c>
      <c r="N243" s="391">
        <v>11814.0893</v>
      </c>
      <c r="O243" s="391">
        <v>11812.9948</v>
      </c>
      <c r="P243" s="394">
        <v>2113.12989</v>
      </c>
      <c r="Q243" s="376" t="s">
        <v>12</v>
      </c>
      <c r="R243" s="394" t="s">
        <v>539</v>
      </c>
      <c r="S243" s="394">
        <v>10.0</v>
      </c>
      <c r="T243" s="394">
        <v>5.0</v>
      </c>
      <c r="U243" s="394">
        <v>0.7</v>
      </c>
      <c r="V243" s="394">
        <v>0.7</v>
      </c>
      <c r="W243" s="394">
        <v>0.7</v>
      </c>
      <c r="X243" s="391">
        <v>2000.0</v>
      </c>
      <c r="Y243" s="391" t="s">
        <v>540</v>
      </c>
      <c r="Z243" s="391">
        <v>0.2</v>
      </c>
      <c r="AA243" s="391" t="s">
        <v>541</v>
      </c>
      <c r="AB243" s="391" t="s">
        <v>542</v>
      </c>
      <c r="AC243" s="391">
        <v>220.0</v>
      </c>
      <c r="AD243" s="193"/>
      <c r="AE243" s="377"/>
    </row>
    <row r="244">
      <c r="A244" s="391" t="s">
        <v>578</v>
      </c>
      <c r="B244" s="391">
        <v>4.0</v>
      </c>
      <c r="C244" s="391">
        <v>196.0</v>
      </c>
      <c r="D244" s="391" t="s">
        <v>571</v>
      </c>
      <c r="E244" s="391">
        <v>1.0</v>
      </c>
      <c r="F244" s="393">
        <v>45488.51736111111</v>
      </c>
      <c r="G244" s="391">
        <v>1.0</v>
      </c>
      <c r="H244" s="391">
        <v>51.3741</v>
      </c>
      <c r="I244" s="391">
        <v>8.31227</v>
      </c>
      <c r="J244" s="391">
        <v>-23.892244</v>
      </c>
      <c r="K244" s="391">
        <v>-22.355713</v>
      </c>
      <c r="L244" s="391">
        <v>1110.61</v>
      </c>
      <c r="M244" s="391">
        <v>67.499816</v>
      </c>
      <c r="N244" s="391">
        <v>11810.2576</v>
      </c>
      <c r="O244" s="391">
        <v>11807.4038</v>
      </c>
      <c r="P244" s="394">
        <v>2112.14261</v>
      </c>
      <c r="Q244" s="376" t="s">
        <v>12</v>
      </c>
      <c r="R244" s="394" t="s">
        <v>539</v>
      </c>
      <c r="S244" s="394">
        <v>10.0</v>
      </c>
      <c r="T244" s="394">
        <v>5.0</v>
      </c>
      <c r="U244" s="394">
        <v>0.7</v>
      </c>
      <c r="V244" s="394">
        <v>0.7</v>
      </c>
      <c r="W244" s="394">
        <v>0.7</v>
      </c>
      <c r="X244" s="391">
        <v>2000.0</v>
      </c>
      <c r="Y244" s="391" t="s">
        <v>540</v>
      </c>
      <c r="Z244" s="391">
        <v>0.2</v>
      </c>
      <c r="AA244" s="391" t="s">
        <v>541</v>
      </c>
      <c r="AB244" s="391" t="s">
        <v>542</v>
      </c>
      <c r="AC244" s="391">
        <v>220.0</v>
      </c>
      <c r="AD244" s="193"/>
      <c r="AE244" s="377"/>
    </row>
    <row r="245">
      <c r="A245" s="391" t="s">
        <v>580</v>
      </c>
      <c r="B245" s="391">
        <v>4.0</v>
      </c>
      <c r="C245" s="391">
        <v>196.0</v>
      </c>
      <c r="D245" s="391" t="s">
        <v>571</v>
      </c>
      <c r="E245" s="391">
        <v>1.0</v>
      </c>
      <c r="F245" s="393">
        <v>45488.52013888889</v>
      </c>
      <c r="G245" s="391">
        <v>1.0</v>
      </c>
      <c r="H245" s="391">
        <v>51.384</v>
      </c>
      <c r="I245" s="391">
        <v>8.40461</v>
      </c>
      <c r="J245" s="391">
        <v>-23.904669</v>
      </c>
      <c r="K245" s="391">
        <v>-22.323594</v>
      </c>
      <c r="L245" s="391">
        <v>1095.51</v>
      </c>
      <c r="M245" s="391">
        <v>67.500012</v>
      </c>
      <c r="N245" s="391">
        <v>11804.55</v>
      </c>
      <c r="O245" s="391">
        <v>11807.4038</v>
      </c>
      <c r="P245" s="394">
        <v>2112.14261</v>
      </c>
      <c r="Q245" s="376" t="s">
        <v>12</v>
      </c>
      <c r="R245" s="394" t="s">
        <v>539</v>
      </c>
      <c r="S245" s="394">
        <v>10.0</v>
      </c>
      <c r="T245" s="394">
        <v>5.0</v>
      </c>
      <c r="U245" s="394">
        <v>0.7</v>
      </c>
      <c r="V245" s="394">
        <v>0.7</v>
      </c>
      <c r="W245" s="394">
        <v>0.7</v>
      </c>
      <c r="X245" s="391">
        <v>2000.0</v>
      </c>
      <c r="Y245" s="391" t="s">
        <v>540</v>
      </c>
      <c r="Z245" s="391">
        <v>0.2</v>
      </c>
      <c r="AA245" s="391" t="s">
        <v>541</v>
      </c>
      <c r="AB245" s="391" t="s">
        <v>542</v>
      </c>
      <c r="AC245" s="391">
        <v>220.0</v>
      </c>
      <c r="AD245" s="193"/>
      <c r="AE245" s="377"/>
    </row>
    <row r="246">
      <c r="A246" s="391" t="s">
        <v>581</v>
      </c>
      <c r="B246" s="391">
        <v>5.0</v>
      </c>
      <c r="C246" s="398">
        <v>197.0</v>
      </c>
      <c r="D246" s="395" t="s">
        <v>575</v>
      </c>
      <c r="E246" s="391">
        <v>1.0</v>
      </c>
      <c r="F246" s="393">
        <v>45488.52361111111</v>
      </c>
      <c r="G246" s="391">
        <v>1.0</v>
      </c>
      <c r="H246" s="391">
        <v>51.3774</v>
      </c>
      <c r="I246" s="391">
        <v>8.30298</v>
      </c>
      <c r="J246" s="391">
        <v>-23.941875</v>
      </c>
      <c r="K246" s="391">
        <v>-22.236394</v>
      </c>
      <c r="L246" s="391">
        <v>1088.13</v>
      </c>
      <c r="M246" s="391">
        <v>67.501374</v>
      </c>
      <c r="N246" s="391">
        <v>11783.4788</v>
      </c>
      <c r="O246" s="391">
        <v>11783.4116</v>
      </c>
      <c r="P246" s="394">
        <v>2107.906</v>
      </c>
      <c r="Q246" s="376" t="s">
        <v>12</v>
      </c>
      <c r="R246" s="394" t="s">
        <v>539</v>
      </c>
      <c r="S246" s="394">
        <v>10.0</v>
      </c>
      <c r="T246" s="394">
        <v>5.0</v>
      </c>
      <c r="U246" s="394">
        <v>0.7</v>
      </c>
      <c r="V246" s="394">
        <v>0.7</v>
      </c>
      <c r="W246" s="394">
        <v>0.7</v>
      </c>
      <c r="X246" s="391">
        <v>2000.0</v>
      </c>
      <c r="Y246" s="391" t="s">
        <v>540</v>
      </c>
      <c r="Z246" s="391">
        <v>0.2</v>
      </c>
      <c r="AA246" s="391" t="s">
        <v>541</v>
      </c>
      <c r="AB246" s="391" t="s">
        <v>542</v>
      </c>
      <c r="AC246" s="391">
        <v>220.0</v>
      </c>
      <c r="AD246" s="193"/>
      <c r="AE246" s="377"/>
    </row>
    <row r="247">
      <c r="A247" s="391" t="s">
        <v>583</v>
      </c>
      <c r="B247" s="391">
        <v>5.0</v>
      </c>
      <c r="C247" s="398">
        <v>197.0</v>
      </c>
      <c r="D247" s="395" t="s">
        <v>575</v>
      </c>
      <c r="E247" s="391">
        <v>1.0</v>
      </c>
      <c r="F247" s="393">
        <v>45488.52638888889</v>
      </c>
      <c r="G247" s="391">
        <v>1.0</v>
      </c>
      <c r="H247" s="391">
        <v>51.3774</v>
      </c>
      <c r="I247" s="391">
        <v>8.22441</v>
      </c>
      <c r="J247" s="391">
        <v>-23.991725</v>
      </c>
      <c r="K247" s="391">
        <v>-22.084031</v>
      </c>
      <c r="L247" s="391">
        <v>1095.25</v>
      </c>
      <c r="M247" s="391">
        <v>64.999733</v>
      </c>
      <c r="N247" s="391">
        <v>11783.3443</v>
      </c>
      <c r="O247" s="391">
        <v>11783.4116</v>
      </c>
      <c r="P247" s="394">
        <v>2107.906</v>
      </c>
      <c r="Q247" s="376" t="s">
        <v>12</v>
      </c>
      <c r="R247" s="394" t="s">
        <v>539</v>
      </c>
      <c r="S247" s="394">
        <v>10.0</v>
      </c>
      <c r="T247" s="394">
        <v>5.0</v>
      </c>
      <c r="U247" s="394">
        <v>0.7</v>
      </c>
      <c r="V247" s="394">
        <v>0.7</v>
      </c>
      <c r="W247" s="394">
        <v>0.7</v>
      </c>
      <c r="X247" s="391">
        <v>2000.0</v>
      </c>
      <c r="Y247" s="391" t="s">
        <v>540</v>
      </c>
      <c r="Z247" s="391">
        <v>0.2</v>
      </c>
      <c r="AA247" s="391" t="s">
        <v>541</v>
      </c>
      <c r="AB247" s="391" t="s">
        <v>542</v>
      </c>
      <c r="AC247" s="391">
        <v>220.0</v>
      </c>
      <c r="AD247" s="193"/>
      <c r="AE247" s="377"/>
    </row>
    <row r="248">
      <c r="A248" s="391" t="s">
        <v>584</v>
      </c>
      <c r="B248" s="391">
        <v>6.0</v>
      </c>
      <c r="C248" s="391">
        <v>339.0</v>
      </c>
      <c r="D248" s="391" t="s">
        <v>579</v>
      </c>
      <c r="E248" s="391">
        <v>1.0</v>
      </c>
      <c r="F248" s="393">
        <v>45488.529861111114</v>
      </c>
      <c r="G248" s="391">
        <v>1.0</v>
      </c>
      <c r="H248" s="391">
        <v>51.3774</v>
      </c>
      <c r="I248" s="391">
        <v>8.17189</v>
      </c>
      <c r="J248" s="391">
        <v>-24.015263</v>
      </c>
      <c r="K248" s="391">
        <v>-22.602075</v>
      </c>
      <c r="L248" s="391">
        <v>1104.09</v>
      </c>
      <c r="M248" s="391">
        <v>69.500831</v>
      </c>
      <c r="N248" s="391">
        <v>11719.1002</v>
      </c>
      <c r="O248" s="391">
        <v>0.0</v>
      </c>
      <c r="P248" s="394">
        <v>0.0</v>
      </c>
      <c r="Q248" s="376" t="s">
        <v>280</v>
      </c>
      <c r="R248" s="394" t="s">
        <v>607</v>
      </c>
      <c r="S248" s="394">
        <v>10.0</v>
      </c>
      <c r="T248" s="394">
        <v>5.0</v>
      </c>
      <c r="U248" s="394">
        <v>0.7</v>
      </c>
      <c r="V248" s="394">
        <v>0.7</v>
      </c>
      <c r="W248" s="394">
        <v>0.7</v>
      </c>
      <c r="X248" s="391">
        <v>2000.0</v>
      </c>
      <c r="Y248" s="391" t="s">
        <v>540</v>
      </c>
      <c r="Z248" s="391">
        <v>0.2</v>
      </c>
      <c r="AA248" s="391" t="s">
        <v>541</v>
      </c>
      <c r="AB248" s="391" t="s">
        <v>542</v>
      </c>
      <c r="AC248" s="391">
        <v>220.0</v>
      </c>
      <c r="AD248" s="193"/>
      <c r="AE248" s="377"/>
    </row>
    <row r="249">
      <c r="A249" s="391" t="s">
        <v>586</v>
      </c>
      <c r="B249" s="391">
        <v>6.0</v>
      </c>
      <c r="C249" s="391">
        <v>339.0</v>
      </c>
      <c r="D249" s="391" t="s">
        <v>579</v>
      </c>
      <c r="E249" s="391">
        <v>1.0</v>
      </c>
      <c r="F249" s="393">
        <v>45488.532638888886</v>
      </c>
      <c r="G249" s="391">
        <v>1.0</v>
      </c>
      <c r="H249" s="391">
        <v>51.3708</v>
      </c>
      <c r="I249" s="391">
        <v>8.23689</v>
      </c>
      <c r="J249" s="391">
        <v>-23.930025</v>
      </c>
      <c r="K249" s="391">
        <v>-22.753794</v>
      </c>
      <c r="L249" s="391">
        <v>1106.25</v>
      </c>
      <c r="M249" s="391">
        <v>76.001877</v>
      </c>
      <c r="N249" s="391">
        <v>11770.904</v>
      </c>
      <c r="O249" s="391">
        <v>0.0</v>
      </c>
      <c r="P249" s="394">
        <v>0.0</v>
      </c>
      <c r="Q249" s="376" t="s">
        <v>280</v>
      </c>
      <c r="R249" s="394" t="s">
        <v>607</v>
      </c>
      <c r="S249" s="394">
        <v>10.0</v>
      </c>
      <c r="T249" s="394">
        <v>5.0</v>
      </c>
      <c r="U249" s="394">
        <v>0.7</v>
      </c>
      <c r="V249" s="394">
        <v>0.7</v>
      </c>
      <c r="W249" s="394">
        <v>0.7</v>
      </c>
      <c r="X249" s="391">
        <v>2000.0</v>
      </c>
      <c r="Y249" s="391" t="s">
        <v>540</v>
      </c>
      <c r="Z249" s="391">
        <v>0.2</v>
      </c>
      <c r="AA249" s="391" t="s">
        <v>541</v>
      </c>
      <c r="AB249" s="391" t="s">
        <v>542</v>
      </c>
      <c r="AC249" s="391">
        <v>220.0</v>
      </c>
      <c r="AD249" s="193"/>
      <c r="AE249" s="377"/>
    </row>
    <row r="250">
      <c r="A250" s="391" t="s">
        <v>587</v>
      </c>
      <c r="B250" s="391">
        <v>6.0</v>
      </c>
      <c r="C250" s="391">
        <v>339.0</v>
      </c>
      <c r="D250" s="391" t="s">
        <v>579</v>
      </c>
      <c r="E250" s="391">
        <v>1.0</v>
      </c>
      <c r="F250" s="393">
        <v>45488.535416666666</v>
      </c>
      <c r="G250" s="391">
        <v>1.0</v>
      </c>
      <c r="H250" s="391">
        <v>51.3807</v>
      </c>
      <c r="I250" s="391">
        <v>8.31848</v>
      </c>
      <c r="J250" s="391">
        <v>-23.882462</v>
      </c>
      <c r="K250" s="391">
        <v>-22.02985</v>
      </c>
      <c r="L250" s="391">
        <v>1097.65</v>
      </c>
      <c r="M250" s="391">
        <v>65.000202</v>
      </c>
      <c r="N250" s="391">
        <v>11691.027</v>
      </c>
      <c r="O250" s="391">
        <v>0.0</v>
      </c>
      <c r="P250" s="394">
        <v>0.0</v>
      </c>
      <c r="Q250" s="376" t="s">
        <v>280</v>
      </c>
      <c r="R250" s="394" t="s">
        <v>607</v>
      </c>
      <c r="S250" s="394">
        <v>10.0</v>
      </c>
      <c r="T250" s="394">
        <v>5.0</v>
      </c>
      <c r="U250" s="394">
        <v>0.7</v>
      </c>
      <c r="V250" s="394">
        <v>0.7</v>
      </c>
      <c r="W250" s="394">
        <v>0.7</v>
      </c>
      <c r="X250" s="391">
        <v>2000.0</v>
      </c>
      <c r="Y250" s="391" t="s">
        <v>540</v>
      </c>
      <c r="Z250" s="391">
        <v>0.2</v>
      </c>
      <c r="AA250" s="391" t="s">
        <v>541</v>
      </c>
      <c r="AB250" s="391" t="s">
        <v>542</v>
      </c>
      <c r="AC250" s="391">
        <v>220.0</v>
      </c>
      <c r="AD250" s="193"/>
      <c r="AE250" s="377"/>
    </row>
    <row r="251">
      <c r="A251" s="391" t="s">
        <v>735</v>
      </c>
      <c r="B251" s="391">
        <v>6.0</v>
      </c>
      <c r="C251" s="391">
        <v>339.0</v>
      </c>
      <c r="D251" s="391" t="s">
        <v>579</v>
      </c>
      <c r="E251" s="391">
        <v>1.0</v>
      </c>
      <c r="F251" s="393">
        <v>45488.538194444445</v>
      </c>
      <c r="G251" s="391">
        <v>1.0</v>
      </c>
      <c r="H251" s="391">
        <v>51.3774</v>
      </c>
      <c r="I251" s="391">
        <v>8.16476</v>
      </c>
      <c r="J251" s="391">
        <v>-23.799844</v>
      </c>
      <c r="K251" s="391">
        <v>-22.271731</v>
      </c>
      <c r="L251" s="391">
        <v>1074.12</v>
      </c>
      <c r="M251" s="391">
        <v>68.50007</v>
      </c>
      <c r="N251" s="391">
        <v>11742.173</v>
      </c>
      <c r="O251" s="391">
        <v>0.0</v>
      </c>
      <c r="P251" s="394">
        <v>0.0</v>
      </c>
      <c r="Q251" s="376" t="s">
        <v>280</v>
      </c>
      <c r="R251" s="394" t="s">
        <v>607</v>
      </c>
      <c r="S251" s="394">
        <v>10.0</v>
      </c>
      <c r="T251" s="394">
        <v>5.0</v>
      </c>
      <c r="U251" s="394">
        <v>0.7</v>
      </c>
      <c r="V251" s="394">
        <v>0.7</v>
      </c>
      <c r="W251" s="394">
        <v>0.7</v>
      </c>
      <c r="X251" s="391">
        <v>2000.0</v>
      </c>
      <c r="Y251" s="391" t="s">
        <v>540</v>
      </c>
      <c r="Z251" s="391">
        <v>0.2</v>
      </c>
      <c r="AA251" s="391" t="s">
        <v>541</v>
      </c>
      <c r="AB251" s="391" t="s">
        <v>542</v>
      </c>
      <c r="AC251" s="391">
        <v>220.0</v>
      </c>
      <c r="AD251" s="193"/>
      <c r="AE251" s="377"/>
    </row>
    <row r="252">
      <c r="A252" s="391" t="s">
        <v>736</v>
      </c>
      <c r="B252" s="391">
        <v>6.0</v>
      </c>
      <c r="C252" s="391">
        <v>339.0</v>
      </c>
      <c r="D252" s="391" t="s">
        <v>579</v>
      </c>
      <c r="E252" s="391">
        <v>1.0</v>
      </c>
      <c r="F252" s="393">
        <v>45488.540972222225</v>
      </c>
      <c r="G252" s="391">
        <v>1.0</v>
      </c>
      <c r="H252" s="391">
        <v>51.3741</v>
      </c>
      <c r="I252" s="391">
        <v>7.86311</v>
      </c>
      <c r="J252" s="391">
        <v>-23.884763</v>
      </c>
      <c r="K252" s="391">
        <v>-21.989275</v>
      </c>
      <c r="L252" s="391">
        <v>1090.19</v>
      </c>
      <c r="M252" s="391">
        <v>65.497878</v>
      </c>
      <c r="N252" s="391">
        <v>11776.9416</v>
      </c>
      <c r="O252" s="391">
        <v>0.0</v>
      </c>
      <c r="P252" s="394">
        <v>0.0</v>
      </c>
      <c r="Q252" s="399" t="s">
        <v>280</v>
      </c>
      <c r="R252" s="394" t="s">
        <v>607</v>
      </c>
      <c r="S252" s="394">
        <v>10.0</v>
      </c>
      <c r="T252" s="394">
        <v>5.0</v>
      </c>
      <c r="U252" s="394">
        <v>0.7</v>
      </c>
      <c r="V252" s="394">
        <v>0.7</v>
      </c>
      <c r="W252" s="394">
        <v>0.7</v>
      </c>
      <c r="X252" s="391">
        <v>2000.0</v>
      </c>
      <c r="Y252" s="391" t="s">
        <v>540</v>
      </c>
      <c r="Z252" s="391">
        <v>0.2</v>
      </c>
      <c r="AA252" s="391" t="s">
        <v>541</v>
      </c>
      <c r="AB252" s="391" t="s">
        <v>542</v>
      </c>
      <c r="AC252" s="391">
        <v>220.0</v>
      </c>
      <c r="AD252" s="193"/>
      <c r="AE252" s="377"/>
    </row>
    <row r="253">
      <c r="A253" s="391" t="s">
        <v>737</v>
      </c>
      <c r="B253" s="391">
        <v>6.0</v>
      </c>
      <c r="C253" s="391">
        <v>339.0</v>
      </c>
      <c r="D253" s="391" t="s">
        <v>579</v>
      </c>
      <c r="E253" s="391">
        <v>1.0</v>
      </c>
      <c r="F253" s="393">
        <v>45488.54375</v>
      </c>
      <c r="G253" s="391">
        <v>2.0</v>
      </c>
      <c r="H253" s="391">
        <v>51.3807</v>
      </c>
      <c r="I253" s="391">
        <v>7.78137</v>
      </c>
      <c r="J253" s="391">
        <v>-23.829469</v>
      </c>
      <c r="K253" s="391">
        <v>-22.5658</v>
      </c>
      <c r="L253" s="391">
        <v>1048.56</v>
      </c>
      <c r="M253" s="391">
        <v>74.999234</v>
      </c>
      <c r="N253" s="391">
        <v>11771.6414</v>
      </c>
      <c r="O253" s="391">
        <v>11763.3393</v>
      </c>
      <c r="P253" s="394">
        <v>2104.36158</v>
      </c>
      <c r="Q253" s="376" t="s">
        <v>12</v>
      </c>
      <c r="R253" s="394" t="s">
        <v>539</v>
      </c>
      <c r="S253" s="394">
        <v>10.0</v>
      </c>
      <c r="T253" s="394">
        <v>5.0</v>
      </c>
      <c r="U253" s="394">
        <v>0.7</v>
      </c>
      <c r="V253" s="394">
        <v>0.7</v>
      </c>
      <c r="W253" s="394">
        <v>0.7</v>
      </c>
      <c r="X253" s="391">
        <v>2000.0</v>
      </c>
      <c r="Y253" s="391" t="s">
        <v>540</v>
      </c>
      <c r="Z253" s="391">
        <v>0.2</v>
      </c>
      <c r="AA253" s="391" t="s">
        <v>541</v>
      </c>
      <c r="AB253" s="391" t="s">
        <v>542</v>
      </c>
      <c r="AC253" s="391">
        <v>220.0</v>
      </c>
      <c r="AD253" s="193"/>
      <c r="AE253" s="377"/>
    </row>
    <row r="254">
      <c r="A254" s="391" t="s">
        <v>738</v>
      </c>
      <c r="B254" s="391">
        <v>6.0</v>
      </c>
      <c r="C254" s="391">
        <v>339.0</v>
      </c>
      <c r="D254" s="391" t="s">
        <v>579</v>
      </c>
      <c r="E254" s="391">
        <v>1.0</v>
      </c>
      <c r="F254" s="393">
        <v>45488.54652777778</v>
      </c>
      <c r="G254" s="391">
        <v>2.0</v>
      </c>
      <c r="H254" s="391">
        <v>51.3741</v>
      </c>
      <c r="I254" s="391">
        <v>7.70275</v>
      </c>
      <c r="J254" s="391">
        <v>-23.770888</v>
      </c>
      <c r="K254" s="391">
        <v>-22.254006</v>
      </c>
      <c r="L254" s="391">
        <v>1067.5</v>
      </c>
      <c r="M254" s="391">
        <v>68.998395</v>
      </c>
      <c r="N254" s="391">
        <v>11755.0372</v>
      </c>
      <c r="O254" s="391">
        <v>11763.3393</v>
      </c>
      <c r="P254" s="394">
        <v>2104.36158</v>
      </c>
      <c r="Q254" s="376" t="s">
        <v>12</v>
      </c>
      <c r="R254" s="394" t="s">
        <v>539</v>
      </c>
      <c r="S254" s="394">
        <v>10.0</v>
      </c>
      <c r="T254" s="394">
        <v>5.0</v>
      </c>
      <c r="U254" s="394">
        <v>0.7</v>
      </c>
      <c r="V254" s="394">
        <v>0.7</v>
      </c>
      <c r="W254" s="394">
        <v>0.7</v>
      </c>
      <c r="X254" s="391">
        <v>2000.0</v>
      </c>
      <c r="Y254" s="391" t="s">
        <v>540</v>
      </c>
      <c r="Z254" s="391">
        <v>0.2</v>
      </c>
      <c r="AA254" s="391" t="s">
        <v>541</v>
      </c>
      <c r="AB254" s="391" t="s">
        <v>542</v>
      </c>
      <c r="AC254" s="391">
        <v>220.0</v>
      </c>
      <c r="AD254" s="193"/>
      <c r="AE254" s="377"/>
    </row>
    <row r="255">
      <c r="A255" s="391" t="s">
        <v>588</v>
      </c>
      <c r="B255" s="391">
        <v>7.0</v>
      </c>
      <c r="C255" s="391">
        <v>340.0</v>
      </c>
      <c r="D255" s="391" t="s">
        <v>582</v>
      </c>
      <c r="E255" s="391">
        <v>1.0</v>
      </c>
      <c r="F255" s="393">
        <v>45488.55</v>
      </c>
      <c r="G255" s="391">
        <v>1.0</v>
      </c>
      <c r="H255" s="391">
        <v>51.3807</v>
      </c>
      <c r="I255" s="391">
        <v>7.54198</v>
      </c>
      <c r="J255" s="391">
        <v>-23.873038</v>
      </c>
      <c r="K255" s="391">
        <v>-22.412044</v>
      </c>
      <c r="L255" s="391">
        <v>1075.15</v>
      </c>
      <c r="M255" s="391">
        <v>72.999233</v>
      </c>
      <c r="N255" s="391">
        <v>11734.1787</v>
      </c>
      <c r="O255" s="391">
        <v>11761.1864</v>
      </c>
      <c r="P255" s="394">
        <v>2103.98141</v>
      </c>
      <c r="Q255" s="376" t="s">
        <v>12</v>
      </c>
      <c r="R255" s="394" t="s">
        <v>553</v>
      </c>
      <c r="S255" s="394">
        <v>10.0</v>
      </c>
      <c r="T255" s="394">
        <v>5.0</v>
      </c>
      <c r="U255" s="394">
        <v>0.7</v>
      </c>
      <c r="V255" s="394">
        <v>0.7</v>
      </c>
      <c r="W255" s="394">
        <v>0.7</v>
      </c>
      <c r="X255" s="391">
        <v>2000.0</v>
      </c>
      <c r="Y255" s="391" t="s">
        <v>540</v>
      </c>
      <c r="Z255" s="391">
        <v>0.2</v>
      </c>
      <c r="AA255" s="391" t="s">
        <v>541</v>
      </c>
      <c r="AB255" s="391" t="s">
        <v>542</v>
      </c>
      <c r="AC255" s="391">
        <v>220.0</v>
      </c>
      <c r="AD255" s="193"/>
      <c r="AE255" s="377"/>
    </row>
    <row r="256">
      <c r="A256" s="391" t="s">
        <v>590</v>
      </c>
      <c r="B256" s="391">
        <v>7.0</v>
      </c>
      <c r="C256" s="391">
        <v>340.0</v>
      </c>
      <c r="D256" s="391" t="s">
        <v>582</v>
      </c>
      <c r="E256" s="391">
        <v>1.0</v>
      </c>
      <c r="F256" s="393">
        <v>45488.552777777775</v>
      </c>
      <c r="G256" s="391">
        <v>1.0</v>
      </c>
      <c r="H256" s="391">
        <v>51.3774</v>
      </c>
      <c r="I256" s="391">
        <v>7.66537</v>
      </c>
      <c r="J256" s="391">
        <v>-23.914513</v>
      </c>
      <c r="K256" s="391">
        <v>-22.460631</v>
      </c>
      <c r="L256" s="391">
        <v>1075.38</v>
      </c>
      <c r="M256" s="391">
        <v>71.499678</v>
      </c>
      <c r="N256" s="391">
        <v>11761.0883</v>
      </c>
      <c r="O256" s="391">
        <v>11761.1864</v>
      </c>
      <c r="P256" s="394">
        <v>2103.98141</v>
      </c>
      <c r="Q256" s="376" t="s">
        <v>12</v>
      </c>
      <c r="R256" s="394" t="s">
        <v>539</v>
      </c>
      <c r="S256" s="394">
        <v>10.0</v>
      </c>
      <c r="T256" s="394">
        <v>5.0</v>
      </c>
      <c r="U256" s="394">
        <v>0.7</v>
      </c>
      <c r="V256" s="394">
        <v>0.7</v>
      </c>
      <c r="W256" s="394">
        <v>0.7</v>
      </c>
      <c r="X256" s="391">
        <v>2000.0</v>
      </c>
      <c r="Y256" s="391" t="s">
        <v>540</v>
      </c>
      <c r="Z256" s="391">
        <v>0.2</v>
      </c>
      <c r="AA256" s="391" t="s">
        <v>541</v>
      </c>
      <c r="AB256" s="391" t="s">
        <v>542</v>
      </c>
      <c r="AC256" s="391">
        <v>220.0</v>
      </c>
      <c r="AD256" s="193"/>
      <c r="AE256" s="377"/>
    </row>
    <row r="257">
      <c r="A257" s="391" t="s">
        <v>685</v>
      </c>
      <c r="B257" s="391">
        <v>7.0</v>
      </c>
      <c r="C257" s="391">
        <v>340.0</v>
      </c>
      <c r="D257" s="391" t="s">
        <v>582</v>
      </c>
      <c r="E257" s="391">
        <v>1.0</v>
      </c>
      <c r="F257" s="393">
        <v>45488.555555555555</v>
      </c>
      <c r="G257" s="391">
        <v>1.0</v>
      </c>
      <c r="H257" s="391">
        <v>51.3774</v>
      </c>
      <c r="I257" s="391">
        <v>7.55014</v>
      </c>
      <c r="J257" s="391">
        <v>-23.913131</v>
      </c>
      <c r="K257" s="391">
        <v>-22.537156</v>
      </c>
      <c r="L257" s="391">
        <v>1071.7</v>
      </c>
      <c r="M257" s="391">
        <v>74.500843</v>
      </c>
      <c r="N257" s="391">
        <v>11761.2844</v>
      </c>
      <c r="O257" s="391">
        <v>11761.1864</v>
      </c>
      <c r="P257" s="394">
        <v>2103.98141</v>
      </c>
      <c r="Q257" s="376" t="s">
        <v>12</v>
      </c>
      <c r="R257" s="394" t="s">
        <v>539</v>
      </c>
      <c r="S257" s="394">
        <v>10.0</v>
      </c>
      <c r="T257" s="394">
        <v>5.0</v>
      </c>
      <c r="U257" s="394">
        <v>0.7</v>
      </c>
      <c r="V257" s="394">
        <v>0.7</v>
      </c>
      <c r="W257" s="394">
        <v>0.7</v>
      </c>
      <c r="X257" s="391">
        <v>2000.0</v>
      </c>
      <c r="Y257" s="391" t="s">
        <v>540</v>
      </c>
      <c r="Z257" s="391">
        <v>0.2</v>
      </c>
      <c r="AA257" s="391" t="s">
        <v>541</v>
      </c>
      <c r="AB257" s="391" t="s">
        <v>542</v>
      </c>
      <c r="AC257" s="391">
        <v>220.0</v>
      </c>
      <c r="AD257" s="193"/>
      <c r="AE257" s="377"/>
    </row>
    <row r="258">
      <c r="A258" s="391" t="s">
        <v>688</v>
      </c>
      <c r="B258" s="391">
        <v>8.0</v>
      </c>
      <c r="C258" s="391">
        <v>248.0</v>
      </c>
      <c r="D258" s="391" t="s">
        <v>585</v>
      </c>
      <c r="E258" s="391">
        <v>1.0</v>
      </c>
      <c r="F258" s="393">
        <v>45488.55902777778</v>
      </c>
      <c r="G258" s="391">
        <v>1.0</v>
      </c>
      <c r="H258" s="391">
        <v>51.3774</v>
      </c>
      <c r="I258" s="391">
        <v>7.39645</v>
      </c>
      <c r="J258" s="391">
        <v>-23.85885</v>
      </c>
      <c r="K258" s="391">
        <v>-22.386681</v>
      </c>
      <c r="L258" s="391">
        <v>1063.17</v>
      </c>
      <c r="M258" s="391">
        <v>72.000035</v>
      </c>
      <c r="N258" s="391">
        <v>11675.4941</v>
      </c>
      <c r="O258" s="391">
        <v>11640.305</v>
      </c>
      <c r="P258" s="394">
        <v>2082.63585</v>
      </c>
      <c r="Q258" s="376" t="s">
        <v>12</v>
      </c>
      <c r="R258" s="394" t="s">
        <v>553</v>
      </c>
      <c r="S258" s="394">
        <v>10.0</v>
      </c>
      <c r="T258" s="394">
        <v>5.0</v>
      </c>
      <c r="U258" s="394">
        <v>0.7</v>
      </c>
      <c r="V258" s="394">
        <v>0.7</v>
      </c>
      <c r="W258" s="394">
        <v>0.7</v>
      </c>
      <c r="X258" s="391">
        <v>2000.0</v>
      </c>
      <c r="Y258" s="391" t="s">
        <v>540</v>
      </c>
      <c r="Z258" s="391">
        <v>0.2</v>
      </c>
      <c r="AA258" s="391" t="s">
        <v>541</v>
      </c>
      <c r="AB258" s="391" t="s">
        <v>542</v>
      </c>
      <c r="AC258" s="391">
        <v>220.0</v>
      </c>
      <c r="AD258" s="193"/>
      <c r="AE258" s="377"/>
    </row>
    <row r="259">
      <c r="A259" s="391" t="s">
        <v>689</v>
      </c>
      <c r="B259" s="391">
        <v>8.0</v>
      </c>
      <c r="C259" s="391">
        <v>248.0</v>
      </c>
      <c r="D259" s="391" t="s">
        <v>585</v>
      </c>
      <c r="E259" s="391">
        <v>1.0</v>
      </c>
      <c r="F259" s="393">
        <v>45488.56180555555</v>
      </c>
      <c r="G259" s="391">
        <v>1.0</v>
      </c>
      <c r="H259" s="391">
        <v>51.3807</v>
      </c>
      <c r="I259" s="391">
        <v>7.37088</v>
      </c>
      <c r="J259" s="391">
        <v>-23.98665</v>
      </c>
      <c r="K259" s="391">
        <v>-22.551725</v>
      </c>
      <c r="L259" s="391">
        <v>1066.73</v>
      </c>
      <c r="M259" s="391">
        <v>73.999544</v>
      </c>
      <c r="N259" s="391">
        <v>11641.3421</v>
      </c>
      <c r="O259" s="391">
        <v>11640.305</v>
      </c>
      <c r="P259" s="394">
        <v>2082.63585</v>
      </c>
      <c r="Q259" s="376" t="s">
        <v>12</v>
      </c>
      <c r="R259" s="394" t="s">
        <v>539</v>
      </c>
      <c r="S259" s="394">
        <v>10.0</v>
      </c>
      <c r="T259" s="394">
        <v>5.0</v>
      </c>
      <c r="U259" s="394">
        <v>0.7</v>
      </c>
      <c r="V259" s="394">
        <v>0.7</v>
      </c>
      <c r="W259" s="394">
        <v>0.7</v>
      </c>
      <c r="X259" s="391">
        <v>2000.0</v>
      </c>
      <c r="Y259" s="391" t="s">
        <v>540</v>
      </c>
      <c r="Z259" s="391">
        <v>0.2</v>
      </c>
      <c r="AA259" s="391" t="s">
        <v>541</v>
      </c>
      <c r="AB259" s="391" t="s">
        <v>542</v>
      </c>
      <c r="AC259" s="391">
        <v>220.0</v>
      </c>
      <c r="AD259" s="193"/>
      <c r="AE259" s="377"/>
    </row>
    <row r="260">
      <c r="A260" s="391" t="s">
        <v>690</v>
      </c>
      <c r="B260" s="391">
        <v>8.0</v>
      </c>
      <c r="C260" s="391">
        <v>248.0</v>
      </c>
      <c r="D260" s="391" t="s">
        <v>585</v>
      </c>
      <c r="E260" s="391">
        <v>1.0</v>
      </c>
      <c r="F260" s="393">
        <v>45488.56458333333</v>
      </c>
      <c r="G260" s="391">
        <v>1.0</v>
      </c>
      <c r="H260" s="391">
        <v>51.3807</v>
      </c>
      <c r="I260" s="391">
        <v>7.37443</v>
      </c>
      <c r="J260" s="391">
        <v>-23.917706</v>
      </c>
      <c r="K260" s="391">
        <v>-22.426025</v>
      </c>
      <c r="L260" s="391">
        <v>1047.47</v>
      </c>
      <c r="M260" s="391">
        <v>71.002211</v>
      </c>
      <c r="N260" s="391">
        <v>11639.268</v>
      </c>
      <c r="O260" s="391">
        <v>11640.305</v>
      </c>
      <c r="P260" s="394">
        <v>2082.63585</v>
      </c>
      <c r="Q260" s="376" t="s">
        <v>12</v>
      </c>
      <c r="R260" s="394" t="s">
        <v>539</v>
      </c>
      <c r="S260" s="394">
        <v>10.0</v>
      </c>
      <c r="T260" s="394">
        <v>5.0</v>
      </c>
      <c r="U260" s="394">
        <v>0.7</v>
      </c>
      <c r="V260" s="394">
        <v>0.7</v>
      </c>
      <c r="W260" s="394">
        <v>0.7</v>
      </c>
      <c r="X260" s="391">
        <v>2000.0</v>
      </c>
      <c r="Y260" s="391" t="s">
        <v>540</v>
      </c>
      <c r="Z260" s="391">
        <v>0.2</v>
      </c>
      <c r="AA260" s="391" t="s">
        <v>541</v>
      </c>
      <c r="AB260" s="391" t="s">
        <v>542</v>
      </c>
      <c r="AC260" s="391">
        <v>220.0</v>
      </c>
      <c r="AD260" s="193"/>
      <c r="AE260" s="377"/>
    </row>
    <row r="261">
      <c r="A261" s="391" t="s">
        <v>597</v>
      </c>
      <c r="B261" s="391">
        <v>9.0</v>
      </c>
      <c r="C261" s="391">
        <v>249.0</v>
      </c>
      <c r="D261" s="391" t="s">
        <v>589</v>
      </c>
      <c r="E261" s="391">
        <v>1.0</v>
      </c>
      <c r="F261" s="393">
        <v>45488.56805555556</v>
      </c>
      <c r="G261" s="391">
        <v>1.0</v>
      </c>
      <c r="H261" s="391">
        <v>51.3807</v>
      </c>
      <c r="I261" s="391">
        <v>7.48225</v>
      </c>
      <c r="J261" s="391">
        <v>-23.936037</v>
      </c>
      <c r="K261" s="391">
        <v>-22.491338</v>
      </c>
      <c r="L261" s="391">
        <v>1074.35</v>
      </c>
      <c r="M261" s="391">
        <v>74.499563</v>
      </c>
      <c r="N261" s="391">
        <v>11670.5275</v>
      </c>
      <c r="O261" s="391">
        <v>11676.1341</v>
      </c>
      <c r="P261" s="394">
        <v>2088.96265</v>
      </c>
      <c r="Q261" s="376" t="s">
        <v>12</v>
      </c>
      <c r="R261" s="394" t="s">
        <v>553</v>
      </c>
      <c r="S261" s="394">
        <v>10.0</v>
      </c>
      <c r="T261" s="394">
        <v>5.0</v>
      </c>
      <c r="U261" s="394">
        <v>0.7</v>
      </c>
      <c r="V261" s="394">
        <v>0.7</v>
      </c>
      <c r="W261" s="394">
        <v>0.7</v>
      </c>
      <c r="X261" s="391">
        <v>2000.0</v>
      </c>
      <c r="Y261" s="391" t="s">
        <v>540</v>
      </c>
      <c r="Z261" s="391">
        <v>0.2</v>
      </c>
      <c r="AA261" s="391" t="s">
        <v>541</v>
      </c>
      <c r="AB261" s="391" t="s">
        <v>542</v>
      </c>
      <c r="AC261" s="391">
        <v>220.0</v>
      </c>
      <c r="AD261" s="193"/>
      <c r="AE261" s="377"/>
    </row>
    <row r="262">
      <c r="A262" s="391" t="s">
        <v>598</v>
      </c>
      <c r="B262" s="391">
        <v>9.0</v>
      </c>
      <c r="C262" s="391">
        <v>249.0</v>
      </c>
      <c r="D262" s="391" t="s">
        <v>589</v>
      </c>
      <c r="E262" s="391">
        <v>1.0</v>
      </c>
      <c r="F262" s="393">
        <v>45488.57083333333</v>
      </c>
      <c r="G262" s="391">
        <v>1.0</v>
      </c>
      <c r="H262" s="391">
        <v>51.3741</v>
      </c>
      <c r="I262" s="391">
        <v>7.40027</v>
      </c>
      <c r="J262" s="391">
        <v>-23.860381</v>
      </c>
      <c r="K262" s="391">
        <v>-21.892919</v>
      </c>
      <c r="L262" s="391">
        <v>1022.53</v>
      </c>
      <c r="M262" s="391">
        <v>65.500862</v>
      </c>
      <c r="N262" s="391">
        <v>11575.7855</v>
      </c>
      <c r="O262" s="391">
        <v>11676.1341</v>
      </c>
      <c r="P262" s="394">
        <v>2088.96265</v>
      </c>
      <c r="Q262" s="376" t="s">
        <v>12</v>
      </c>
      <c r="R262" s="394" t="s">
        <v>553</v>
      </c>
      <c r="S262" s="394">
        <v>10.0</v>
      </c>
      <c r="T262" s="394">
        <v>5.0</v>
      </c>
      <c r="U262" s="394">
        <v>0.7</v>
      </c>
      <c r="V262" s="394">
        <v>0.7</v>
      </c>
      <c r="W262" s="394">
        <v>0.7</v>
      </c>
      <c r="X262" s="391">
        <v>2000.0</v>
      </c>
      <c r="Y262" s="391" t="s">
        <v>540</v>
      </c>
      <c r="Z262" s="391">
        <v>0.2</v>
      </c>
      <c r="AA262" s="391" t="s">
        <v>541</v>
      </c>
      <c r="AB262" s="391" t="s">
        <v>542</v>
      </c>
      <c r="AC262" s="391">
        <v>220.0</v>
      </c>
      <c r="AD262" s="193"/>
      <c r="AE262" s="377"/>
    </row>
    <row r="263">
      <c r="A263" s="391" t="s">
        <v>739</v>
      </c>
      <c r="B263" s="391">
        <v>9.0</v>
      </c>
      <c r="C263" s="391">
        <v>249.0</v>
      </c>
      <c r="D263" s="391" t="s">
        <v>589</v>
      </c>
      <c r="E263" s="391">
        <v>1.0</v>
      </c>
      <c r="F263" s="393">
        <v>45488.57361111111</v>
      </c>
      <c r="G263" s="391">
        <v>1.0</v>
      </c>
      <c r="H263" s="391">
        <v>51.3807</v>
      </c>
      <c r="I263" s="391">
        <v>7.37261</v>
      </c>
      <c r="J263" s="391">
        <v>-23.990713</v>
      </c>
      <c r="K263" s="391">
        <v>-22.472269</v>
      </c>
      <c r="L263" s="391">
        <v>1080.88</v>
      </c>
      <c r="M263" s="391">
        <v>71.999495</v>
      </c>
      <c r="N263" s="391">
        <v>11682.9598</v>
      </c>
      <c r="O263" s="391">
        <v>11676.1341</v>
      </c>
      <c r="P263" s="394">
        <v>2088.96265</v>
      </c>
      <c r="Q263" s="376" t="s">
        <v>12</v>
      </c>
      <c r="R263" s="394" t="s">
        <v>539</v>
      </c>
      <c r="S263" s="394">
        <v>10.0</v>
      </c>
      <c r="T263" s="394">
        <v>5.0</v>
      </c>
      <c r="U263" s="394">
        <v>0.7</v>
      </c>
      <c r="V263" s="394">
        <v>0.7</v>
      </c>
      <c r="W263" s="394">
        <v>0.7</v>
      </c>
      <c r="X263" s="391">
        <v>2000.0</v>
      </c>
      <c r="Y263" s="391" t="s">
        <v>540</v>
      </c>
      <c r="Z263" s="391">
        <v>0.2</v>
      </c>
      <c r="AA263" s="391" t="s">
        <v>541</v>
      </c>
      <c r="AB263" s="391" t="s">
        <v>542</v>
      </c>
      <c r="AC263" s="391">
        <v>220.0</v>
      </c>
      <c r="AD263" s="193"/>
      <c r="AE263" s="377"/>
    </row>
    <row r="264">
      <c r="A264" s="391" t="s">
        <v>740</v>
      </c>
      <c r="B264" s="391">
        <v>9.0</v>
      </c>
      <c r="C264" s="391">
        <v>249.0</v>
      </c>
      <c r="D264" s="391" t="s">
        <v>589</v>
      </c>
      <c r="E264" s="391">
        <v>1.0</v>
      </c>
      <c r="F264" s="393">
        <v>45488.57638888889</v>
      </c>
      <c r="G264" s="391">
        <v>1.0</v>
      </c>
      <c r="H264" s="391">
        <v>51.3807</v>
      </c>
      <c r="I264" s="391">
        <v>7.25833</v>
      </c>
      <c r="J264" s="391">
        <v>-23.956319</v>
      </c>
      <c r="K264" s="391">
        <v>-21.7986</v>
      </c>
      <c r="L264" s="391">
        <v>1079.41</v>
      </c>
      <c r="M264" s="391">
        <v>66.500281</v>
      </c>
      <c r="N264" s="391">
        <v>11669.3084</v>
      </c>
      <c r="O264" s="391">
        <v>11676.1341</v>
      </c>
      <c r="P264" s="394">
        <v>2088.96265</v>
      </c>
      <c r="Q264" s="376" t="s">
        <v>12</v>
      </c>
      <c r="R264" s="394" t="s">
        <v>539</v>
      </c>
      <c r="S264" s="394">
        <v>10.0</v>
      </c>
      <c r="T264" s="394">
        <v>5.0</v>
      </c>
      <c r="U264" s="394">
        <v>0.7</v>
      </c>
      <c r="V264" s="394">
        <v>0.7</v>
      </c>
      <c r="W264" s="394">
        <v>0.7</v>
      </c>
      <c r="X264" s="391">
        <v>2000.0</v>
      </c>
      <c r="Y264" s="391" t="s">
        <v>540</v>
      </c>
      <c r="Z264" s="391">
        <v>0.2</v>
      </c>
      <c r="AA264" s="391" t="s">
        <v>541</v>
      </c>
      <c r="AB264" s="391" t="s">
        <v>542</v>
      </c>
      <c r="AC264" s="391">
        <v>220.0</v>
      </c>
      <c r="AD264" s="193"/>
      <c r="AE264" s="377"/>
    </row>
    <row r="265">
      <c r="A265" s="391" t="s">
        <v>741</v>
      </c>
      <c r="B265" s="391" t="s">
        <v>551</v>
      </c>
      <c r="C265" s="391" t="s">
        <v>726</v>
      </c>
      <c r="D265" s="391" t="s">
        <v>538</v>
      </c>
      <c r="E265" s="391">
        <v>0.8</v>
      </c>
      <c r="F265" s="393">
        <v>45488.580555555556</v>
      </c>
      <c r="G265" s="391">
        <v>1.0</v>
      </c>
      <c r="H265" s="391">
        <v>51.3741</v>
      </c>
      <c r="I265" s="391">
        <v>7.05409</v>
      </c>
      <c r="J265" s="391">
        <v>-23.894175</v>
      </c>
      <c r="K265" s="391">
        <v>-22.251031</v>
      </c>
      <c r="L265" s="391">
        <v>1006.43</v>
      </c>
      <c r="M265" s="391">
        <v>64.499158</v>
      </c>
      <c r="N265" s="391">
        <v>9213.59025</v>
      </c>
      <c r="O265" s="391">
        <v>9212.73357</v>
      </c>
      <c r="P265" s="394">
        <v>2070.3457</v>
      </c>
      <c r="Q265" s="376" t="s">
        <v>12</v>
      </c>
      <c r="R265" s="394" t="s">
        <v>539</v>
      </c>
      <c r="S265" s="394">
        <v>10.0</v>
      </c>
      <c r="T265" s="394">
        <v>5.0</v>
      </c>
      <c r="U265" s="394">
        <v>0.7</v>
      </c>
      <c r="V265" s="394">
        <v>0.7</v>
      </c>
      <c r="W265" s="394">
        <v>0.7</v>
      </c>
      <c r="X265" s="391">
        <v>2000.0</v>
      </c>
      <c r="Y265" s="391" t="s">
        <v>540</v>
      </c>
      <c r="Z265" s="391">
        <v>0.2</v>
      </c>
      <c r="AA265" s="391" t="s">
        <v>541</v>
      </c>
      <c r="AB265" s="391" t="s">
        <v>542</v>
      </c>
      <c r="AC265" s="391">
        <v>220.0</v>
      </c>
      <c r="AD265" s="193"/>
      <c r="AE265" s="377"/>
    </row>
    <row r="266">
      <c r="A266" s="391" t="s">
        <v>742</v>
      </c>
      <c r="B266" s="391" t="s">
        <v>551</v>
      </c>
      <c r="C266" s="391" t="s">
        <v>726</v>
      </c>
      <c r="D266" s="391" t="s">
        <v>538</v>
      </c>
      <c r="E266" s="391">
        <v>0.8</v>
      </c>
      <c r="F266" s="393">
        <v>45488.58263888889</v>
      </c>
      <c r="G266" s="391">
        <v>1.0</v>
      </c>
      <c r="H266" s="391">
        <v>51.3708</v>
      </c>
      <c r="I266" s="391">
        <v>7.1154</v>
      </c>
      <c r="J266" s="391">
        <v>-23.865525</v>
      </c>
      <c r="K266" s="391">
        <v>-22.167656</v>
      </c>
      <c r="L266" s="391">
        <v>987.586</v>
      </c>
      <c r="M266" s="391">
        <v>62.500071</v>
      </c>
      <c r="N266" s="391">
        <v>9211.87688</v>
      </c>
      <c r="O266" s="391">
        <v>9212.73357</v>
      </c>
      <c r="P266" s="394">
        <v>2070.3457</v>
      </c>
      <c r="Q266" s="376" t="s">
        <v>12</v>
      </c>
      <c r="R266" s="394" t="s">
        <v>539</v>
      </c>
      <c r="S266" s="394">
        <v>10.0</v>
      </c>
      <c r="T266" s="394">
        <v>5.0</v>
      </c>
      <c r="U266" s="394">
        <v>0.7</v>
      </c>
      <c r="V266" s="394">
        <v>0.7</v>
      </c>
      <c r="W266" s="394">
        <v>0.7</v>
      </c>
      <c r="X266" s="391">
        <v>2000.0</v>
      </c>
      <c r="Y266" s="391" t="s">
        <v>540</v>
      </c>
      <c r="Z266" s="391">
        <v>0.2</v>
      </c>
      <c r="AA266" s="391" t="s">
        <v>541</v>
      </c>
      <c r="AB266" s="391" t="s">
        <v>542</v>
      </c>
      <c r="AC266" s="391">
        <v>220.0</v>
      </c>
      <c r="AD266" s="193"/>
      <c r="AE266" s="377"/>
    </row>
    <row r="267">
      <c r="A267" s="395" t="s">
        <v>743</v>
      </c>
      <c r="B267" s="395" t="s">
        <v>558</v>
      </c>
      <c r="C267" s="395" t="s">
        <v>726</v>
      </c>
      <c r="D267" s="395" t="s">
        <v>538</v>
      </c>
      <c r="E267" s="395">
        <v>1.0</v>
      </c>
      <c r="F267" s="396">
        <v>45488.58541666667</v>
      </c>
      <c r="G267" s="395">
        <v>1.0</v>
      </c>
      <c r="H267" s="395">
        <v>51.3807</v>
      </c>
      <c r="I267" s="395">
        <v>7.30608</v>
      </c>
      <c r="J267" s="395">
        <v>-23.839719</v>
      </c>
      <c r="K267" s="395">
        <v>-22.44455</v>
      </c>
      <c r="L267" s="395">
        <v>1071.6</v>
      </c>
      <c r="M267" s="395">
        <v>72.999444</v>
      </c>
      <c r="N267" s="395">
        <v>11580.1714</v>
      </c>
      <c r="O267" s="395">
        <v>11571.8636</v>
      </c>
      <c r="P267" s="397">
        <v>2070.3457</v>
      </c>
      <c r="Q267" s="376" t="s">
        <v>12</v>
      </c>
      <c r="R267" s="394" t="s">
        <v>539</v>
      </c>
      <c r="S267" s="394">
        <v>10.0</v>
      </c>
      <c r="T267" s="394">
        <v>5.0</v>
      </c>
      <c r="U267" s="394">
        <v>0.7</v>
      </c>
      <c r="V267" s="394">
        <v>0.7</v>
      </c>
      <c r="W267" s="394">
        <v>0.7</v>
      </c>
      <c r="X267" s="391">
        <v>2000.0</v>
      </c>
      <c r="Y267" s="391" t="s">
        <v>540</v>
      </c>
      <c r="Z267" s="391">
        <v>0.2</v>
      </c>
      <c r="AA267" s="391" t="s">
        <v>541</v>
      </c>
      <c r="AB267" s="391" t="s">
        <v>542</v>
      </c>
      <c r="AC267" s="391">
        <v>220.0</v>
      </c>
      <c r="AD267" s="193"/>
      <c r="AE267" s="377"/>
    </row>
    <row r="268">
      <c r="A268" s="391" t="s">
        <v>744</v>
      </c>
      <c r="B268" s="391" t="s">
        <v>558</v>
      </c>
      <c r="C268" s="391" t="s">
        <v>726</v>
      </c>
      <c r="D268" s="391" t="s">
        <v>538</v>
      </c>
      <c r="E268" s="391">
        <v>1.0</v>
      </c>
      <c r="F268" s="393">
        <v>45488.58819444444</v>
      </c>
      <c r="G268" s="391">
        <v>1.0</v>
      </c>
      <c r="H268" s="391">
        <v>51.3741</v>
      </c>
      <c r="I268" s="391">
        <v>7.90839</v>
      </c>
      <c r="J268" s="391">
        <v>-23.816794</v>
      </c>
      <c r="K268" s="391">
        <v>-22.148375</v>
      </c>
      <c r="L268" s="391">
        <v>1082.69</v>
      </c>
      <c r="M268" s="391">
        <v>65.999711</v>
      </c>
      <c r="N268" s="391">
        <v>11563.5557</v>
      </c>
      <c r="O268" s="391">
        <v>11571.8636</v>
      </c>
      <c r="P268" s="394">
        <v>2070.3457</v>
      </c>
      <c r="Q268" s="376" t="s">
        <v>12</v>
      </c>
      <c r="R268" s="394" t="s">
        <v>539</v>
      </c>
      <c r="S268" s="394">
        <v>10.0</v>
      </c>
      <c r="T268" s="394">
        <v>5.0</v>
      </c>
      <c r="U268" s="394">
        <v>0.7</v>
      </c>
      <c r="V268" s="394">
        <v>0.7</v>
      </c>
      <c r="W268" s="394">
        <v>0.7</v>
      </c>
      <c r="X268" s="391">
        <v>2000.0</v>
      </c>
      <c r="Y268" s="391" t="s">
        <v>540</v>
      </c>
      <c r="Z268" s="391">
        <v>0.2</v>
      </c>
      <c r="AA268" s="391" t="s">
        <v>541</v>
      </c>
      <c r="AB268" s="391" t="s">
        <v>542</v>
      </c>
      <c r="AC268" s="391">
        <v>220.0</v>
      </c>
      <c r="AD268" s="193"/>
      <c r="AE268" s="377"/>
    </row>
    <row r="269">
      <c r="A269" s="391" t="s">
        <v>745</v>
      </c>
      <c r="B269" s="391" t="s">
        <v>561</v>
      </c>
      <c r="C269" s="391" t="s">
        <v>726</v>
      </c>
      <c r="D269" s="391" t="s">
        <v>538</v>
      </c>
      <c r="E269" s="391">
        <v>1.2</v>
      </c>
      <c r="F269" s="393">
        <v>45488.59166666667</v>
      </c>
      <c r="G269" s="391">
        <v>1.0</v>
      </c>
      <c r="H269" s="391">
        <v>51.3774</v>
      </c>
      <c r="I269" s="391">
        <v>7.8985</v>
      </c>
      <c r="J269" s="391">
        <v>-23.948994</v>
      </c>
      <c r="K269" s="391">
        <v>-22.170513</v>
      </c>
      <c r="L269" s="391">
        <v>1126.77</v>
      </c>
      <c r="M269" s="391">
        <v>72.499969</v>
      </c>
      <c r="N269" s="391">
        <v>13939.677</v>
      </c>
      <c r="O269" s="391">
        <v>13944.6198</v>
      </c>
      <c r="P269" s="394">
        <v>2070.3457</v>
      </c>
      <c r="Q269" s="376" t="s">
        <v>12</v>
      </c>
      <c r="R269" s="394" t="s">
        <v>539</v>
      </c>
      <c r="S269" s="394">
        <v>10.0</v>
      </c>
      <c r="T269" s="394">
        <v>5.0</v>
      </c>
      <c r="U269" s="394">
        <v>0.7</v>
      </c>
      <c r="V269" s="394">
        <v>0.7</v>
      </c>
      <c r="W269" s="394">
        <v>0.7</v>
      </c>
      <c r="X269" s="391">
        <v>2000.0</v>
      </c>
      <c r="Y269" s="391" t="s">
        <v>540</v>
      </c>
      <c r="Z269" s="391">
        <v>0.2</v>
      </c>
      <c r="AA269" s="391" t="s">
        <v>541</v>
      </c>
      <c r="AB269" s="391" t="s">
        <v>542</v>
      </c>
      <c r="AC269" s="391">
        <v>220.0</v>
      </c>
      <c r="AD269" s="193"/>
      <c r="AE269" s="377"/>
    </row>
    <row r="270">
      <c r="A270" s="391" t="s">
        <v>746</v>
      </c>
      <c r="B270" s="391" t="s">
        <v>561</v>
      </c>
      <c r="C270" s="391" t="s">
        <v>726</v>
      </c>
      <c r="D270" s="391" t="s">
        <v>538</v>
      </c>
      <c r="E270" s="391">
        <v>1.2</v>
      </c>
      <c r="F270" s="393">
        <v>45488.59444444445</v>
      </c>
      <c r="G270" s="391">
        <v>1.0</v>
      </c>
      <c r="H270" s="391">
        <v>51.3741</v>
      </c>
      <c r="I270" s="391">
        <v>7.71657</v>
      </c>
      <c r="J270" s="391">
        <v>-23.884706</v>
      </c>
      <c r="K270" s="391">
        <v>-22.258838</v>
      </c>
      <c r="L270" s="391">
        <v>1108.53</v>
      </c>
      <c r="M270" s="391">
        <v>74.498927</v>
      </c>
      <c r="N270" s="391">
        <v>13949.5626</v>
      </c>
      <c r="O270" s="391">
        <v>13944.6198</v>
      </c>
      <c r="P270" s="394">
        <v>2070.3457</v>
      </c>
      <c r="Q270" s="376" t="s">
        <v>12</v>
      </c>
      <c r="R270" s="394" t="s">
        <v>539</v>
      </c>
      <c r="S270" s="394">
        <v>10.0</v>
      </c>
      <c r="T270" s="394">
        <v>5.0</v>
      </c>
      <c r="U270" s="394">
        <v>0.7</v>
      </c>
      <c r="V270" s="394">
        <v>0.7</v>
      </c>
      <c r="W270" s="394">
        <v>0.7</v>
      </c>
      <c r="X270" s="391">
        <v>2000.0</v>
      </c>
      <c r="Y270" s="391" t="s">
        <v>540</v>
      </c>
      <c r="Z270" s="391">
        <v>0.2</v>
      </c>
      <c r="AA270" s="391" t="s">
        <v>541</v>
      </c>
      <c r="AB270" s="391" t="s">
        <v>542</v>
      </c>
      <c r="AC270" s="391">
        <v>220.0</v>
      </c>
      <c r="AD270" s="193"/>
      <c r="AE270" s="377"/>
    </row>
    <row r="271">
      <c r="A271" s="391" t="s">
        <v>601</v>
      </c>
      <c r="B271" s="391">
        <v>2.0</v>
      </c>
      <c r="C271" s="391">
        <v>313.0</v>
      </c>
      <c r="D271" s="391" t="s">
        <v>564</v>
      </c>
      <c r="E271" s="391">
        <v>1.0</v>
      </c>
      <c r="F271" s="393">
        <v>45488.597916666666</v>
      </c>
      <c r="G271" s="391">
        <v>1.0</v>
      </c>
      <c r="H271" s="391">
        <v>51.3774</v>
      </c>
      <c r="I271" s="391">
        <v>7.77567</v>
      </c>
      <c r="J271" s="391">
        <v>-23.947862</v>
      </c>
      <c r="K271" s="391">
        <v>-22.106306</v>
      </c>
      <c r="L271" s="391">
        <v>1092.68</v>
      </c>
      <c r="M271" s="391">
        <v>68.000677</v>
      </c>
      <c r="N271" s="391">
        <v>11750.022</v>
      </c>
      <c r="O271" s="391">
        <v>11749.2241</v>
      </c>
      <c r="P271" s="394">
        <v>2100.59106</v>
      </c>
      <c r="Q271" s="376" t="s">
        <v>12</v>
      </c>
      <c r="R271" s="394" t="s">
        <v>539</v>
      </c>
      <c r="S271" s="394">
        <v>10.0</v>
      </c>
      <c r="T271" s="394">
        <v>5.0</v>
      </c>
      <c r="U271" s="394">
        <v>0.7</v>
      </c>
      <c r="V271" s="394">
        <v>0.7</v>
      </c>
      <c r="W271" s="394">
        <v>0.7</v>
      </c>
      <c r="X271" s="391">
        <v>2000.0</v>
      </c>
      <c r="Y271" s="391" t="s">
        <v>540</v>
      </c>
      <c r="Z271" s="391">
        <v>0.2</v>
      </c>
      <c r="AA271" s="391" t="s">
        <v>541</v>
      </c>
      <c r="AB271" s="391" t="s">
        <v>542</v>
      </c>
      <c r="AC271" s="391">
        <v>220.0</v>
      </c>
      <c r="AD271" s="193"/>
      <c r="AE271" s="377"/>
    </row>
    <row r="272">
      <c r="A272" s="391" t="s">
        <v>602</v>
      </c>
      <c r="B272" s="391">
        <v>2.0</v>
      </c>
      <c r="C272" s="391">
        <v>313.0</v>
      </c>
      <c r="D272" s="391" t="s">
        <v>564</v>
      </c>
      <c r="E272" s="391">
        <v>1.0</v>
      </c>
      <c r="F272" s="393">
        <v>45488.600694444445</v>
      </c>
      <c r="G272" s="391">
        <v>1.0</v>
      </c>
      <c r="H272" s="391">
        <v>51.3774</v>
      </c>
      <c r="I272" s="391">
        <v>7.62792</v>
      </c>
      <c r="J272" s="391">
        <v>-23.998181</v>
      </c>
      <c r="K272" s="391">
        <v>-22.250113</v>
      </c>
      <c r="L272" s="391">
        <v>1089.71</v>
      </c>
      <c r="M272" s="391">
        <v>71.499896</v>
      </c>
      <c r="N272" s="391">
        <v>11748.4263</v>
      </c>
      <c r="O272" s="391">
        <v>11749.2241</v>
      </c>
      <c r="P272" s="394">
        <v>2100.59106</v>
      </c>
      <c r="Q272" s="376" t="s">
        <v>12</v>
      </c>
      <c r="R272" s="394" t="s">
        <v>539</v>
      </c>
      <c r="S272" s="394">
        <v>10.0</v>
      </c>
      <c r="T272" s="394">
        <v>5.0</v>
      </c>
      <c r="U272" s="394">
        <v>0.7</v>
      </c>
      <c r="V272" s="394">
        <v>0.7</v>
      </c>
      <c r="W272" s="394">
        <v>0.7</v>
      </c>
      <c r="X272" s="391">
        <v>2000.0</v>
      </c>
      <c r="Y272" s="391" t="s">
        <v>540</v>
      </c>
      <c r="Z272" s="391">
        <v>0.2</v>
      </c>
      <c r="AA272" s="391" t="s">
        <v>541</v>
      </c>
      <c r="AB272" s="391" t="s">
        <v>542</v>
      </c>
      <c r="AC272" s="391">
        <v>220.0</v>
      </c>
      <c r="AD272" s="193"/>
      <c r="AE272" s="377"/>
    </row>
    <row r="273">
      <c r="A273" s="391" t="s">
        <v>606</v>
      </c>
      <c r="B273" s="391">
        <v>3.0</v>
      </c>
      <c r="C273" s="391">
        <v>314.0</v>
      </c>
      <c r="D273" s="391" t="s">
        <v>568</v>
      </c>
      <c r="E273" s="391">
        <v>1.0</v>
      </c>
      <c r="F273" s="393">
        <v>45488.604166666664</v>
      </c>
      <c r="G273" s="391">
        <v>1.0</v>
      </c>
      <c r="H273" s="391">
        <v>51.384</v>
      </c>
      <c r="I273" s="391">
        <v>7.39456</v>
      </c>
      <c r="J273" s="391">
        <v>-23.948394</v>
      </c>
      <c r="K273" s="391">
        <v>-22.3782</v>
      </c>
      <c r="L273" s="391">
        <v>1090.91</v>
      </c>
      <c r="M273" s="391">
        <v>73.499785</v>
      </c>
      <c r="N273" s="391">
        <v>11726.5033</v>
      </c>
      <c r="O273" s="391">
        <v>11725.3194</v>
      </c>
      <c r="P273" s="394">
        <v>2096.40744</v>
      </c>
      <c r="Q273" s="376" t="s">
        <v>12</v>
      </c>
      <c r="R273" s="394" t="s">
        <v>539</v>
      </c>
      <c r="S273" s="394">
        <v>10.0</v>
      </c>
      <c r="T273" s="394">
        <v>5.0</v>
      </c>
      <c r="U273" s="394">
        <v>0.7</v>
      </c>
      <c r="V273" s="394">
        <v>0.7</v>
      </c>
      <c r="W273" s="394">
        <v>0.7</v>
      </c>
      <c r="X273" s="391">
        <v>2000.0</v>
      </c>
      <c r="Y273" s="391" t="s">
        <v>540</v>
      </c>
      <c r="Z273" s="391">
        <v>0.2</v>
      </c>
      <c r="AA273" s="391" t="s">
        <v>541</v>
      </c>
      <c r="AB273" s="391" t="s">
        <v>542</v>
      </c>
      <c r="AC273" s="391">
        <v>220.0</v>
      </c>
      <c r="AD273" s="193"/>
      <c r="AE273" s="377"/>
    </row>
    <row r="274">
      <c r="A274" s="391" t="s">
        <v>608</v>
      </c>
      <c r="B274" s="391">
        <v>3.0</v>
      </c>
      <c r="C274" s="391">
        <v>314.0</v>
      </c>
      <c r="D274" s="391" t="s">
        <v>568</v>
      </c>
      <c r="E274" s="391">
        <v>1.0</v>
      </c>
      <c r="F274" s="393">
        <v>45488.606944444444</v>
      </c>
      <c r="G274" s="391">
        <v>1.0</v>
      </c>
      <c r="H274" s="391">
        <v>51.3774</v>
      </c>
      <c r="I274" s="391">
        <v>7.43503</v>
      </c>
      <c r="J274" s="391">
        <v>-24.029563</v>
      </c>
      <c r="K274" s="391">
        <v>-22.580163</v>
      </c>
      <c r="L274" s="391">
        <v>1081.44</v>
      </c>
      <c r="M274" s="391">
        <v>75.001245</v>
      </c>
      <c r="N274" s="391">
        <v>11724.1356</v>
      </c>
      <c r="O274" s="391">
        <v>11725.3194</v>
      </c>
      <c r="P274" s="394">
        <v>2096.40744</v>
      </c>
      <c r="Q274" s="376" t="s">
        <v>12</v>
      </c>
      <c r="R274" s="394" t="s">
        <v>539</v>
      </c>
      <c r="S274" s="394">
        <v>10.0</v>
      </c>
      <c r="T274" s="394">
        <v>5.0</v>
      </c>
      <c r="U274" s="394">
        <v>0.7</v>
      </c>
      <c r="V274" s="394">
        <v>0.7</v>
      </c>
      <c r="W274" s="394">
        <v>0.7</v>
      </c>
      <c r="X274" s="391">
        <v>2000.0</v>
      </c>
      <c r="Y274" s="391" t="s">
        <v>540</v>
      </c>
      <c r="Z274" s="391">
        <v>0.2</v>
      </c>
      <c r="AA274" s="391" t="s">
        <v>541</v>
      </c>
      <c r="AB274" s="391" t="s">
        <v>542</v>
      </c>
      <c r="AC274" s="391">
        <v>220.0</v>
      </c>
      <c r="AD274" s="193"/>
      <c r="AE274" s="377"/>
    </row>
    <row r="275">
      <c r="A275" s="391" t="s">
        <v>618</v>
      </c>
      <c r="B275" s="391">
        <v>4.0</v>
      </c>
      <c r="C275" s="391">
        <v>326.0</v>
      </c>
      <c r="D275" s="391" t="s">
        <v>571</v>
      </c>
      <c r="E275" s="391">
        <v>1.0</v>
      </c>
      <c r="F275" s="393">
        <v>45488.61041666667</v>
      </c>
      <c r="G275" s="391">
        <v>1.0</v>
      </c>
      <c r="H275" s="391">
        <v>51.3741</v>
      </c>
      <c r="I275" s="391">
        <v>7.25718</v>
      </c>
      <c r="J275" s="391">
        <v>-23.924131</v>
      </c>
      <c r="K275" s="391">
        <v>-22.431262</v>
      </c>
      <c r="L275" s="391">
        <v>1040.78</v>
      </c>
      <c r="M275" s="391">
        <v>70.500074</v>
      </c>
      <c r="N275" s="391">
        <v>11702.0886</v>
      </c>
      <c r="O275" s="391">
        <v>11659.4817</v>
      </c>
      <c r="P275" s="394">
        <v>2084.88504</v>
      </c>
      <c r="Q275" s="376" t="s">
        <v>12</v>
      </c>
      <c r="R275" s="394" t="s">
        <v>553</v>
      </c>
      <c r="S275" s="394">
        <v>10.0</v>
      </c>
      <c r="T275" s="394">
        <v>5.0</v>
      </c>
      <c r="U275" s="394">
        <v>0.7</v>
      </c>
      <c r="V275" s="394">
        <v>0.7</v>
      </c>
      <c r="W275" s="394">
        <v>0.7</v>
      </c>
      <c r="X275" s="391">
        <v>2000.0</v>
      </c>
      <c r="Y275" s="391" t="s">
        <v>540</v>
      </c>
      <c r="Z275" s="391">
        <v>0.2</v>
      </c>
      <c r="AA275" s="391" t="s">
        <v>541</v>
      </c>
      <c r="AB275" s="391" t="s">
        <v>542</v>
      </c>
      <c r="AC275" s="391">
        <v>220.0</v>
      </c>
      <c r="AD275" s="193"/>
      <c r="AE275" s="377"/>
    </row>
    <row r="276">
      <c r="A276" s="391" t="s">
        <v>620</v>
      </c>
      <c r="B276" s="391">
        <v>4.0</v>
      </c>
      <c r="C276" s="391">
        <v>326.0</v>
      </c>
      <c r="D276" s="391" t="s">
        <v>571</v>
      </c>
      <c r="E276" s="391">
        <v>1.0</v>
      </c>
      <c r="F276" s="393">
        <v>45488.61319444444</v>
      </c>
      <c r="G276" s="391">
        <v>1.0</v>
      </c>
      <c r="H276" s="391">
        <v>51.3774</v>
      </c>
      <c r="I276" s="391">
        <v>7.24588</v>
      </c>
      <c r="J276" s="391">
        <v>-24.024381</v>
      </c>
      <c r="K276" s="391">
        <v>-21.997575</v>
      </c>
      <c r="L276" s="391">
        <v>1044.58</v>
      </c>
      <c r="M276" s="391">
        <v>66.500204</v>
      </c>
      <c r="N276" s="391">
        <v>11669.2362</v>
      </c>
      <c r="O276" s="391">
        <v>11659.4817</v>
      </c>
      <c r="P276" s="394">
        <v>2084.88504</v>
      </c>
      <c r="Q276" s="376" t="s">
        <v>12</v>
      </c>
      <c r="R276" s="394" t="s">
        <v>539</v>
      </c>
      <c r="S276" s="394">
        <v>10.0</v>
      </c>
      <c r="T276" s="394">
        <v>5.0</v>
      </c>
      <c r="U276" s="394">
        <v>0.7</v>
      </c>
      <c r="V276" s="394">
        <v>0.7</v>
      </c>
      <c r="W276" s="394">
        <v>0.7</v>
      </c>
      <c r="X276" s="391">
        <v>2000.0</v>
      </c>
      <c r="Y276" s="391" t="s">
        <v>540</v>
      </c>
      <c r="Z276" s="391">
        <v>0.2</v>
      </c>
      <c r="AA276" s="391" t="s">
        <v>541</v>
      </c>
      <c r="AB276" s="391" t="s">
        <v>542</v>
      </c>
      <c r="AC276" s="391">
        <v>220.0</v>
      </c>
      <c r="AD276" s="193"/>
      <c r="AE276" s="377"/>
    </row>
    <row r="277">
      <c r="A277" s="391" t="s">
        <v>621</v>
      </c>
      <c r="B277" s="391">
        <v>4.0</v>
      </c>
      <c r="C277" s="391">
        <v>326.0</v>
      </c>
      <c r="D277" s="391" t="s">
        <v>571</v>
      </c>
      <c r="E277" s="391">
        <v>1.0</v>
      </c>
      <c r="F277" s="393">
        <v>45488.61597222222</v>
      </c>
      <c r="G277" s="391">
        <v>1.0</v>
      </c>
      <c r="H277" s="391">
        <v>51.3774</v>
      </c>
      <c r="I277" s="391">
        <v>7.18962</v>
      </c>
      <c r="J277" s="391">
        <v>-23.924806</v>
      </c>
      <c r="K277" s="391">
        <v>-22.210369</v>
      </c>
      <c r="L277" s="391">
        <v>1064.09</v>
      </c>
      <c r="M277" s="391">
        <v>68.001008</v>
      </c>
      <c r="N277" s="391">
        <v>11649.7272</v>
      </c>
      <c r="O277" s="391">
        <v>11659.4817</v>
      </c>
      <c r="P277" s="394">
        <v>2084.88504</v>
      </c>
      <c r="Q277" s="376" t="s">
        <v>12</v>
      </c>
      <c r="R277" s="394" t="s">
        <v>539</v>
      </c>
      <c r="S277" s="394">
        <v>10.0</v>
      </c>
      <c r="T277" s="394">
        <v>5.0</v>
      </c>
      <c r="U277" s="394">
        <v>0.7</v>
      </c>
      <c r="V277" s="394">
        <v>0.7</v>
      </c>
      <c r="W277" s="394">
        <v>0.7</v>
      </c>
      <c r="X277" s="391">
        <v>2000.0</v>
      </c>
      <c r="Y277" s="391" t="s">
        <v>540</v>
      </c>
      <c r="Z277" s="391">
        <v>0.2</v>
      </c>
      <c r="AA277" s="391" t="s">
        <v>541</v>
      </c>
      <c r="AB277" s="391" t="s">
        <v>542</v>
      </c>
      <c r="AC277" s="391">
        <v>220.0</v>
      </c>
      <c r="AD277" s="193"/>
      <c r="AE277" s="377"/>
    </row>
    <row r="278">
      <c r="A278" s="391" t="s">
        <v>627</v>
      </c>
      <c r="B278" s="391">
        <v>5.0</v>
      </c>
      <c r="C278" s="391">
        <v>327.0</v>
      </c>
      <c r="D278" s="391" t="s">
        <v>575</v>
      </c>
      <c r="E278" s="391">
        <v>1.0</v>
      </c>
      <c r="F278" s="393">
        <v>45488.61875</v>
      </c>
      <c r="G278" s="391">
        <v>1.0</v>
      </c>
      <c r="H278" s="391">
        <v>51.3807</v>
      </c>
      <c r="I278" s="391">
        <v>7.16757</v>
      </c>
      <c r="J278" s="391">
        <v>-24.0038</v>
      </c>
      <c r="K278" s="391">
        <v>-22.414725</v>
      </c>
      <c r="L278" s="391">
        <v>1053.69</v>
      </c>
      <c r="M278" s="391">
        <v>71.499244</v>
      </c>
      <c r="N278" s="391">
        <v>11615.6522</v>
      </c>
      <c r="O278" s="391">
        <v>11621.712</v>
      </c>
      <c r="P278" s="394">
        <v>2078.27487</v>
      </c>
      <c r="Q278" s="376" t="s">
        <v>12</v>
      </c>
      <c r="R278" s="394" t="s">
        <v>539</v>
      </c>
      <c r="S278" s="394">
        <v>10.0</v>
      </c>
      <c r="T278" s="394">
        <v>5.0</v>
      </c>
      <c r="U278" s="394">
        <v>0.7</v>
      </c>
      <c r="V278" s="394">
        <v>0.7</v>
      </c>
      <c r="W278" s="394">
        <v>0.7</v>
      </c>
      <c r="X278" s="391">
        <v>2000.0</v>
      </c>
      <c r="Y278" s="391" t="s">
        <v>540</v>
      </c>
      <c r="Z278" s="391">
        <v>0.2</v>
      </c>
      <c r="AA278" s="391" t="s">
        <v>541</v>
      </c>
      <c r="AB278" s="391" t="s">
        <v>542</v>
      </c>
      <c r="AC278" s="391">
        <v>220.0</v>
      </c>
      <c r="AD278" s="193"/>
      <c r="AE278" s="377"/>
    </row>
    <row r="279">
      <c r="A279" s="391" t="s">
        <v>628</v>
      </c>
      <c r="B279" s="391">
        <v>5.0</v>
      </c>
      <c r="C279" s="391">
        <v>327.0</v>
      </c>
      <c r="D279" s="391" t="s">
        <v>575</v>
      </c>
      <c r="E279" s="391">
        <v>1.0</v>
      </c>
      <c r="F279" s="393">
        <v>45488.62222222222</v>
      </c>
      <c r="G279" s="391">
        <v>1.0</v>
      </c>
      <c r="H279" s="391">
        <v>51.3774</v>
      </c>
      <c r="I279" s="391">
        <v>7.27722</v>
      </c>
      <c r="J279" s="391">
        <v>-23.973669</v>
      </c>
      <c r="K279" s="391">
        <v>-22.605063</v>
      </c>
      <c r="L279" s="391">
        <v>1054.59</v>
      </c>
      <c r="M279" s="391">
        <v>73.999993</v>
      </c>
      <c r="N279" s="391">
        <v>11627.7717</v>
      </c>
      <c r="O279" s="391">
        <v>11621.712</v>
      </c>
      <c r="P279" s="394">
        <v>2078.27487</v>
      </c>
      <c r="Q279" s="376" t="s">
        <v>12</v>
      </c>
      <c r="R279" s="394" t="s">
        <v>539</v>
      </c>
      <c r="S279" s="394">
        <v>10.0</v>
      </c>
      <c r="T279" s="394">
        <v>5.0</v>
      </c>
      <c r="U279" s="394">
        <v>0.7</v>
      </c>
      <c r="V279" s="394">
        <v>0.7</v>
      </c>
      <c r="W279" s="394">
        <v>0.7</v>
      </c>
      <c r="X279" s="391">
        <v>2000.0</v>
      </c>
      <c r="Y279" s="391" t="s">
        <v>540</v>
      </c>
      <c r="Z279" s="391">
        <v>0.2</v>
      </c>
      <c r="AA279" s="391" t="s">
        <v>541</v>
      </c>
      <c r="AB279" s="391" t="s">
        <v>542</v>
      </c>
      <c r="AC279" s="391">
        <v>220.0</v>
      </c>
      <c r="AD279" s="193"/>
      <c r="AE279" s="377"/>
    </row>
    <row r="280">
      <c r="A280" s="391" t="s">
        <v>629</v>
      </c>
      <c r="B280" s="391">
        <v>6.0</v>
      </c>
      <c r="C280" s="391">
        <v>391.0</v>
      </c>
      <c r="D280" s="391" t="s">
        <v>579</v>
      </c>
      <c r="E280" s="391">
        <v>1.0</v>
      </c>
      <c r="F280" s="393">
        <v>45488.62569444445</v>
      </c>
      <c r="G280" s="391">
        <v>1.0</v>
      </c>
      <c r="H280" s="391">
        <v>51.3774</v>
      </c>
      <c r="I280" s="391">
        <v>7.14821</v>
      </c>
      <c r="J280" s="391">
        <v>-24.061875</v>
      </c>
      <c r="K280" s="391">
        <v>-22.224725</v>
      </c>
      <c r="L280" s="391">
        <v>1078.3</v>
      </c>
      <c r="M280" s="391">
        <v>71.000041</v>
      </c>
      <c r="N280" s="391">
        <v>11697.3903</v>
      </c>
      <c r="O280" s="391">
        <v>11732.7066</v>
      </c>
      <c r="P280" s="394">
        <v>2097.70029</v>
      </c>
      <c r="Q280" s="376" t="s">
        <v>12</v>
      </c>
      <c r="R280" s="394" t="s">
        <v>553</v>
      </c>
      <c r="S280" s="394">
        <v>10.0</v>
      </c>
      <c r="T280" s="394">
        <v>5.0</v>
      </c>
      <c r="U280" s="394">
        <v>0.7</v>
      </c>
      <c r="V280" s="394">
        <v>0.7</v>
      </c>
      <c r="W280" s="394">
        <v>0.7</v>
      </c>
      <c r="X280" s="391">
        <v>2000.0</v>
      </c>
      <c r="Y280" s="391" t="s">
        <v>540</v>
      </c>
      <c r="Z280" s="391">
        <v>0.2</v>
      </c>
      <c r="AA280" s="391" t="s">
        <v>541</v>
      </c>
      <c r="AB280" s="391" t="s">
        <v>542</v>
      </c>
      <c r="AC280" s="391">
        <v>220.0</v>
      </c>
      <c r="AD280" s="193"/>
      <c r="AE280" s="377"/>
    </row>
    <row r="281">
      <c r="A281" s="391" t="s">
        <v>630</v>
      </c>
      <c r="B281" s="391">
        <v>6.0</v>
      </c>
      <c r="C281" s="391">
        <v>391.0</v>
      </c>
      <c r="D281" s="391" t="s">
        <v>579</v>
      </c>
      <c r="E281" s="391">
        <v>1.0</v>
      </c>
      <c r="F281" s="393">
        <v>45488.62847222222</v>
      </c>
      <c r="G281" s="391">
        <v>1.0</v>
      </c>
      <c r="H281" s="391">
        <v>51.3774</v>
      </c>
      <c r="I281" s="391">
        <v>7.25471</v>
      </c>
      <c r="J281" s="391">
        <v>-24.031231</v>
      </c>
      <c r="K281" s="391">
        <v>-21.911306</v>
      </c>
      <c r="L281" s="391">
        <v>1081.19</v>
      </c>
      <c r="M281" s="391">
        <v>68.001523</v>
      </c>
      <c r="N281" s="391">
        <v>11728.7046</v>
      </c>
      <c r="O281" s="391">
        <v>11732.7066</v>
      </c>
      <c r="P281" s="394">
        <v>2097.70029</v>
      </c>
      <c r="Q281" s="376" t="s">
        <v>12</v>
      </c>
      <c r="R281" s="394" t="s">
        <v>539</v>
      </c>
      <c r="S281" s="394">
        <v>10.0</v>
      </c>
      <c r="T281" s="394">
        <v>5.0</v>
      </c>
      <c r="U281" s="394">
        <v>0.7</v>
      </c>
      <c r="V281" s="394">
        <v>0.7</v>
      </c>
      <c r="W281" s="394">
        <v>0.7</v>
      </c>
      <c r="X281" s="391">
        <v>2000.0</v>
      </c>
      <c r="Y281" s="391" t="s">
        <v>540</v>
      </c>
      <c r="Z281" s="391">
        <v>0.2</v>
      </c>
      <c r="AA281" s="391" t="s">
        <v>541</v>
      </c>
      <c r="AB281" s="391" t="s">
        <v>542</v>
      </c>
      <c r="AC281" s="391">
        <v>220.0</v>
      </c>
      <c r="AD281" s="193"/>
      <c r="AE281" s="377"/>
    </row>
    <row r="282">
      <c r="A282" s="391" t="s">
        <v>631</v>
      </c>
      <c r="B282" s="391">
        <v>6.0</v>
      </c>
      <c r="C282" s="391">
        <v>391.0</v>
      </c>
      <c r="D282" s="391" t="s">
        <v>579</v>
      </c>
      <c r="E282" s="391">
        <v>1.0</v>
      </c>
      <c r="F282" s="393">
        <v>45488.63125</v>
      </c>
      <c r="G282" s="391">
        <v>1.0</v>
      </c>
      <c r="H282" s="391">
        <v>51.3741</v>
      </c>
      <c r="I282" s="391">
        <v>7.17954</v>
      </c>
      <c r="J282" s="391">
        <v>-24.092506</v>
      </c>
      <c r="K282" s="391">
        <v>-22.39955</v>
      </c>
      <c r="L282" s="391">
        <v>1066.22</v>
      </c>
      <c r="M282" s="391">
        <v>71.000259</v>
      </c>
      <c r="N282" s="391">
        <v>11736.7086</v>
      </c>
      <c r="O282" s="391">
        <v>11732.7066</v>
      </c>
      <c r="P282" s="394">
        <v>2097.70029</v>
      </c>
      <c r="Q282" s="376" t="s">
        <v>12</v>
      </c>
      <c r="R282" s="394" t="s">
        <v>539</v>
      </c>
      <c r="S282" s="394">
        <v>10.0</v>
      </c>
      <c r="T282" s="394">
        <v>5.0</v>
      </c>
      <c r="U282" s="394">
        <v>0.7</v>
      </c>
      <c r="V282" s="394">
        <v>0.7</v>
      </c>
      <c r="W282" s="394">
        <v>0.7</v>
      </c>
      <c r="X282" s="391">
        <v>2000.0</v>
      </c>
      <c r="Y282" s="391" t="s">
        <v>540</v>
      </c>
      <c r="Z282" s="391">
        <v>0.2</v>
      </c>
      <c r="AA282" s="391" t="s">
        <v>541</v>
      </c>
      <c r="AB282" s="391" t="s">
        <v>542</v>
      </c>
      <c r="AC282" s="391">
        <v>220.0</v>
      </c>
      <c r="AD282" s="193"/>
      <c r="AE282" s="377"/>
    </row>
    <row r="283">
      <c r="A283" s="391" t="s">
        <v>632</v>
      </c>
      <c r="B283" s="391">
        <v>7.0</v>
      </c>
      <c r="C283" s="391">
        <v>392.0</v>
      </c>
      <c r="D283" s="391" t="s">
        <v>582</v>
      </c>
      <c r="E283" s="391">
        <v>1.0</v>
      </c>
      <c r="F283" s="393">
        <v>45488.634722222225</v>
      </c>
      <c r="G283" s="391">
        <v>1.0</v>
      </c>
      <c r="H283" s="391">
        <v>51.3807</v>
      </c>
      <c r="I283" s="391">
        <v>7.02499</v>
      </c>
      <c r="J283" s="391">
        <v>-24.011094</v>
      </c>
      <c r="K283" s="391">
        <v>-22.122287</v>
      </c>
      <c r="L283" s="391">
        <v>1056.08</v>
      </c>
      <c r="M283" s="391">
        <v>68.00223</v>
      </c>
      <c r="N283" s="391">
        <v>11662.8865</v>
      </c>
      <c r="O283" s="391">
        <v>11663.8307</v>
      </c>
      <c r="P283" s="394">
        <v>2085.64615</v>
      </c>
      <c r="Q283" s="376" t="s">
        <v>12</v>
      </c>
      <c r="R283" s="394" t="s">
        <v>539</v>
      </c>
      <c r="S283" s="394">
        <v>10.0</v>
      </c>
      <c r="T283" s="394">
        <v>5.0</v>
      </c>
      <c r="U283" s="394">
        <v>0.7</v>
      </c>
      <c r="V283" s="394">
        <v>0.7</v>
      </c>
      <c r="W283" s="394">
        <v>0.7</v>
      </c>
      <c r="X283" s="391">
        <v>2000.0</v>
      </c>
      <c r="Y283" s="391" t="s">
        <v>540</v>
      </c>
      <c r="Z283" s="391">
        <v>0.2</v>
      </c>
      <c r="AA283" s="391" t="s">
        <v>541</v>
      </c>
      <c r="AB283" s="391" t="s">
        <v>542</v>
      </c>
      <c r="AC283" s="391">
        <v>220.0</v>
      </c>
      <c r="AD283" s="193"/>
      <c r="AE283" s="377"/>
    </row>
    <row r="284">
      <c r="A284" s="391" t="s">
        <v>633</v>
      </c>
      <c r="B284" s="391">
        <v>7.0</v>
      </c>
      <c r="C284" s="391">
        <v>392.0</v>
      </c>
      <c r="D284" s="391" t="s">
        <v>582</v>
      </c>
      <c r="E284" s="391">
        <v>1.0</v>
      </c>
      <c r="F284" s="393">
        <v>45488.6375</v>
      </c>
      <c r="G284" s="391">
        <v>1.0</v>
      </c>
      <c r="H284" s="391">
        <v>51.3774</v>
      </c>
      <c r="I284" s="391">
        <v>7.0389</v>
      </c>
      <c r="J284" s="391">
        <v>-23.994238</v>
      </c>
      <c r="K284" s="391">
        <v>-22.671019</v>
      </c>
      <c r="L284" s="391">
        <v>1045.1</v>
      </c>
      <c r="M284" s="391">
        <v>77.501651</v>
      </c>
      <c r="N284" s="391">
        <v>11664.7749</v>
      </c>
      <c r="O284" s="391">
        <v>11663.8307</v>
      </c>
      <c r="P284" s="394">
        <v>2085.64615</v>
      </c>
      <c r="Q284" s="376" t="s">
        <v>12</v>
      </c>
      <c r="R284" s="394" t="s">
        <v>539</v>
      </c>
      <c r="S284" s="394">
        <v>10.0</v>
      </c>
      <c r="T284" s="394">
        <v>5.0</v>
      </c>
      <c r="U284" s="394">
        <v>0.7</v>
      </c>
      <c r="V284" s="394">
        <v>0.7</v>
      </c>
      <c r="W284" s="394">
        <v>0.7</v>
      </c>
      <c r="X284" s="391">
        <v>2000.0</v>
      </c>
      <c r="Y284" s="391" t="s">
        <v>540</v>
      </c>
      <c r="Z284" s="391">
        <v>0.2</v>
      </c>
      <c r="AA284" s="391" t="s">
        <v>541</v>
      </c>
      <c r="AB284" s="391" t="s">
        <v>542</v>
      </c>
      <c r="AC284" s="391">
        <v>220.0</v>
      </c>
      <c r="AD284" s="193"/>
      <c r="AE284" s="377"/>
    </row>
    <row r="285">
      <c r="A285" s="391" t="s">
        <v>704</v>
      </c>
      <c r="B285" s="391">
        <v>8.0</v>
      </c>
      <c r="C285" s="391">
        <v>352.0</v>
      </c>
      <c r="D285" s="391" t="s">
        <v>585</v>
      </c>
      <c r="E285" s="391">
        <v>1.0</v>
      </c>
      <c r="F285" s="393">
        <v>45488.64027777778</v>
      </c>
      <c r="G285" s="391">
        <v>1.0</v>
      </c>
      <c r="H285" s="391">
        <v>51.3774</v>
      </c>
      <c r="I285" s="391">
        <v>6.9833</v>
      </c>
      <c r="J285" s="391">
        <v>-23.869837</v>
      </c>
      <c r="K285" s="391">
        <v>-22.487519</v>
      </c>
      <c r="L285" s="391">
        <v>1045.98</v>
      </c>
      <c r="M285" s="391">
        <v>73.00078</v>
      </c>
      <c r="N285" s="391">
        <v>11494.529</v>
      </c>
      <c r="O285" s="391">
        <v>11517.0952</v>
      </c>
      <c r="P285" s="394">
        <v>2059.96565</v>
      </c>
      <c r="Q285" s="376" t="s">
        <v>12</v>
      </c>
      <c r="R285" s="394" t="s">
        <v>553</v>
      </c>
      <c r="S285" s="394">
        <v>10.0</v>
      </c>
      <c r="T285" s="394">
        <v>5.0</v>
      </c>
      <c r="U285" s="394">
        <v>0.7</v>
      </c>
      <c r="V285" s="394">
        <v>0.7</v>
      </c>
      <c r="W285" s="394">
        <v>0.7</v>
      </c>
      <c r="X285" s="391">
        <v>2000.0</v>
      </c>
      <c r="Y285" s="391" t="s">
        <v>540</v>
      </c>
      <c r="Z285" s="391">
        <v>0.2</v>
      </c>
      <c r="AA285" s="391" t="s">
        <v>541</v>
      </c>
      <c r="AB285" s="391" t="s">
        <v>542</v>
      </c>
      <c r="AC285" s="391">
        <v>220.0</v>
      </c>
      <c r="AD285" s="193"/>
      <c r="AE285" s="377"/>
    </row>
    <row r="286">
      <c r="A286" s="391" t="s">
        <v>705</v>
      </c>
      <c r="B286" s="391">
        <v>8.0</v>
      </c>
      <c r="C286" s="391">
        <v>352.0</v>
      </c>
      <c r="D286" s="391" t="s">
        <v>585</v>
      </c>
      <c r="E286" s="391">
        <v>1.0</v>
      </c>
      <c r="F286" s="393">
        <v>45488.64375</v>
      </c>
      <c r="G286" s="391">
        <v>1.0</v>
      </c>
      <c r="H286" s="391">
        <v>51.3774</v>
      </c>
      <c r="I286" s="391">
        <v>6.91127</v>
      </c>
      <c r="J286" s="391">
        <v>-23.8959</v>
      </c>
      <c r="K286" s="391">
        <v>-22.17205</v>
      </c>
      <c r="L286" s="391">
        <v>1034.9</v>
      </c>
      <c r="M286" s="391">
        <v>69.499836</v>
      </c>
      <c r="N286" s="391">
        <v>11517.6369</v>
      </c>
      <c r="O286" s="391">
        <v>11517.0952</v>
      </c>
      <c r="P286" s="394">
        <v>2059.96565</v>
      </c>
      <c r="Q286" s="376" t="s">
        <v>12</v>
      </c>
      <c r="R286" s="394" t="s">
        <v>539</v>
      </c>
      <c r="S286" s="394">
        <v>10.0</v>
      </c>
      <c r="T286" s="394">
        <v>5.0</v>
      </c>
      <c r="U286" s="394">
        <v>0.7</v>
      </c>
      <c r="V286" s="394">
        <v>0.7</v>
      </c>
      <c r="W286" s="394">
        <v>0.7</v>
      </c>
      <c r="X286" s="391">
        <v>2000.0</v>
      </c>
      <c r="Y286" s="391" t="s">
        <v>540</v>
      </c>
      <c r="Z286" s="391">
        <v>0.2</v>
      </c>
      <c r="AA286" s="391" t="s">
        <v>541</v>
      </c>
      <c r="AB286" s="391" t="s">
        <v>542</v>
      </c>
      <c r="AC286" s="391">
        <v>220.0</v>
      </c>
      <c r="AD286" s="193"/>
      <c r="AE286" s="377"/>
    </row>
    <row r="287">
      <c r="A287" s="391" t="s">
        <v>706</v>
      </c>
      <c r="B287" s="391">
        <v>8.0</v>
      </c>
      <c r="C287" s="391">
        <v>352.0</v>
      </c>
      <c r="D287" s="391" t="s">
        <v>585</v>
      </c>
      <c r="E287" s="391">
        <v>1.0</v>
      </c>
      <c r="F287" s="393">
        <v>45488.646527777775</v>
      </c>
      <c r="G287" s="391">
        <v>1.0</v>
      </c>
      <c r="H287" s="391">
        <v>51.3774</v>
      </c>
      <c r="I287" s="391">
        <v>6.95004</v>
      </c>
      <c r="J287" s="391">
        <v>-23.8469</v>
      </c>
      <c r="K287" s="391">
        <v>-22.410006</v>
      </c>
      <c r="L287" s="391">
        <v>1063.71</v>
      </c>
      <c r="M287" s="391">
        <v>71.001696</v>
      </c>
      <c r="N287" s="391">
        <v>11516.5535</v>
      </c>
      <c r="O287" s="391">
        <v>11517.0952</v>
      </c>
      <c r="P287" s="394">
        <v>2059.96565</v>
      </c>
      <c r="Q287" s="376" t="s">
        <v>12</v>
      </c>
      <c r="R287" s="394" t="s">
        <v>539</v>
      </c>
      <c r="S287" s="394">
        <v>10.0</v>
      </c>
      <c r="T287" s="394">
        <v>5.0</v>
      </c>
      <c r="U287" s="394">
        <v>0.7</v>
      </c>
      <c r="V287" s="394">
        <v>0.7</v>
      </c>
      <c r="W287" s="394">
        <v>0.7</v>
      </c>
      <c r="X287" s="391">
        <v>2000.0</v>
      </c>
      <c r="Y287" s="391" t="s">
        <v>540</v>
      </c>
      <c r="Z287" s="391">
        <v>0.2</v>
      </c>
      <c r="AA287" s="391" t="s">
        <v>541</v>
      </c>
      <c r="AB287" s="391" t="s">
        <v>542</v>
      </c>
      <c r="AC287" s="391">
        <v>220.0</v>
      </c>
      <c r="AD287" s="193"/>
      <c r="AE287" s="377"/>
    </row>
    <row r="288">
      <c r="A288" s="391" t="s">
        <v>640</v>
      </c>
      <c r="B288" s="391">
        <v>9.0</v>
      </c>
      <c r="C288" s="391">
        <v>353.0</v>
      </c>
      <c r="D288" s="391" t="s">
        <v>589</v>
      </c>
      <c r="E288" s="391">
        <v>1.0</v>
      </c>
      <c r="F288" s="393">
        <v>45488.649305555555</v>
      </c>
      <c r="G288" s="391">
        <v>1.0</v>
      </c>
      <c r="H288" s="391">
        <v>51.3741</v>
      </c>
      <c r="I288" s="391">
        <v>7.01283</v>
      </c>
      <c r="J288" s="391">
        <v>-23.997631</v>
      </c>
      <c r="K288" s="391">
        <v>-22.532125</v>
      </c>
      <c r="L288" s="391">
        <v>1065.98</v>
      </c>
      <c r="M288" s="391">
        <v>72.000257</v>
      </c>
      <c r="N288" s="391">
        <v>11334.4801</v>
      </c>
      <c r="O288" s="391">
        <v>11571.7565</v>
      </c>
      <c r="P288" s="394">
        <v>2069.53205</v>
      </c>
      <c r="Q288" s="376" t="s">
        <v>12</v>
      </c>
      <c r="R288" s="394" t="s">
        <v>553</v>
      </c>
      <c r="S288" s="394">
        <v>10.0</v>
      </c>
      <c r="T288" s="394">
        <v>5.0</v>
      </c>
      <c r="U288" s="394">
        <v>0.7</v>
      </c>
      <c r="V288" s="394">
        <v>0.7</v>
      </c>
      <c r="W288" s="394">
        <v>0.7</v>
      </c>
      <c r="X288" s="391">
        <v>2000.0</v>
      </c>
      <c r="Y288" s="391" t="s">
        <v>540</v>
      </c>
      <c r="Z288" s="391">
        <v>0.2</v>
      </c>
      <c r="AA288" s="391" t="s">
        <v>541</v>
      </c>
      <c r="AB288" s="391" t="s">
        <v>542</v>
      </c>
      <c r="AC288" s="391">
        <v>220.0</v>
      </c>
      <c r="AD288" s="193"/>
      <c r="AE288" s="377"/>
    </row>
    <row r="289">
      <c r="A289" s="391" t="s">
        <v>641</v>
      </c>
      <c r="B289" s="391">
        <v>9.0</v>
      </c>
      <c r="C289" s="391">
        <v>353.0</v>
      </c>
      <c r="D289" s="391" t="s">
        <v>589</v>
      </c>
      <c r="E289" s="391">
        <v>1.0</v>
      </c>
      <c r="F289" s="393">
        <v>45488.65277777778</v>
      </c>
      <c r="G289" s="391">
        <v>1.0</v>
      </c>
      <c r="H289" s="391">
        <v>51.3741</v>
      </c>
      <c r="I289" s="391">
        <v>7.16355</v>
      </c>
      <c r="J289" s="391">
        <v>-23.945619</v>
      </c>
      <c r="K289" s="391">
        <v>-22.427338</v>
      </c>
      <c r="L289" s="391">
        <v>1053.32</v>
      </c>
      <c r="M289" s="391">
        <v>71.999935</v>
      </c>
      <c r="N289" s="391">
        <v>11543.1702</v>
      </c>
      <c r="O289" s="391">
        <v>11571.7565</v>
      </c>
      <c r="P289" s="394">
        <v>2069.53205</v>
      </c>
      <c r="Q289" s="376" t="s">
        <v>12</v>
      </c>
      <c r="R289" s="394" t="s">
        <v>553</v>
      </c>
      <c r="S289" s="394">
        <v>10.0</v>
      </c>
      <c r="T289" s="394">
        <v>5.0</v>
      </c>
      <c r="U289" s="394">
        <v>0.7</v>
      </c>
      <c r="V289" s="394">
        <v>0.7</v>
      </c>
      <c r="W289" s="394">
        <v>0.7</v>
      </c>
      <c r="X289" s="391">
        <v>2000.0</v>
      </c>
      <c r="Y289" s="391" t="s">
        <v>540</v>
      </c>
      <c r="Z289" s="391">
        <v>0.2</v>
      </c>
      <c r="AA289" s="391" t="s">
        <v>541</v>
      </c>
      <c r="AB289" s="391" t="s">
        <v>542</v>
      </c>
      <c r="AC289" s="391">
        <v>220.0</v>
      </c>
      <c r="AD289" s="193"/>
      <c r="AE289" s="377"/>
    </row>
    <row r="290">
      <c r="A290" s="391" t="s">
        <v>642</v>
      </c>
      <c r="B290" s="391">
        <v>9.0</v>
      </c>
      <c r="C290" s="391">
        <v>353.0</v>
      </c>
      <c r="D290" s="391" t="s">
        <v>589</v>
      </c>
      <c r="E290" s="391">
        <v>1.0</v>
      </c>
      <c r="F290" s="393">
        <v>45488.65555555555</v>
      </c>
      <c r="G290" s="391">
        <v>1.0</v>
      </c>
      <c r="H290" s="391">
        <v>51.3774</v>
      </c>
      <c r="I290" s="391">
        <v>6.96876</v>
      </c>
      <c r="J290" s="391">
        <v>-23.9477</v>
      </c>
      <c r="K290" s="391">
        <v>-21.964362</v>
      </c>
      <c r="L290" s="391">
        <v>1060.37</v>
      </c>
      <c r="M290" s="391">
        <v>67.999962</v>
      </c>
      <c r="N290" s="391">
        <v>11505.7483</v>
      </c>
      <c r="O290" s="391">
        <v>11571.7565</v>
      </c>
      <c r="P290" s="394">
        <v>2069.53205</v>
      </c>
      <c r="Q290" s="376" t="s">
        <v>12</v>
      </c>
      <c r="R290" s="394" t="s">
        <v>553</v>
      </c>
      <c r="S290" s="394">
        <v>10.0</v>
      </c>
      <c r="T290" s="394">
        <v>5.0</v>
      </c>
      <c r="U290" s="394">
        <v>0.7</v>
      </c>
      <c r="V290" s="394">
        <v>0.7</v>
      </c>
      <c r="W290" s="394">
        <v>0.7</v>
      </c>
      <c r="X290" s="391">
        <v>2000.0</v>
      </c>
      <c r="Y290" s="391" t="s">
        <v>540</v>
      </c>
      <c r="Z290" s="391">
        <v>0.2</v>
      </c>
      <c r="AA290" s="391" t="s">
        <v>541</v>
      </c>
      <c r="AB290" s="391" t="s">
        <v>542</v>
      </c>
      <c r="AC290" s="391">
        <v>220.0</v>
      </c>
      <c r="AD290" s="193"/>
      <c r="AE290" s="377"/>
    </row>
    <row r="291">
      <c r="A291" s="391" t="s">
        <v>747</v>
      </c>
      <c r="B291" s="391">
        <v>9.0</v>
      </c>
      <c r="C291" s="391">
        <v>353.0</v>
      </c>
      <c r="D291" s="391" t="s">
        <v>589</v>
      </c>
      <c r="E291" s="391">
        <v>1.0</v>
      </c>
      <c r="F291" s="393">
        <v>45488.65833333333</v>
      </c>
      <c r="G291" s="391">
        <v>1.0</v>
      </c>
      <c r="H291" s="391">
        <v>51.3807</v>
      </c>
      <c r="I291" s="391">
        <v>7.02518</v>
      </c>
      <c r="J291" s="391">
        <v>-23.956494</v>
      </c>
      <c r="K291" s="391">
        <v>-22.364231</v>
      </c>
      <c r="L291" s="391">
        <v>1063.97</v>
      </c>
      <c r="M291" s="391">
        <v>73.500581</v>
      </c>
      <c r="N291" s="391">
        <v>11574.0471</v>
      </c>
      <c r="O291" s="391">
        <v>11571.7565</v>
      </c>
      <c r="P291" s="394">
        <v>2069.53205</v>
      </c>
      <c r="Q291" s="376" t="s">
        <v>12</v>
      </c>
      <c r="R291" s="394" t="s">
        <v>539</v>
      </c>
      <c r="S291" s="394">
        <v>10.0</v>
      </c>
      <c r="T291" s="394">
        <v>5.0</v>
      </c>
      <c r="U291" s="394">
        <v>0.7</v>
      </c>
      <c r="V291" s="394">
        <v>0.7</v>
      </c>
      <c r="W291" s="394">
        <v>0.7</v>
      </c>
      <c r="X291" s="391">
        <v>2000.0</v>
      </c>
      <c r="Y291" s="391" t="s">
        <v>540</v>
      </c>
      <c r="Z291" s="391">
        <v>0.2</v>
      </c>
      <c r="AA291" s="391" t="s">
        <v>541</v>
      </c>
      <c r="AB291" s="391" t="s">
        <v>542</v>
      </c>
      <c r="AC291" s="391">
        <v>220.0</v>
      </c>
      <c r="AD291" s="193"/>
      <c r="AE291" s="377"/>
    </row>
    <row r="292">
      <c r="A292" s="391" t="s">
        <v>748</v>
      </c>
      <c r="B292" s="391">
        <v>9.0</v>
      </c>
      <c r="C292" s="391">
        <v>353.0</v>
      </c>
      <c r="D292" s="391" t="s">
        <v>589</v>
      </c>
      <c r="E292" s="391">
        <v>1.0</v>
      </c>
      <c r="F292" s="393">
        <v>45488.66111111111</v>
      </c>
      <c r="G292" s="391">
        <v>1.0</v>
      </c>
      <c r="H292" s="391">
        <v>51.3774</v>
      </c>
      <c r="I292" s="391">
        <v>7.07037</v>
      </c>
      <c r="J292" s="391">
        <v>-24.015994</v>
      </c>
      <c r="K292" s="391">
        <v>-22.811181</v>
      </c>
      <c r="L292" s="391">
        <v>1056.3</v>
      </c>
      <c r="M292" s="391">
        <v>77.999604</v>
      </c>
      <c r="N292" s="391">
        <v>11569.466</v>
      </c>
      <c r="O292" s="391">
        <v>11571.7565</v>
      </c>
      <c r="P292" s="394">
        <v>2069.53205</v>
      </c>
      <c r="Q292" s="376" t="s">
        <v>12</v>
      </c>
      <c r="R292" s="394" t="s">
        <v>539</v>
      </c>
      <c r="S292" s="394">
        <v>10.0</v>
      </c>
      <c r="T292" s="394">
        <v>5.0</v>
      </c>
      <c r="U292" s="394">
        <v>0.7</v>
      </c>
      <c r="V292" s="394">
        <v>0.7</v>
      </c>
      <c r="W292" s="394">
        <v>0.7</v>
      </c>
      <c r="X292" s="391">
        <v>2000.0</v>
      </c>
      <c r="Y292" s="391" t="s">
        <v>540</v>
      </c>
      <c r="Z292" s="391">
        <v>0.2</v>
      </c>
      <c r="AA292" s="391" t="s">
        <v>541</v>
      </c>
      <c r="AB292" s="391" t="s">
        <v>542</v>
      </c>
      <c r="AC292" s="391">
        <v>220.0</v>
      </c>
      <c r="AD292" s="193"/>
      <c r="AE292" s="377"/>
    </row>
    <row r="293">
      <c r="A293" s="391" t="s">
        <v>749</v>
      </c>
      <c r="B293" s="391" t="s">
        <v>551</v>
      </c>
      <c r="C293" s="391" t="s">
        <v>726</v>
      </c>
      <c r="D293" s="391" t="s">
        <v>538</v>
      </c>
      <c r="E293" s="391">
        <v>0.8</v>
      </c>
      <c r="F293" s="393">
        <v>45488.66458333333</v>
      </c>
      <c r="G293" s="391">
        <v>1.0</v>
      </c>
      <c r="H293" s="391">
        <v>51.3774</v>
      </c>
      <c r="I293" s="391">
        <v>6.99004</v>
      </c>
      <c r="J293" s="391">
        <v>-24.042006</v>
      </c>
      <c r="K293" s="391">
        <v>-22.717144</v>
      </c>
      <c r="L293" s="391">
        <v>966.791</v>
      </c>
      <c r="M293" s="391">
        <v>68.999909</v>
      </c>
      <c r="N293" s="391">
        <v>9206.17338</v>
      </c>
      <c r="O293" s="391">
        <v>9233.42864</v>
      </c>
      <c r="P293" s="394">
        <v>2070.3457</v>
      </c>
      <c r="Q293" s="376" t="s">
        <v>12</v>
      </c>
      <c r="R293" s="394" t="s">
        <v>553</v>
      </c>
      <c r="S293" s="394">
        <v>10.0</v>
      </c>
      <c r="T293" s="394">
        <v>5.0</v>
      </c>
      <c r="U293" s="394">
        <v>0.7</v>
      </c>
      <c r="V293" s="394">
        <v>0.7</v>
      </c>
      <c r="W293" s="394">
        <v>0.7</v>
      </c>
      <c r="X293" s="391">
        <v>2000.0</v>
      </c>
      <c r="Y293" s="391" t="s">
        <v>540</v>
      </c>
      <c r="Z293" s="391">
        <v>0.2</v>
      </c>
      <c r="AA293" s="391" t="s">
        <v>541</v>
      </c>
      <c r="AB293" s="391" t="s">
        <v>542</v>
      </c>
      <c r="AC293" s="391">
        <v>220.0</v>
      </c>
      <c r="AD293" s="193"/>
      <c r="AE293" s="377"/>
    </row>
    <row r="294">
      <c r="A294" s="391" t="s">
        <v>750</v>
      </c>
      <c r="B294" s="391" t="s">
        <v>551</v>
      </c>
      <c r="C294" s="391" t="s">
        <v>726</v>
      </c>
      <c r="D294" s="391" t="s">
        <v>538</v>
      </c>
      <c r="E294" s="391">
        <v>0.8</v>
      </c>
      <c r="F294" s="393">
        <v>45488.66736111111</v>
      </c>
      <c r="G294" s="391">
        <v>1.0</v>
      </c>
      <c r="H294" s="391">
        <v>51.3774</v>
      </c>
      <c r="I294" s="391">
        <v>7.05699</v>
      </c>
      <c r="J294" s="391">
        <v>-24.001162</v>
      </c>
      <c r="K294" s="391">
        <v>-22.647606</v>
      </c>
      <c r="L294" s="391">
        <v>1002.42</v>
      </c>
      <c r="M294" s="391">
        <v>68.00049</v>
      </c>
      <c r="N294" s="391">
        <v>9290.88946</v>
      </c>
      <c r="O294" s="391">
        <v>9233.42864</v>
      </c>
      <c r="P294" s="394">
        <v>2070.3457</v>
      </c>
      <c r="Q294" s="376" t="s">
        <v>12</v>
      </c>
      <c r="R294" s="394" t="s">
        <v>553</v>
      </c>
      <c r="S294" s="394">
        <v>10.0</v>
      </c>
      <c r="T294" s="394">
        <v>5.0</v>
      </c>
      <c r="U294" s="394">
        <v>0.7</v>
      </c>
      <c r="V294" s="394">
        <v>0.7</v>
      </c>
      <c r="W294" s="394">
        <v>0.7</v>
      </c>
      <c r="X294" s="391">
        <v>2000.0</v>
      </c>
      <c r="Y294" s="391" t="s">
        <v>540</v>
      </c>
      <c r="Z294" s="391">
        <v>0.2</v>
      </c>
      <c r="AA294" s="391" t="s">
        <v>541</v>
      </c>
      <c r="AB294" s="391" t="s">
        <v>542</v>
      </c>
      <c r="AC294" s="391">
        <v>220.0</v>
      </c>
      <c r="AD294" s="193"/>
      <c r="AE294" s="377"/>
    </row>
    <row r="295">
      <c r="A295" s="391" t="s">
        <v>751</v>
      </c>
      <c r="B295" s="391" t="s">
        <v>551</v>
      </c>
      <c r="C295" s="391" t="s">
        <v>726</v>
      </c>
      <c r="D295" s="391" t="s">
        <v>538</v>
      </c>
      <c r="E295" s="391">
        <v>0.8</v>
      </c>
      <c r="F295" s="393">
        <v>45488.67013888889</v>
      </c>
      <c r="G295" s="391">
        <v>1.0</v>
      </c>
      <c r="H295" s="391">
        <v>51.3774</v>
      </c>
      <c r="I295" s="391">
        <v>6.9943</v>
      </c>
      <c r="J295" s="391">
        <v>-23.906394</v>
      </c>
      <c r="K295" s="391">
        <v>-22.67115</v>
      </c>
      <c r="L295" s="391">
        <v>988.086</v>
      </c>
      <c r="M295" s="391">
        <v>68.50074</v>
      </c>
      <c r="N295" s="391">
        <v>9252.58747</v>
      </c>
      <c r="O295" s="391">
        <v>9233.42864</v>
      </c>
      <c r="P295" s="394">
        <v>2070.3457</v>
      </c>
      <c r="Q295" s="376" t="s">
        <v>12</v>
      </c>
      <c r="R295" s="394" t="s">
        <v>553</v>
      </c>
      <c r="S295" s="394">
        <v>10.0</v>
      </c>
      <c r="T295" s="394">
        <v>5.0</v>
      </c>
      <c r="U295" s="394">
        <v>0.7</v>
      </c>
      <c r="V295" s="394">
        <v>0.7</v>
      </c>
      <c r="W295" s="394">
        <v>0.7</v>
      </c>
      <c r="X295" s="391">
        <v>2000.0</v>
      </c>
      <c r="Y295" s="391" t="s">
        <v>540</v>
      </c>
      <c r="Z295" s="391">
        <v>0.2</v>
      </c>
      <c r="AA295" s="391" t="s">
        <v>541</v>
      </c>
      <c r="AB295" s="391" t="s">
        <v>542</v>
      </c>
      <c r="AC295" s="391">
        <v>220.0</v>
      </c>
      <c r="AD295" s="193"/>
      <c r="AE295" s="377"/>
    </row>
    <row r="296">
      <c r="A296" s="391" t="s">
        <v>752</v>
      </c>
      <c r="B296" s="391" t="s">
        <v>551</v>
      </c>
      <c r="C296" s="391" t="s">
        <v>726</v>
      </c>
      <c r="D296" s="391" t="s">
        <v>538</v>
      </c>
      <c r="E296" s="391">
        <v>0.8</v>
      </c>
      <c r="F296" s="393">
        <v>45488.67291666667</v>
      </c>
      <c r="G296" s="391">
        <v>1.0</v>
      </c>
      <c r="H296" s="391">
        <v>51.3807</v>
      </c>
      <c r="I296" s="391">
        <v>7.17255</v>
      </c>
      <c r="J296" s="391">
        <v>-23.906225</v>
      </c>
      <c r="K296" s="391">
        <v>-22.566344</v>
      </c>
      <c r="L296" s="391">
        <v>976.16</v>
      </c>
      <c r="M296" s="391">
        <v>66.99991</v>
      </c>
      <c r="N296" s="391">
        <v>9226.23624</v>
      </c>
      <c r="O296" s="391">
        <v>9233.42864</v>
      </c>
      <c r="P296" s="394">
        <v>2070.3457</v>
      </c>
      <c r="Q296" s="376" t="s">
        <v>12</v>
      </c>
      <c r="R296" s="394" t="s">
        <v>539</v>
      </c>
      <c r="S296" s="394">
        <v>10.0</v>
      </c>
      <c r="T296" s="394">
        <v>5.0</v>
      </c>
      <c r="U296" s="394">
        <v>0.7</v>
      </c>
      <c r="V296" s="394">
        <v>0.7</v>
      </c>
      <c r="W296" s="394">
        <v>0.7</v>
      </c>
      <c r="X296" s="391">
        <v>2000.0</v>
      </c>
      <c r="Y296" s="391" t="s">
        <v>540</v>
      </c>
      <c r="Z296" s="391">
        <v>0.2</v>
      </c>
      <c r="AA296" s="391" t="s">
        <v>541</v>
      </c>
      <c r="AB296" s="391" t="s">
        <v>542</v>
      </c>
      <c r="AC296" s="391">
        <v>220.0</v>
      </c>
      <c r="AD296" s="193"/>
      <c r="AE296" s="377"/>
    </row>
    <row r="297">
      <c r="A297" s="391" t="s">
        <v>753</v>
      </c>
      <c r="B297" s="391" t="s">
        <v>551</v>
      </c>
      <c r="C297" s="391" t="s">
        <v>726</v>
      </c>
      <c r="D297" s="391" t="s">
        <v>538</v>
      </c>
      <c r="E297" s="391">
        <v>0.8</v>
      </c>
      <c r="F297" s="393">
        <v>45488.675</v>
      </c>
      <c r="G297" s="391">
        <v>1.0</v>
      </c>
      <c r="H297" s="391">
        <v>51.3774</v>
      </c>
      <c r="I297" s="391">
        <v>7.56614</v>
      </c>
      <c r="J297" s="391">
        <v>-24.058675</v>
      </c>
      <c r="K297" s="391">
        <v>-22.626875</v>
      </c>
      <c r="L297" s="391">
        <v>1016.32</v>
      </c>
      <c r="M297" s="391">
        <v>64.50014</v>
      </c>
      <c r="N297" s="391">
        <v>9240.62104</v>
      </c>
      <c r="O297" s="391">
        <v>9233.42864</v>
      </c>
      <c r="P297" s="394">
        <v>2070.3457</v>
      </c>
      <c r="Q297" s="376" t="s">
        <v>12</v>
      </c>
      <c r="R297" s="394" t="s">
        <v>539</v>
      </c>
      <c r="S297" s="394">
        <v>10.0</v>
      </c>
      <c r="T297" s="394">
        <v>5.0</v>
      </c>
      <c r="U297" s="394">
        <v>0.7</v>
      </c>
      <c r="V297" s="394">
        <v>0.7</v>
      </c>
      <c r="W297" s="394">
        <v>0.7</v>
      </c>
      <c r="X297" s="391">
        <v>2000.0</v>
      </c>
      <c r="Y297" s="391" t="s">
        <v>540</v>
      </c>
      <c r="Z297" s="391">
        <v>0.2</v>
      </c>
      <c r="AA297" s="391" t="s">
        <v>541</v>
      </c>
      <c r="AB297" s="391" t="s">
        <v>542</v>
      </c>
      <c r="AC297" s="391">
        <v>220.0</v>
      </c>
      <c r="AD297" s="193"/>
      <c r="AE297" s="377"/>
    </row>
    <row r="298">
      <c r="A298" s="391" t="s">
        <v>754</v>
      </c>
      <c r="B298" s="391" t="s">
        <v>558</v>
      </c>
      <c r="C298" s="391" t="s">
        <v>726</v>
      </c>
      <c r="D298" s="391" t="s">
        <v>538</v>
      </c>
      <c r="E298" s="391">
        <v>1.0</v>
      </c>
      <c r="F298" s="393">
        <v>45488.677777777775</v>
      </c>
      <c r="G298" s="391">
        <v>1.0</v>
      </c>
      <c r="H298" s="391">
        <v>51.3774</v>
      </c>
      <c r="I298" s="391">
        <v>7.59447</v>
      </c>
      <c r="J298" s="391">
        <v>-24.003644</v>
      </c>
      <c r="K298" s="391">
        <v>-22.3294</v>
      </c>
      <c r="L298" s="391">
        <v>1080.51</v>
      </c>
      <c r="M298" s="391">
        <v>64.498586</v>
      </c>
      <c r="N298" s="391">
        <v>11571.4134</v>
      </c>
      <c r="O298" s="391">
        <v>11601.2658</v>
      </c>
      <c r="P298" s="394">
        <v>2070.3457</v>
      </c>
      <c r="Q298" s="376" t="s">
        <v>12</v>
      </c>
      <c r="R298" s="394" t="s">
        <v>553</v>
      </c>
      <c r="S298" s="394">
        <v>10.0</v>
      </c>
      <c r="T298" s="394">
        <v>5.0</v>
      </c>
      <c r="U298" s="394">
        <v>0.7</v>
      </c>
      <c r="V298" s="394">
        <v>0.7</v>
      </c>
      <c r="W298" s="394">
        <v>0.7</v>
      </c>
      <c r="X298" s="391">
        <v>2000.0</v>
      </c>
      <c r="Y298" s="391" t="s">
        <v>540</v>
      </c>
      <c r="Z298" s="391">
        <v>0.2</v>
      </c>
      <c r="AA298" s="391" t="s">
        <v>541</v>
      </c>
      <c r="AB298" s="391" t="s">
        <v>542</v>
      </c>
      <c r="AC298" s="391">
        <v>220.0</v>
      </c>
      <c r="AD298" s="193"/>
      <c r="AE298" s="377"/>
    </row>
    <row r="299">
      <c r="A299" s="391" t="s">
        <v>755</v>
      </c>
      <c r="B299" s="391" t="s">
        <v>558</v>
      </c>
      <c r="C299" s="391" t="s">
        <v>726</v>
      </c>
      <c r="D299" s="391" t="s">
        <v>538</v>
      </c>
      <c r="E299" s="391">
        <v>1.0</v>
      </c>
      <c r="F299" s="393">
        <v>45488.680555555555</v>
      </c>
      <c r="G299" s="391">
        <v>1.0</v>
      </c>
      <c r="H299" s="391">
        <v>51.3774</v>
      </c>
      <c r="I299" s="391">
        <v>7.3784</v>
      </c>
      <c r="J299" s="391">
        <v>-24.067388</v>
      </c>
      <c r="K299" s="391">
        <v>-22.198156</v>
      </c>
      <c r="L299" s="391">
        <v>1080.34</v>
      </c>
      <c r="M299" s="391">
        <v>66.999476</v>
      </c>
      <c r="N299" s="391">
        <v>11632.6792</v>
      </c>
      <c r="O299" s="391">
        <v>11601.2658</v>
      </c>
      <c r="P299" s="394">
        <v>2070.3457</v>
      </c>
      <c r="Q299" s="376" t="s">
        <v>12</v>
      </c>
      <c r="R299" s="394" t="s">
        <v>553</v>
      </c>
      <c r="S299" s="394">
        <v>10.0</v>
      </c>
      <c r="T299" s="394">
        <v>5.0</v>
      </c>
      <c r="U299" s="394">
        <v>0.7</v>
      </c>
      <c r="V299" s="394">
        <v>0.7</v>
      </c>
      <c r="W299" s="394">
        <v>0.7</v>
      </c>
      <c r="X299" s="391">
        <v>2000.0</v>
      </c>
      <c r="Y299" s="391" t="s">
        <v>540</v>
      </c>
      <c r="Z299" s="391">
        <v>0.2</v>
      </c>
      <c r="AA299" s="391" t="s">
        <v>541</v>
      </c>
      <c r="AB299" s="391" t="s">
        <v>542</v>
      </c>
      <c r="AC299" s="391">
        <v>220.0</v>
      </c>
      <c r="AD299" s="193"/>
      <c r="AE299" s="377"/>
    </row>
    <row r="300">
      <c r="A300" s="391" t="s">
        <v>756</v>
      </c>
      <c r="B300" s="391" t="s">
        <v>558</v>
      </c>
      <c r="C300" s="391" t="s">
        <v>726</v>
      </c>
      <c r="D300" s="391" t="s">
        <v>538</v>
      </c>
      <c r="E300" s="391">
        <v>1.0</v>
      </c>
      <c r="F300" s="393">
        <v>45488.683333333334</v>
      </c>
      <c r="G300" s="391">
        <v>1.0</v>
      </c>
      <c r="H300" s="391">
        <v>51.384</v>
      </c>
      <c r="I300" s="391">
        <v>7.24848</v>
      </c>
      <c r="J300" s="391">
        <v>-23.907375</v>
      </c>
      <c r="K300" s="391">
        <v>-22.253619</v>
      </c>
      <c r="L300" s="391">
        <v>1086.55</v>
      </c>
      <c r="M300" s="391">
        <v>69.99993</v>
      </c>
      <c r="N300" s="391">
        <v>11522.9181</v>
      </c>
      <c r="O300" s="391">
        <v>11601.2658</v>
      </c>
      <c r="P300" s="394">
        <v>2070.3457</v>
      </c>
      <c r="Q300" s="376" t="s">
        <v>12</v>
      </c>
      <c r="R300" s="394" t="s">
        <v>553</v>
      </c>
      <c r="S300" s="394">
        <v>10.0</v>
      </c>
      <c r="T300" s="394">
        <v>5.0</v>
      </c>
      <c r="U300" s="394">
        <v>0.7</v>
      </c>
      <c r="V300" s="394">
        <v>0.7</v>
      </c>
      <c r="W300" s="394">
        <v>0.7</v>
      </c>
      <c r="X300" s="391">
        <v>2000.0</v>
      </c>
      <c r="Y300" s="391" t="s">
        <v>540</v>
      </c>
      <c r="Z300" s="391">
        <v>0.2</v>
      </c>
      <c r="AA300" s="391" t="s">
        <v>541</v>
      </c>
      <c r="AB300" s="391" t="s">
        <v>542</v>
      </c>
      <c r="AC300" s="391">
        <v>220.0</v>
      </c>
      <c r="AD300" s="193"/>
      <c r="AE300" s="377"/>
    </row>
    <row r="301">
      <c r="A301" s="395" t="s">
        <v>757</v>
      </c>
      <c r="B301" s="395" t="s">
        <v>558</v>
      </c>
      <c r="C301" s="391" t="s">
        <v>726</v>
      </c>
      <c r="D301" s="395" t="s">
        <v>538</v>
      </c>
      <c r="E301" s="395">
        <v>1.0</v>
      </c>
      <c r="F301" s="396">
        <v>45488.686111111114</v>
      </c>
      <c r="G301" s="395">
        <v>1.0</v>
      </c>
      <c r="H301" s="395">
        <v>51.3774</v>
      </c>
      <c r="I301" s="395">
        <v>7.19788</v>
      </c>
      <c r="J301" s="395">
        <v>-24.018862</v>
      </c>
      <c r="K301" s="395">
        <v>-22.381081</v>
      </c>
      <c r="L301" s="395">
        <v>1063.24</v>
      </c>
      <c r="M301" s="395">
        <v>69.000256</v>
      </c>
      <c r="N301" s="395">
        <v>11598.0055</v>
      </c>
      <c r="O301" s="395">
        <v>11601.2658</v>
      </c>
      <c r="P301" s="397">
        <v>2070.3457</v>
      </c>
      <c r="Q301" s="376" t="s">
        <v>12</v>
      </c>
      <c r="R301" s="397" t="s">
        <v>539</v>
      </c>
      <c r="S301" s="397">
        <v>10.0</v>
      </c>
      <c r="T301" s="394">
        <v>5.0</v>
      </c>
      <c r="U301" s="394">
        <v>0.7</v>
      </c>
      <c r="V301" s="394">
        <v>0.7</v>
      </c>
      <c r="W301" s="394">
        <v>0.7</v>
      </c>
      <c r="X301" s="391">
        <v>2000.0</v>
      </c>
      <c r="Y301" s="391" t="s">
        <v>540</v>
      </c>
      <c r="Z301" s="391">
        <v>0.2</v>
      </c>
      <c r="AA301" s="391" t="s">
        <v>541</v>
      </c>
      <c r="AB301" s="391" t="s">
        <v>542</v>
      </c>
      <c r="AC301" s="391">
        <v>220.0</v>
      </c>
      <c r="AD301" s="193"/>
      <c r="AE301" s="377"/>
    </row>
    <row r="302">
      <c r="A302" s="391" t="s">
        <v>758</v>
      </c>
      <c r="B302" s="391" t="s">
        <v>558</v>
      </c>
      <c r="C302" s="391" t="s">
        <v>726</v>
      </c>
      <c r="D302" s="391" t="s">
        <v>538</v>
      </c>
      <c r="E302" s="391">
        <v>1.0</v>
      </c>
      <c r="F302" s="393">
        <v>45488.688888888886</v>
      </c>
      <c r="G302" s="391">
        <v>1.0</v>
      </c>
      <c r="H302" s="391">
        <v>51.3807</v>
      </c>
      <c r="I302" s="391">
        <v>7.02313</v>
      </c>
      <c r="J302" s="391">
        <v>-24.01215</v>
      </c>
      <c r="K302" s="391">
        <v>-22.154225</v>
      </c>
      <c r="L302" s="391">
        <v>1074.93</v>
      </c>
      <c r="M302" s="391">
        <v>70.499691</v>
      </c>
      <c r="N302" s="391">
        <v>11604.5261</v>
      </c>
      <c r="O302" s="391">
        <v>11601.2658</v>
      </c>
      <c r="P302" s="394">
        <v>2070.3457</v>
      </c>
      <c r="Q302" s="376" t="s">
        <v>12</v>
      </c>
      <c r="R302" s="394" t="s">
        <v>539</v>
      </c>
      <c r="S302" s="394">
        <v>10.0</v>
      </c>
      <c r="T302" s="394">
        <v>5.0</v>
      </c>
      <c r="U302" s="394">
        <v>0.7</v>
      </c>
      <c r="V302" s="394">
        <v>0.7</v>
      </c>
      <c r="W302" s="394">
        <v>0.7</v>
      </c>
      <c r="X302" s="391">
        <v>2000.0</v>
      </c>
      <c r="Y302" s="391" t="s">
        <v>540</v>
      </c>
      <c r="Z302" s="391">
        <v>0.2</v>
      </c>
      <c r="AA302" s="391" t="s">
        <v>541</v>
      </c>
      <c r="AB302" s="391" t="s">
        <v>542</v>
      </c>
      <c r="AC302" s="391">
        <v>220.0</v>
      </c>
      <c r="AD302" s="193"/>
      <c r="AE302" s="377"/>
    </row>
    <row r="303">
      <c r="A303" s="391" t="s">
        <v>759</v>
      </c>
      <c r="B303" s="391" t="s">
        <v>561</v>
      </c>
      <c r="C303" s="391" t="s">
        <v>726</v>
      </c>
      <c r="D303" s="391" t="s">
        <v>538</v>
      </c>
      <c r="E303" s="391">
        <v>1.2</v>
      </c>
      <c r="F303" s="393">
        <v>45488.69236111111</v>
      </c>
      <c r="G303" s="391">
        <v>1.0</v>
      </c>
      <c r="H303" s="391">
        <v>51.3774</v>
      </c>
      <c r="I303" s="391">
        <v>7.0553</v>
      </c>
      <c r="J303" s="391">
        <v>-24.080975</v>
      </c>
      <c r="K303" s="391">
        <v>-21.984625</v>
      </c>
      <c r="L303" s="391">
        <v>1088.71</v>
      </c>
      <c r="M303" s="391">
        <v>73.498736</v>
      </c>
      <c r="N303" s="391">
        <v>13888.1976</v>
      </c>
      <c r="O303" s="391">
        <v>13874.4027</v>
      </c>
      <c r="P303" s="394">
        <v>2070.3457</v>
      </c>
      <c r="Q303" s="376" t="s">
        <v>12</v>
      </c>
      <c r="R303" s="394" t="s">
        <v>539</v>
      </c>
      <c r="S303" s="394">
        <v>10.0</v>
      </c>
      <c r="T303" s="394">
        <v>5.0</v>
      </c>
      <c r="U303" s="394">
        <v>0.7</v>
      </c>
      <c r="V303" s="394">
        <v>0.7</v>
      </c>
      <c r="W303" s="394">
        <v>0.7</v>
      </c>
      <c r="X303" s="391">
        <v>2000.0</v>
      </c>
      <c r="Y303" s="391" t="s">
        <v>540</v>
      </c>
      <c r="Z303" s="391">
        <v>0.2</v>
      </c>
      <c r="AA303" s="391" t="s">
        <v>541</v>
      </c>
      <c r="AB303" s="391" t="s">
        <v>542</v>
      </c>
      <c r="AC303" s="391">
        <v>220.0</v>
      </c>
      <c r="AD303" s="193"/>
      <c r="AE303" s="377"/>
    </row>
    <row r="304">
      <c r="A304" s="391" t="s">
        <v>760</v>
      </c>
      <c r="B304" s="391" t="s">
        <v>561</v>
      </c>
      <c r="C304" s="391" t="s">
        <v>726</v>
      </c>
      <c r="D304" s="391" t="s">
        <v>538</v>
      </c>
      <c r="E304" s="391">
        <v>1.2</v>
      </c>
      <c r="F304" s="393">
        <v>45488.69513888889</v>
      </c>
      <c r="G304" s="391">
        <v>1.0</v>
      </c>
      <c r="H304" s="391">
        <v>51.3741</v>
      </c>
      <c r="I304" s="391">
        <v>7.03721</v>
      </c>
      <c r="J304" s="391">
        <v>-23.997625</v>
      </c>
      <c r="K304" s="391">
        <v>-22.125581</v>
      </c>
      <c r="L304" s="391">
        <v>1113.79</v>
      </c>
      <c r="M304" s="391">
        <v>74.000558</v>
      </c>
      <c r="N304" s="391">
        <v>13860.6079</v>
      </c>
      <c r="O304" s="391">
        <v>13874.4027</v>
      </c>
      <c r="P304" s="394">
        <v>2070.3457</v>
      </c>
      <c r="Q304" s="376" t="s">
        <v>12</v>
      </c>
      <c r="R304" s="394" t="s">
        <v>539</v>
      </c>
      <c r="S304" s="394">
        <v>10.0</v>
      </c>
      <c r="T304" s="394">
        <v>5.0</v>
      </c>
      <c r="U304" s="394">
        <v>0.7</v>
      </c>
      <c r="V304" s="394">
        <v>0.7</v>
      </c>
      <c r="W304" s="394">
        <v>0.7</v>
      </c>
      <c r="X304" s="391">
        <v>2000.0</v>
      </c>
      <c r="Y304" s="391" t="s">
        <v>540</v>
      </c>
      <c r="Z304" s="391">
        <v>0.2</v>
      </c>
      <c r="AA304" s="391" t="s">
        <v>541</v>
      </c>
      <c r="AB304" s="391" t="s">
        <v>542</v>
      </c>
      <c r="AC304" s="391">
        <v>220.0</v>
      </c>
      <c r="AD304" s="193"/>
      <c r="AE304" s="377"/>
    </row>
    <row r="305">
      <c r="A305" s="391" t="s">
        <v>648</v>
      </c>
      <c r="B305" s="391">
        <v>2.0</v>
      </c>
      <c r="C305" s="400">
        <v>365.0</v>
      </c>
      <c r="D305" s="391" t="s">
        <v>564</v>
      </c>
      <c r="E305" s="391">
        <v>1.0</v>
      </c>
      <c r="F305" s="393">
        <v>45488.69861111111</v>
      </c>
      <c r="G305" s="391">
        <v>1.0</v>
      </c>
      <c r="H305" s="391">
        <v>51.3741</v>
      </c>
      <c r="I305" s="391">
        <v>7.03232</v>
      </c>
      <c r="J305" s="391">
        <v>-24.079619</v>
      </c>
      <c r="K305" s="391">
        <v>-22.753644</v>
      </c>
      <c r="L305" s="391">
        <v>1050.54</v>
      </c>
      <c r="M305" s="391">
        <v>77.999907</v>
      </c>
      <c r="N305" s="391">
        <v>11614.8909</v>
      </c>
      <c r="O305" s="391">
        <v>11617.5763</v>
      </c>
      <c r="P305" s="394">
        <v>2078.88894</v>
      </c>
      <c r="Q305" s="376" t="s">
        <v>12</v>
      </c>
      <c r="R305" s="394" t="s">
        <v>539</v>
      </c>
      <c r="S305" s="394">
        <v>10.0</v>
      </c>
      <c r="T305" s="394">
        <v>5.0</v>
      </c>
      <c r="U305" s="394">
        <v>0.7</v>
      </c>
      <c r="V305" s="394">
        <v>0.7</v>
      </c>
      <c r="W305" s="394">
        <v>0.7</v>
      </c>
      <c r="X305" s="391">
        <v>2000.0</v>
      </c>
      <c r="Y305" s="391" t="s">
        <v>540</v>
      </c>
      <c r="Z305" s="391">
        <v>0.2</v>
      </c>
      <c r="AA305" s="391" t="s">
        <v>541</v>
      </c>
      <c r="AB305" s="391" t="s">
        <v>542</v>
      </c>
      <c r="AC305" s="391">
        <v>220.0</v>
      </c>
      <c r="AD305" s="193"/>
      <c r="AE305" s="377"/>
    </row>
    <row r="306">
      <c r="A306" s="391" t="s">
        <v>650</v>
      </c>
      <c r="B306" s="391">
        <v>2.0</v>
      </c>
      <c r="C306" s="400">
        <v>365.0</v>
      </c>
      <c r="D306" s="391" t="s">
        <v>564</v>
      </c>
      <c r="E306" s="391">
        <v>1.0</v>
      </c>
      <c r="F306" s="393">
        <v>45488.70138888889</v>
      </c>
      <c r="G306" s="391">
        <v>1.0</v>
      </c>
      <c r="H306" s="391">
        <v>51.3774</v>
      </c>
      <c r="I306" s="391">
        <v>7.23805</v>
      </c>
      <c r="J306" s="391">
        <v>-24.028025</v>
      </c>
      <c r="K306" s="391">
        <v>-22.200125</v>
      </c>
      <c r="L306" s="391">
        <v>1083.77</v>
      </c>
      <c r="M306" s="391">
        <v>69.998153</v>
      </c>
      <c r="N306" s="391">
        <v>11620.2616</v>
      </c>
      <c r="O306" s="391">
        <v>11617.5763</v>
      </c>
      <c r="P306" s="394">
        <v>2078.88894</v>
      </c>
      <c r="Q306" s="376" t="s">
        <v>12</v>
      </c>
      <c r="R306" s="394" t="s">
        <v>539</v>
      </c>
      <c r="S306" s="394">
        <v>10.0</v>
      </c>
      <c r="T306" s="394">
        <v>5.0</v>
      </c>
      <c r="U306" s="394">
        <v>0.7</v>
      </c>
      <c r="V306" s="394">
        <v>0.7</v>
      </c>
      <c r="W306" s="394">
        <v>0.7</v>
      </c>
      <c r="X306" s="391">
        <v>2000.0</v>
      </c>
      <c r="Y306" s="391" t="s">
        <v>540</v>
      </c>
      <c r="Z306" s="391">
        <v>0.2</v>
      </c>
      <c r="AA306" s="391" t="s">
        <v>541</v>
      </c>
      <c r="AB306" s="391" t="s">
        <v>542</v>
      </c>
      <c r="AC306" s="391">
        <v>220.0</v>
      </c>
      <c r="AD306" s="193"/>
      <c r="AE306" s="377"/>
    </row>
    <row r="307">
      <c r="A307" s="391" t="s">
        <v>651</v>
      </c>
      <c r="B307" s="391">
        <v>3.0</v>
      </c>
      <c r="C307" s="400">
        <v>366.0</v>
      </c>
      <c r="D307" s="391" t="s">
        <v>568</v>
      </c>
      <c r="E307" s="391">
        <v>1.0</v>
      </c>
      <c r="F307" s="393">
        <v>45488.70486111111</v>
      </c>
      <c r="G307" s="391">
        <v>1.0</v>
      </c>
      <c r="H307" s="391">
        <v>51.3807</v>
      </c>
      <c r="I307" s="391">
        <v>7.16136</v>
      </c>
      <c r="J307" s="391">
        <v>-24.000919</v>
      </c>
      <c r="K307" s="391">
        <v>-22.412794</v>
      </c>
      <c r="L307" s="391">
        <v>1062.96</v>
      </c>
      <c r="M307" s="391">
        <v>68.501484</v>
      </c>
      <c r="N307" s="391">
        <v>11633.3196</v>
      </c>
      <c r="O307" s="391">
        <v>11640.4567</v>
      </c>
      <c r="P307" s="394">
        <v>2082.97174</v>
      </c>
      <c r="Q307" s="376" t="s">
        <v>12</v>
      </c>
      <c r="R307" s="394" t="s">
        <v>539</v>
      </c>
      <c r="S307" s="394">
        <v>10.0</v>
      </c>
      <c r="T307" s="394">
        <v>5.0</v>
      </c>
      <c r="U307" s="394">
        <v>0.7</v>
      </c>
      <c r="V307" s="394">
        <v>0.7</v>
      </c>
      <c r="W307" s="394">
        <v>0.7</v>
      </c>
      <c r="X307" s="391">
        <v>2000.0</v>
      </c>
      <c r="Y307" s="391" t="s">
        <v>540</v>
      </c>
      <c r="Z307" s="391">
        <v>0.2</v>
      </c>
      <c r="AA307" s="391" t="s">
        <v>541</v>
      </c>
      <c r="AB307" s="391" t="s">
        <v>542</v>
      </c>
      <c r="AC307" s="391">
        <v>220.0</v>
      </c>
      <c r="AD307" s="193"/>
      <c r="AE307" s="377"/>
    </row>
    <row r="308">
      <c r="A308" s="391" t="s">
        <v>652</v>
      </c>
      <c r="B308" s="391">
        <v>3.0</v>
      </c>
      <c r="C308" s="400">
        <v>366.0</v>
      </c>
      <c r="D308" s="391" t="s">
        <v>568</v>
      </c>
      <c r="E308" s="391">
        <v>1.0</v>
      </c>
      <c r="F308" s="393">
        <v>45488.70763888889</v>
      </c>
      <c r="G308" s="391">
        <v>1.0</v>
      </c>
      <c r="H308" s="391">
        <v>51.3741</v>
      </c>
      <c r="I308" s="391">
        <v>7.12029</v>
      </c>
      <c r="J308" s="391">
        <v>-23.906131</v>
      </c>
      <c r="K308" s="391">
        <v>-22.395625</v>
      </c>
      <c r="L308" s="391">
        <v>1063.24</v>
      </c>
      <c r="M308" s="391">
        <v>70.500086</v>
      </c>
      <c r="N308" s="391">
        <v>11647.5938</v>
      </c>
      <c r="O308" s="391">
        <v>11640.4567</v>
      </c>
      <c r="P308" s="394">
        <v>2082.97174</v>
      </c>
      <c r="Q308" s="376" t="s">
        <v>12</v>
      </c>
      <c r="R308" s="394" t="s">
        <v>539</v>
      </c>
      <c r="S308" s="394">
        <v>10.0</v>
      </c>
      <c r="T308" s="394">
        <v>5.0</v>
      </c>
      <c r="U308" s="394">
        <v>0.7</v>
      </c>
      <c r="V308" s="394">
        <v>0.7</v>
      </c>
      <c r="W308" s="394">
        <v>0.7</v>
      </c>
      <c r="X308" s="391">
        <v>2000.0</v>
      </c>
      <c r="Y308" s="391" t="s">
        <v>540</v>
      </c>
      <c r="Z308" s="391">
        <v>0.2</v>
      </c>
      <c r="AA308" s="391" t="s">
        <v>541</v>
      </c>
      <c r="AB308" s="391" t="s">
        <v>542</v>
      </c>
      <c r="AC308" s="391">
        <v>220.0</v>
      </c>
      <c r="AD308" s="193"/>
      <c r="AE308" s="377"/>
    </row>
    <row r="309">
      <c r="A309" s="391" t="s">
        <v>654</v>
      </c>
      <c r="B309" s="391">
        <v>4.0</v>
      </c>
      <c r="C309" s="400">
        <v>443.0</v>
      </c>
      <c r="D309" s="391" t="s">
        <v>571</v>
      </c>
      <c r="E309" s="391">
        <v>1.0</v>
      </c>
      <c r="F309" s="393">
        <v>45488.71111111111</v>
      </c>
      <c r="G309" s="391">
        <v>1.0</v>
      </c>
      <c r="H309" s="391">
        <v>51.3774</v>
      </c>
      <c r="I309" s="391">
        <v>6.97691</v>
      </c>
      <c r="J309" s="391">
        <v>-24.053919</v>
      </c>
      <c r="K309" s="391">
        <v>-22.385075</v>
      </c>
      <c r="L309" s="391">
        <v>1073.02</v>
      </c>
      <c r="M309" s="391">
        <v>72.501241</v>
      </c>
      <c r="N309" s="391">
        <v>11605.0917</v>
      </c>
      <c r="O309" s="391">
        <v>11594.3968</v>
      </c>
      <c r="P309" s="394">
        <v>2074.75278</v>
      </c>
      <c r="Q309" s="376" t="s">
        <v>12</v>
      </c>
      <c r="R309" s="394" t="s">
        <v>553</v>
      </c>
      <c r="S309" s="394">
        <v>10.0</v>
      </c>
      <c r="T309" s="394">
        <v>5.0</v>
      </c>
      <c r="U309" s="394">
        <v>0.7</v>
      </c>
      <c r="V309" s="394">
        <v>0.7</v>
      </c>
      <c r="W309" s="394">
        <v>0.7</v>
      </c>
      <c r="X309" s="391">
        <v>2000.0</v>
      </c>
      <c r="Y309" s="391" t="s">
        <v>540</v>
      </c>
      <c r="Z309" s="391">
        <v>0.2</v>
      </c>
      <c r="AA309" s="391" t="s">
        <v>541</v>
      </c>
      <c r="AB309" s="391" t="s">
        <v>542</v>
      </c>
      <c r="AC309" s="391">
        <v>220.0</v>
      </c>
      <c r="AD309" s="193"/>
      <c r="AE309" s="377"/>
    </row>
    <row r="310">
      <c r="A310" s="391" t="s">
        <v>655</v>
      </c>
      <c r="B310" s="391">
        <v>4.0</v>
      </c>
      <c r="C310" s="400">
        <v>443.0</v>
      </c>
      <c r="D310" s="391" t="s">
        <v>571</v>
      </c>
      <c r="E310" s="391">
        <v>1.0</v>
      </c>
      <c r="F310" s="393">
        <v>45488.71388888889</v>
      </c>
      <c r="G310" s="391">
        <v>1.0</v>
      </c>
      <c r="H310" s="391">
        <v>51.3741</v>
      </c>
      <c r="I310" s="391">
        <v>6.93987</v>
      </c>
      <c r="J310" s="391">
        <v>-24.075919</v>
      </c>
      <c r="K310" s="391">
        <v>-22.637856</v>
      </c>
      <c r="L310" s="391">
        <v>1068.82</v>
      </c>
      <c r="M310" s="391">
        <v>75.000255</v>
      </c>
      <c r="N310" s="391">
        <v>11447.2381</v>
      </c>
      <c r="O310" s="391">
        <v>11594.3968</v>
      </c>
      <c r="P310" s="394">
        <v>2074.75278</v>
      </c>
      <c r="Q310" s="376" t="s">
        <v>12</v>
      </c>
      <c r="R310" s="394" t="s">
        <v>553</v>
      </c>
      <c r="S310" s="394">
        <v>10.0</v>
      </c>
      <c r="T310" s="394">
        <v>5.0</v>
      </c>
      <c r="U310" s="394">
        <v>0.7</v>
      </c>
      <c r="V310" s="394">
        <v>0.7</v>
      </c>
      <c r="W310" s="394">
        <v>0.7</v>
      </c>
      <c r="X310" s="391">
        <v>2000.0</v>
      </c>
      <c r="Y310" s="391" t="s">
        <v>540</v>
      </c>
      <c r="Z310" s="391">
        <v>0.2</v>
      </c>
      <c r="AA310" s="391" t="s">
        <v>541</v>
      </c>
      <c r="AB310" s="391" t="s">
        <v>542</v>
      </c>
      <c r="AC310" s="391">
        <v>220.0</v>
      </c>
      <c r="AD310" s="193"/>
      <c r="AE310" s="377"/>
    </row>
    <row r="311">
      <c r="A311" s="391" t="s">
        <v>656</v>
      </c>
      <c r="B311" s="391">
        <v>4.0</v>
      </c>
      <c r="C311" s="400">
        <v>443.0</v>
      </c>
      <c r="D311" s="391" t="s">
        <v>571</v>
      </c>
      <c r="E311" s="391">
        <v>1.0</v>
      </c>
      <c r="F311" s="393">
        <v>45488.71666666667</v>
      </c>
      <c r="G311" s="391">
        <v>1.0</v>
      </c>
      <c r="H311" s="391">
        <v>51.3774</v>
      </c>
      <c r="I311" s="391">
        <v>6.98413</v>
      </c>
      <c r="J311" s="391">
        <v>-24.040969</v>
      </c>
      <c r="K311" s="391">
        <v>-22.466538</v>
      </c>
      <c r="L311" s="391">
        <v>1066.9</v>
      </c>
      <c r="M311" s="391">
        <v>73.000157</v>
      </c>
      <c r="N311" s="391">
        <v>11589.5872</v>
      </c>
      <c r="O311" s="391">
        <v>11594.3968</v>
      </c>
      <c r="P311" s="394">
        <v>2074.75278</v>
      </c>
      <c r="Q311" s="376" t="s">
        <v>12</v>
      </c>
      <c r="R311" s="394" t="s">
        <v>539</v>
      </c>
      <c r="S311" s="394">
        <v>10.0</v>
      </c>
      <c r="T311" s="394">
        <v>5.0</v>
      </c>
      <c r="U311" s="394">
        <v>0.7</v>
      </c>
      <c r="V311" s="394">
        <v>0.7</v>
      </c>
      <c r="W311" s="394">
        <v>0.7</v>
      </c>
      <c r="X311" s="391">
        <v>2000.0</v>
      </c>
      <c r="Y311" s="391" t="s">
        <v>540</v>
      </c>
      <c r="Z311" s="391">
        <v>0.2</v>
      </c>
      <c r="AA311" s="391" t="s">
        <v>541</v>
      </c>
      <c r="AB311" s="391" t="s">
        <v>542</v>
      </c>
      <c r="AC311" s="391">
        <v>220.0</v>
      </c>
      <c r="AD311" s="193"/>
      <c r="AE311" s="377"/>
    </row>
    <row r="312">
      <c r="A312" s="391" t="s">
        <v>761</v>
      </c>
      <c r="B312" s="391">
        <v>4.0</v>
      </c>
      <c r="C312" s="400">
        <v>443.0</v>
      </c>
      <c r="D312" s="391" t="s">
        <v>571</v>
      </c>
      <c r="E312" s="391">
        <v>1.0</v>
      </c>
      <c r="F312" s="393">
        <v>45488.71944444445</v>
      </c>
      <c r="G312" s="391">
        <v>1.0</v>
      </c>
      <c r="H312" s="391">
        <v>51.3807</v>
      </c>
      <c r="I312" s="391">
        <v>6.827</v>
      </c>
      <c r="J312" s="391">
        <v>-23.967338</v>
      </c>
      <c r="K312" s="391">
        <v>-22.929762</v>
      </c>
      <c r="L312" s="391">
        <v>1036.03</v>
      </c>
      <c r="M312" s="391">
        <v>78.498435</v>
      </c>
      <c r="N312" s="391">
        <v>11599.2064</v>
      </c>
      <c r="O312" s="391">
        <v>11594.3968</v>
      </c>
      <c r="P312" s="394">
        <v>2074.75278</v>
      </c>
      <c r="Q312" s="376" t="s">
        <v>12</v>
      </c>
      <c r="R312" s="394" t="s">
        <v>539</v>
      </c>
      <c r="S312" s="394">
        <v>10.0</v>
      </c>
      <c r="T312" s="394">
        <v>5.0</v>
      </c>
      <c r="U312" s="394">
        <v>0.7</v>
      </c>
      <c r="V312" s="394">
        <v>0.7</v>
      </c>
      <c r="W312" s="394">
        <v>0.7</v>
      </c>
      <c r="X312" s="391">
        <v>2000.0</v>
      </c>
      <c r="Y312" s="391" t="s">
        <v>540</v>
      </c>
      <c r="Z312" s="391">
        <v>0.2</v>
      </c>
      <c r="AA312" s="391" t="s">
        <v>541</v>
      </c>
      <c r="AB312" s="391" t="s">
        <v>542</v>
      </c>
      <c r="AC312" s="391">
        <v>220.0</v>
      </c>
      <c r="AD312" s="193"/>
      <c r="AE312" s="377"/>
    </row>
    <row r="313">
      <c r="A313" s="391" t="s">
        <v>657</v>
      </c>
      <c r="B313" s="391">
        <v>5.0</v>
      </c>
      <c r="C313" s="400">
        <v>444.0</v>
      </c>
      <c r="D313" s="391" t="s">
        <v>575</v>
      </c>
      <c r="E313" s="391">
        <v>1.0</v>
      </c>
      <c r="F313" s="393">
        <v>45488.722916666666</v>
      </c>
      <c r="G313" s="391">
        <v>1.0</v>
      </c>
      <c r="H313" s="391">
        <v>51.3741</v>
      </c>
      <c r="I313" s="391">
        <v>6.98174</v>
      </c>
      <c r="J313" s="391">
        <v>-24.0667</v>
      </c>
      <c r="K313" s="391">
        <v>-22.802087</v>
      </c>
      <c r="L313" s="391">
        <v>1066.04</v>
      </c>
      <c r="M313" s="391">
        <v>76.000926</v>
      </c>
      <c r="N313" s="391">
        <v>11601.7221</v>
      </c>
      <c r="O313" s="391">
        <v>11605.0961</v>
      </c>
      <c r="P313" s="394">
        <v>2076.66197</v>
      </c>
      <c r="Q313" s="376" t="s">
        <v>12</v>
      </c>
      <c r="R313" s="394" t="s">
        <v>553</v>
      </c>
      <c r="S313" s="394">
        <v>10.0</v>
      </c>
      <c r="T313" s="394">
        <v>5.0</v>
      </c>
      <c r="U313" s="394">
        <v>0.7</v>
      </c>
      <c r="V313" s="394">
        <v>0.7</v>
      </c>
      <c r="W313" s="394">
        <v>0.7</v>
      </c>
      <c r="X313" s="391">
        <v>2000.0</v>
      </c>
      <c r="Y313" s="391" t="s">
        <v>540</v>
      </c>
      <c r="Z313" s="391">
        <v>0.2</v>
      </c>
      <c r="AA313" s="391" t="s">
        <v>541</v>
      </c>
      <c r="AB313" s="391" t="s">
        <v>542</v>
      </c>
      <c r="AC313" s="391">
        <v>220.0</v>
      </c>
      <c r="AD313" s="193"/>
      <c r="AE313" s="377"/>
    </row>
    <row r="314">
      <c r="A314" s="391" t="s">
        <v>658</v>
      </c>
      <c r="B314" s="391">
        <v>5.0</v>
      </c>
      <c r="C314" s="400">
        <v>444.0</v>
      </c>
      <c r="D314" s="391" t="s">
        <v>575</v>
      </c>
      <c r="E314" s="391">
        <v>1.0</v>
      </c>
      <c r="F314" s="393">
        <v>45488.725694444445</v>
      </c>
      <c r="G314" s="391">
        <v>1.0</v>
      </c>
      <c r="H314" s="391">
        <v>51.3807</v>
      </c>
      <c r="I314" s="391">
        <v>7.09288</v>
      </c>
      <c r="J314" s="391">
        <v>-24.039444</v>
      </c>
      <c r="K314" s="391">
        <v>-22.188269</v>
      </c>
      <c r="L314" s="391">
        <v>1049.49</v>
      </c>
      <c r="M314" s="391">
        <v>69.000182</v>
      </c>
      <c r="N314" s="391">
        <v>11444.7399</v>
      </c>
      <c r="O314" s="391">
        <v>11605.0961</v>
      </c>
      <c r="P314" s="394">
        <v>2076.66197</v>
      </c>
      <c r="Q314" s="376" t="s">
        <v>12</v>
      </c>
      <c r="R314" s="394" t="s">
        <v>553</v>
      </c>
      <c r="S314" s="394">
        <v>10.0</v>
      </c>
      <c r="T314" s="394">
        <v>5.0</v>
      </c>
      <c r="U314" s="394">
        <v>0.7</v>
      </c>
      <c r="V314" s="394">
        <v>0.7</v>
      </c>
      <c r="W314" s="394">
        <v>0.7</v>
      </c>
      <c r="X314" s="391">
        <v>2000.0</v>
      </c>
      <c r="Y314" s="391" t="s">
        <v>540</v>
      </c>
      <c r="Z314" s="391">
        <v>0.2</v>
      </c>
      <c r="AA314" s="391" t="s">
        <v>541</v>
      </c>
      <c r="AB314" s="391" t="s">
        <v>542</v>
      </c>
      <c r="AC314" s="391">
        <v>220.0</v>
      </c>
      <c r="AD314" s="193"/>
      <c r="AE314" s="377"/>
    </row>
    <row r="315">
      <c r="A315" s="391" t="s">
        <v>715</v>
      </c>
      <c r="B315" s="391">
        <v>5.0</v>
      </c>
      <c r="C315" s="400">
        <v>444.0</v>
      </c>
      <c r="D315" s="391" t="s">
        <v>575</v>
      </c>
      <c r="E315" s="391">
        <v>1.0</v>
      </c>
      <c r="F315" s="393">
        <v>45488.728472222225</v>
      </c>
      <c r="G315" s="391">
        <v>1.0</v>
      </c>
      <c r="H315" s="391">
        <v>51.384</v>
      </c>
      <c r="I315" s="391">
        <v>7.10645</v>
      </c>
      <c r="J315" s="391">
        <v>-23.873506</v>
      </c>
      <c r="K315" s="391">
        <v>-22.35875</v>
      </c>
      <c r="L315" s="391">
        <v>1057.62</v>
      </c>
      <c r="M315" s="391">
        <v>76.501487</v>
      </c>
      <c r="N315" s="391">
        <v>11503.4135</v>
      </c>
      <c r="O315" s="391">
        <v>11605.0961</v>
      </c>
      <c r="P315" s="394">
        <v>2076.66197</v>
      </c>
      <c r="Q315" s="376" t="s">
        <v>12</v>
      </c>
      <c r="R315" s="394" t="s">
        <v>553</v>
      </c>
      <c r="S315" s="394">
        <v>10.0</v>
      </c>
      <c r="T315" s="394">
        <v>5.0</v>
      </c>
      <c r="U315" s="394">
        <v>0.7</v>
      </c>
      <c r="V315" s="394">
        <v>0.7</v>
      </c>
      <c r="W315" s="394">
        <v>0.7</v>
      </c>
      <c r="X315" s="391">
        <v>2000.0</v>
      </c>
      <c r="Y315" s="391" t="s">
        <v>540</v>
      </c>
      <c r="Z315" s="391">
        <v>0.2</v>
      </c>
      <c r="AA315" s="391" t="s">
        <v>541</v>
      </c>
      <c r="AB315" s="391" t="s">
        <v>542</v>
      </c>
      <c r="AC315" s="391">
        <v>220.0</v>
      </c>
      <c r="AD315" s="193"/>
      <c r="AE315" s="377"/>
    </row>
    <row r="316">
      <c r="A316" s="391" t="s">
        <v>762</v>
      </c>
      <c r="B316" s="391">
        <v>5.0</v>
      </c>
      <c r="C316" s="400">
        <v>444.0</v>
      </c>
      <c r="D316" s="391" t="s">
        <v>575</v>
      </c>
      <c r="E316" s="391">
        <v>1.0</v>
      </c>
      <c r="F316" s="393">
        <v>45488.73125</v>
      </c>
      <c r="G316" s="391">
        <v>1.0</v>
      </c>
      <c r="H316" s="391">
        <v>51.3741</v>
      </c>
      <c r="I316" s="391">
        <v>7.36012</v>
      </c>
      <c r="J316" s="391">
        <v>-24.054931</v>
      </c>
      <c r="K316" s="391">
        <v>-22.719731</v>
      </c>
      <c r="L316" s="391">
        <v>1088.33</v>
      </c>
      <c r="M316" s="391">
        <v>74.50124</v>
      </c>
      <c r="N316" s="391">
        <v>11607.1712</v>
      </c>
      <c r="O316" s="391">
        <v>11605.0961</v>
      </c>
      <c r="P316" s="394">
        <v>2076.66197</v>
      </c>
      <c r="Q316" s="376" t="s">
        <v>12</v>
      </c>
      <c r="R316" s="394" t="s">
        <v>539</v>
      </c>
      <c r="S316" s="394">
        <v>10.0</v>
      </c>
      <c r="T316" s="394">
        <v>5.0</v>
      </c>
      <c r="U316" s="394">
        <v>0.7</v>
      </c>
      <c r="V316" s="394">
        <v>0.7</v>
      </c>
      <c r="W316" s="394">
        <v>0.7</v>
      </c>
      <c r="X316" s="391">
        <v>2000.0</v>
      </c>
      <c r="Y316" s="391" t="s">
        <v>540</v>
      </c>
      <c r="Z316" s="391">
        <v>0.2</v>
      </c>
      <c r="AA316" s="391" t="s">
        <v>541</v>
      </c>
      <c r="AB316" s="391" t="s">
        <v>542</v>
      </c>
      <c r="AC316" s="391">
        <v>220.0</v>
      </c>
      <c r="AD316" s="193"/>
      <c r="AE316" s="377"/>
    </row>
    <row r="317">
      <c r="A317" s="391" t="s">
        <v>763</v>
      </c>
      <c r="B317" s="391">
        <v>5.0</v>
      </c>
      <c r="C317" s="400">
        <v>444.0</v>
      </c>
      <c r="D317" s="391" t="s">
        <v>575</v>
      </c>
      <c r="E317" s="391">
        <v>1.0</v>
      </c>
      <c r="F317" s="393">
        <v>45488.73402777778</v>
      </c>
      <c r="G317" s="391">
        <v>1.0</v>
      </c>
      <c r="H317" s="391">
        <v>51.3741</v>
      </c>
      <c r="I317" s="391">
        <v>7.28409</v>
      </c>
      <c r="J317" s="391">
        <v>-24.003613</v>
      </c>
      <c r="K317" s="391">
        <v>-22.679388</v>
      </c>
      <c r="L317" s="391">
        <v>1046.99</v>
      </c>
      <c r="M317" s="391">
        <v>74.999787</v>
      </c>
      <c r="N317" s="391">
        <v>11603.021</v>
      </c>
      <c r="O317" s="391">
        <v>11605.0961</v>
      </c>
      <c r="P317" s="394">
        <v>2076.66197</v>
      </c>
      <c r="Q317" s="376" t="s">
        <v>12</v>
      </c>
      <c r="R317" s="394" t="s">
        <v>539</v>
      </c>
      <c r="S317" s="394">
        <v>10.0</v>
      </c>
      <c r="T317" s="394">
        <v>5.0</v>
      </c>
      <c r="U317" s="394">
        <v>0.7</v>
      </c>
      <c r="V317" s="394">
        <v>0.7</v>
      </c>
      <c r="W317" s="394">
        <v>0.7</v>
      </c>
      <c r="X317" s="391">
        <v>2000.0</v>
      </c>
      <c r="Y317" s="391" t="s">
        <v>540</v>
      </c>
      <c r="Z317" s="391">
        <v>0.2</v>
      </c>
      <c r="AA317" s="391" t="s">
        <v>541</v>
      </c>
      <c r="AB317" s="391" t="s">
        <v>542</v>
      </c>
      <c r="AC317" s="391">
        <v>220.0</v>
      </c>
      <c r="AD317" s="193"/>
      <c r="AE317" s="377"/>
    </row>
    <row r="318">
      <c r="A318" s="391" t="s">
        <v>659</v>
      </c>
      <c r="B318" s="391">
        <v>6.0</v>
      </c>
      <c r="C318" s="400">
        <v>417.0</v>
      </c>
      <c r="D318" s="391" t="s">
        <v>579</v>
      </c>
      <c r="E318" s="391">
        <v>1.0</v>
      </c>
      <c r="F318" s="393">
        <v>45488.7375</v>
      </c>
      <c r="G318" s="391">
        <v>1.0</v>
      </c>
      <c r="H318" s="391">
        <v>51.3807</v>
      </c>
      <c r="I318" s="391">
        <v>7.07707</v>
      </c>
      <c r="J318" s="391">
        <v>-24.127219</v>
      </c>
      <c r="K318" s="391">
        <v>-22.456906</v>
      </c>
      <c r="L318" s="391">
        <v>1071.05</v>
      </c>
      <c r="M318" s="391">
        <v>69.999857</v>
      </c>
      <c r="N318" s="391">
        <v>11657.745</v>
      </c>
      <c r="O318" s="391">
        <v>0.0</v>
      </c>
      <c r="P318" s="394">
        <v>0.0</v>
      </c>
      <c r="Q318" s="376" t="s">
        <v>280</v>
      </c>
      <c r="R318" s="394" t="s">
        <v>607</v>
      </c>
      <c r="S318" s="394">
        <v>10.0</v>
      </c>
      <c r="T318" s="394">
        <v>5.0</v>
      </c>
      <c r="U318" s="394">
        <v>0.7</v>
      </c>
      <c r="V318" s="394">
        <v>0.7</v>
      </c>
      <c r="W318" s="394">
        <v>0.7</v>
      </c>
      <c r="X318" s="391">
        <v>2000.0</v>
      </c>
      <c r="Y318" s="391" t="s">
        <v>540</v>
      </c>
      <c r="Z318" s="391">
        <v>0.2</v>
      </c>
      <c r="AA318" s="391" t="s">
        <v>541</v>
      </c>
      <c r="AB318" s="391" t="s">
        <v>542</v>
      </c>
      <c r="AC318" s="391">
        <v>220.0</v>
      </c>
      <c r="AD318" s="193"/>
      <c r="AE318" s="377"/>
    </row>
    <row r="319">
      <c r="A319" s="391" t="s">
        <v>660</v>
      </c>
      <c r="B319" s="391">
        <v>6.0</v>
      </c>
      <c r="C319" s="400">
        <v>417.0</v>
      </c>
      <c r="D319" s="391" t="s">
        <v>579</v>
      </c>
      <c r="E319" s="391">
        <v>1.0</v>
      </c>
      <c r="F319" s="393">
        <v>45488.740277777775</v>
      </c>
      <c r="G319" s="391">
        <v>1.0</v>
      </c>
      <c r="H319" s="391">
        <v>51.3774</v>
      </c>
      <c r="I319" s="391">
        <v>7.00053</v>
      </c>
      <c r="J319" s="391">
        <v>-24.042825</v>
      </c>
      <c r="K319" s="391">
        <v>-22.121612</v>
      </c>
      <c r="L319" s="391">
        <v>1050.4</v>
      </c>
      <c r="M319" s="391">
        <v>69.000277</v>
      </c>
      <c r="N319" s="391">
        <v>11543.3847</v>
      </c>
      <c r="O319" s="391">
        <v>0.0</v>
      </c>
      <c r="P319" s="394">
        <v>0.0</v>
      </c>
      <c r="Q319" s="376" t="s">
        <v>280</v>
      </c>
      <c r="R319" s="394" t="s">
        <v>607</v>
      </c>
      <c r="S319" s="394">
        <v>10.0</v>
      </c>
      <c r="T319" s="394">
        <v>5.0</v>
      </c>
      <c r="U319" s="394">
        <v>0.7</v>
      </c>
      <c r="V319" s="394">
        <v>0.7</v>
      </c>
      <c r="W319" s="394">
        <v>0.7</v>
      </c>
      <c r="X319" s="391">
        <v>2000.0</v>
      </c>
      <c r="Y319" s="391" t="s">
        <v>540</v>
      </c>
      <c r="Z319" s="391">
        <v>0.2</v>
      </c>
      <c r="AA319" s="391" t="s">
        <v>541</v>
      </c>
      <c r="AB319" s="391" t="s">
        <v>542</v>
      </c>
      <c r="AC319" s="391">
        <v>220.0</v>
      </c>
      <c r="AD319" s="193"/>
      <c r="AE319" s="377"/>
    </row>
    <row r="320">
      <c r="A320" s="391" t="s">
        <v>661</v>
      </c>
      <c r="B320" s="391">
        <v>6.0</v>
      </c>
      <c r="C320" s="400">
        <v>417.0</v>
      </c>
      <c r="D320" s="391" t="s">
        <v>579</v>
      </c>
      <c r="E320" s="391">
        <v>1.0</v>
      </c>
      <c r="F320" s="393">
        <v>45488.743055555555</v>
      </c>
      <c r="G320" s="391">
        <v>1.0</v>
      </c>
      <c r="H320" s="391">
        <v>51.3774</v>
      </c>
      <c r="I320" s="391">
        <v>7.16333</v>
      </c>
      <c r="J320" s="391">
        <v>-24.116469</v>
      </c>
      <c r="K320" s="391">
        <v>-22.447144</v>
      </c>
      <c r="L320" s="391">
        <v>1067.27</v>
      </c>
      <c r="M320" s="391">
        <v>71.001676</v>
      </c>
      <c r="N320" s="391">
        <v>11630.6861</v>
      </c>
      <c r="O320" s="391">
        <v>0.0</v>
      </c>
      <c r="P320" s="394">
        <v>0.0</v>
      </c>
      <c r="Q320" s="376" t="s">
        <v>280</v>
      </c>
      <c r="R320" s="394" t="s">
        <v>607</v>
      </c>
      <c r="S320" s="394">
        <v>10.0</v>
      </c>
      <c r="T320" s="394">
        <v>5.0</v>
      </c>
      <c r="U320" s="394">
        <v>0.7</v>
      </c>
      <c r="V320" s="394">
        <v>0.7</v>
      </c>
      <c r="W320" s="394">
        <v>0.7</v>
      </c>
      <c r="X320" s="391">
        <v>2000.0</v>
      </c>
      <c r="Y320" s="391" t="s">
        <v>540</v>
      </c>
      <c r="Z320" s="391">
        <v>0.2</v>
      </c>
      <c r="AA320" s="391" t="s">
        <v>541</v>
      </c>
      <c r="AB320" s="391" t="s">
        <v>542</v>
      </c>
      <c r="AC320" s="391">
        <v>220.0</v>
      </c>
      <c r="AD320" s="193"/>
      <c r="AE320" s="377"/>
    </row>
    <row r="321">
      <c r="A321" s="391" t="s">
        <v>662</v>
      </c>
      <c r="B321" s="391">
        <v>6.0</v>
      </c>
      <c r="C321" s="400">
        <v>417.0</v>
      </c>
      <c r="D321" s="391" t="s">
        <v>579</v>
      </c>
      <c r="E321" s="391">
        <v>1.0</v>
      </c>
      <c r="F321" s="393">
        <v>45488.745833333334</v>
      </c>
      <c r="G321" s="391">
        <v>1.0</v>
      </c>
      <c r="H321" s="391">
        <v>51.3741</v>
      </c>
      <c r="I321" s="391">
        <v>7.65018</v>
      </c>
      <c r="J321" s="391">
        <v>-23.951612</v>
      </c>
      <c r="K321" s="391">
        <v>-22.409456</v>
      </c>
      <c r="L321" s="391">
        <v>1093.51</v>
      </c>
      <c r="M321" s="391">
        <v>67.000233</v>
      </c>
      <c r="N321" s="391">
        <v>11686.8228</v>
      </c>
      <c r="O321" s="391">
        <v>0.0</v>
      </c>
      <c r="P321" s="394">
        <v>0.0</v>
      </c>
      <c r="Q321" s="376" t="s">
        <v>280</v>
      </c>
      <c r="R321" s="394" t="s">
        <v>607</v>
      </c>
      <c r="S321" s="394">
        <v>10.0</v>
      </c>
      <c r="T321" s="394">
        <v>5.0</v>
      </c>
      <c r="U321" s="394">
        <v>0.7</v>
      </c>
      <c r="V321" s="394">
        <v>0.7</v>
      </c>
      <c r="W321" s="394">
        <v>0.7</v>
      </c>
      <c r="X321" s="391">
        <v>2000.0</v>
      </c>
      <c r="Y321" s="391" t="s">
        <v>540</v>
      </c>
      <c r="Z321" s="391">
        <v>0.2</v>
      </c>
      <c r="AA321" s="391" t="s">
        <v>541</v>
      </c>
      <c r="AB321" s="391" t="s">
        <v>542</v>
      </c>
      <c r="AC321" s="391">
        <v>220.0</v>
      </c>
      <c r="AD321" s="193"/>
      <c r="AE321" s="377"/>
    </row>
    <row r="322">
      <c r="A322" s="391" t="s">
        <v>663</v>
      </c>
      <c r="B322" s="391">
        <v>6.0</v>
      </c>
      <c r="C322" s="400">
        <v>417.0</v>
      </c>
      <c r="D322" s="391" t="s">
        <v>579</v>
      </c>
      <c r="E322" s="391">
        <v>1.0</v>
      </c>
      <c r="F322" s="393">
        <v>45488.748611111114</v>
      </c>
      <c r="G322" s="391">
        <v>1.0</v>
      </c>
      <c r="H322" s="391">
        <v>51.3774</v>
      </c>
      <c r="I322" s="391">
        <v>7.60385</v>
      </c>
      <c r="J322" s="391">
        <v>-24.063237</v>
      </c>
      <c r="K322" s="391">
        <v>-22.093537</v>
      </c>
      <c r="L322" s="391">
        <v>1076.05</v>
      </c>
      <c r="M322" s="391">
        <v>63.999634</v>
      </c>
      <c r="N322" s="391">
        <v>11661.3484</v>
      </c>
      <c r="O322" s="391">
        <v>0.0</v>
      </c>
      <c r="P322" s="394">
        <v>0.0</v>
      </c>
      <c r="Q322" s="376" t="s">
        <v>280</v>
      </c>
      <c r="R322" s="394" t="s">
        <v>607</v>
      </c>
      <c r="S322" s="394">
        <v>10.0</v>
      </c>
      <c r="T322" s="394">
        <v>5.0</v>
      </c>
      <c r="U322" s="394">
        <v>0.7</v>
      </c>
      <c r="V322" s="394">
        <v>0.7</v>
      </c>
      <c r="W322" s="394">
        <v>0.7</v>
      </c>
      <c r="X322" s="391">
        <v>2000.0</v>
      </c>
      <c r="Y322" s="391" t="s">
        <v>540</v>
      </c>
      <c r="Z322" s="391">
        <v>0.2</v>
      </c>
      <c r="AA322" s="391" t="s">
        <v>541</v>
      </c>
      <c r="AB322" s="391" t="s">
        <v>542</v>
      </c>
      <c r="AC322" s="391">
        <v>220.0</v>
      </c>
      <c r="AD322" s="193"/>
      <c r="AE322" s="377"/>
    </row>
    <row r="323">
      <c r="A323" s="391" t="s">
        <v>764</v>
      </c>
      <c r="B323" s="391">
        <v>6.0</v>
      </c>
      <c r="C323" s="400">
        <v>417.0</v>
      </c>
      <c r="D323" s="391" t="s">
        <v>579</v>
      </c>
      <c r="E323" s="391">
        <v>1.0</v>
      </c>
      <c r="F323" s="393">
        <v>45488.751388888886</v>
      </c>
      <c r="G323" s="391">
        <v>2.0</v>
      </c>
      <c r="H323" s="391">
        <v>51.3807</v>
      </c>
      <c r="I323" s="391">
        <v>7.49786</v>
      </c>
      <c r="J323" s="391">
        <v>-24.120256</v>
      </c>
      <c r="K323" s="391">
        <v>-22.295744</v>
      </c>
      <c r="L323" s="391">
        <v>1087.67</v>
      </c>
      <c r="M323" s="391">
        <v>66.998526</v>
      </c>
      <c r="N323" s="391">
        <v>11709.7011</v>
      </c>
      <c r="O323" s="391">
        <v>11705.741</v>
      </c>
      <c r="P323" s="394">
        <v>2094.62111</v>
      </c>
      <c r="Q323" s="376" t="s">
        <v>12</v>
      </c>
      <c r="R323" s="394" t="s">
        <v>539</v>
      </c>
      <c r="S323" s="394">
        <v>10.0</v>
      </c>
      <c r="T323" s="394">
        <v>5.0</v>
      </c>
      <c r="U323" s="394">
        <v>0.7</v>
      </c>
      <c r="V323" s="394">
        <v>0.7</v>
      </c>
      <c r="W323" s="394">
        <v>0.7</v>
      </c>
      <c r="X323" s="391">
        <v>2000.0</v>
      </c>
      <c r="Y323" s="391" t="s">
        <v>540</v>
      </c>
      <c r="Z323" s="391">
        <v>0.2</v>
      </c>
      <c r="AA323" s="391" t="s">
        <v>541</v>
      </c>
      <c r="AB323" s="391" t="s">
        <v>542</v>
      </c>
      <c r="AC323" s="391">
        <v>220.0</v>
      </c>
      <c r="AD323" s="193"/>
      <c r="AE323" s="377"/>
    </row>
    <row r="324">
      <c r="A324" s="391" t="s">
        <v>765</v>
      </c>
      <c r="B324" s="391">
        <v>6.0</v>
      </c>
      <c r="C324" s="400">
        <v>417.0</v>
      </c>
      <c r="D324" s="391" t="s">
        <v>579</v>
      </c>
      <c r="E324" s="391">
        <v>1.0</v>
      </c>
      <c r="F324" s="393">
        <v>45488.754166666666</v>
      </c>
      <c r="G324" s="391">
        <v>2.0</v>
      </c>
      <c r="H324" s="391">
        <v>51.3774</v>
      </c>
      <c r="I324" s="391">
        <v>7.34507</v>
      </c>
      <c r="J324" s="391">
        <v>-24.098156</v>
      </c>
      <c r="K324" s="391">
        <v>-22.758056</v>
      </c>
      <c r="L324" s="391">
        <v>1079.22</v>
      </c>
      <c r="M324" s="391">
        <v>73.500573</v>
      </c>
      <c r="N324" s="391">
        <v>11701.7809</v>
      </c>
      <c r="O324" s="391">
        <v>11705.741</v>
      </c>
      <c r="P324" s="394">
        <v>2094.62111</v>
      </c>
      <c r="Q324" s="376" t="s">
        <v>12</v>
      </c>
      <c r="R324" s="394" t="s">
        <v>539</v>
      </c>
      <c r="S324" s="394">
        <v>10.0</v>
      </c>
      <c r="T324" s="394">
        <v>5.0</v>
      </c>
      <c r="U324" s="394">
        <v>0.7</v>
      </c>
      <c r="V324" s="394">
        <v>0.7</v>
      </c>
      <c r="W324" s="394">
        <v>0.7</v>
      </c>
      <c r="X324" s="391">
        <v>2000.0</v>
      </c>
      <c r="Y324" s="391" t="s">
        <v>540</v>
      </c>
      <c r="Z324" s="391">
        <v>0.2</v>
      </c>
      <c r="AA324" s="391" t="s">
        <v>541</v>
      </c>
      <c r="AB324" s="391" t="s">
        <v>542</v>
      </c>
      <c r="AC324" s="391">
        <v>220.0</v>
      </c>
      <c r="AD324" s="193"/>
      <c r="AE324" s="377"/>
    </row>
    <row r="325">
      <c r="A325" s="391" t="s">
        <v>664</v>
      </c>
      <c r="B325" s="391">
        <v>7.0</v>
      </c>
      <c r="C325" s="400">
        <v>418.0</v>
      </c>
      <c r="D325" s="391" t="s">
        <v>582</v>
      </c>
      <c r="E325" s="391">
        <v>1.0</v>
      </c>
      <c r="F325" s="393">
        <v>45488.75763888889</v>
      </c>
      <c r="G325" s="391">
        <v>1.0</v>
      </c>
      <c r="H325" s="391">
        <v>51.3741</v>
      </c>
      <c r="I325" s="391">
        <v>7.12943</v>
      </c>
      <c r="J325" s="391">
        <v>-24.099187</v>
      </c>
      <c r="K325" s="391">
        <v>-22.430431</v>
      </c>
      <c r="L325" s="391">
        <v>1064.43</v>
      </c>
      <c r="M325" s="391">
        <v>69.499894</v>
      </c>
      <c r="N325" s="391">
        <v>11648.4323</v>
      </c>
      <c r="O325" s="391">
        <v>11658.0186</v>
      </c>
      <c r="P325" s="394">
        <v>2086.1055</v>
      </c>
      <c r="Q325" s="376" t="s">
        <v>12</v>
      </c>
      <c r="R325" s="394" t="s">
        <v>553</v>
      </c>
      <c r="S325" s="394">
        <v>10.0</v>
      </c>
      <c r="T325" s="394">
        <v>5.0</v>
      </c>
      <c r="U325" s="394">
        <v>0.7</v>
      </c>
      <c r="V325" s="394">
        <v>0.7</v>
      </c>
      <c r="W325" s="394">
        <v>0.7</v>
      </c>
      <c r="X325" s="391">
        <v>2000.0</v>
      </c>
      <c r="Y325" s="391" t="s">
        <v>540</v>
      </c>
      <c r="Z325" s="391">
        <v>0.2</v>
      </c>
      <c r="AA325" s="391" t="s">
        <v>541</v>
      </c>
      <c r="AB325" s="391" t="s">
        <v>542</v>
      </c>
      <c r="AC325" s="391">
        <v>220.0</v>
      </c>
      <c r="AD325" s="193"/>
      <c r="AE325" s="377"/>
    </row>
    <row r="326">
      <c r="A326" s="391" t="s">
        <v>665</v>
      </c>
      <c r="B326" s="391">
        <v>7.0</v>
      </c>
      <c r="C326" s="400">
        <v>418.0</v>
      </c>
      <c r="D326" s="391" t="s">
        <v>582</v>
      </c>
      <c r="E326" s="391">
        <v>1.0</v>
      </c>
      <c r="F326" s="393">
        <v>45488.760416666664</v>
      </c>
      <c r="G326" s="391">
        <v>1.0</v>
      </c>
      <c r="H326" s="391">
        <v>51.3774</v>
      </c>
      <c r="I326" s="391">
        <v>7.1619</v>
      </c>
      <c r="J326" s="391">
        <v>-24.160125</v>
      </c>
      <c r="K326" s="391">
        <v>-22.435469</v>
      </c>
      <c r="L326" s="391">
        <v>1068.7</v>
      </c>
      <c r="M326" s="391">
        <v>69.500484</v>
      </c>
      <c r="N326" s="391">
        <v>11559.3582</v>
      </c>
      <c r="O326" s="391">
        <v>11658.0186</v>
      </c>
      <c r="P326" s="394">
        <v>2086.1055</v>
      </c>
      <c r="Q326" s="376" t="s">
        <v>12</v>
      </c>
      <c r="R326" s="394" t="s">
        <v>553</v>
      </c>
      <c r="S326" s="394">
        <v>10.0</v>
      </c>
      <c r="T326" s="394">
        <v>5.0</v>
      </c>
      <c r="U326" s="394">
        <v>0.7</v>
      </c>
      <c r="V326" s="394">
        <v>0.7</v>
      </c>
      <c r="W326" s="394">
        <v>0.7</v>
      </c>
      <c r="X326" s="391">
        <v>2000.0</v>
      </c>
      <c r="Y326" s="391" t="s">
        <v>540</v>
      </c>
      <c r="Z326" s="391">
        <v>0.2</v>
      </c>
      <c r="AA326" s="391" t="s">
        <v>541</v>
      </c>
      <c r="AB326" s="391" t="s">
        <v>542</v>
      </c>
      <c r="AC326" s="391">
        <v>220.0</v>
      </c>
      <c r="AD326" s="193"/>
      <c r="AE326" s="377"/>
    </row>
    <row r="327">
      <c r="A327" s="391" t="s">
        <v>716</v>
      </c>
      <c r="B327" s="391">
        <v>7.0</v>
      </c>
      <c r="C327" s="400">
        <v>418.0</v>
      </c>
      <c r="D327" s="391" t="s">
        <v>582</v>
      </c>
      <c r="E327" s="391">
        <v>1.0</v>
      </c>
      <c r="F327" s="393">
        <v>45488.763194444444</v>
      </c>
      <c r="G327" s="391">
        <v>1.0</v>
      </c>
      <c r="H327" s="391">
        <v>51.3807</v>
      </c>
      <c r="I327" s="391">
        <v>7.12214</v>
      </c>
      <c r="J327" s="391">
        <v>-24.129681</v>
      </c>
      <c r="K327" s="391">
        <v>-22.634975</v>
      </c>
      <c r="L327" s="391">
        <v>1068.89</v>
      </c>
      <c r="M327" s="391">
        <v>72.499044</v>
      </c>
      <c r="N327" s="391">
        <v>11661.5919</v>
      </c>
      <c r="O327" s="391">
        <v>11658.0186</v>
      </c>
      <c r="P327" s="394">
        <v>2086.1055</v>
      </c>
      <c r="Q327" s="376" t="s">
        <v>12</v>
      </c>
      <c r="R327" s="394" t="s">
        <v>539</v>
      </c>
      <c r="S327" s="394">
        <v>10.0</v>
      </c>
      <c r="T327" s="394">
        <v>5.0</v>
      </c>
      <c r="U327" s="394">
        <v>0.7</v>
      </c>
      <c r="V327" s="394">
        <v>0.7</v>
      </c>
      <c r="W327" s="394">
        <v>0.7</v>
      </c>
      <c r="X327" s="391">
        <v>2000.0</v>
      </c>
      <c r="Y327" s="391" t="s">
        <v>540</v>
      </c>
      <c r="Z327" s="391">
        <v>0.2</v>
      </c>
      <c r="AA327" s="391" t="s">
        <v>541</v>
      </c>
      <c r="AB327" s="391" t="s">
        <v>542</v>
      </c>
      <c r="AC327" s="391">
        <v>220.0</v>
      </c>
      <c r="AD327" s="193"/>
      <c r="AE327" s="377"/>
    </row>
    <row r="328">
      <c r="A328" s="391" t="s">
        <v>717</v>
      </c>
      <c r="B328" s="391">
        <v>7.0</v>
      </c>
      <c r="C328" s="400">
        <v>418.0</v>
      </c>
      <c r="D328" s="391" t="s">
        <v>582</v>
      </c>
      <c r="E328" s="391">
        <v>1.0</v>
      </c>
      <c r="F328" s="393">
        <v>45488.76597222222</v>
      </c>
      <c r="G328" s="391">
        <v>1.0</v>
      </c>
      <c r="H328" s="391">
        <v>51.3741</v>
      </c>
      <c r="I328" s="391">
        <v>7.0217</v>
      </c>
      <c r="J328" s="391">
        <v>-24.097106</v>
      </c>
      <c r="K328" s="391">
        <v>-22.4059</v>
      </c>
      <c r="L328" s="391">
        <v>1078.96</v>
      </c>
      <c r="M328" s="391">
        <v>69.500564</v>
      </c>
      <c r="N328" s="391">
        <v>11654.4454</v>
      </c>
      <c r="O328" s="391">
        <v>11658.0186</v>
      </c>
      <c r="P328" s="394">
        <v>2086.1055</v>
      </c>
      <c r="Q328" s="376" t="s">
        <v>12</v>
      </c>
      <c r="R328" s="394" t="s">
        <v>539</v>
      </c>
      <c r="S328" s="394">
        <v>10.0</v>
      </c>
      <c r="T328" s="394">
        <v>5.0</v>
      </c>
      <c r="U328" s="394">
        <v>0.7</v>
      </c>
      <c r="V328" s="394">
        <v>0.7</v>
      </c>
      <c r="W328" s="394">
        <v>0.7</v>
      </c>
      <c r="X328" s="391">
        <v>2000.0</v>
      </c>
      <c r="Y328" s="391" t="s">
        <v>540</v>
      </c>
      <c r="Z328" s="391">
        <v>0.2</v>
      </c>
      <c r="AA328" s="391" t="s">
        <v>541</v>
      </c>
      <c r="AB328" s="391" t="s">
        <v>542</v>
      </c>
      <c r="AC328" s="391">
        <v>220.0</v>
      </c>
      <c r="AD328" s="193"/>
      <c r="AE328" s="377"/>
    </row>
    <row r="329">
      <c r="A329" s="391" t="s">
        <v>722</v>
      </c>
      <c r="B329" s="391">
        <v>8.0</v>
      </c>
      <c r="C329" s="400">
        <v>404.0</v>
      </c>
      <c r="D329" s="391" t="s">
        <v>585</v>
      </c>
      <c r="E329" s="391">
        <v>1.0</v>
      </c>
      <c r="F329" s="393">
        <v>45488.76944444444</v>
      </c>
      <c r="G329" s="391">
        <v>1.0</v>
      </c>
      <c r="H329" s="391">
        <v>51.3774</v>
      </c>
      <c r="I329" s="391">
        <v>7.01945</v>
      </c>
      <c r="J329" s="391">
        <v>-24.211206</v>
      </c>
      <c r="K329" s="391">
        <v>-22.877444</v>
      </c>
      <c r="L329" s="391">
        <v>1064.78</v>
      </c>
      <c r="M329" s="391">
        <v>78.499025</v>
      </c>
      <c r="N329" s="391">
        <v>11691.1531</v>
      </c>
      <c r="O329" s="391">
        <v>11689.2537</v>
      </c>
      <c r="P329" s="394">
        <v>2091.67911</v>
      </c>
      <c r="Q329" s="376" t="s">
        <v>12</v>
      </c>
      <c r="R329" s="394" t="s">
        <v>539</v>
      </c>
      <c r="S329" s="394">
        <v>10.0</v>
      </c>
      <c r="T329" s="394">
        <v>5.0</v>
      </c>
      <c r="U329" s="394">
        <v>0.7</v>
      </c>
      <c r="V329" s="394">
        <v>0.7</v>
      </c>
      <c r="W329" s="394">
        <v>0.7</v>
      </c>
      <c r="X329" s="391">
        <v>2000.0</v>
      </c>
      <c r="Y329" s="391" t="s">
        <v>540</v>
      </c>
      <c r="Z329" s="391">
        <v>0.2</v>
      </c>
      <c r="AA329" s="391" t="s">
        <v>541</v>
      </c>
      <c r="AB329" s="391" t="s">
        <v>542</v>
      </c>
      <c r="AC329" s="391">
        <v>220.0</v>
      </c>
      <c r="AD329" s="193"/>
      <c r="AE329" s="377"/>
    </row>
    <row r="330">
      <c r="A330" s="391" t="s">
        <v>766</v>
      </c>
      <c r="B330" s="391">
        <v>8.0</v>
      </c>
      <c r="C330" s="400">
        <v>404.0</v>
      </c>
      <c r="D330" s="391" t="s">
        <v>585</v>
      </c>
      <c r="E330" s="391">
        <v>1.0</v>
      </c>
      <c r="F330" s="393">
        <v>45488.77222222222</v>
      </c>
      <c r="G330" s="391">
        <v>1.0</v>
      </c>
      <c r="H330" s="391">
        <v>51.3741</v>
      </c>
      <c r="I330" s="391">
        <v>6.96794</v>
      </c>
      <c r="J330" s="391">
        <v>-24.208663</v>
      </c>
      <c r="K330" s="391">
        <v>-22.773688</v>
      </c>
      <c r="L330" s="391">
        <v>1065.87</v>
      </c>
      <c r="M330" s="391">
        <v>73.500006</v>
      </c>
      <c r="N330" s="391">
        <v>11687.3543</v>
      </c>
      <c r="O330" s="391">
        <v>11689.2537</v>
      </c>
      <c r="P330" s="394">
        <v>2091.67911</v>
      </c>
      <c r="Q330" s="376" t="s">
        <v>12</v>
      </c>
      <c r="R330" s="394" t="s">
        <v>539</v>
      </c>
      <c r="S330" s="394">
        <v>10.0</v>
      </c>
      <c r="T330" s="394">
        <v>5.0</v>
      </c>
      <c r="U330" s="394">
        <v>0.7</v>
      </c>
      <c r="V330" s="394">
        <v>0.7</v>
      </c>
      <c r="W330" s="394">
        <v>0.7</v>
      </c>
      <c r="X330" s="391">
        <v>2000.0</v>
      </c>
      <c r="Y330" s="391" t="s">
        <v>540</v>
      </c>
      <c r="Z330" s="391">
        <v>0.2</v>
      </c>
      <c r="AA330" s="391" t="s">
        <v>541</v>
      </c>
      <c r="AB330" s="391" t="s">
        <v>542</v>
      </c>
      <c r="AC330" s="391">
        <v>220.0</v>
      </c>
      <c r="AD330" s="193"/>
      <c r="AE330" s="377"/>
    </row>
    <row r="331">
      <c r="A331" s="391" t="s">
        <v>723</v>
      </c>
      <c r="B331" s="391">
        <v>9.0</v>
      </c>
      <c r="C331" s="400">
        <v>405.0</v>
      </c>
      <c r="D331" s="391" t="s">
        <v>589</v>
      </c>
      <c r="E331" s="391">
        <v>1.0</v>
      </c>
      <c r="F331" s="393">
        <v>45488.77569444444</v>
      </c>
      <c r="G331" s="391">
        <v>1.0</v>
      </c>
      <c r="H331" s="391">
        <v>51.3774</v>
      </c>
      <c r="I331" s="391">
        <v>7.45692</v>
      </c>
      <c r="J331" s="391">
        <v>-24.206</v>
      </c>
      <c r="K331" s="391">
        <v>-22.569731</v>
      </c>
      <c r="L331" s="391">
        <v>1090.49</v>
      </c>
      <c r="M331" s="391">
        <v>68.998982</v>
      </c>
      <c r="N331" s="391">
        <v>11814.9114</v>
      </c>
      <c r="O331" s="391">
        <v>11667.6456</v>
      </c>
      <c r="P331" s="394">
        <v>2087.82334</v>
      </c>
      <c r="Q331" s="376" t="s">
        <v>12</v>
      </c>
      <c r="R331" s="394" t="s">
        <v>553</v>
      </c>
      <c r="S331" s="394">
        <v>10.0</v>
      </c>
      <c r="T331" s="394">
        <v>5.0</v>
      </c>
      <c r="U331" s="394">
        <v>0.7</v>
      </c>
      <c r="V331" s="394">
        <v>0.7</v>
      </c>
      <c r="W331" s="394">
        <v>0.7</v>
      </c>
      <c r="X331" s="391">
        <v>2000.0</v>
      </c>
      <c r="Y331" s="391" t="s">
        <v>540</v>
      </c>
      <c r="Z331" s="391">
        <v>0.2</v>
      </c>
      <c r="AA331" s="391" t="s">
        <v>541</v>
      </c>
      <c r="AB331" s="391" t="s">
        <v>542</v>
      </c>
      <c r="AC331" s="391">
        <v>220.0</v>
      </c>
      <c r="AD331" s="193"/>
      <c r="AE331" s="377"/>
    </row>
    <row r="332">
      <c r="A332" s="391" t="s">
        <v>767</v>
      </c>
      <c r="B332" s="391">
        <v>9.0</v>
      </c>
      <c r="C332" s="400">
        <v>405.0</v>
      </c>
      <c r="D332" s="391" t="s">
        <v>589</v>
      </c>
      <c r="E332" s="391">
        <v>1.0</v>
      </c>
      <c r="F332" s="393">
        <v>45488.77847222222</v>
      </c>
      <c r="G332" s="391">
        <v>1.0</v>
      </c>
      <c r="H332" s="391">
        <v>51.3774</v>
      </c>
      <c r="I332" s="391">
        <v>7.32081</v>
      </c>
      <c r="J332" s="391">
        <v>-24.086344</v>
      </c>
      <c r="K332" s="391">
        <v>-22.444144</v>
      </c>
      <c r="L332" s="391">
        <v>1080.44</v>
      </c>
      <c r="M332" s="391">
        <v>71.000643</v>
      </c>
      <c r="N332" s="391">
        <v>11648.469</v>
      </c>
      <c r="O332" s="391">
        <v>11667.6456</v>
      </c>
      <c r="P332" s="394">
        <v>2087.82334</v>
      </c>
      <c r="Q332" s="376" t="s">
        <v>12</v>
      </c>
      <c r="R332" s="394" t="s">
        <v>553</v>
      </c>
      <c r="S332" s="394">
        <v>10.0</v>
      </c>
      <c r="T332" s="394">
        <v>5.0</v>
      </c>
      <c r="U332" s="394">
        <v>0.7</v>
      </c>
      <c r="V332" s="394">
        <v>0.7</v>
      </c>
      <c r="W332" s="394">
        <v>0.7</v>
      </c>
      <c r="X332" s="391">
        <v>2000.0</v>
      </c>
      <c r="Y332" s="391" t="s">
        <v>540</v>
      </c>
      <c r="Z332" s="391">
        <v>0.2</v>
      </c>
      <c r="AA332" s="391" t="s">
        <v>541</v>
      </c>
      <c r="AB332" s="391" t="s">
        <v>542</v>
      </c>
      <c r="AC332" s="391">
        <v>220.0</v>
      </c>
      <c r="AD332" s="193"/>
      <c r="AE332" s="377"/>
    </row>
    <row r="333">
      <c r="A333" s="391" t="s">
        <v>768</v>
      </c>
      <c r="B333" s="391">
        <v>9.0</v>
      </c>
      <c r="C333" s="400">
        <v>405.0</v>
      </c>
      <c r="D333" s="391" t="s">
        <v>589</v>
      </c>
      <c r="E333" s="391">
        <v>1.0</v>
      </c>
      <c r="F333" s="393">
        <v>45488.78125</v>
      </c>
      <c r="G333" s="391">
        <v>1.0</v>
      </c>
      <c r="H333" s="391">
        <v>51.3741</v>
      </c>
      <c r="I333" s="391">
        <v>7.74881</v>
      </c>
      <c r="J333" s="391">
        <v>-24.237737</v>
      </c>
      <c r="K333" s="391">
        <v>-22.6268</v>
      </c>
      <c r="L333" s="391">
        <v>1046.78</v>
      </c>
      <c r="M333" s="391">
        <v>70.000088</v>
      </c>
      <c r="N333" s="391">
        <v>11615.1802</v>
      </c>
      <c r="O333" s="391">
        <v>11667.6456</v>
      </c>
      <c r="P333" s="394">
        <v>2087.82334</v>
      </c>
      <c r="Q333" s="376" t="s">
        <v>12</v>
      </c>
      <c r="R333" s="394" t="s">
        <v>553</v>
      </c>
      <c r="S333" s="394">
        <v>10.0</v>
      </c>
      <c r="T333" s="394">
        <v>5.0</v>
      </c>
      <c r="U333" s="394">
        <v>0.7</v>
      </c>
      <c r="V333" s="394">
        <v>0.7</v>
      </c>
      <c r="W333" s="394">
        <v>0.7</v>
      </c>
      <c r="X333" s="391">
        <v>2000.0</v>
      </c>
      <c r="Y333" s="391" t="s">
        <v>540</v>
      </c>
      <c r="Z333" s="391">
        <v>0.2</v>
      </c>
      <c r="AA333" s="391" t="s">
        <v>541</v>
      </c>
      <c r="AB333" s="391" t="s">
        <v>542</v>
      </c>
      <c r="AC333" s="391">
        <v>220.0</v>
      </c>
      <c r="AD333" s="193"/>
      <c r="AE333" s="377"/>
    </row>
    <row r="334">
      <c r="A334" s="391" t="s">
        <v>769</v>
      </c>
      <c r="B334" s="391">
        <v>9.0</v>
      </c>
      <c r="C334" s="400">
        <v>405.0</v>
      </c>
      <c r="D334" s="391" t="s">
        <v>589</v>
      </c>
      <c r="E334" s="391">
        <v>1.0</v>
      </c>
      <c r="F334" s="393">
        <v>45488.78402777778</v>
      </c>
      <c r="G334" s="391">
        <v>1.0</v>
      </c>
      <c r="H334" s="391">
        <v>51.3774</v>
      </c>
      <c r="I334" s="391">
        <v>7.94539</v>
      </c>
      <c r="J334" s="391">
        <v>-24.168063</v>
      </c>
      <c r="K334" s="391">
        <v>-22.826125</v>
      </c>
      <c r="L334" s="391">
        <v>1091.25</v>
      </c>
      <c r="M334" s="391">
        <v>72.000913</v>
      </c>
      <c r="N334" s="391">
        <v>11677.7739</v>
      </c>
      <c r="O334" s="391">
        <v>11667.6456</v>
      </c>
      <c r="P334" s="394">
        <v>2087.82334</v>
      </c>
      <c r="Q334" s="376" t="s">
        <v>12</v>
      </c>
      <c r="R334" s="394" t="s">
        <v>539</v>
      </c>
      <c r="S334" s="394">
        <v>10.0</v>
      </c>
      <c r="T334" s="394">
        <v>5.0</v>
      </c>
      <c r="U334" s="394">
        <v>0.7</v>
      </c>
      <c r="V334" s="394">
        <v>0.7</v>
      </c>
      <c r="W334" s="394">
        <v>0.7</v>
      </c>
      <c r="X334" s="391">
        <v>2000.0</v>
      </c>
      <c r="Y334" s="391" t="s">
        <v>540</v>
      </c>
      <c r="Z334" s="391">
        <v>0.2</v>
      </c>
      <c r="AA334" s="391" t="s">
        <v>541</v>
      </c>
      <c r="AB334" s="391" t="s">
        <v>542</v>
      </c>
      <c r="AC334" s="391">
        <v>220.0</v>
      </c>
      <c r="AD334" s="193"/>
      <c r="AE334" s="377"/>
    </row>
    <row r="335">
      <c r="A335" s="391" t="s">
        <v>770</v>
      </c>
      <c r="B335" s="391">
        <v>9.0</v>
      </c>
      <c r="C335" s="400">
        <v>405.0</v>
      </c>
      <c r="D335" s="391" t="s">
        <v>589</v>
      </c>
      <c r="E335" s="391">
        <v>1.0</v>
      </c>
      <c r="F335" s="393">
        <v>45488.78680555556</v>
      </c>
      <c r="G335" s="391">
        <v>1.0</v>
      </c>
      <c r="H335" s="391">
        <v>51.3741</v>
      </c>
      <c r="I335" s="391">
        <v>7.84421</v>
      </c>
      <c r="J335" s="391">
        <v>-24.279406</v>
      </c>
      <c r="K335" s="391">
        <v>-22.484006</v>
      </c>
      <c r="L335" s="391">
        <v>1086.54</v>
      </c>
      <c r="M335" s="391">
        <v>65.50093</v>
      </c>
      <c r="N335" s="391">
        <v>11657.5173</v>
      </c>
      <c r="O335" s="391">
        <v>11667.6456</v>
      </c>
      <c r="P335" s="394">
        <v>2087.82334</v>
      </c>
      <c r="Q335" s="376" t="s">
        <v>12</v>
      </c>
      <c r="R335" s="394" t="s">
        <v>539</v>
      </c>
      <c r="S335" s="394">
        <v>10.0</v>
      </c>
      <c r="T335" s="394">
        <v>5.0</v>
      </c>
      <c r="U335" s="394">
        <v>0.7</v>
      </c>
      <c r="V335" s="394">
        <v>0.7</v>
      </c>
      <c r="W335" s="394">
        <v>0.7</v>
      </c>
      <c r="X335" s="391">
        <v>2000.0</v>
      </c>
      <c r="Y335" s="391" t="s">
        <v>540</v>
      </c>
      <c r="Z335" s="391">
        <v>0.2</v>
      </c>
      <c r="AA335" s="391" t="s">
        <v>541</v>
      </c>
      <c r="AB335" s="391" t="s">
        <v>542</v>
      </c>
      <c r="AC335" s="391">
        <v>220.0</v>
      </c>
      <c r="AD335" s="193"/>
      <c r="AE335" s="377"/>
    </row>
    <row r="336">
      <c r="A336" s="391" t="s">
        <v>724</v>
      </c>
      <c r="B336" s="391" t="s">
        <v>537</v>
      </c>
      <c r="C336" s="391" t="s">
        <v>726</v>
      </c>
      <c r="D336" s="391" t="s">
        <v>538</v>
      </c>
      <c r="E336" s="391">
        <v>1.0</v>
      </c>
      <c r="F336" s="393">
        <v>45488.791666666664</v>
      </c>
      <c r="G336" s="391">
        <v>1.0</v>
      </c>
      <c r="H336" s="391">
        <v>51.3774</v>
      </c>
      <c r="I336" s="391">
        <v>7.77047</v>
      </c>
      <c r="J336" s="391">
        <v>-24.003419</v>
      </c>
      <c r="K336" s="391">
        <v>-22.352569</v>
      </c>
      <c r="L336" s="391">
        <v>1066.43</v>
      </c>
      <c r="M336" s="391">
        <v>67.500052</v>
      </c>
      <c r="N336" s="391">
        <v>11543.5182</v>
      </c>
      <c r="O336" s="391">
        <v>11543.5182</v>
      </c>
      <c r="P336" s="394">
        <v>2065.67398</v>
      </c>
      <c r="Q336" s="376" t="s">
        <v>12</v>
      </c>
      <c r="R336" s="394" t="s">
        <v>539</v>
      </c>
      <c r="S336" s="394">
        <v>10.0</v>
      </c>
      <c r="T336" s="394">
        <v>5.0</v>
      </c>
      <c r="U336" s="394">
        <v>0.7</v>
      </c>
      <c r="V336" s="394">
        <v>0.7</v>
      </c>
      <c r="W336" s="394">
        <v>0.7</v>
      </c>
      <c r="X336" s="391">
        <v>2000.0</v>
      </c>
      <c r="Y336" s="391" t="s">
        <v>540</v>
      </c>
      <c r="Z336" s="391">
        <v>0.2</v>
      </c>
      <c r="AA336" s="391" t="s">
        <v>541</v>
      </c>
      <c r="AB336" s="391" t="s">
        <v>542</v>
      </c>
      <c r="AC336" s="391">
        <v>220.0</v>
      </c>
      <c r="AD336" s="193"/>
      <c r="AE336" s="377"/>
    </row>
    <row r="337">
      <c r="A337" s="391" t="s">
        <v>771</v>
      </c>
      <c r="B337" s="391" t="s">
        <v>537</v>
      </c>
      <c r="C337" s="391" t="s">
        <v>726</v>
      </c>
      <c r="D337" s="391" t="s">
        <v>538</v>
      </c>
      <c r="E337" s="391">
        <v>1.0</v>
      </c>
      <c r="F337" s="393">
        <v>45488.794444444444</v>
      </c>
      <c r="G337" s="391">
        <v>1.0</v>
      </c>
      <c r="H337" s="391">
        <v>51.3741</v>
      </c>
      <c r="I337" s="391">
        <v>7.80839</v>
      </c>
      <c r="J337" s="391">
        <v>-24.140031</v>
      </c>
      <c r="K337" s="391">
        <v>-22.0061</v>
      </c>
      <c r="L337" s="391">
        <v>1040.39</v>
      </c>
      <c r="M337" s="391">
        <v>64.499425</v>
      </c>
      <c r="N337" s="391">
        <v>11489.9475</v>
      </c>
      <c r="O337" s="391">
        <v>11489.9475</v>
      </c>
      <c r="P337" s="394">
        <v>2056.11479</v>
      </c>
      <c r="Q337" s="376" t="s">
        <v>12</v>
      </c>
      <c r="R337" s="394" t="s">
        <v>539</v>
      </c>
      <c r="S337" s="394">
        <v>10.0</v>
      </c>
      <c r="T337" s="394">
        <v>5.0</v>
      </c>
      <c r="U337" s="394">
        <v>0.7</v>
      </c>
      <c r="V337" s="394">
        <v>0.7</v>
      </c>
      <c r="W337" s="394">
        <v>0.7</v>
      </c>
      <c r="X337" s="391">
        <v>2000.0</v>
      </c>
      <c r="Y337" s="391" t="s">
        <v>540</v>
      </c>
      <c r="Z337" s="391">
        <v>0.2</v>
      </c>
      <c r="AA337" s="391" t="s">
        <v>541</v>
      </c>
      <c r="AB337" s="391" t="s">
        <v>542</v>
      </c>
      <c r="AC337" s="391">
        <v>220.0</v>
      </c>
      <c r="AD337" s="193"/>
      <c r="AE337" s="377"/>
    </row>
    <row r="338">
      <c r="A338" s="391" t="s">
        <v>772</v>
      </c>
      <c r="B338" s="391" t="s">
        <v>537</v>
      </c>
      <c r="C338" s="391" t="s">
        <v>726</v>
      </c>
      <c r="D338" s="391" t="s">
        <v>538</v>
      </c>
      <c r="E338" s="391">
        <v>1.0</v>
      </c>
      <c r="F338" s="393">
        <v>45488.79722222222</v>
      </c>
      <c r="G338" s="391">
        <v>1.0</v>
      </c>
      <c r="H338" s="391">
        <v>51.384</v>
      </c>
      <c r="I338" s="391">
        <v>7.80003</v>
      </c>
      <c r="J338" s="391">
        <v>-24.019856</v>
      </c>
      <c r="K338" s="391">
        <v>-22.311913</v>
      </c>
      <c r="L338" s="391">
        <v>1084.4</v>
      </c>
      <c r="M338" s="391">
        <v>64.99852</v>
      </c>
      <c r="N338" s="391">
        <v>11556.4273</v>
      </c>
      <c r="O338" s="391">
        <v>11556.4273</v>
      </c>
      <c r="P338" s="394">
        <v>2067.97749</v>
      </c>
      <c r="Q338" s="376" t="s">
        <v>12</v>
      </c>
      <c r="R338" s="394" t="s">
        <v>539</v>
      </c>
      <c r="S338" s="394">
        <v>10.0</v>
      </c>
      <c r="T338" s="394">
        <v>5.0</v>
      </c>
      <c r="U338" s="394">
        <v>0.7</v>
      </c>
      <c r="V338" s="394">
        <v>0.7</v>
      </c>
      <c r="W338" s="394">
        <v>0.7</v>
      </c>
      <c r="X338" s="391">
        <v>2000.0</v>
      </c>
      <c r="Y338" s="391" t="s">
        <v>540</v>
      </c>
      <c r="Z338" s="391">
        <v>0.2</v>
      </c>
      <c r="AA338" s="391" t="s">
        <v>541</v>
      </c>
      <c r="AB338" s="391" t="s">
        <v>542</v>
      </c>
      <c r="AC338" s="391">
        <v>220.0</v>
      </c>
      <c r="AD338" s="193"/>
      <c r="AE338" s="377"/>
    </row>
    <row r="339">
      <c r="A339" s="391" t="s">
        <v>773</v>
      </c>
      <c r="B339" s="391" t="s">
        <v>537</v>
      </c>
      <c r="C339" s="391" t="s">
        <v>726</v>
      </c>
      <c r="D339" s="391" t="s">
        <v>538</v>
      </c>
      <c r="E339" s="391">
        <v>1.0</v>
      </c>
      <c r="F339" s="393">
        <v>45488.8</v>
      </c>
      <c r="G339" s="391">
        <v>1.0</v>
      </c>
      <c r="H339" s="391">
        <v>51.3807</v>
      </c>
      <c r="I339" s="391">
        <v>7.81199</v>
      </c>
      <c r="J339" s="391">
        <v>-24.187644</v>
      </c>
      <c r="K339" s="391">
        <v>-22.413881</v>
      </c>
      <c r="L339" s="391">
        <v>1073.64</v>
      </c>
      <c r="M339" s="391">
        <v>66.001393</v>
      </c>
      <c r="N339" s="391">
        <v>11543.6254</v>
      </c>
      <c r="O339" s="391">
        <v>11543.6254</v>
      </c>
      <c r="P339" s="394">
        <v>2065.69309</v>
      </c>
      <c r="Q339" s="376" t="s">
        <v>12</v>
      </c>
      <c r="R339" s="394" t="s">
        <v>539</v>
      </c>
      <c r="S339" s="394">
        <v>10.0</v>
      </c>
      <c r="T339" s="394">
        <v>5.0</v>
      </c>
      <c r="U339" s="394">
        <v>0.7</v>
      </c>
      <c r="V339" s="394">
        <v>0.7</v>
      </c>
      <c r="W339" s="394">
        <v>0.7</v>
      </c>
      <c r="X339" s="391">
        <v>2000.0</v>
      </c>
      <c r="Y339" s="391" t="s">
        <v>540</v>
      </c>
      <c r="Z339" s="391">
        <v>0.2</v>
      </c>
      <c r="AA339" s="391" t="s">
        <v>541</v>
      </c>
      <c r="AB339" s="391" t="s">
        <v>542</v>
      </c>
      <c r="AC339" s="391">
        <v>220.0</v>
      </c>
      <c r="AD339" s="193"/>
      <c r="AE339" s="377"/>
    </row>
    <row r="340">
      <c r="A340" s="395" t="s">
        <v>774</v>
      </c>
      <c r="B340" s="395" t="s">
        <v>537</v>
      </c>
      <c r="C340" s="401"/>
      <c r="D340" s="395" t="s">
        <v>538</v>
      </c>
      <c r="E340" s="395">
        <v>1.0</v>
      </c>
      <c r="F340" s="396">
        <v>45488.802777777775</v>
      </c>
      <c r="G340" s="395">
        <v>1.0</v>
      </c>
      <c r="H340" s="395">
        <v>51.3774</v>
      </c>
      <c r="I340" s="395">
        <v>7.7808</v>
      </c>
      <c r="J340" s="395">
        <v>-24.097075</v>
      </c>
      <c r="K340" s="395">
        <v>-22.596519</v>
      </c>
      <c r="L340" s="395">
        <v>1064.83</v>
      </c>
      <c r="M340" s="395">
        <v>69.999949</v>
      </c>
      <c r="N340" s="395">
        <v>11560.4455</v>
      </c>
      <c r="O340" s="395">
        <v>11560.4455</v>
      </c>
      <c r="P340" s="397">
        <v>2068.6945</v>
      </c>
      <c r="Q340" s="376" t="s">
        <v>12</v>
      </c>
      <c r="R340" s="397" t="s">
        <v>539</v>
      </c>
      <c r="S340" s="394">
        <v>10.0</v>
      </c>
      <c r="T340" s="394">
        <v>5.0</v>
      </c>
      <c r="U340" s="394">
        <v>0.7</v>
      </c>
      <c r="V340" s="394">
        <v>0.7</v>
      </c>
      <c r="W340" s="394">
        <v>0.7</v>
      </c>
      <c r="X340" s="391">
        <v>2000.0</v>
      </c>
      <c r="Y340" s="391" t="s">
        <v>540</v>
      </c>
      <c r="Z340" s="391">
        <v>0.2</v>
      </c>
      <c r="AA340" s="391" t="s">
        <v>541</v>
      </c>
      <c r="AB340" s="391" t="s">
        <v>542</v>
      </c>
      <c r="AC340" s="391">
        <v>220.0</v>
      </c>
      <c r="AD340" s="193"/>
      <c r="AE340" s="377"/>
    </row>
    <row r="341">
      <c r="A341" s="391" t="s">
        <v>536</v>
      </c>
      <c r="B341" s="391" t="s">
        <v>537</v>
      </c>
      <c r="C341" s="391" t="s">
        <v>675</v>
      </c>
      <c r="D341" s="391" t="s">
        <v>538</v>
      </c>
      <c r="E341" s="391">
        <v>1.0</v>
      </c>
      <c r="F341" s="402">
        <v>45495.436111111114</v>
      </c>
      <c r="G341" s="391">
        <v>1.0</v>
      </c>
      <c r="H341" s="391">
        <v>51.3741</v>
      </c>
      <c r="I341" s="391">
        <v>14.0089</v>
      </c>
      <c r="J341" s="391">
        <v>-23.450794</v>
      </c>
      <c r="K341" s="391">
        <v>-21.660294</v>
      </c>
      <c r="L341" s="391">
        <v>997.647</v>
      </c>
      <c r="M341" s="391">
        <v>65.501019</v>
      </c>
      <c r="N341" s="391">
        <v>11360.8202</v>
      </c>
      <c r="O341" s="391">
        <v>11360.8202</v>
      </c>
      <c r="P341" s="394">
        <v>2033.07324</v>
      </c>
      <c r="Q341" s="376" t="s">
        <v>12</v>
      </c>
      <c r="R341" s="394" t="s">
        <v>539</v>
      </c>
      <c r="S341" s="394">
        <v>10.0</v>
      </c>
      <c r="T341" s="394">
        <v>5.0</v>
      </c>
      <c r="U341" s="394">
        <v>0.7</v>
      </c>
      <c r="V341" s="394">
        <v>0.7</v>
      </c>
      <c r="W341" s="394">
        <v>0.7</v>
      </c>
      <c r="X341" s="391">
        <v>2000.0</v>
      </c>
      <c r="Y341" s="391" t="s">
        <v>540</v>
      </c>
      <c r="Z341" s="391">
        <v>0.2</v>
      </c>
      <c r="AA341" s="391" t="s">
        <v>541</v>
      </c>
      <c r="AB341" s="391" t="s">
        <v>542</v>
      </c>
      <c r="AC341" s="391">
        <v>220.0</v>
      </c>
      <c r="AD341" s="193"/>
      <c r="AE341" s="377"/>
    </row>
    <row r="342">
      <c r="A342" s="391" t="s">
        <v>543</v>
      </c>
      <c r="B342" s="391" t="s">
        <v>537</v>
      </c>
      <c r="C342" s="391" t="s">
        <v>675</v>
      </c>
      <c r="D342" s="391" t="s">
        <v>538</v>
      </c>
      <c r="E342" s="391">
        <v>1.0</v>
      </c>
      <c r="F342" s="402">
        <v>45495.438888888886</v>
      </c>
      <c r="G342" s="391">
        <v>1.0</v>
      </c>
      <c r="H342" s="391">
        <v>51.3741</v>
      </c>
      <c r="I342" s="391">
        <v>14.9343</v>
      </c>
      <c r="J342" s="391">
        <v>-23.846031</v>
      </c>
      <c r="K342" s="391">
        <v>-22.036106</v>
      </c>
      <c r="L342" s="391">
        <v>996.68</v>
      </c>
      <c r="M342" s="391">
        <v>65.000319</v>
      </c>
      <c r="N342" s="391">
        <v>11255.2393</v>
      </c>
      <c r="O342" s="391">
        <v>11255.2393</v>
      </c>
      <c r="P342" s="394">
        <v>2014.23331</v>
      </c>
      <c r="Q342" s="376" t="s">
        <v>12</v>
      </c>
      <c r="R342" s="394" t="s">
        <v>539</v>
      </c>
      <c r="S342" s="394">
        <v>10.0</v>
      </c>
      <c r="T342" s="394">
        <v>5.0</v>
      </c>
      <c r="U342" s="394">
        <v>0.7</v>
      </c>
      <c r="V342" s="394">
        <v>0.7</v>
      </c>
      <c r="W342" s="394">
        <v>0.7</v>
      </c>
      <c r="X342" s="391">
        <v>2000.0</v>
      </c>
      <c r="Y342" s="391" t="s">
        <v>540</v>
      </c>
      <c r="Z342" s="391">
        <v>0.2</v>
      </c>
      <c r="AA342" s="391" t="s">
        <v>541</v>
      </c>
      <c r="AB342" s="391" t="s">
        <v>542</v>
      </c>
      <c r="AC342" s="391">
        <v>220.0</v>
      </c>
      <c r="AD342" s="193"/>
      <c r="AE342" s="377"/>
    </row>
    <row r="343">
      <c r="A343" s="391" t="s">
        <v>544</v>
      </c>
      <c r="B343" s="391" t="s">
        <v>537</v>
      </c>
      <c r="C343" s="391" t="s">
        <v>675</v>
      </c>
      <c r="D343" s="391" t="s">
        <v>538</v>
      </c>
      <c r="E343" s="391">
        <v>1.0</v>
      </c>
      <c r="F343" s="402">
        <v>45495.44097222222</v>
      </c>
      <c r="G343" s="391">
        <v>1.0</v>
      </c>
      <c r="H343" s="391">
        <v>51.3741</v>
      </c>
      <c r="I343" s="391">
        <v>13.9525</v>
      </c>
      <c r="J343" s="391">
        <v>-23.814388</v>
      </c>
      <c r="K343" s="391">
        <v>-21.954162</v>
      </c>
      <c r="L343" s="391">
        <v>1007.58</v>
      </c>
      <c r="M343" s="391">
        <v>64.99969</v>
      </c>
      <c r="N343" s="391">
        <v>11273.8352</v>
      </c>
      <c r="O343" s="391">
        <v>11273.8352</v>
      </c>
      <c r="P343" s="394">
        <v>2017.55157</v>
      </c>
      <c r="Q343" s="376" t="s">
        <v>12</v>
      </c>
      <c r="R343" s="394" t="s">
        <v>539</v>
      </c>
      <c r="S343" s="394">
        <v>10.0</v>
      </c>
      <c r="T343" s="394">
        <v>5.0</v>
      </c>
      <c r="U343" s="394">
        <v>0.7</v>
      </c>
      <c r="V343" s="394">
        <v>0.7</v>
      </c>
      <c r="W343" s="394">
        <v>0.7</v>
      </c>
      <c r="X343" s="391">
        <v>2000.0</v>
      </c>
      <c r="Y343" s="391" t="s">
        <v>540</v>
      </c>
      <c r="Z343" s="391">
        <v>0.2</v>
      </c>
      <c r="AA343" s="391" t="s">
        <v>541</v>
      </c>
      <c r="AB343" s="391" t="s">
        <v>542</v>
      </c>
      <c r="AC343" s="391">
        <v>220.0</v>
      </c>
      <c r="AD343" s="193"/>
      <c r="AE343" s="377"/>
    </row>
    <row r="344">
      <c r="A344" s="391" t="s">
        <v>545</v>
      </c>
      <c r="B344" s="391" t="s">
        <v>537</v>
      </c>
      <c r="C344" s="391" t="s">
        <v>675</v>
      </c>
      <c r="D344" s="391" t="s">
        <v>538</v>
      </c>
      <c r="E344" s="391">
        <v>1.0</v>
      </c>
      <c r="F344" s="402">
        <v>45495.44375</v>
      </c>
      <c r="G344" s="391">
        <v>1.0</v>
      </c>
      <c r="H344" s="391">
        <v>51.3741</v>
      </c>
      <c r="I344" s="391">
        <v>12.7488</v>
      </c>
      <c r="J344" s="391">
        <v>-24.0474</v>
      </c>
      <c r="K344" s="391">
        <v>-22.251719</v>
      </c>
      <c r="L344" s="391">
        <v>1006.43</v>
      </c>
      <c r="M344" s="391">
        <v>67.500401</v>
      </c>
      <c r="N344" s="391">
        <v>11278.4561</v>
      </c>
      <c r="O344" s="391">
        <v>11278.4561</v>
      </c>
      <c r="P344" s="394">
        <v>2018.37612</v>
      </c>
      <c r="Q344" s="376" t="s">
        <v>12</v>
      </c>
      <c r="R344" s="394" t="s">
        <v>539</v>
      </c>
      <c r="S344" s="394">
        <v>10.0</v>
      </c>
      <c r="T344" s="394">
        <v>5.0</v>
      </c>
      <c r="U344" s="394">
        <v>0.7</v>
      </c>
      <c r="V344" s="394">
        <v>0.7</v>
      </c>
      <c r="W344" s="394">
        <v>0.7</v>
      </c>
      <c r="X344" s="391">
        <v>2000.0</v>
      </c>
      <c r="Y344" s="391" t="s">
        <v>540</v>
      </c>
      <c r="Z344" s="391">
        <v>0.2</v>
      </c>
      <c r="AA344" s="391" t="s">
        <v>541</v>
      </c>
      <c r="AB344" s="391" t="s">
        <v>542</v>
      </c>
      <c r="AC344" s="391">
        <v>220.0</v>
      </c>
      <c r="AD344" s="193"/>
      <c r="AE344" s="377"/>
    </row>
    <row r="345">
      <c r="A345" s="391" t="s">
        <v>775</v>
      </c>
      <c r="B345" s="391" t="s">
        <v>551</v>
      </c>
      <c r="C345" s="391" t="s">
        <v>776</v>
      </c>
      <c r="D345" s="391" t="s">
        <v>538</v>
      </c>
      <c r="E345" s="391">
        <v>0.8</v>
      </c>
      <c r="F345" s="402">
        <v>45495.447916666664</v>
      </c>
      <c r="G345" s="391">
        <v>1.0</v>
      </c>
      <c r="H345" s="391">
        <v>51.3741</v>
      </c>
      <c r="I345" s="391">
        <v>11.9234</v>
      </c>
      <c r="J345" s="391">
        <v>-24.052881</v>
      </c>
      <c r="K345" s="391">
        <v>-22.46225</v>
      </c>
      <c r="L345" s="391">
        <v>996.836</v>
      </c>
      <c r="M345" s="391">
        <v>62.501042</v>
      </c>
      <c r="N345" s="391">
        <v>9176.6952</v>
      </c>
      <c r="O345" s="391">
        <v>9261.97576</v>
      </c>
      <c r="P345" s="394">
        <v>2070.3457</v>
      </c>
      <c r="Q345" s="376" t="s">
        <v>12</v>
      </c>
      <c r="R345" s="394" t="s">
        <v>553</v>
      </c>
      <c r="S345" s="394">
        <v>10.0</v>
      </c>
      <c r="T345" s="394">
        <v>5.0</v>
      </c>
      <c r="U345" s="394">
        <v>0.7</v>
      </c>
      <c r="V345" s="394">
        <v>0.7</v>
      </c>
      <c r="W345" s="394">
        <v>0.7</v>
      </c>
      <c r="X345" s="391">
        <v>2000.0</v>
      </c>
      <c r="Y345" s="391" t="s">
        <v>540</v>
      </c>
      <c r="Z345" s="391">
        <v>0.2</v>
      </c>
      <c r="AA345" s="391" t="s">
        <v>541</v>
      </c>
      <c r="AB345" s="391" t="s">
        <v>542</v>
      </c>
      <c r="AC345" s="391">
        <v>220.0</v>
      </c>
      <c r="AD345" s="193"/>
      <c r="AE345" s="377"/>
    </row>
    <row r="346">
      <c r="A346" s="395" t="s">
        <v>777</v>
      </c>
      <c r="B346" s="395" t="s">
        <v>551</v>
      </c>
      <c r="C346" s="395" t="s">
        <v>776</v>
      </c>
      <c r="D346" s="395" t="s">
        <v>538</v>
      </c>
      <c r="E346" s="395">
        <v>0.8</v>
      </c>
      <c r="F346" s="403">
        <v>45495.45</v>
      </c>
      <c r="G346" s="395">
        <v>1.0</v>
      </c>
      <c r="H346" s="395">
        <v>51.3708</v>
      </c>
      <c r="I346" s="395">
        <v>11.696</v>
      </c>
      <c r="J346" s="395">
        <v>-24.0448</v>
      </c>
      <c r="K346" s="395">
        <v>-22.447544</v>
      </c>
      <c r="L346" s="395">
        <v>1025.73</v>
      </c>
      <c r="M346" s="395">
        <v>63.999772</v>
      </c>
      <c r="N346" s="395">
        <v>9258.004</v>
      </c>
      <c r="O346" s="395">
        <v>9261.97576</v>
      </c>
      <c r="P346" s="397">
        <v>2070.3457</v>
      </c>
      <c r="Q346" s="376" t="s">
        <v>12</v>
      </c>
      <c r="R346" s="394" t="s">
        <v>539</v>
      </c>
      <c r="S346" s="394">
        <v>10.0</v>
      </c>
      <c r="T346" s="394">
        <v>5.0</v>
      </c>
      <c r="U346" s="394">
        <v>0.7</v>
      </c>
      <c r="V346" s="394">
        <v>0.7</v>
      </c>
      <c r="W346" s="394">
        <v>0.7</v>
      </c>
      <c r="X346" s="391">
        <v>2000.0</v>
      </c>
      <c r="Y346" s="391" t="s">
        <v>540</v>
      </c>
      <c r="Z346" s="391">
        <v>0.2</v>
      </c>
      <c r="AA346" s="391" t="s">
        <v>541</v>
      </c>
      <c r="AB346" s="391" t="s">
        <v>542</v>
      </c>
      <c r="AC346" s="391">
        <v>220.0</v>
      </c>
      <c r="AD346" s="193"/>
      <c r="AE346" s="377"/>
    </row>
    <row r="347">
      <c r="A347" s="391" t="s">
        <v>778</v>
      </c>
      <c r="B347" s="391" t="s">
        <v>551</v>
      </c>
      <c r="C347" s="391" t="s">
        <v>776</v>
      </c>
      <c r="D347" s="391" t="s">
        <v>538</v>
      </c>
      <c r="E347" s="391">
        <v>0.8</v>
      </c>
      <c r="F347" s="402">
        <v>45495.45277777778</v>
      </c>
      <c r="G347" s="391">
        <v>1.0</v>
      </c>
      <c r="H347" s="391">
        <v>51.3708</v>
      </c>
      <c r="I347" s="391">
        <v>11.3185</v>
      </c>
      <c r="J347" s="391">
        <v>-24.142219</v>
      </c>
      <c r="K347" s="391">
        <v>-22.620156</v>
      </c>
      <c r="L347" s="391">
        <v>1010.19</v>
      </c>
      <c r="M347" s="391">
        <v>64.001515</v>
      </c>
      <c r="N347" s="391">
        <v>9265.94752</v>
      </c>
      <c r="O347" s="391">
        <v>9261.97576</v>
      </c>
      <c r="P347" s="394">
        <v>2070.3457</v>
      </c>
      <c r="Q347" s="376" t="s">
        <v>12</v>
      </c>
      <c r="R347" s="394" t="s">
        <v>539</v>
      </c>
      <c r="S347" s="394">
        <v>10.0</v>
      </c>
      <c r="T347" s="394">
        <v>5.0</v>
      </c>
      <c r="U347" s="394">
        <v>0.7</v>
      </c>
      <c r="V347" s="394">
        <v>0.7</v>
      </c>
      <c r="W347" s="394">
        <v>0.7</v>
      </c>
      <c r="X347" s="391">
        <v>2000.0</v>
      </c>
      <c r="Y347" s="391" t="s">
        <v>540</v>
      </c>
      <c r="Z347" s="391">
        <v>0.2</v>
      </c>
      <c r="AA347" s="391" t="s">
        <v>541</v>
      </c>
      <c r="AB347" s="391" t="s">
        <v>542</v>
      </c>
      <c r="AC347" s="391">
        <v>220.0</v>
      </c>
      <c r="AD347" s="193"/>
      <c r="AE347" s="377"/>
    </row>
    <row r="348">
      <c r="A348" s="391" t="s">
        <v>779</v>
      </c>
      <c r="B348" s="391" t="s">
        <v>558</v>
      </c>
      <c r="C348" s="391" t="s">
        <v>776</v>
      </c>
      <c r="D348" s="391" t="s">
        <v>538</v>
      </c>
      <c r="E348" s="391">
        <v>1.0</v>
      </c>
      <c r="F348" s="402">
        <v>45495.455555555556</v>
      </c>
      <c r="G348" s="391">
        <v>1.0</v>
      </c>
      <c r="H348" s="391">
        <v>51.3708</v>
      </c>
      <c r="I348" s="391">
        <v>10.9544</v>
      </c>
      <c r="J348" s="391">
        <v>-24.1583</v>
      </c>
      <c r="K348" s="391">
        <v>-23.10305</v>
      </c>
      <c r="L348" s="391">
        <v>1101.55</v>
      </c>
      <c r="M348" s="391">
        <v>72.498656</v>
      </c>
      <c r="N348" s="391">
        <v>11632.7902</v>
      </c>
      <c r="O348" s="391">
        <v>11627.0954</v>
      </c>
      <c r="P348" s="394">
        <v>2070.3457</v>
      </c>
      <c r="Q348" s="376" t="s">
        <v>12</v>
      </c>
      <c r="R348" s="394" t="s">
        <v>539</v>
      </c>
      <c r="S348" s="394">
        <v>10.0</v>
      </c>
      <c r="T348" s="394">
        <v>5.0</v>
      </c>
      <c r="U348" s="394">
        <v>0.7</v>
      </c>
      <c r="V348" s="394">
        <v>0.7</v>
      </c>
      <c r="W348" s="394">
        <v>0.7</v>
      </c>
      <c r="X348" s="391">
        <v>2000.0</v>
      </c>
      <c r="Y348" s="391" t="s">
        <v>540</v>
      </c>
      <c r="Z348" s="391">
        <v>0.2</v>
      </c>
      <c r="AA348" s="391" t="s">
        <v>541</v>
      </c>
      <c r="AB348" s="391" t="s">
        <v>542</v>
      </c>
      <c r="AC348" s="391">
        <v>220.0</v>
      </c>
      <c r="AD348" s="193"/>
      <c r="AE348" s="377"/>
    </row>
    <row r="349">
      <c r="A349" s="391" t="s">
        <v>780</v>
      </c>
      <c r="B349" s="391" t="s">
        <v>558</v>
      </c>
      <c r="C349" s="391" t="s">
        <v>776</v>
      </c>
      <c r="D349" s="391" t="s">
        <v>538</v>
      </c>
      <c r="E349" s="391">
        <v>1.0</v>
      </c>
      <c r="F349" s="402">
        <v>45495.458333333336</v>
      </c>
      <c r="G349" s="391">
        <v>1.0</v>
      </c>
      <c r="H349" s="391">
        <v>51.3807</v>
      </c>
      <c r="I349" s="391">
        <v>10.4826</v>
      </c>
      <c r="J349" s="391">
        <v>-24.2327</v>
      </c>
      <c r="K349" s="391">
        <v>-22.956487</v>
      </c>
      <c r="L349" s="391">
        <v>1092.4</v>
      </c>
      <c r="M349" s="391">
        <v>72.501603</v>
      </c>
      <c r="N349" s="391">
        <v>11621.4006</v>
      </c>
      <c r="O349" s="391">
        <v>11627.0954</v>
      </c>
      <c r="P349" s="394">
        <v>2070.3457</v>
      </c>
      <c r="Q349" s="376" t="s">
        <v>12</v>
      </c>
      <c r="R349" s="394" t="s">
        <v>539</v>
      </c>
      <c r="S349" s="394">
        <v>10.0</v>
      </c>
      <c r="T349" s="394">
        <v>5.0</v>
      </c>
      <c r="U349" s="394">
        <v>0.7</v>
      </c>
      <c r="V349" s="394">
        <v>0.7</v>
      </c>
      <c r="W349" s="394">
        <v>0.7</v>
      </c>
      <c r="X349" s="391">
        <v>2000.0</v>
      </c>
      <c r="Y349" s="391" t="s">
        <v>540</v>
      </c>
      <c r="Z349" s="391">
        <v>0.2</v>
      </c>
      <c r="AA349" s="391" t="s">
        <v>541</v>
      </c>
      <c r="AB349" s="391" t="s">
        <v>542</v>
      </c>
      <c r="AC349" s="391">
        <v>220.0</v>
      </c>
      <c r="AD349" s="193"/>
      <c r="AE349" s="377"/>
    </row>
    <row r="350">
      <c r="A350" s="391" t="s">
        <v>781</v>
      </c>
      <c r="B350" s="391" t="s">
        <v>561</v>
      </c>
      <c r="C350" s="391" t="s">
        <v>776</v>
      </c>
      <c r="D350" s="391" t="s">
        <v>538</v>
      </c>
      <c r="E350" s="391">
        <v>1.2</v>
      </c>
      <c r="F350" s="402">
        <v>45495.46111111111</v>
      </c>
      <c r="G350" s="391">
        <v>1.0</v>
      </c>
      <c r="H350" s="391">
        <v>51.3741</v>
      </c>
      <c r="I350" s="391">
        <v>9.65887</v>
      </c>
      <c r="J350" s="391">
        <v>-24.230363</v>
      </c>
      <c r="K350" s="391">
        <v>-23.081944</v>
      </c>
      <c r="L350" s="391">
        <v>1131.06</v>
      </c>
      <c r="M350" s="391">
        <v>80.500449</v>
      </c>
      <c r="N350" s="391">
        <v>14003.959</v>
      </c>
      <c r="O350" s="391">
        <v>13990.4082</v>
      </c>
      <c r="P350" s="394">
        <v>2070.3457</v>
      </c>
      <c r="Q350" s="376" t="s">
        <v>12</v>
      </c>
      <c r="R350" s="394" t="s">
        <v>539</v>
      </c>
      <c r="S350" s="394">
        <v>10.0</v>
      </c>
      <c r="T350" s="394">
        <v>5.0</v>
      </c>
      <c r="U350" s="394">
        <v>0.7</v>
      </c>
      <c r="V350" s="394">
        <v>0.7</v>
      </c>
      <c r="W350" s="394">
        <v>0.7</v>
      </c>
      <c r="X350" s="391">
        <v>2000.0</v>
      </c>
      <c r="Y350" s="391" t="s">
        <v>540</v>
      </c>
      <c r="Z350" s="391">
        <v>0.2</v>
      </c>
      <c r="AA350" s="391" t="s">
        <v>541</v>
      </c>
      <c r="AB350" s="391" t="s">
        <v>542</v>
      </c>
      <c r="AC350" s="391">
        <v>220.0</v>
      </c>
      <c r="AD350" s="193"/>
      <c r="AE350" s="377"/>
    </row>
    <row r="351">
      <c r="A351" s="391" t="s">
        <v>782</v>
      </c>
      <c r="B351" s="391" t="s">
        <v>561</v>
      </c>
      <c r="C351" s="391" t="s">
        <v>776</v>
      </c>
      <c r="D351" s="391" t="s">
        <v>538</v>
      </c>
      <c r="E351" s="391">
        <v>1.2</v>
      </c>
      <c r="F351" s="402">
        <v>45495.464583333334</v>
      </c>
      <c r="G351" s="391">
        <v>1.0</v>
      </c>
      <c r="H351" s="391">
        <v>51.3807</v>
      </c>
      <c r="I351" s="391">
        <v>8.92038</v>
      </c>
      <c r="J351" s="391">
        <v>-24.103769</v>
      </c>
      <c r="K351" s="391">
        <v>-22.528587</v>
      </c>
      <c r="L351" s="391">
        <v>1115.4</v>
      </c>
      <c r="M351" s="391">
        <v>73.000354</v>
      </c>
      <c r="N351" s="391">
        <v>13976.8574</v>
      </c>
      <c r="O351" s="391">
        <v>13990.4082</v>
      </c>
      <c r="P351" s="394">
        <v>2070.3457</v>
      </c>
      <c r="Q351" s="376" t="s">
        <v>12</v>
      </c>
      <c r="R351" s="394" t="s">
        <v>539</v>
      </c>
      <c r="S351" s="394">
        <v>10.0</v>
      </c>
      <c r="T351" s="394">
        <v>5.0</v>
      </c>
      <c r="U351" s="394">
        <v>0.7</v>
      </c>
      <c r="V351" s="394">
        <v>0.7</v>
      </c>
      <c r="W351" s="394">
        <v>0.7</v>
      </c>
      <c r="X351" s="391">
        <v>2000.0</v>
      </c>
      <c r="Y351" s="391" t="s">
        <v>540</v>
      </c>
      <c r="Z351" s="391">
        <v>0.2</v>
      </c>
      <c r="AA351" s="391" t="s">
        <v>541</v>
      </c>
      <c r="AB351" s="391" t="s">
        <v>542</v>
      </c>
      <c r="AC351" s="391">
        <v>220.0</v>
      </c>
      <c r="AD351" s="193"/>
      <c r="AE351" s="377"/>
    </row>
    <row r="352">
      <c r="A352" s="391" t="s">
        <v>547</v>
      </c>
      <c r="B352" s="391">
        <v>2.0</v>
      </c>
      <c r="C352" s="391">
        <v>456.0</v>
      </c>
      <c r="D352" s="391" t="s">
        <v>564</v>
      </c>
      <c r="E352" s="391">
        <v>1.0</v>
      </c>
      <c r="F352" s="402">
        <v>45495.46805555555</v>
      </c>
      <c r="G352" s="391">
        <v>1.0</v>
      </c>
      <c r="H352" s="391">
        <v>51.3741</v>
      </c>
      <c r="I352" s="391">
        <v>8.51948</v>
      </c>
      <c r="J352" s="391">
        <v>-24.170925</v>
      </c>
      <c r="K352" s="391">
        <v>-22.711831</v>
      </c>
      <c r="L352" s="391">
        <v>1079.75</v>
      </c>
      <c r="M352" s="391">
        <v>67.999603</v>
      </c>
      <c r="N352" s="391">
        <v>11706.9667</v>
      </c>
      <c r="O352" s="391">
        <v>11740.2847</v>
      </c>
      <c r="P352" s="394">
        <v>2090.27517</v>
      </c>
      <c r="Q352" s="376" t="s">
        <v>12</v>
      </c>
      <c r="R352" s="394" t="s">
        <v>553</v>
      </c>
      <c r="S352" s="394">
        <v>10.0</v>
      </c>
      <c r="T352" s="394">
        <v>5.0</v>
      </c>
      <c r="U352" s="394">
        <v>0.7</v>
      </c>
      <c r="V352" s="394">
        <v>0.7</v>
      </c>
      <c r="W352" s="394">
        <v>0.7</v>
      </c>
      <c r="X352" s="391">
        <v>2000.0</v>
      </c>
      <c r="Y352" s="391" t="s">
        <v>540</v>
      </c>
      <c r="Z352" s="391">
        <v>0.2</v>
      </c>
      <c r="AA352" s="391" t="s">
        <v>541</v>
      </c>
      <c r="AB352" s="391" t="s">
        <v>542</v>
      </c>
      <c r="AC352" s="391">
        <v>220.0</v>
      </c>
      <c r="AD352" s="193"/>
      <c r="AE352" s="377"/>
    </row>
    <row r="353">
      <c r="A353" s="391" t="s">
        <v>783</v>
      </c>
      <c r="B353" s="391">
        <v>2.0</v>
      </c>
      <c r="C353" s="391">
        <v>456.0</v>
      </c>
      <c r="D353" s="391" t="s">
        <v>564</v>
      </c>
      <c r="E353" s="391">
        <v>1.0</v>
      </c>
      <c r="F353" s="402">
        <v>45495.47083333333</v>
      </c>
      <c r="G353" s="391">
        <v>1.0</v>
      </c>
      <c r="H353" s="391">
        <v>51.3741</v>
      </c>
      <c r="I353" s="391">
        <v>8.3657</v>
      </c>
      <c r="J353" s="391">
        <v>-24.3697</v>
      </c>
      <c r="K353" s="391">
        <v>-22.772531</v>
      </c>
      <c r="L353" s="391">
        <v>1083.46</v>
      </c>
      <c r="M353" s="391">
        <v>70.999717</v>
      </c>
      <c r="N353" s="391">
        <v>11644.5764</v>
      </c>
      <c r="O353" s="391">
        <v>11740.2847</v>
      </c>
      <c r="P353" s="394">
        <v>2090.27517</v>
      </c>
      <c r="Q353" s="376" t="s">
        <v>12</v>
      </c>
      <c r="R353" s="394" t="s">
        <v>553</v>
      </c>
      <c r="S353" s="394">
        <v>10.0</v>
      </c>
      <c r="T353" s="394">
        <v>5.0</v>
      </c>
      <c r="U353" s="394">
        <v>0.7</v>
      </c>
      <c r="V353" s="394">
        <v>0.7</v>
      </c>
      <c r="W353" s="394">
        <v>0.7</v>
      </c>
      <c r="X353" s="391">
        <v>2000.0</v>
      </c>
      <c r="Y353" s="391" t="s">
        <v>540</v>
      </c>
      <c r="Z353" s="391">
        <v>0.2</v>
      </c>
      <c r="AA353" s="391" t="s">
        <v>541</v>
      </c>
      <c r="AB353" s="391" t="s">
        <v>542</v>
      </c>
      <c r="AC353" s="391">
        <v>220.0</v>
      </c>
      <c r="AD353" s="193"/>
      <c r="AE353" s="377"/>
    </row>
    <row r="354">
      <c r="A354" s="391" t="s">
        <v>784</v>
      </c>
      <c r="B354" s="391">
        <v>2.0</v>
      </c>
      <c r="C354" s="391">
        <v>456.0</v>
      </c>
      <c r="D354" s="391" t="s">
        <v>564</v>
      </c>
      <c r="E354" s="391">
        <v>1.0</v>
      </c>
      <c r="F354" s="402">
        <v>45495.47361111111</v>
      </c>
      <c r="G354" s="391">
        <v>1.0</v>
      </c>
      <c r="H354" s="391">
        <v>51.3774</v>
      </c>
      <c r="I354" s="391">
        <v>8.10661</v>
      </c>
      <c r="J354" s="391">
        <v>-24.337631</v>
      </c>
      <c r="K354" s="391">
        <v>-22.839825</v>
      </c>
      <c r="L354" s="391">
        <v>1098.74</v>
      </c>
      <c r="M354" s="391">
        <v>68.999942</v>
      </c>
      <c r="N354" s="391">
        <v>11735.7279</v>
      </c>
      <c r="O354" s="391">
        <v>11740.2847</v>
      </c>
      <c r="P354" s="394">
        <v>2090.27517</v>
      </c>
      <c r="Q354" s="376" t="s">
        <v>12</v>
      </c>
      <c r="R354" s="394" t="s">
        <v>539</v>
      </c>
      <c r="S354" s="394">
        <v>10.0</v>
      </c>
      <c r="T354" s="394">
        <v>5.0</v>
      </c>
      <c r="U354" s="394">
        <v>0.7</v>
      </c>
      <c r="V354" s="394">
        <v>0.7</v>
      </c>
      <c r="W354" s="394">
        <v>0.7</v>
      </c>
      <c r="X354" s="391">
        <v>2000.0</v>
      </c>
      <c r="Y354" s="391" t="s">
        <v>540</v>
      </c>
      <c r="Z354" s="391">
        <v>0.2</v>
      </c>
      <c r="AA354" s="391" t="s">
        <v>541</v>
      </c>
      <c r="AB354" s="391" t="s">
        <v>542</v>
      </c>
      <c r="AC354" s="391">
        <v>220.0</v>
      </c>
      <c r="AD354" s="193"/>
      <c r="AE354" s="377"/>
    </row>
    <row r="355">
      <c r="A355" s="391" t="s">
        <v>785</v>
      </c>
      <c r="B355" s="391">
        <v>2.0</v>
      </c>
      <c r="C355" s="391">
        <v>456.0</v>
      </c>
      <c r="D355" s="391" t="s">
        <v>564</v>
      </c>
      <c r="E355" s="391">
        <v>1.0</v>
      </c>
      <c r="F355" s="402">
        <v>45495.47638888889</v>
      </c>
      <c r="G355" s="391">
        <v>1.0</v>
      </c>
      <c r="H355" s="391">
        <v>51.3774</v>
      </c>
      <c r="I355" s="391">
        <v>7.97592</v>
      </c>
      <c r="J355" s="391">
        <v>-24.295063</v>
      </c>
      <c r="K355" s="391">
        <v>-22.990425</v>
      </c>
      <c r="L355" s="391">
        <v>1104.95</v>
      </c>
      <c r="M355" s="391">
        <v>70.998708</v>
      </c>
      <c r="N355" s="391">
        <v>11744.8414</v>
      </c>
      <c r="O355" s="391">
        <v>11740.2847</v>
      </c>
      <c r="P355" s="394">
        <v>2090.27517</v>
      </c>
      <c r="Q355" s="376" t="s">
        <v>12</v>
      </c>
      <c r="R355" s="394" t="s">
        <v>539</v>
      </c>
      <c r="S355" s="394">
        <v>10.0</v>
      </c>
      <c r="T355" s="394">
        <v>5.0</v>
      </c>
      <c r="U355" s="394">
        <v>0.7</v>
      </c>
      <c r="V355" s="394">
        <v>0.7</v>
      </c>
      <c r="W355" s="394">
        <v>0.7</v>
      </c>
      <c r="X355" s="391">
        <v>2000.0</v>
      </c>
      <c r="Y355" s="391" t="s">
        <v>540</v>
      </c>
      <c r="Z355" s="391">
        <v>0.2</v>
      </c>
      <c r="AA355" s="391" t="s">
        <v>541</v>
      </c>
      <c r="AB355" s="391" t="s">
        <v>542</v>
      </c>
      <c r="AC355" s="391">
        <v>220.0</v>
      </c>
      <c r="AD355" s="193"/>
      <c r="AE355" s="377"/>
    </row>
    <row r="356">
      <c r="A356" s="391" t="s">
        <v>548</v>
      </c>
      <c r="B356" s="391">
        <v>3.0</v>
      </c>
      <c r="C356" s="391">
        <v>457.0</v>
      </c>
      <c r="D356" s="391" t="s">
        <v>568</v>
      </c>
      <c r="E356" s="391">
        <v>1.0</v>
      </c>
      <c r="F356" s="402">
        <v>45495.47986111111</v>
      </c>
      <c r="G356" s="391">
        <v>1.0</v>
      </c>
      <c r="H356" s="391">
        <v>51.3708</v>
      </c>
      <c r="I356" s="391">
        <v>7.86277</v>
      </c>
      <c r="J356" s="391">
        <v>-24.300612</v>
      </c>
      <c r="K356" s="391">
        <v>-22.677431</v>
      </c>
      <c r="L356" s="391">
        <v>1087.23</v>
      </c>
      <c r="M356" s="391">
        <v>67.999603</v>
      </c>
      <c r="N356" s="391">
        <v>11721.1446</v>
      </c>
      <c r="O356" s="391">
        <v>11722.2609</v>
      </c>
      <c r="P356" s="394">
        <v>2087.11848</v>
      </c>
      <c r="Q356" s="376" t="s">
        <v>12</v>
      </c>
      <c r="R356" s="394" t="s">
        <v>539</v>
      </c>
      <c r="S356" s="394">
        <v>10.0</v>
      </c>
      <c r="T356" s="394">
        <v>5.0</v>
      </c>
      <c r="U356" s="394">
        <v>0.7</v>
      </c>
      <c r="V356" s="394">
        <v>0.7</v>
      </c>
      <c r="W356" s="394">
        <v>0.7</v>
      </c>
      <c r="X356" s="391">
        <v>2000.0</v>
      </c>
      <c r="Y356" s="391" t="s">
        <v>540</v>
      </c>
      <c r="Z356" s="391">
        <v>0.2</v>
      </c>
      <c r="AA356" s="391" t="s">
        <v>541</v>
      </c>
      <c r="AB356" s="391" t="s">
        <v>542</v>
      </c>
      <c r="AC356" s="391">
        <v>220.0</v>
      </c>
      <c r="AD356" s="193"/>
      <c r="AE356" s="377"/>
    </row>
    <row r="357">
      <c r="A357" s="391" t="s">
        <v>786</v>
      </c>
      <c r="B357" s="391">
        <v>3.0</v>
      </c>
      <c r="C357" s="391">
        <v>457.0</v>
      </c>
      <c r="D357" s="391" t="s">
        <v>568</v>
      </c>
      <c r="E357" s="391">
        <v>1.0</v>
      </c>
      <c r="F357" s="402">
        <v>45495.481944444444</v>
      </c>
      <c r="G357" s="391">
        <v>1.0</v>
      </c>
      <c r="H357" s="391">
        <v>51.3774</v>
      </c>
      <c r="I357" s="391">
        <v>7.91881</v>
      </c>
      <c r="J357" s="391">
        <v>-24.228638</v>
      </c>
      <c r="K357" s="391">
        <v>-22.570988</v>
      </c>
      <c r="L357" s="391">
        <v>1097.34</v>
      </c>
      <c r="M357" s="391">
        <v>68.500013</v>
      </c>
      <c r="N357" s="391">
        <v>11723.3771</v>
      </c>
      <c r="O357" s="391">
        <v>11722.2609</v>
      </c>
      <c r="P357" s="394">
        <v>2087.11848</v>
      </c>
      <c r="Q357" s="376" t="s">
        <v>12</v>
      </c>
      <c r="R357" s="394" t="s">
        <v>539</v>
      </c>
      <c r="S357" s="394">
        <v>10.0</v>
      </c>
      <c r="T357" s="394">
        <v>5.0</v>
      </c>
      <c r="U357" s="394">
        <v>0.7</v>
      </c>
      <c r="V357" s="394">
        <v>0.7</v>
      </c>
      <c r="W357" s="394">
        <v>0.7</v>
      </c>
      <c r="X357" s="391">
        <v>2000.0</v>
      </c>
      <c r="Y357" s="391" t="s">
        <v>540</v>
      </c>
      <c r="Z357" s="391">
        <v>0.2</v>
      </c>
      <c r="AA357" s="391" t="s">
        <v>541</v>
      </c>
      <c r="AB357" s="391" t="s">
        <v>542</v>
      </c>
      <c r="AC357" s="391">
        <v>220.0</v>
      </c>
      <c r="AD357" s="193"/>
      <c r="AE357" s="377"/>
    </row>
    <row r="358">
      <c r="A358" s="391" t="s">
        <v>549</v>
      </c>
      <c r="B358" s="391">
        <v>4.0</v>
      </c>
      <c r="C358" s="391">
        <v>482.0</v>
      </c>
      <c r="D358" s="391" t="s">
        <v>571</v>
      </c>
      <c r="E358" s="391">
        <v>1.0</v>
      </c>
      <c r="F358" s="402">
        <v>45495.48541666667</v>
      </c>
      <c r="G358" s="391">
        <v>1.0</v>
      </c>
      <c r="H358" s="391">
        <v>51.3774</v>
      </c>
      <c r="I358" s="391">
        <v>7.68511</v>
      </c>
      <c r="J358" s="391">
        <v>-24.425206</v>
      </c>
      <c r="K358" s="391">
        <v>-22.918194</v>
      </c>
      <c r="L358" s="391">
        <v>1102.25</v>
      </c>
      <c r="M358" s="391">
        <v>72.498676</v>
      </c>
      <c r="N358" s="391">
        <v>11840.2815</v>
      </c>
      <c r="O358" s="391">
        <v>11832.4765</v>
      </c>
      <c r="P358" s="394">
        <v>2106.42165</v>
      </c>
      <c r="Q358" s="376" t="s">
        <v>12</v>
      </c>
      <c r="R358" s="394" t="s">
        <v>539</v>
      </c>
      <c r="S358" s="394">
        <v>10.0</v>
      </c>
      <c r="T358" s="394">
        <v>5.0</v>
      </c>
      <c r="U358" s="394">
        <v>0.7</v>
      </c>
      <c r="V358" s="394">
        <v>0.7</v>
      </c>
      <c r="W358" s="394">
        <v>0.7</v>
      </c>
      <c r="X358" s="391">
        <v>2000.0</v>
      </c>
      <c r="Y358" s="391" t="s">
        <v>540</v>
      </c>
      <c r="Z358" s="391">
        <v>0.2</v>
      </c>
      <c r="AA358" s="391" t="s">
        <v>541</v>
      </c>
      <c r="AB358" s="391" t="s">
        <v>542</v>
      </c>
      <c r="AC358" s="391">
        <v>220.0</v>
      </c>
      <c r="AD358" s="193"/>
      <c r="AE358" s="377"/>
    </row>
    <row r="359">
      <c r="A359" s="391" t="s">
        <v>787</v>
      </c>
      <c r="B359" s="391">
        <v>4.0</v>
      </c>
      <c r="C359" s="391">
        <v>482.0</v>
      </c>
      <c r="D359" s="391" t="s">
        <v>571</v>
      </c>
      <c r="E359" s="391">
        <v>1.0</v>
      </c>
      <c r="F359" s="402">
        <v>45495.48819444444</v>
      </c>
      <c r="G359" s="391">
        <v>1.0</v>
      </c>
      <c r="H359" s="391">
        <v>51.3807</v>
      </c>
      <c r="I359" s="391">
        <v>7.37745</v>
      </c>
      <c r="J359" s="391">
        <v>-24.367062</v>
      </c>
      <c r="K359" s="391">
        <v>-22.811938</v>
      </c>
      <c r="L359" s="391">
        <v>1085.51</v>
      </c>
      <c r="M359" s="391">
        <v>70.001163</v>
      </c>
      <c r="N359" s="391">
        <v>11824.6714</v>
      </c>
      <c r="O359" s="391">
        <v>11832.4765</v>
      </c>
      <c r="P359" s="394">
        <v>2106.42165</v>
      </c>
      <c r="Q359" s="376" t="s">
        <v>12</v>
      </c>
      <c r="R359" s="394" t="s">
        <v>539</v>
      </c>
      <c r="S359" s="394">
        <v>10.0</v>
      </c>
      <c r="T359" s="394">
        <v>5.0</v>
      </c>
      <c r="U359" s="394">
        <v>0.7</v>
      </c>
      <c r="V359" s="394">
        <v>0.7</v>
      </c>
      <c r="W359" s="394">
        <v>0.7</v>
      </c>
      <c r="X359" s="391">
        <v>2000.0</v>
      </c>
      <c r="Y359" s="391" t="s">
        <v>540</v>
      </c>
      <c r="Z359" s="391">
        <v>0.2</v>
      </c>
      <c r="AA359" s="391" t="s">
        <v>541</v>
      </c>
      <c r="AB359" s="391" t="s">
        <v>542</v>
      </c>
      <c r="AC359" s="391">
        <v>220.0</v>
      </c>
      <c r="AD359" s="193"/>
      <c r="AE359" s="377"/>
    </row>
    <row r="360">
      <c r="A360" s="391" t="s">
        <v>676</v>
      </c>
      <c r="B360" s="391">
        <v>5.0</v>
      </c>
      <c r="C360" s="391">
        <v>483.0</v>
      </c>
      <c r="D360" s="391" t="s">
        <v>575</v>
      </c>
      <c r="E360" s="391">
        <v>1.0</v>
      </c>
      <c r="F360" s="402">
        <v>45495.49166666667</v>
      </c>
      <c r="G360" s="391">
        <v>1.0</v>
      </c>
      <c r="H360" s="391">
        <v>51.3774</v>
      </c>
      <c r="I360" s="391">
        <v>7.10406</v>
      </c>
      <c r="J360" s="391">
        <v>-24.412562</v>
      </c>
      <c r="K360" s="391">
        <v>-22.702381</v>
      </c>
      <c r="L360" s="391">
        <v>1094.16</v>
      </c>
      <c r="M360" s="391">
        <v>72.500293</v>
      </c>
      <c r="N360" s="391">
        <v>11818.187</v>
      </c>
      <c r="O360" s="391">
        <v>11810.3924</v>
      </c>
      <c r="P360" s="394">
        <v>2102.55384</v>
      </c>
      <c r="Q360" s="376" t="s">
        <v>12</v>
      </c>
      <c r="R360" s="394" t="s">
        <v>539</v>
      </c>
      <c r="S360" s="394">
        <v>10.0</v>
      </c>
      <c r="T360" s="394">
        <v>5.0</v>
      </c>
      <c r="U360" s="394">
        <v>0.7</v>
      </c>
      <c r="V360" s="394">
        <v>0.7</v>
      </c>
      <c r="W360" s="394">
        <v>0.7</v>
      </c>
      <c r="X360" s="391">
        <v>2000.0</v>
      </c>
      <c r="Y360" s="391" t="s">
        <v>540</v>
      </c>
      <c r="Z360" s="391">
        <v>0.2</v>
      </c>
      <c r="AA360" s="391" t="s">
        <v>541</v>
      </c>
      <c r="AB360" s="391" t="s">
        <v>542</v>
      </c>
      <c r="AC360" s="391">
        <v>220.0</v>
      </c>
      <c r="AD360" s="193"/>
      <c r="AE360" s="377"/>
    </row>
    <row r="361">
      <c r="A361" s="391" t="s">
        <v>788</v>
      </c>
      <c r="B361" s="391">
        <v>5.0</v>
      </c>
      <c r="C361" s="391">
        <v>483.0</v>
      </c>
      <c r="D361" s="391" t="s">
        <v>575</v>
      </c>
      <c r="E361" s="391">
        <v>1.0</v>
      </c>
      <c r="F361" s="402">
        <v>45495.49444444444</v>
      </c>
      <c r="G361" s="391">
        <v>1.0</v>
      </c>
      <c r="H361" s="391">
        <v>51.3741</v>
      </c>
      <c r="I361" s="391">
        <v>6.99594</v>
      </c>
      <c r="J361" s="391">
        <v>-24.289362</v>
      </c>
      <c r="K361" s="391">
        <v>-23.153669</v>
      </c>
      <c r="L361" s="391">
        <v>1076.38</v>
      </c>
      <c r="M361" s="391">
        <v>77.000079</v>
      </c>
      <c r="N361" s="391">
        <v>11802.5977</v>
      </c>
      <c r="O361" s="391">
        <v>11810.3924</v>
      </c>
      <c r="P361" s="394">
        <v>2102.55384</v>
      </c>
      <c r="Q361" s="376" t="s">
        <v>12</v>
      </c>
      <c r="R361" s="394" t="s">
        <v>539</v>
      </c>
      <c r="S361" s="394">
        <v>10.0</v>
      </c>
      <c r="T361" s="394">
        <v>5.0</v>
      </c>
      <c r="U361" s="394">
        <v>0.7</v>
      </c>
      <c r="V361" s="394">
        <v>0.7</v>
      </c>
      <c r="W361" s="394">
        <v>0.7</v>
      </c>
      <c r="X361" s="391">
        <v>2000.0</v>
      </c>
      <c r="Y361" s="391" t="s">
        <v>540</v>
      </c>
      <c r="Z361" s="391">
        <v>0.2</v>
      </c>
      <c r="AA361" s="391" t="s">
        <v>541</v>
      </c>
      <c r="AB361" s="391" t="s">
        <v>542</v>
      </c>
      <c r="AC361" s="391">
        <v>220.0</v>
      </c>
      <c r="AD361" s="193"/>
      <c r="AE361" s="377"/>
    </row>
    <row r="362">
      <c r="A362" s="391" t="s">
        <v>563</v>
      </c>
      <c r="B362" s="391">
        <v>6.0</v>
      </c>
      <c r="C362" s="391">
        <v>378.0</v>
      </c>
      <c r="D362" s="391" t="s">
        <v>579</v>
      </c>
      <c r="E362" s="391">
        <v>1.0</v>
      </c>
      <c r="F362" s="402">
        <v>45495.49791666667</v>
      </c>
      <c r="G362" s="391">
        <v>1.0</v>
      </c>
      <c r="H362" s="391">
        <v>51.3741</v>
      </c>
      <c r="I362" s="391">
        <v>6.86691</v>
      </c>
      <c r="J362" s="391">
        <v>-24.36615</v>
      </c>
      <c r="K362" s="391">
        <v>-22.4988</v>
      </c>
      <c r="L362" s="391">
        <v>1062.52</v>
      </c>
      <c r="M362" s="391">
        <v>69.500836</v>
      </c>
      <c r="N362" s="391">
        <v>11811.4675</v>
      </c>
      <c r="O362" s="391">
        <v>11802.0679</v>
      </c>
      <c r="P362" s="394">
        <v>2101.09588</v>
      </c>
      <c r="Q362" s="376" t="s">
        <v>12</v>
      </c>
      <c r="R362" s="394" t="s">
        <v>539</v>
      </c>
      <c r="S362" s="394">
        <v>10.0</v>
      </c>
      <c r="T362" s="394">
        <v>5.0</v>
      </c>
      <c r="U362" s="394">
        <v>0.7</v>
      </c>
      <c r="V362" s="394">
        <v>0.7</v>
      </c>
      <c r="W362" s="394">
        <v>0.7</v>
      </c>
      <c r="X362" s="391">
        <v>2000.0</v>
      </c>
      <c r="Y362" s="391" t="s">
        <v>540</v>
      </c>
      <c r="Z362" s="391">
        <v>0.2</v>
      </c>
      <c r="AA362" s="391" t="s">
        <v>541</v>
      </c>
      <c r="AB362" s="391" t="s">
        <v>542</v>
      </c>
      <c r="AC362" s="391">
        <v>220.0</v>
      </c>
      <c r="AD362" s="193"/>
      <c r="AE362" s="377"/>
    </row>
    <row r="363">
      <c r="A363" s="391" t="s">
        <v>565</v>
      </c>
      <c r="B363" s="391">
        <v>6.0</v>
      </c>
      <c r="C363" s="391">
        <v>378.0</v>
      </c>
      <c r="D363" s="391" t="s">
        <v>579</v>
      </c>
      <c r="E363" s="391">
        <v>1.0</v>
      </c>
      <c r="F363" s="402">
        <v>45495.50069444445</v>
      </c>
      <c r="G363" s="391">
        <v>1.0</v>
      </c>
      <c r="H363" s="391">
        <v>51.3774</v>
      </c>
      <c r="I363" s="391">
        <v>6.90293</v>
      </c>
      <c r="J363" s="391">
        <v>-24.412925</v>
      </c>
      <c r="K363" s="391">
        <v>-22.318506</v>
      </c>
      <c r="L363" s="391">
        <v>1061.7</v>
      </c>
      <c r="M363" s="391">
        <v>71.000491</v>
      </c>
      <c r="N363" s="391">
        <v>11792.6682</v>
      </c>
      <c r="O363" s="391">
        <v>11802.0679</v>
      </c>
      <c r="P363" s="394">
        <v>2101.09588</v>
      </c>
      <c r="Q363" s="376" t="s">
        <v>12</v>
      </c>
      <c r="R363" s="394" t="s">
        <v>539</v>
      </c>
      <c r="S363" s="394">
        <v>10.0</v>
      </c>
      <c r="T363" s="394">
        <v>5.0</v>
      </c>
      <c r="U363" s="394">
        <v>0.7</v>
      </c>
      <c r="V363" s="394">
        <v>0.7</v>
      </c>
      <c r="W363" s="394">
        <v>0.7</v>
      </c>
      <c r="X363" s="391">
        <v>2000.0</v>
      </c>
      <c r="Y363" s="391" t="s">
        <v>540</v>
      </c>
      <c r="Z363" s="391">
        <v>0.2</v>
      </c>
      <c r="AA363" s="391" t="s">
        <v>541</v>
      </c>
      <c r="AB363" s="391" t="s">
        <v>542</v>
      </c>
      <c r="AC363" s="391">
        <v>220.0</v>
      </c>
      <c r="AD363" s="193"/>
      <c r="AE363" s="377"/>
    </row>
    <row r="364">
      <c r="A364" s="391" t="s">
        <v>567</v>
      </c>
      <c r="B364" s="391">
        <v>7.0</v>
      </c>
      <c r="C364" s="391">
        <v>379.0</v>
      </c>
      <c r="D364" s="391" t="s">
        <v>582</v>
      </c>
      <c r="E364" s="391">
        <v>1.0</v>
      </c>
      <c r="F364" s="402">
        <v>45495.504166666666</v>
      </c>
      <c r="G364" s="391">
        <v>1.0</v>
      </c>
      <c r="H364" s="391">
        <v>51.3708</v>
      </c>
      <c r="I364" s="391">
        <v>7.0178</v>
      </c>
      <c r="J364" s="391">
        <v>-24.147856</v>
      </c>
      <c r="K364" s="391">
        <v>-22.618644</v>
      </c>
      <c r="L364" s="391">
        <v>1064.14</v>
      </c>
      <c r="M364" s="391">
        <v>72.499667</v>
      </c>
      <c r="N364" s="391">
        <v>11809.5144</v>
      </c>
      <c r="O364" s="391">
        <v>0.0</v>
      </c>
      <c r="P364" s="394">
        <v>0.0</v>
      </c>
      <c r="Q364" s="376" t="s">
        <v>280</v>
      </c>
      <c r="R364" s="394" t="s">
        <v>607</v>
      </c>
      <c r="S364" s="394">
        <v>10.0</v>
      </c>
      <c r="T364" s="394">
        <v>5.0</v>
      </c>
      <c r="U364" s="394">
        <v>0.7</v>
      </c>
      <c r="V364" s="394">
        <v>0.7</v>
      </c>
      <c r="W364" s="394">
        <v>0.7</v>
      </c>
      <c r="X364" s="391">
        <v>2000.0</v>
      </c>
      <c r="Y364" s="391" t="s">
        <v>540</v>
      </c>
      <c r="Z364" s="391">
        <v>0.2</v>
      </c>
      <c r="AA364" s="391" t="s">
        <v>541</v>
      </c>
      <c r="AB364" s="391" t="s">
        <v>542</v>
      </c>
      <c r="AC364" s="391">
        <v>220.0</v>
      </c>
      <c r="AD364" s="193"/>
      <c r="AE364" s="377"/>
    </row>
    <row r="365">
      <c r="A365" s="391" t="s">
        <v>569</v>
      </c>
      <c r="B365" s="391">
        <v>7.0</v>
      </c>
      <c r="C365" s="391">
        <v>379.0</v>
      </c>
      <c r="D365" s="391" t="s">
        <v>582</v>
      </c>
      <c r="E365" s="391">
        <v>1.0</v>
      </c>
      <c r="F365" s="402">
        <v>45495.506944444445</v>
      </c>
      <c r="G365" s="391">
        <v>1.0</v>
      </c>
      <c r="H365" s="391">
        <v>51.3741</v>
      </c>
      <c r="I365" s="391">
        <v>6.95994</v>
      </c>
      <c r="J365" s="391">
        <v>-24.297369</v>
      </c>
      <c r="K365" s="391">
        <v>-23.090819</v>
      </c>
      <c r="L365" s="391">
        <v>1084.0</v>
      </c>
      <c r="M365" s="391">
        <v>77.500099</v>
      </c>
      <c r="N365" s="391">
        <v>11774.1935</v>
      </c>
      <c r="O365" s="391">
        <v>0.0</v>
      </c>
      <c r="P365" s="394">
        <v>0.0</v>
      </c>
      <c r="Q365" s="376" t="s">
        <v>280</v>
      </c>
      <c r="R365" s="394" t="s">
        <v>607</v>
      </c>
      <c r="S365" s="394">
        <v>10.0</v>
      </c>
      <c r="T365" s="394">
        <v>5.0</v>
      </c>
      <c r="U365" s="394">
        <v>0.7</v>
      </c>
      <c r="V365" s="394">
        <v>0.7</v>
      </c>
      <c r="W365" s="394">
        <v>0.7</v>
      </c>
      <c r="X365" s="391">
        <v>2000.0</v>
      </c>
      <c r="Y365" s="391" t="s">
        <v>540</v>
      </c>
      <c r="Z365" s="391">
        <v>0.2</v>
      </c>
      <c r="AA365" s="391" t="s">
        <v>541</v>
      </c>
      <c r="AB365" s="391" t="s">
        <v>542</v>
      </c>
      <c r="AC365" s="391">
        <v>220.0</v>
      </c>
      <c r="AD365" s="193"/>
      <c r="AE365" s="377"/>
    </row>
    <row r="366">
      <c r="A366" s="391" t="s">
        <v>789</v>
      </c>
      <c r="B366" s="391">
        <v>7.0</v>
      </c>
      <c r="C366" s="391">
        <v>379.0</v>
      </c>
      <c r="D366" s="391" t="s">
        <v>582</v>
      </c>
      <c r="E366" s="391">
        <v>1.0</v>
      </c>
      <c r="F366" s="402">
        <v>45495.510416666664</v>
      </c>
      <c r="G366" s="391">
        <v>1.0</v>
      </c>
      <c r="H366" s="391">
        <v>51.3774</v>
      </c>
      <c r="I366" s="391">
        <v>6.81609</v>
      </c>
      <c r="J366" s="391">
        <v>-24.387231</v>
      </c>
      <c r="K366" s="391">
        <v>-23.319725</v>
      </c>
      <c r="L366" s="391">
        <v>1069.04</v>
      </c>
      <c r="M366" s="391">
        <v>81.49965</v>
      </c>
      <c r="N366" s="391">
        <v>11812.8174</v>
      </c>
      <c r="O366" s="391">
        <v>0.0</v>
      </c>
      <c r="P366" s="394">
        <v>0.0</v>
      </c>
      <c r="Q366" s="376" t="s">
        <v>280</v>
      </c>
      <c r="R366" s="394" t="s">
        <v>607</v>
      </c>
      <c r="S366" s="394">
        <v>10.0</v>
      </c>
      <c r="T366" s="394">
        <v>5.0</v>
      </c>
      <c r="U366" s="394">
        <v>0.7</v>
      </c>
      <c r="V366" s="394">
        <v>0.7</v>
      </c>
      <c r="W366" s="394">
        <v>0.7</v>
      </c>
      <c r="X366" s="391">
        <v>2000.0</v>
      </c>
      <c r="Y366" s="391" t="s">
        <v>540</v>
      </c>
      <c r="Z366" s="391">
        <v>0.2</v>
      </c>
      <c r="AA366" s="391" t="s">
        <v>541</v>
      </c>
      <c r="AB366" s="391" t="s">
        <v>542</v>
      </c>
      <c r="AC366" s="391">
        <v>220.0</v>
      </c>
      <c r="AD366" s="193"/>
      <c r="AE366" s="377"/>
    </row>
    <row r="367">
      <c r="A367" s="391" t="s">
        <v>790</v>
      </c>
      <c r="B367" s="391">
        <v>7.0</v>
      </c>
      <c r="C367" s="391">
        <v>379.0</v>
      </c>
      <c r="D367" s="391" t="s">
        <v>582</v>
      </c>
      <c r="E367" s="391">
        <v>1.0</v>
      </c>
      <c r="F367" s="402">
        <v>45495.513194444444</v>
      </c>
      <c r="G367" s="391">
        <v>1.0</v>
      </c>
      <c r="H367" s="391">
        <v>51.3708</v>
      </c>
      <c r="I367" s="391">
        <v>6.6083</v>
      </c>
      <c r="J367" s="391">
        <v>-24.266906</v>
      </c>
      <c r="K367" s="391">
        <v>-22.612844</v>
      </c>
      <c r="L367" s="391">
        <v>1058.29</v>
      </c>
      <c r="M367" s="391">
        <v>72.999106</v>
      </c>
      <c r="N367" s="391">
        <v>11769.259</v>
      </c>
      <c r="O367" s="391">
        <v>0.0</v>
      </c>
      <c r="P367" s="394">
        <v>0.0</v>
      </c>
      <c r="Q367" s="376" t="s">
        <v>280</v>
      </c>
      <c r="R367" s="394" t="s">
        <v>607</v>
      </c>
      <c r="S367" s="394">
        <v>10.0</v>
      </c>
      <c r="T367" s="394">
        <v>5.0</v>
      </c>
      <c r="U367" s="394">
        <v>0.7</v>
      </c>
      <c r="V367" s="394">
        <v>0.7</v>
      </c>
      <c r="W367" s="394">
        <v>0.7</v>
      </c>
      <c r="X367" s="391">
        <v>2000.0</v>
      </c>
      <c r="Y367" s="391" t="s">
        <v>540</v>
      </c>
      <c r="Z367" s="391">
        <v>0.2</v>
      </c>
      <c r="AA367" s="391" t="s">
        <v>541</v>
      </c>
      <c r="AB367" s="391" t="s">
        <v>542</v>
      </c>
      <c r="AC367" s="391">
        <v>220.0</v>
      </c>
      <c r="AD367" s="193"/>
      <c r="AE367" s="377"/>
    </row>
    <row r="368">
      <c r="A368" s="391" t="s">
        <v>791</v>
      </c>
      <c r="B368" s="391">
        <v>7.0</v>
      </c>
      <c r="C368" s="391">
        <v>379.0</v>
      </c>
      <c r="D368" s="391" t="s">
        <v>582</v>
      </c>
      <c r="E368" s="391">
        <v>1.0</v>
      </c>
      <c r="F368" s="402">
        <v>45495.51597222222</v>
      </c>
      <c r="G368" s="391">
        <v>1.0</v>
      </c>
      <c r="H368" s="391">
        <v>51.3741</v>
      </c>
      <c r="I368" s="391">
        <v>6.6847</v>
      </c>
      <c r="J368" s="391">
        <v>-24.441462</v>
      </c>
      <c r="K368" s="391">
        <v>-22.717294</v>
      </c>
      <c r="L368" s="391">
        <v>1074.38</v>
      </c>
      <c r="M368" s="391">
        <v>70.999654</v>
      </c>
      <c r="N368" s="391">
        <v>11629.0841</v>
      </c>
      <c r="O368" s="391">
        <v>0.0</v>
      </c>
      <c r="P368" s="394">
        <v>0.0</v>
      </c>
      <c r="Q368" s="376" t="s">
        <v>280</v>
      </c>
      <c r="R368" s="394" t="s">
        <v>607</v>
      </c>
      <c r="S368" s="394">
        <v>10.0</v>
      </c>
      <c r="T368" s="394">
        <v>5.0</v>
      </c>
      <c r="U368" s="394">
        <v>0.7</v>
      </c>
      <c r="V368" s="394">
        <v>0.7</v>
      </c>
      <c r="W368" s="394">
        <v>0.7</v>
      </c>
      <c r="X368" s="391">
        <v>2000.0</v>
      </c>
      <c r="Y368" s="391" t="s">
        <v>540</v>
      </c>
      <c r="Z368" s="391">
        <v>0.2</v>
      </c>
      <c r="AA368" s="391" t="s">
        <v>541</v>
      </c>
      <c r="AB368" s="391" t="s">
        <v>542</v>
      </c>
      <c r="AC368" s="391">
        <v>220.0</v>
      </c>
      <c r="AD368" s="193"/>
      <c r="AE368" s="377"/>
    </row>
    <row r="369">
      <c r="A369" s="391" t="s">
        <v>792</v>
      </c>
      <c r="B369" s="391">
        <v>7.0</v>
      </c>
      <c r="C369" s="391">
        <v>379.0</v>
      </c>
      <c r="D369" s="391" t="s">
        <v>582</v>
      </c>
      <c r="E369" s="391">
        <v>1.0</v>
      </c>
      <c r="F369" s="402">
        <v>45495.51875</v>
      </c>
      <c r="G369" s="391">
        <v>2.0</v>
      </c>
      <c r="H369" s="391">
        <v>51.3741</v>
      </c>
      <c r="I369" s="391">
        <v>6.89662</v>
      </c>
      <c r="J369" s="391">
        <v>-24.23945</v>
      </c>
      <c r="K369" s="391">
        <v>-22.455444</v>
      </c>
      <c r="L369" s="391">
        <v>1065.34</v>
      </c>
      <c r="M369" s="391">
        <v>68.999922</v>
      </c>
      <c r="N369" s="391">
        <v>11799.0783</v>
      </c>
      <c r="O369" s="391">
        <v>11711.0123</v>
      </c>
      <c r="P369" s="394">
        <v>2085.14841</v>
      </c>
      <c r="Q369" s="376" t="s">
        <v>12</v>
      </c>
      <c r="R369" s="394" t="s">
        <v>553</v>
      </c>
      <c r="S369" s="394">
        <v>10.0</v>
      </c>
      <c r="T369" s="394">
        <v>5.0</v>
      </c>
      <c r="U369" s="394">
        <v>0.7</v>
      </c>
      <c r="V369" s="394">
        <v>0.7</v>
      </c>
      <c r="W369" s="394">
        <v>0.7</v>
      </c>
      <c r="X369" s="391">
        <v>2000.0</v>
      </c>
      <c r="Y369" s="391" t="s">
        <v>540</v>
      </c>
      <c r="Z369" s="391">
        <v>0.2</v>
      </c>
      <c r="AA369" s="391" t="s">
        <v>541</v>
      </c>
      <c r="AB369" s="391" t="s">
        <v>542</v>
      </c>
      <c r="AC369" s="391">
        <v>220.0</v>
      </c>
      <c r="AD369" s="193"/>
      <c r="AE369" s="377"/>
    </row>
    <row r="370">
      <c r="A370" s="391" t="s">
        <v>793</v>
      </c>
      <c r="B370" s="391">
        <v>7.0</v>
      </c>
      <c r="C370" s="391">
        <v>379.0</v>
      </c>
      <c r="D370" s="391" t="s">
        <v>582</v>
      </c>
      <c r="E370" s="391">
        <v>1.0</v>
      </c>
      <c r="F370" s="402">
        <v>45495.521527777775</v>
      </c>
      <c r="G370" s="391">
        <v>2.0</v>
      </c>
      <c r="H370" s="391">
        <v>51.3807</v>
      </c>
      <c r="I370" s="391">
        <v>6.65863</v>
      </c>
      <c r="J370" s="391">
        <v>-24.2828</v>
      </c>
      <c r="K370" s="391">
        <v>-22.465663</v>
      </c>
      <c r="L370" s="391">
        <v>1037.71</v>
      </c>
      <c r="M370" s="391">
        <v>69.500655</v>
      </c>
      <c r="N370" s="391">
        <v>11721.9156</v>
      </c>
      <c r="O370" s="391">
        <v>11711.0123</v>
      </c>
      <c r="P370" s="394">
        <v>2085.14841</v>
      </c>
      <c r="Q370" s="376" t="s">
        <v>12</v>
      </c>
      <c r="R370" s="394" t="s">
        <v>539</v>
      </c>
      <c r="S370" s="394">
        <v>10.0</v>
      </c>
      <c r="T370" s="394">
        <v>5.0</v>
      </c>
      <c r="U370" s="394">
        <v>0.7</v>
      </c>
      <c r="V370" s="394">
        <v>0.7</v>
      </c>
      <c r="W370" s="394">
        <v>0.7</v>
      </c>
      <c r="X370" s="391">
        <v>2000.0</v>
      </c>
      <c r="Y370" s="391" t="s">
        <v>540</v>
      </c>
      <c r="Z370" s="391">
        <v>0.2</v>
      </c>
      <c r="AA370" s="391" t="s">
        <v>541</v>
      </c>
      <c r="AB370" s="391" t="s">
        <v>542</v>
      </c>
      <c r="AC370" s="391">
        <v>220.0</v>
      </c>
      <c r="AD370" s="193"/>
      <c r="AE370" s="377"/>
    </row>
    <row r="371">
      <c r="A371" s="391" t="s">
        <v>794</v>
      </c>
      <c r="B371" s="391">
        <v>7.0</v>
      </c>
      <c r="C371" s="391">
        <v>379.0</v>
      </c>
      <c r="D371" s="391" t="s">
        <v>582</v>
      </c>
      <c r="E371" s="391">
        <v>1.0</v>
      </c>
      <c r="F371" s="402">
        <v>45495.524305555555</v>
      </c>
      <c r="G371" s="391">
        <v>2.0</v>
      </c>
      <c r="H371" s="391">
        <v>51.3741</v>
      </c>
      <c r="I371" s="391">
        <v>6.51255</v>
      </c>
      <c r="J371" s="391">
        <v>-24.374475</v>
      </c>
      <c r="K371" s="391">
        <v>-22.577994</v>
      </c>
      <c r="L371" s="391">
        <v>1060.76</v>
      </c>
      <c r="M371" s="391">
        <v>71.499484</v>
      </c>
      <c r="N371" s="391">
        <v>11700.1091</v>
      </c>
      <c r="O371" s="391">
        <v>11711.0123</v>
      </c>
      <c r="P371" s="394">
        <v>2085.14841</v>
      </c>
      <c r="Q371" s="376" t="s">
        <v>12</v>
      </c>
      <c r="R371" s="394" t="s">
        <v>539</v>
      </c>
      <c r="S371" s="394">
        <v>10.0</v>
      </c>
      <c r="T371" s="394">
        <v>5.0</v>
      </c>
      <c r="U371" s="394">
        <v>0.7</v>
      </c>
      <c r="V371" s="394">
        <v>0.7</v>
      </c>
      <c r="W371" s="394">
        <v>0.7</v>
      </c>
      <c r="X371" s="391">
        <v>2000.0</v>
      </c>
      <c r="Y371" s="391" t="s">
        <v>540</v>
      </c>
      <c r="Z371" s="391">
        <v>0.2</v>
      </c>
      <c r="AA371" s="391" t="s">
        <v>541</v>
      </c>
      <c r="AB371" s="391" t="s">
        <v>542</v>
      </c>
      <c r="AC371" s="391">
        <v>220.0</v>
      </c>
      <c r="AD371" s="193"/>
      <c r="AE371" s="377"/>
    </row>
    <row r="372">
      <c r="A372" s="391" t="s">
        <v>570</v>
      </c>
      <c r="B372" s="391">
        <v>8.0</v>
      </c>
      <c r="C372" s="391">
        <v>521.0</v>
      </c>
      <c r="D372" s="391" t="s">
        <v>585</v>
      </c>
      <c r="E372" s="391">
        <v>1.0</v>
      </c>
      <c r="F372" s="402">
        <v>45495.52777777778</v>
      </c>
      <c r="G372" s="391">
        <v>1.0</v>
      </c>
      <c r="H372" s="391">
        <v>51.3774</v>
      </c>
      <c r="I372" s="391">
        <v>6.54157</v>
      </c>
      <c r="J372" s="391">
        <v>-24.358519</v>
      </c>
      <c r="K372" s="391">
        <v>-22.464913</v>
      </c>
      <c r="L372" s="391">
        <v>1057.13</v>
      </c>
      <c r="M372" s="391">
        <v>68.998414</v>
      </c>
      <c r="N372" s="391">
        <v>11502.0942</v>
      </c>
      <c r="O372" s="391">
        <v>11665.0423</v>
      </c>
      <c r="P372" s="394">
        <v>2077.0972</v>
      </c>
      <c r="Q372" s="376" t="s">
        <v>12</v>
      </c>
      <c r="R372" s="394" t="s">
        <v>553</v>
      </c>
      <c r="S372" s="394">
        <v>10.0</v>
      </c>
      <c r="T372" s="394">
        <v>5.0</v>
      </c>
      <c r="U372" s="394">
        <v>0.7</v>
      </c>
      <c r="V372" s="394">
        <v>0.7</v>
      </c>
      <c r="W372" s="394">
        <v>0.7</v>
      </c>
      <c r="X372" s="391">
        <v>2000.0</v>
      </c>
      <c r="Y372" s="391" t="s">
        <v>540</v>
      </c>
      <c r="Z372" s="391">
        <v>0.2</v>
      </c>
      <c r="AA372" s="391" t="s">
        <v>541</v>
      </c>
      <c r="AB372" s="391" t="s">
        <v>542</v>
      </c>
      <c r="AC372" s="391">
        <v>220.0</v>
      </c>
      <c r="AD372" s="193"/>
      <c r="AE372" s="377"/>
    </row>
    <row r="373">
      <c r="A373" s="391" t="s">
        <v>572</v>
      </c>
      <c r="B373" s="391">
        <v>8.0</v>
      </c>
      <c r="C373" s="391">
        <v>521.0</v>
      </c>
      <c r="D373" s="391" t="s">
        <v>585</v>
      </c>
      <c r="E373" s="391">
        <v>1.0</v>
      </c>
      <c r="F373" s="402">
        <v>45495.53055555555</v>
      </c>
      <c r="G373" s="391">
        <v>1.0</v>
      </c>
      <c r="H373" s="391">
        <v>51.3741</v>
      </c>
      <c r="I373" s="391">
        <v>6.89072</v>
      </c>
      <c r="J373" s="391">
        <v>-24.355763</v>
      </c>
      <c r="K373" s="391">
        <v>-22.648169</v>
      </c>
      <c r="L373" s="391">
        <v>1042.73</v>
      </c>
      <c r="M373" s="391">
        <v>72.498509</v>
      </c>
      <c r="N373" s="391">
        <v>11674.0278</v>
      </c>
      <c r="O373" s="391">
        <v>11665.0423</v>
      </c>
      <c r="P373" s="394">
        <v>2077.0972</v>
      </c>
      <c r="Q373" s="376" t="s">
        <v>12</v>
      </c>
      <c r="R373" s="394" t="s">
        <v>539</v>
      </c>
      <c r="S373" s="394">
        <v>10.0</v>
      </c>
      <c r="T373" s="394">
        <v>5.0</v>
      </c>
      <c r="U373" s="394">
        <v>0.7</v>
      </c>
      <c r="V373" s="394">
        <v>0.7</v>
      </c>
      <c r="W373" s="394">
        <v>0.7</v>
      </c>
      <c r="X373" s="391">
        <v>2000.0</v>
      </c>
      <c r="Y373" s="391" t="s">
        <v>540</v>
      </c>
      <c r="Z373" s="391">
        <v>0.2</v>
      </c>
      <c r="AA373" s="391" t="s">
        <v>541</v>
      </c>
      <c r="AB373" s="391" t="s">
        <v>542</v>
      </c>
      <c r="AC373" s="391">
        <v>220.0</v>
      </c>
      <c r="AD373" s="193"/>
      <c r="AE373" s="377"/>
    </row>
    <row r="374">
      <c r="A374" s="391" t="s">
        <v>573</v>
      </c>
      <c r="B374" s="391">
        <v>8.0</v>
      </c>
      <c r="C374" s="391">
        <v>521.0</v>
      </c>
      <c r="D374" s="391" t="s">
        <v>585</v>
      </c>
      <c r="E374" s="391">
        <v>1.0</v>
      </c>
      <c r="F374" s="402">
        <v>45495.53333333333</v>
      </c>
      <c r="G374" s="391">
        <v>1.0</v>
      </c>
      <c r="H374" s="391">
        <v>51.3708</v>
      </c>
      <c r="I374" s="391">
        <v>6.67959</v>
      </c>
      <c r="J374" s="391">
        <v>-24.382844</v>
      </c>
      <c r="K374" s="391">
        <v>-22.6863</v>
      </c>
      <c r="L374" s="391">
        <v>1049.72</v>
      </c>
      <c r="M374" s="391">
        <v>71.498313</v>
      </c>
      <c r="N374" s="391">
        <v>11656.0568</v>
      </c>
      <c r="O374" s="391">
        <v>11665.0423</v>
      </c>
      <c r="P374" s="394">
        <v>2077.0972</v>
      </c>
      <c r="Q374" s="376" t="s">
        <v>12</v>
      </c>
      <c r="R374" s="394" t="s">
        <v>539</v>
      </c>
      <c r="S374" s="394">
        <v>10.0</v>
      </c>
      <c r="T374" s="394">
        <v>5.0</v>
      </c>
      <c r="U374" s="394">
        <v>0.7</v>
      </c>
      <c r="V374" s="394">
        <v>0.7</v>
      </c>
      <c r="W374" s="394">
        <v>0.7</v>
      </c>
      <c r="X374" s="391">
        <v>2000.0</v>
      </c>
      <c r="Y374" s="391" t="s">
        <v>540</v>
      </c>
      <c r="Z374" s="391">
        <v>0.2</v>
      </c>
      <c r="AA374" s="391" t="s">
        <v>541</v>
      </c>
      <c r="AB374" s="391" t="s">
        <v>542</v>
      </c>
      <c r="AC374" s="391">
        <v>220.0</v>
      </c>
      <c r="AD374" s="193"/>
      <c r="AE374" s="377"/>
    </row>
    <row r="375">
      <c r="A375" s="391" t="s">
        <v>574</v>
      </c>
      <c r="B375" s="391">
        <v>9.0</v>
      </c>
      <c r="C375" s="391">
        <v>522.0</v>
      </c>
      <c r="D375" s="391" t="s">
        <v>589</v>
      </c>
      <c r="E375" s="391">
        <v>1.0</v>
      </c>
      <c r="F375" s="402">
        <v>45495.53680555556</v>
      </c>
      <c r="G375" s="391">
        <v>1.0</v>
      </c>
      <c r="H375" s="391">
        <v>51.3807</v>
      </c>
      <c r="I375" s="391">
        <v>6.58192</v>
      </c>
      <c r="J375" s="391">
        <v>-24.367081</v>
      </c>
      <c r="K375" s="391">
        <v>-22.875825</v>
      </c>
      <c r="L375" s="391">
        <v>1047.2</v>
      </c>
      <c r="M375" s="391">
        <v>74.500872</v>
      </c>
      <c r="N375" s="391">
        <v>11695.4266</v>
      </c>
      <c r="O375" s="391">
        <v>11772.4779</v>
      </c>
      <c r="P375" s="394">
        <v>2095.9135</v>
      </c>
      <c r="Q375" s="376" t="s">
        <v>12</v>
      </c>
      <c r="R375" s="394" t="s">
        <v>553</v>
      </c>
      <c r="S375" s="394">
        <v>10.0</v>
      </c>
      <c r="T375" s="394">
        <v>5.0</v>
      </c>
      <c r="U375" s="394">
        <v>0.7</v>
      </c>
      <c r="V375" s="394">
        <v>0.7</v>
      </c>
      <c r="W375" s="394">
        <v>0.7</v>
      </c>
      <c r="X375" s="391">
        <v>2000.0</v>
      </c>
      <c r="Y375" s="391" t="s">
        <v>540</v>
      </c>
      <c r="Z375" s="391">
        <v>0.2</v>
      </c>
      <c r="AA375" s="391" t="s">
        <v>541</v>
      </c>
      <c r="AB375" s="391" t="s">
        <v>542</v>
      </c>
      <c r="AC375" s="391">
        <v>220.0</v>
      </c>
      <c r="AD375" s="193"/>
      <c r="AE375" s="377"/>
    </row>
    <row r="376">
      <c r="A376" s="391" t="s">
        <v>576</v>
      </c>
      <c r="B376" s="391">
        <v>9.0</v>
      </c>
      <c r="C376" s="391">
        <v>522.0</v>
      </c>
      <c r="D376" s="391" t="s">
        <v>589</v>
      </c>
      <c r="E376" s="391">
        <v>1.0</v>
      </c>
      <c r="F376" s="402">
        <v>45495.53958333333</v>
      </c>
      <c r="G376" s="391">
        <v>1.0</v>
      </c>
      <c r="H376" s="391">
        <v>51.3675</v>
      </c>
      <c r="I376" s="391">
        <v>6.60961</v>
      </c>
      <c r="J376" s="391">
        <v>-24.3328</v>
      </c>
      <c r="K376" s="391">
        <v>-22.699544</v>
      </c>
      <c r="L376" s="391">
        <v>1048.62</v>
      </c>
      <c r="M376" s="391">
        <v>72.499763</v>
      </c>
      <c r="N376" s="391">
        <v>11732.4629</v>
      </c>
      <c r="O376" s="391">
        <v>11772.4779</v>
      </c>
      <c r="P376" s="394">
        <v>2095.9135</v>
      </c>
      <c r="Q376" s="376" t="s">
        <v>12</v>
      </c>
      <c r="R376" s="394" t="s">
        <v>553</v>
      </c>
      <c r="S376" s="394">
        <v>10.0</v>
      </c>
      <c r="T376" s="394">
        <v>5.0</v>
      </c>
      <c r="U376" s="394">
        <v>0.7</v>
      </c>
      <c r="V376" s="394">
        <v>0.7</v>
      </c>
      <c r="W376" s="394">
        <v>0.7</v>
      </c>
      <c r="X376" s="391">
        <v>2000.0</v>
      </c>
      <c r="Y376" s="391" t="s">
        <v>540</v>
      </c>
      <c r="Z376" s="391">
        <v>0.2</v>
      </c>
      <c r="AA376" s="391" t="s">
        <v>541</v>
      </c>
      <c r="AB376" s="391" t="s">
        <v>542</v>
      </c>
      <c r="AC376" s="391">
        <v>220.0</v>
      </c>
      <c r="AD376" s="193"/>
      <c r="AE376" s="377"/>
    </row>
    <row r="377">
      <c r="A377" s="391" t="s">
        <v>577</v>
      </c>
      <c r="B377" s="391">
        <v>9.0</v>
      </c>
      <c r="C377" s="391">
        <v>522.0</v>
      </c>
      <c r="D377" s="391" t="s">
        <v>589</v>
      </c>
      <c r="E377" s="391">
        <v>1.0</v>
      </c>
      <c r="F377" s="402">
        <v>45495.54236111111</v>
      </c>
      <c r="G377" s="391">
        <v>1.0</v>
      </c>
      <c r="H377" s="391">
        <v>51.3741</v>
      </c>
      <c r="I377" s="391">
        <v>6.90072</v>
      </c>
      <c r="J377" s="391">
        <v>-24.254775</v>
      </c>
      <c r="K377" s="391">
        <v>-22.785288</v>
      </c>
      <c r="L377" s="391">
        <v>1042.41</v>
      </c>
      <c r="M377" s="391">
        <v>72.999606</v>
      </c>
      <c r="N377" s="391">
        <v>11773.6794</v>
      </c>
      <c r="O377" s="391">
        <v>11772.4779</v>
      </c>
      <c r="P377" s="394">
        <v>2095.9135</v>
      </c>
      <c r="Q377" s="376" t="s">
        <v>12</v>
      </c>
      <c r="R377" s="394" t="s">
        <v>539</v>
      </c>
      <c r="S377" s="394">
        <v>10.0</v>
      </c>
      <c r="T377" s="394">
        <v>5.0</v>
      </c>
      <c r="U377" s="394">
        <v>0.7</v>
      </c>
      <c r="V377" s="394">
        <v>0.7</v>
      </c>
      <c r="W377" s="394">
        <v>0.7</v>
      </c>
      <c r="X377" s="391">
        <v>2000.0</v>
      </c>
      <c r="Y377" s="391" t="s">
        <v>540</v>
      </c>
      <c r="Z377" s="391">
        <v>0.2</v>
      </c>
      <c r="AA377" s="391" t="s">
        <v>541</v>
      </c>
      <c r="AB377" s="391" t="s">
        <v>542</v>
      </c>
      <c r="AC377" s="391">
        <v>220.0</v>
      </c>
      <c r="AD377" s="193"/>
      <c r="AE377" s="377"/>
    </row>
    <row r="378">
      <c r="A378" s="391" t="s">
        <v>795</v>
      </c>
      <c r="B378" s="391">
        <v>9.0</v>
      </c>
      <c r="C378" s="391">
        <v>522.0</v>
      </c>
      <c r="D378" s="391" t="s">
        <v>589</v>
      </c>
      <c r="E378" s="391">
        <v>1.0</v>
      </c>
      <c r="F378" s="402">
        <v>45495.54513888889</v>
      </c>
      <c r="G378" s="391">
        <v>1.0</v>
      </c>
      <c r="H378" s="391">
        <v>51.3807</v>
      </c>
      <c r="I378" s="391">
        <v>7.51622</v>
      </c>
      <c r="J378" s="391">
        <v>-24.221031</v>
      </c>
      <c r="K378" s="391">
        <v>-22.765806</v>
      </c>
      <c r="L378" s="391">
        <v>1043.74</v>
      </c>
      <c r="M378" s="391">
        <v>69.999792</v>
      </c>
      <c r="N378" s="391">
        <v>11771.2764</v>
      </c>
      <c r="O378" s="391">
        <v>11772.4779</v>
      </c>
      <c r="P378" s="394">
        <v>2095.9135</v>
      </c>
      <c r="Q378" s="376" t="s">
        <v>12</v>
      </c>
      <c r="R378" s="394" t="s">
        <v>539</v>
      </c>
      <c r="S378" s="394">
        <v>10.0</v>
      </c>
      <c r="T378" s="394">
        <v>5.0</v>
      </c>
      <c r="U378" s="394">
        <v>0.7</v>
      </c>
      <c r="V378" s="394">
        <v>0.7</v>
      </c>
      <c r="W378" s="394">
        <v>0.7</v>
      </c>
      <c r="X378" s="391">
        <v>2000.0</v>
      </c>
      <c r="Y378" s="391" t="s">
        <v>540</v>
      </c>
      <c r="Z378" s="391">
        <v>0.2</v>
      </c>
      <c r="AA378" s="391" t="s">
        <v>541</v>
      </c>
      <c r="AB378" s="391" t="s">
        <v>542</v>
      </c>
      <c r="AC378" s="391">
        <v>220.0</v>
      </c>
      <c r="AD378" s="193"/>
      <c r="AE378" s="377"/>
    </row>
    <row r="379">
      <c r="A379" s="391" t="s">
        <v>796</v>
      </c>
      <c r="B379" s="391" t="s">
        <v>551</v>
      </c>
      <c r="C379" s="391" t="s">
        <v>776</v>
      </c>
      <c r="D379" s="391" t="s">
        <v>538</v>
      </c>
      <c r="E379" s="391">
        <v>0.8</v>
      </c>
      <c r="F379" s="402">
        <v>45495.56180555555</v>
      </c>
      <c r="G379" s="391">
        <v>1.0</v>
      </c>
      <c r="H379" s="391">
        <v>51.3741</v>
      </c>
      <c r="I379" s="391">
        <v>7.48911</v>
      </c>
      <c r="J379" s="391">
        <v>-24.21465</v>
      </c>
      <c r="K379" s="391">
        <v>-22.824719</v>
      </c>
      <c r="L379" s="391">
        <v>993.478</v>
      </c>
      <c r="M379" s="391">
        <v>65.499823</v>
      </c>
      <c r="N379" s="391">
        <v>9294.34071</v>
      </c>
      <c r="O379" s="391">
        <v>9287.33975</v>
      </c>
      <c r="P379" s="394">
        <v>2070.3457</v>
      </c>
      <c r="Q379" s="376" t="s">
        <v>12</v>
      </c>
      <c r="R379" s="394" t="s">
        <v>539</v>
      </c>
      <c r="S379" s="394">
        <v>10.0</v>
      </c>
      <c r="T379" s="394">
        <v>5.0</v>
      </c>
      <c r="U379" s="394">
        <v>0.7</v>
      </c>
      <c r="V379" s="394">
        <v>0.7</v>
      </c>
      <c r="W379" s="394">
        <v>0.7</v>
      </c>
      <c r="X379" s="391">
        <v>2000.0</v>
      </c>
      <c r="Y379" s="391" t="s">
        <v>540</v>
      </c>
      <c r="Z379" s="391">
        <v>0.2</v>
      </c>
      <c r="AA379" s="391" t="s">
        <v>541</v>
      </c>
      <c r="AB379" s="391" t="s">
        <v>542</v>
      </c>
      <c r="AC379" s="391">
        <v>220.0</v>
      </c>
      <c r="AD379" s="193"/>
      <c r="AE379" s="377"/>
    </row>
    <row r="380">
      <c r="A380" s="391" t="s">
        <v>797</v>
      </c>
      <c r="B380" s="391" t="s">
        <v>551</v>
      </c>
      <c r="C380" s="391" t="s">
        <v>776</v>
      </c>
      <c r="D380" s="391" t="s">
        <v>538</v>
      </c>
      <c r="E380" s="391">
        <v>0.8</v>
      </c>
      <c r="F380" s="402">
        <v>45495.56458333333</v>
      </c>
      <c r="G380" s="391">
        <v>1.0</v>
      </c>
      <c r="H380" s="391">
        <v>51.3774</v>
      </c>
      <c r="I380" s="391">
        <v>7.55738</v>
      </c>
      <c r="J380" s="391">
        <v>-24.200044</v>
      </c>
      <c r="K380" s="391">
        <v>-22.965113</v>
      </c>
      <c r="L380" s="391">
        <v>989.537</v>
      </c>
      <c r="M380" s="391">
        <v>66.00142</v>
      </c>
      <c r="N380" s="391">
        <v>9280.3388</v>
      </c>
      <c r="O380" s="391">
        <v>9287.33975</v>
      </c>
      <c r="P380" s="394">
        <v>2070.3457</v>
      </c>
      <c r="Q380" s="376" t="s">
        <v>12</v>
      </c>
      <c r="R380" s="394" t="s">
        <v>539</v>
      </c>
      <c r="S380" s="394">
        <v>10.0</v>
      </c>
      <c r="T380" s="394">
        <v>5.0</v>
      </c>
      <c r="U380" s="394">
        <v>0.7</v>
      </c>
      <c r="V380" s="394">
        <v>0.7</v>
      </c>
      <c r="W380" s="394">
        <v>0.7</v>
      </c>
      <c r="X380" s="391">
        <v>2000.0</v>
      </c>
      <c r="Y380" s="391" t="s">
        <v>540</v>
      </c>
      <c r="Z380" s="391">
        <v>0.2</v>
      </c>
      <c r="AA380" s="391" t="s">
        <v>541</v>
      </c>
      <c r="AB380" s="391" t="s">
        <v>542</v>
      </c>
      <c r="AC380" s="391">
        <v>220.0</v>
      </c>
      <c r="AD380" s="193"/>
      <c r="AE380" s="377"/>
    </row>
    <row r="381">
      <c r="A381" s="391" t="s">
        <v>798</v>
      </c>
      <c r="B381" s="391" t="s">
        <v>558</v>
      </c>
      <c r="C381" s="391" t="s">
        <v>776</v>
      </c>
      <c r="D381" s="391" t="s">
        <v>538</v>
      </c>
      <c r="E381" s="391">
        <v>1.0</v>
      </c>
      <c r="F381" s="402">
        <v>45495.56736111111</v>
      </c>
      <c r="G381" s="391">
        <v>1.0</v>
      </c>
      <c r="H381" s="391">
        <v>51.3741</v>
      </c>
      <c r="I381" s="391">
        <v>7.43632</v>
      </c>
      <c r="J381" s="391">
        <v>-24.316594</v>
      </c>
      <c r="K381" s="391">
        <v>-22.814144</v>
      </c>
      <c r="L381" s="391">
        <v>1068.42</v>
      </c>
      <c r="M381" s="391">
        <v>73.498876</v>
      </c>
      <c r="N381" s="391">
        <v>11680.8449</v>
      </c>
      <c r="O381" s="391">
        <v>11633.4675</v>
      </c>
      <c r="P381" s="394">
        <v>2070.3457</v>
      </c>
      <c r="Q381" s="376" t="s">
        <v>12</v>
      </c>
      <c r="R381" s="394" t="s">
        <v>553</v>
      </c>
      <c r="S381" s="394">
        <v>10.0</v>
      </c>
      <c r="T381" s="394">
        <v>5.0</v>
      </c>
      <c r="U381" s="394">
        <v>0.7</v>
      </c>
      <c r="V381" s="394">
        <v>0.7</v>
      </c>
      <c r="W381" s="394">
        <v>0.7</v>
      </c>
      <c r="X381" s="391">
        <v>2000.0</v>
      </c>
      <c r="Y381" s="391" t="s">
        <v>540</v>
      </c>
      <c r="Z381" s="391">
        <v>0.2</v>
      </c>
      <c r="AA381" s="391" t="s">
        <v>541</v>
      </c>
      <c r="AB381" s="391" t="s">
        <v>542</v>
      </c>
      <c r="AC381" s="391">
        <v>220.0</v>
      </c>
      <c r="AD381" s="193"/>
      <c r="AE381" s="377"/>
    </row>
    <row r="382">
      <c r="A382" s="395" t="s">
        <v>799</v>
      </c>
      <c r="B382" s="395" t="s">
        <v>558</v>
      </c>
      <c r="C382" s="395" t="s">
        <v>776</v>
      </c>
      <c r="D382" s="395" t="s">
        <v>538</v>
      </c>
      <c r="E382" s="395">
        <v>1.0</v>
      </c>
      <c r="F382" s="403">
        <v>45495.57013888889</v>
      </c>
      <c r="G382" s="395">
        <v>1.0</v>
      </c>
      <c r="H382" s="395">
        <v>51.3774</v>
      </c>
      <c r="I382" s="395">
        <v>7.33527</v>
      </c>
      <c r="J382" s="395">
        <v>-24.336338</v>
      </c>
      <c r="K382" s="395">
        <v>-22.873537</v>
      </c>
      <c r="L382" s="395">
        <v>1062.32</v>
      </c>
      <c r="M382" s="395">
        <v>72.500047</v>
      </c>
      <c r="N382" s="395">
        <v>11626.3421</v>
      </c>
      <c r="O382" s="395">
        <v>11633.4675</v>
      </c>
      <c r="P382" s="397">
        <v>2070.3457</v>
      </c>
      <c r="Q382" s="376" t="s">
        <v>12</v>
      </c>
      <c r="R382" s="397" t="s">
        <v>539</v>
      </c>
      <c r="S382" s="394">
        <v>10.0</v>
      </c>
      <c r="T382" s="394">
        <v>5.0</v>
      </c>
      <c r="U382" s="394">
        <v>0.7</v>
      </c>
      <c r="V382" s="394">
        <v>0.7</v>
      </c>
      <c r="W382" s="394">
        <v>0.7</v>
      </c>
      <c r="X382" s="391">
        <v>2000.0</v>
      </c>
      <c r="Y382" s="391" t="s">
        <v>540</v>
      </c>
      <c r="Z382" s="391">
        <v>0.2</v>
      </c>
      <c r="AA382" s="391" t="s">
        <v>541</v>
      </c>
      <c r="AB382" s="391" t="s">
        <v>542</v>
      </c>
      <c r="AC382" s="391">
        <v>220.0</v>
      </c>
      <c r="AD382" s="193"/>
      <c r="AE382" s="377"/>
    </row>
    <row r="383">
      <c r="A383" s="391" t="s">
        <v>800</v>
      </c>
      <c r="B383" s="391" t="s">
        <v>558</v>
      </c>
      <c r="C383" s="391" t="s">
        <v>776</v>
      </c>
      <c r="D383" s="391" t="s">
        <v>538</v>
      </c>
      <c r="E383" s="391">
        <v>1.0</v>
      </c>
      <c r="F383" s="402">
        <v>45495.572916666664</v>
      </c>
      <c r="G383" s="391">
        <v>1.0</v>
      </c>
      <c r="H383" s="391">
        <v>51.3774</v>
      </c>
      <c r="I383" s="391">
        <v>7.26185</v>
      </c>
      <c r="J383" s="391">
        <v>-24.248131</v>
      </c>
      <c r="K383" s="391">
        <v>-22.623581</v>
      </c>
      <c r="L383" s="391">
        <v>1075.53</v>
      </c>
      <c r="M383" s="391">
        <v>69.500285</v>
      </c>
      <c r="N383" s="391">
        <v>11640.5929</v>
      </c>
      <c r="O383" s="391">
        <v>11633.4675</v>
      </c>
      <c r="P383" s="394">
        <v>2070.3457</v>
      </c>
      <c r="Q383" s="376" t="s">
        <v>12</v>
      </c>
      <c r="R383" s="394" t="s">
        <v>539</v>
      </c>
      <c r="S383" s="394">
        <v>10.0</v>
      </c>
      <c r="T383" s="394">
        <v>5.0</v>
      </c>
      <c r="U383" s="394">
        <v>0.7</v>
      </c>
      <c r="V383" s="394">
        <v>0.7</v>
      </c>
      <c r="W383" s="394">
        <v>0.7</v>
      </c>
      <c r="X383" s="391">
        <v>2000.0</v>
      </c>
      <c r="Y383" s="391" t="s">
        <v>540</v>
      </c>
      <c r="Z383" s="391">
        <v>0.2</v>
      </c>
      <c r="AA383" s="391" t="s">
        <v>541</v>
      </c>
      <c r="AB383" s="391" t="s">
        <v>542</v>
      </c>
      <c r="AC383" s="391">
        <v>220.0</v>
      </c>
      <c r="AD383" s="193"/>
      <c r="AE383" s="377"/>
    </row>
    <row r="384">
      <c r="A384" s="391" t="s">
        <v>801</v>
      </c>
      <c r="B384" s="391" t="s">
        <v>561</v>
      </c>
      <c r="C384" s="391" t="s">
        <v>776</v>
      </c>
      <c r="D384" s="391" t="s">
        <v>538</v>
      </c>
      <c r="E384" s="391">
        <v>1.2</v>
      </c>
      <c r="F384" s="402">
        <v>45495.575694444444</v>
      </c>
      <c r="G384" s="391">
        <v>1.0</v>
      </c>
      <c r="H384" s="391">
        <v>51.3774</v>
      </c>
      <c r="I384" s="391">
        <v>7.17695</v>
      </c>
      <c r="J384" s="391">
        <v>-24.247744</v>
      </c>
      <c r="K384" s="391">
        <v>-22.929725</v>
      </c>
      <c r="L384" s="391">
        <v>1090.11</v>
      </c>
      <c r="M384" s="391">
        <v>81.499372</v>
      </c>
      <c r="N384" s="391">
        <v>14024.8772</v>
      </c>
      <c r="O384" s="391">
        <v>13977.7141</v>
      </c>
      <c r="P384" s="394">
        <v>2070.3457</v>
      </c>
      <c r="Q384" s="376" t="s">
        <v>12</v>
      </c>
      <c r="R384" s="394" t="s">
        <v>553</v>
      </c>
      <c r="S384" s="394">
        <v>10.0</v>
      </c>
      <c r="T384" s="394">
        <v>5.0</v>
      </c>
      <c r="U384" s="394">
        <v>0.7</v>
      </c>
      <c r="V384" s="394">
        <v>0.7</v>
      </c>
      <c r="W384" s="394">
        <v>0.7</v>
      </c>
      <c r="X384" s="391">
        <v>2000.0</v>
      </c>
      <c r="Y384" s="391" t="s">
        <v>540</v>
      </c>
      <c r="Z384" s="391">
        <v>0.2</v>
      </c>
      <c r="AA384" s="391" t="s">
        <v>541</v>
      </c>
      <c r="AB384" s="391" t="s">
        <v>542</v>
      </c>
      <c r="AC384" s="391">
        <v>220.0</v>
      </c>
      <c r="AD384" s="193"/>
      <c r="AE384" s="377"/>
    </row>
    <row r="385">
      <c r="A385" s="391" t="s">
        <v>802</v>
      </c>
      <c r="B385" s="391" t="s">
        <v>561</v>
      </c>
      <c r="C385" s="391" t="s">
        <v>776</v>
      </c>
      <c r="D385" s="391" t="s">
        <v>538</v>
      </c>
      <c r="E385" s="391">
        <v>1.2</v>
      </c>
      <c r="F385" s="402">
        <v>45495.57916666667</v>
      </c>
      <c r="G385" s="391">
        <v>1.0</v>
      </c>
      <c r="H385" s="391">
        <v>51.3708</v>
      </c>
      <c r="I385" s="391">
        <v>7.06356</v>
      </c>
      <c r="J385" s="391">
        <v>-24.116244</v>
      </c>
      <c r="K385" s="391">
        <v>-22.302012</v>
      </c>
      <c r="L385" s="391">
        <v>1107.72</v>
      </c>
      <c r="M385" s="391">
        <v>73.499185</v>
      </c>
      <c r="N385" s="391">
        <v>13989.3431</v>
      </c>
      <c r="O385" s="391">
        <v>13977.7141</v>
      </c>
      <c r="P385" s="394">
        <v>2070.3457</v>
      </c>
      <c r="Q385" s="376" t="s">
        <v>12</v>
      </c>
      <c r="R385" s="394" t="s">
        <v>539</v>
      </c>
      <c r="S385" s="394">
        <v>10.0</v>
      </c>
      <c r="T385" s="394">
        <v>5.0</v>
      </c>
      <c r="U385" s="394">
        <v>0.7</v>
      </c>
      <c r="V385" s="394">
        <v>0.7</v>
      </c>
      <c r="W385" s="394">
        <v>0.7</v>
      </c>
      <c r="X385" s="391">
        <v>2000.0</v>
      </c>
      <c r="Y385" s="391" t="s">
        <v>540</v>
      </c>
      <c r="Z385" s="391">
        <v>0.2</v>
      </c>
      <c r="AA385" s="391" t="s">
        <v>541</v>
      </c>
      <c r="AB385" s="391" t="s">
        <v>542</v>
      </c>
      <c r="AC385" s="391">
        <v>220.0</v>
      </c>
      <c r="AD385" s="193"/>
      <c r="AE385" s="377"/>
    </row>
    <row r="386">
      <c r="A386" s="391" t="s">
        <v>803</v>
      </c>
      <c r="B386" s="391" t="s">
        <v>561</v>
      </c>
      <c r="C386" s="391" t="s">
        <v>776</v>
      </c>
      <c r="D386" s="391" t="s">
        <v>538</v>
      </c>
      <c r="E386" s="391">
        <v>1.2</v>
      </c>
      <c r="F386" s="402">
        <v>45495.58194444444</v>
      </c>
      <c r="G386" s="391">
        <v>1.0</v>
      </c>
      <c r="H386" s="391">
        <v>51.3774</v>
      </c>
      <c r="I386" s="391">
        <v>6.97668</v>
      </c>
      <c r="J386" s="391">
        <v>-23.848431</v>
      </c>
      <c r="K386" s="391">
        <v>-22.374181</v>
      </c>
      <c r="L386" s="391">
        <v>1100.6</v>
      </c>
      <c r="M386" s="391">
        <v>75.000654</v>
      </c>
      <c r="N386" s="391">
        <v>13966.0851</v>
      </c>
      <c r="O386" s="391">
        <v>13977.7141</v>
      </c>
      <c r="P386" s="394">
        <v>2070.3457</v>
      </c>
      <c r="Q386" s="376" t="s">
        <v>12</v>
      </c>
      <c r="R386" s="394" t="s">
        <v>539</v>
      </c>
      <c r="S386" s="394">
        <v>10.0</v>
      </c>
      <c r="T386" s="394">
        <v>5.0</v>
      </c>
      <c r="U386" s="394">
        <v>0.7</v>
      </c>
      <c r="V386" s="394">
        <v>0.7</v>
      </c>
      <c r="W386" s="394">
        <v>0.7</v>
      </c>
      <c r="X386" s="391">
        <v>2000.0</v>
      </c>
      <c r="Y386" s="391" t="s">
        <v>540</v>
      </c>
      <c r="Z386" s="391">
        <v>0.2</v>
      </c>
      <c r="AA386" s="391" t="s">
        <v>541</v>
      </c>
      <c r="AB386" s="391" t="s">
        <v>542</v>
      </c>
      <c r="AC386" s="391">
        <v>220.0</v>
      </c>
      <c r="AD386" s="193"/>
      <c r="AE386" s="377"/>
    </row>
    <row r="387">
      <c r="A387" s="391" t="s">
        <v>581</v>
      </c>
      <c r="B387" s="391">
        <v>2.0</v>
      </c>
      <c r="C387" s="391">
        <v>495.0</v>
      </c>
      <c r="D387" s="391" t="s">
        <v>564</v>
      </c>
      <c r="E387" s="391">
        <v>1.0</v>
      </c>
      <c r="F387" s="402">
        <v>45495.58541666667</v>
      </c>
      <c r="G387" s="391">
        <v>1.0</v>
      </c>
      <c r="H387" s="391">
        <v>51.3774</v>
      </c>
      <c r="I387" s="391">
        <v>6.85744</v>
      </c>
      <c r="J387" s="391">
        <v>-24.134312</v>
      </c>
      <c r="K387" s="391">
        <v>-22.524138</v>
      </c>
      <c r="L387" s="391">
        <v>1082.46</v>
      </c>
      <c r="M387" s="391">
        <v>73.000071</v>
      </c>
      <c r="N387" s="391">
        <v>11696.4223</v>
      </c>
      <c r="O387" s="391">
        <v>11691.9669</v>
      </c>
      <c r="P387" s="394">
        <v>2080.78514</v>
      </c>
      <c r="Q387" s="376" t="s">
        <v>12</v>
      </c>
      <c r="R387" s="394" t="s">
        <v>539</v>
      </c>
      <c r="S387" s="394">
        <v>10.0</v>
      </c>
      <c r="T387" s="394">
        <v>5.0</v>
      </c>
      <c r="U387" s="394">
        <v>0.7</v>
      </c>
      <c r="V387" s="394">
        <v>0.7</v>
      </c>
      <c r="W387" s="394">
        <v>0.7</v>
      </c>
      <c r="X387" s="391">
        <v>2000.0</v>
      </c>
      <c r="Y387" s="391" t="s">
        <v>540</v>
      </c>
      <c r="Z387" s="391">
        <v>0.2</v>
      </c>
      <c r="AA387" s="391" t="s">
        <v>541</v>
      </c>
      <c r="AB387" s="391" t="s">
        <v>542</v>
      </c>
      <c r="AC387" s="391">
        <v>220.0</v>
      </c>
      <c r="AD387" s="193"/>
      <c r="AE387" s="377"/>
    </row>
    <row r="388">
      <c r="A388" s="391" t="s">
        <v>583</v>
      </c>
      <c r="B388" s="391">
        <v>2.0</v>
      </c>
      <c r="C388" s="391">
        <v>495.0</v>
      </c>
      <c r="D388" s="391" t="s">
        <v>564</v>
      </c>
      <c r="E388" s="391">
        <v>1.0</v>
      </c>
      <c r="F388" s="402">
        <v>45495.58819444444</v>
      </c>
      <c r="G388" s="391">
        <v>1.0</v>
      </c>
      <c r="H388" s="391">
        <v>51.3741</v>
      </c>
      <c r="I388" s="391">
        <v>7.32587</v>
      </c>
      <c r="J388" s="391">
        <v>-24.1675</v>
      </c>
      <c r="K388" s="391">
        <v>-22.612875</v>
      </c>
      <c r="L388" s="391">
        <v>1085.58</v>
      </c>
      <c r="M388" s="391">
        <v>69.50105</v>
      </c>
      <c r="N388" s="391">
        <v>11687.5115</v>
      </c>
      <c r="O388" s="391">
        <v>11691.9669</v>
      </c>
      <c r="P388" s="394">
        <v>2080.78514</v>
      </c>
      <c r="Q388" s="376" t="s">
        <v>12</v>
      </c>
      <c r="R388" s="394" t="s">
        <v>539</v>
      </c>
      <c r="S388" s="394">
        <v>10.0</v>
      </c>
      <c r="T388" s="394">
        <v>5.0</v>
      </c>
      <c r="U388" s="394">
        <v>0.7</v>
      </c>
      <c r="V388" s="394">
        <v>0.7</v>
      </c>
      <c r="W388" s="394">
        <v>0.7</v>
      </c>
      <c r="X388" s="391">
        <v>2000.0</v>
      </c>
      <c r="Y388" s="391" t="s">
        <v>540</v>
      </c>
      <c r="Z388" s="391">
        <v>0.2</v>
      </c>
      <c r="AA388" s="391" t="s">
        <v>541</v>
      </c>
      <c r="AB388" s="391" t="s">
        <v>542</v>
      </c>
      <c r="AC388" s="391">
        <v>220.0</v>
      </c>
      <c r="AD388" s="193"/>
      <c r="AE388" s="377"/>
    </row>
    <row r="389">
      <c r="A389" s="391" t="s">
        <v>584</v>
      </c>
      <c r="B389" s="391">
        <v>3.0</v>
      </c>
      <c r="C389" s="391">
        <v>496.0</v>
      </c>
      <c r="D389" s="391" t="s">
        <v>568</v>
      </c>
      <c r="E389" s="391">
        <v>1.0</v>
      </c>
      <c r="F389" s="402">
        <v>45495.59166666667</v>
      </c>
      <c r="G389" s="391">
        <v>1.0</v>
      </c>
      <c r="H389" s="391">
        <v>51.3741</v>
      </c>
      <c r="I389" s="391">
        <v>7.43892</v>
      </c>
      <c r="J389" s="391">
        <v>-24.21985</v>
      </c>
      <c r="K389" s="391">
        <v>-22.524687</v>
      </c>
      <c r="L389" s="391">
        <v>1101.49</v>
      </c>
      <c r="M389" s="391">
        <v>66.999012</v>
      </c>
      <c r="N389" s="391">
        <v>11694.1114</v>
      </c>
      <c r="O389" s="391">
        <v>11686.0491</v>
      </c>
      <c r="P389" s="394">
        <v>2079.74028</v>
      </c>
      <c r="Q389" s="376" t="s">
        <v>12</v>
      </c>
      <c r="R389" s="394" t="s">
        <v>539</v>
      </c>
      <c r="S389" s="394">
        <v>10.0</v>
      </c>
      <c r="T389" s="394">
        <v>5.0</v>
      </c>
      <c r="U389" s="394">
        <v>0.7</v>
      </c>
      <c r="V389" s="394">
        <v>0.7</v>
      </c>
      <c r="W389" s="394">
        <v>0.7</v>
      </c>
      <c r="X389" s="391">
        <v>2000.0</v>
      </c>
      <c r="Y389" s="391" t="s">
        <v>540</v>
      </c>
      <c r="Z389" s="391">
        <v>0.2</v>
      </c>
      <c r="AA389" s="391" t="s">
        <v>541</v>
      </c>
      <c r="AB389" s="391" t="s">
        <v>542</v>
      </c>
      <c r="AC389" s="391">
        <v>220.0</v>
      </c>
      <c r="AD389" s="193"/>
      <c r="AE389" s="377"/>
    </row>
    <row r="390">
      <c r="A390" s="391" t="s">
        <v>586</v>
      </c>
      <c r="B390" s="391">
        <v>3.0</v>
      </c>
      <c r="C390" s="391">
        <v>496.0</v>
      </c>
      <c r="D390" s="391" t="s">
        <v>568</v>
      </c>
      <c r="E390" s="391">
        <v>1.0</v>
      </c>
      <c r="F390" s="402">
        <v>45495.59444444445</v>
      </c>
      <c r="G390" s="391">
        <v>1.0</v>
      </c>
      <c r="H390" s="391">
        <v>51.3741</v>
      </c>
      <c r="I390" s="391">
        <v>7.54349</v>
      </c>
      <c r="J390" s="391">
        <v>-24.230512</v>
      </c>
      <c r="K390" s="391">
        <v>-22.925913</v>
      </c>
      <c r="L390" s="391">
        <v>1073.38</v>
      </c>
      <c r="M390" s="391">
        <v>72.501978</v>
      </c>
      <c r="N390" s="391">
        <v>11677.9867</v>
      </c>
      <c r="O390" s="391">
        <v>11686.0491</v>
      </c>
      <c r="P390" s="394">
        <v>2079.74028</v>
      </c>
      <c r="Q390" s="376" t="s">
        <v>12</v>
      </c>
      <c r="R390" s="394" t="s">
        <v>539</v>
      </c>
      <c r="S390" s="394">
        <v>10.0</v>
      </c>
      <c r="T390" s="394">
        <v>5.0</v>
      </c>
      <c r="U390" s="394">
        <v>0.7</v>
      </c>
      <c r="V390" s="394">
        <v>0.7</v>
      </c>
      <c r="W390" s="394">
        <v>0.7</v>
      </c>
      <c r="X390" s="391">
        <v>2000.0</v>
      </c>
      <c r="Y390" s="391" t="s">
        <v>540</v>
      </c>
      <c r="Z390" s="391">
        <v>0.2</v>
      </c>
      <c r="AA390" s="391" t="s">
        <v>541</v>
      </c>
      <c r="AB390" s="391" t="s">
        <v>542</v>
      </c>
      <c r="AC390" s="391">
        <v>220.0</v>
      </c>
      <c r="AD390" s="193"/>
      <c r="AE390" s="377"/>
    </row>
    <row r="391">
      <c r="A391" s="391" t="s">
        <v>588</v>
      </c>
      <c r="B391" s="391">
        <v>4.0</v>
      </c>
      <c r="C391" s="391">
        <v>560.0</v>
      </c>
      <c r="D391" s="391" t="s">
        <v>571</v>
      </c>
      <c r="E391" s="391">
        <v>1.0</v>
      </c>
      <c r="F391" s="402">
        <v>45495.59722222222</v>
      </c>
      <c r="G391" s="391">
        <v>1.0</v>
      </c>
      <c r="H391" s="391">
        <v>51.3774</v>
      </c>
      <c r="I391" s="391">
        <v>7.49796</v>
      </c>
      <c r="J391" s="391">
        <v>-24.095644</v>
      </c>
      <c r="K391" s="391">
        <v>-22.309375</v>
      </c>
      <c r="L391" s="391">
        <v>1076.38</v>
      </c>
      <c r="M391" s="391">
        <v>65.499562</v>
      </c>
      <c r="N391" s="391">
        <v>11692.7819</v>
      </c>
      <c r="O391" s="391">
        <v>11724.0791</v>
      </c>
      <c r="P391" s="394">
        <v>2086.4549</v>
      </c>
      <c r="Q391" s="376" t="s">
        <v>12</v>
      </c>
      <c r="R391" s="394" t="s">
        <v>553</v>
      </c>
      <c r="S391" s="394">
        <v>10.0</v>
      </c>
      <c r="T391" s="394">
        <v>5.0</v>
      </c>
      <c r="U391" s="394">
        <v>0.7</v>
      </c>
      <c r="V391" s="394">
        <v>0.7</v>
      </c>
      <c r="W391" s="394">
        <v>0.7</v>
      </c>
      <c r="X391" s="391">
        <v>2000.0</v>
      </c>
      <c r="Y391" s="391" t="s">
        <v>540</v>
      </c>
      <c r="Z391" s="391">
        <v>0.2</v>
      </c>
      <c r="AA391" s="391" t="s">
        <v>541</v>
      </c>
      <c r="AB391" s="391" t="s">
        <v>542</v>
      </c>
      <c r="AC391" s="391">
        <v>220.0</v>
      </c>
      <c r="AD391" s="193"/>
      <c r="AE391" s="377"/>
    </row>
    <row r="392">
      <c r="A392" s="391" t="s">
        <v>590</v>
      </c>
      <c r="B392" s="391">
        <v>4.0</v>
      </c>
      <c r="C392" s="391">
        <v>560.0</v>
      </c>
      <c r="D392" s="391" t="s">
        <v>571</v>
      </c>
      <c r="E392" s="391">
        <v>1.0</v>
      </c>
      <c r="F392" s="402">
        <v>45495.6</v>
      </c>
      <c r="G392" s="391">
        <v>1.0</v>
      </c>
      <c r="H392" s="391">
        <v>51.3774</v>
      </c>
      <c r="I392" s="391">
        <v>7.37528</v>
      </c>
      <c r="J392" s="391">
        <v>-24.193331</v>
      </c>
      <c r="K392" s="391">
        <v>-22.475487</v>
      </c>
      <c r="L392" s="391">
        <v>1071.82</v>
      </c>
      <c r="M392" s="391">
        <v>68.999806</v>
      </c>
      <c r="N392" s="391">
        <v>11734.552</v>
      </c>
      <c r="O392" s="391">
        <v>11724.0791</v>
      </c>
      <c r="P392" s="394">
        <v>2086.4549</v>
      </c>
      <c r="Q392" s="376" t="s">
        <v>12</v>
      </c>
      <c r="R392" s="394" t="s">
        <v>539</v>
      </c>
      <c r="S392" s="394">
        <v>10.0</v>
      </c>
      <c r="T392" s="394">
        <v>5.0</v>
      </c>
      <c r="U392" s="394">
        <v>0.7</v>
      </c>
      <c r="V392" s="394">
        <v>0.7</v>
      </c>
      <c r="W392" s="394">
        <v>0.7</v>
      </c>
      <c r="X392" s="391">
        <v>2000.0</v>
      </c>
      <c r="Y392" s="391" t="s">
        <v>540</v>
      </c>
      <c r="Z392" s="391">
        <v>0.2</v>
      </c>
      <c r="AA392" s="391" t="s">
        <v>541</v>
      </c>
      <c r="AB392" s="391" t="s">
        <v>542</v>
      </c>
      <c r="AC392" s="391">
        <v>220.0</v>
      </c>
      <c r="AD392" s="193"/>
      <c r="AE392" s="377"/>
    </row>
    <row r="393">
      <c r="A393" s="391" t="s">
        <v>685</v>
      </c>
      <c r="B393" s="391">
        <v>4.0</v>
      </c>
      <c r="C393" s="391">
        <v>560.0</v>
      </c>
      <c r="D393" s="391" t="s">
        <v>571</v>
      </c>
      <c r="E393" s="391">
        <v>1.0</v>
      </c>
      <c r="F393" s="402">
        <v>45495.60277777778</v>
      </c>
      <c r="G393" s="391">
        <v>1.0</v>
      </c>
      <c r="H393" s="391">
        <v>51.3741</v>
      </c>
      <c r="I393" s="391">
        <v>7.14879</v>
      </c>
      <c r="J393" s="391">
        <v>-24.615569</v>
      </c>
      <c r="K393" s="391">
        <v>-23.112012</v>
      </c>
      <c r="L393" s="391">
        <v>1066.64</v>
      </c>
      <c r="M393" s="391">
        <v>70.499118</v>
      </c>
      <c r="N393" s="391">
        <v>11713.6061</v>
      </c>
      <c r="O393" s="391">
        <v>11724.0791</v>
      </c>
      <c r="P393" s="394">
        <v>2086.4549</v>
      </c>
      <c r="Q393" s="376" t="s">
        <v>12</v>
      </c>
      <c r="R393" s="394" t="s">
        <v>539</v>
      </c>
      <c r="S393" s="394">
        <v>10.0</v>
      </c>
      <c r="T393" s="394">
        <v>5.0</v>
      </c>
      <c r="U393" s="394">
        <v>0.7</v>
      </c>
      <c r="V393" s="394">
        <v>0.7</v>
      </c>
      <c r="W393" s="394">
        <v>0.7</v>
      </c>
      <c r="X393" s="391">
        <v>2000.0</v>
      </c>
      <c r="Y393" s="391" t="s">
        <v>540</v>
      </c>
      <c r="Z393" s="391">
        <v>0.2</v>
      </c>
      <c r="AA393" s="391" t="s">
        <v>541</v>
      </c>
      <c r="AB393" s="391" t="s">
        <v>542</v>
      </c>
      <c r="AC393" s="391">
        <v>220.0</v>
      </c>
      <c r="AD393" s="193"/>
      <c r="AE393" s="377"/>
    </row>
    <row r="394">
      <c r="A394" s="391" t="s">
        <v>688</v>
      </c>
      <c r="B394" s="391">
        <v>5.0</v>
      </c>
      <c r="C394" s="391">
        <v>561.0</v>
      </c>
      <c r="D394" s="391" t="s">
        <v>575</v>
      </c>
      <c r="E394" s="391">
        <v>1.0</v>
      </c>
      <c r="F394" s="402">
        <v>45495.60625</v>
      </c>
      <c r="G394" s="391">
        <v>1.0</v>
      </c>
      <c r="H394" s="391">
        <v>51.3741</v>
      </c>
      <c r="I394" s="391">
        <v>6.91558</v>
      </c>
      <c r="J394" s="391">
        <v>-24.687144</v>
      </c>
      <c r="K394" s="391">
        <v>-22.930969</v>
      </c>
      <c r="L394" s="391">
        <v>1052.81</v>
      </c>
      <c r="M394" s="391">
        <v>73.500231</v>
      </c>
      <c r="N394" s="391">
        <v>11617.5863</v>
      </c>
      <c r="O394" s="391">
        <v>11644.6992</v>
      </c>
      <c r="P394" s="394">
        <v>2072.4395</v>
      </c>
      <c r="Q394" s="376" t="s">
        <v>12</v>
      </c>
      <c r="R394" s="394" t="s">
        <v>553</v>
      </c>
      <c r="S394" s="394">
        <v>10.0</v>
      </c>
      <c r="T394" s="394">
        <v>5.0</v>
      </c>
      <c r="U394" s="394">
        <v>0.7</v>
      </c>
      <c r="V394" s="394">
        <v>0.7</v>
      </c>
      <c r="W394" s="394">
        <v>0.7</v>
      </c>
      <c r="X394" s="391">
        <v>2000.0</v>
      </c>
      <c r="Y394" s="391" t="s">
        <v>540</v>
      </c>
      <c r="Z394" s="391">
        <v>0.2</v>
      </c>
      <c r="AA394" s="391" t="s">
        <v>541</v>
      </c>
      <c r="AB394" s="391" t="s">
        <v>542</v>
      </c>
      <c r="AC394" s="391">
        <v>220.0</v>
      </c>
      <c r="AD394" s="193"/>
      <c r="AE394" s="377"/>
    </row>
    <row r="395">
      <c r="A395" s="391" t="s">
        <v>689</v>
      </c>
      <c r="B395" s="391">
        <v>5.0</v>
      </c>
      <c r="C395" s="391">
        <v>561.0</v>
      </c>
      <c r="D395" s="391" t="s">
        <v>575</v>
      </c>
      <c r="E395" s="391">
        <v>1.0</v>
      </c>
      <c r="F395" s="402">
        <v>45495.60902777778</v>
      </c>
      <c r="G395" s="391">
        <v>1.0</v>
      </c>
      <c r="H395" s="391">
        <v>51.3774</v>
      </c>
      <c r="I395" s="391">
        <v>7.01653</v>
      </c>
      <c r="J395" s="391">
        <v>-24.623181</v>
      </c>
      <c r="K395" s="391">
        <v>-23.342094</v>
      </c>
      <c r="L395" s="391">
        <v>1043.65</v>
      </c>
      <c r="M395" s="391">
        <v>74.499498</v>
      </c>
      <c r="N395" s="391">
        <v>11667.7974</v>
      </c>
      <c r="O395" s="391">
        <v>11644.6992</v>
      </c>
      <c r="P395" s="394">
        <v>2072.4395</v>
      </c>
      <c r="Q395" s="376" t="s">
        <v>12</v>
      </c>
      <c r="R395" s="394" t="s">
        <v>553</v>
      </c>
      <c r="S395" s="394">
        <v>10.0</v>
      </c>
      <c r="T395" s="394">
        <v>5.0</v>
      </c>
      <c r="U395" s="394">
        <v>0.7</v>
      </c>
      <c r="V395" s="394">
        <v>0.7</v>
      </c>
      <c r="W395" s="394">
        <v>0.7</v>
      </c>
      <c r="X395" s="391">
        <v>2000.0</v>
      </c>
      <c r="Y395" s="391" t="s">
        <v>540</v>
      </c>
      <c r="Z395" s="391">
        <v>0.2</v>
      </c>
      <c r="AA395" s="391" t="s">
        <v>541</v>
      </c>
      <c r="AB395" s="391" t="s">
        <v>542</v>
      </c>
      <c r="AC395" s="391">
        <v>220.0</v>
      </c>
      <c r="AD395" s="193"/>
      <c r="AE395" s="377"/>
    </row>
    <row r="396">
      <c r="A396" s="391" t="s">
        <v>690</v>
      </c>
      <c r="B396" s="391">
        <v>5.0</v>
      </c>
      <c r="C396" s="391">
        <v>561.0</v>
      </c>
      <c r="D396" s="391" t="s">
        <v>575</v>
      </c>
      <c r="E396" s="391">
        <v>1.0</v>
      </c>
      <c r="F396" s="402">
        <v>45495.611805555556</v>
      </c>
      <c r="G396" s="391">
        <v>1.0</v>
      </c>
      <c r="H396" s="391">
        <v>51.3708</v>
      </c>
      <c r="I396" s="391">
        <v>6.88042</v>
      </c>
      <c r="J396" s="391">
        <v>-24.634569</v>
      </c>
      <c r="K396" s="391">
        <v>-23.208819</v>
      </c>
      <c r="L396" s="391">
        <v>1077.22</v>
      </c>
      <c r="M396" s="391">
        <v>72.999701</v>
      </c>
      <c r="N396" s="391">
        <v>11642.1682</v>
      </c>
      <c r="O396" s="391">
        <v>11644.6992</v>
      </c>
      <c r="P396" s="394">
        <v>2072.4395</v>
      </c>
      <c r="Q396" s="376" t="s">
        <v>12</v>
      </c>
      <c r="R396" s="394" t="s">
        <v>539</v>
      </c>
      <c r="S396" s="394">
        <v>10.0</v>
      </c>
      <c r="T396" s="394">
        <v>5.0</v>
      </c>
      <c r="U396" s="394">
        <v>0.7</v>
      </c>
      <c r="V396" s="394">
        <v>0.7</v>
      </c>
      <c r="W396" s="394">
        <v>0.7</v>
      </c>
      <c r="X396" s="391">
        <v>2000.0</v>
      </c>
      <c r="Y396" s="391" t="s">
        <v>540</v>
      </c>
      <c r="Z396" s="391">
        <v>0.2</v>
      </c>
      <c r="AA396" s="391" t="s">
        <v>541</v>
      </c>
      <c r="AB396" s="391" t="s">
        <v>542</v>
      </c>
      <c r="AC396" s="391">
        <v>220.0</v>
      </c>
      <c r="AD396" s="193"/>
      <c r="AE396" s="377"/>
    </row>
    <row r="397">
      <c r="A397" s="391" t="s">
        <v>804</v>
      </c>
      <c r="B397" s="391">
        <v>5.0</v>
      </c>
      <c r="C397" s="391">
        <v>561.0</v>
      </c>
      <c r="D397" s="391" t="s">
        <v>575</v>
      </c>
      <c r="E397" s="391">
        <v>1.0</v>
      </c>
      <c r="F397" s="402">
        <v>45495.615277777775</v>
      </c>
      <c r="G397" s="391">
        <v>1.0</v>
      </c>
      <c r="H397" s="391">
        <v>51.3741</v>
      </c>
      <c r="I397" s="391">
        <v>6.69737</v>
      </c>
      <c r="J397" s="391">
        <v>-24.666675</v>
      </c>
      <c r="K397" s="391">
        <v>-22.922925</v>
      </c>
      <c r="L397" s="391">
        <v>1054.02</v>
      </c>
      <c r="M397" s="391">
        <v>71.000448</v>
      </c>
      <c r="N397" s="391">
        <v>11647.2303</v>
      </c>
      <c r="O397" s="391">
        <v>11644.6992</v>
      </c>
      <c r="P397" s="394">
        <v>2072.4395</v>
      </c>
      <c r="Q397" s="376" t="s">
        <v>12</v>
      </c>
      <c r="R397" s="394" t="s">
        <v>539</v>
      </c>
      <c r="S397" s="394">
        <v>10.0</v>
      </c>
      <c r="T397" s="394">
        <v>5.0</v>
      </c>
      <c r="U397" s="394">
        <v>0.7</v>
      </c>
      <c r="V397" s="394">
        <v>0.7</v>
      </c>
      <c r="W397" s="394">
        <v>0.7</v>
      </c>
      <c r="X397" s="391">
        <v>2000.0</v>
      </c>
      <c r="Y397" s="391" t="s">
        <v>540</v>
      </c>
      <c r="Z397" s="391">
        <v>0.2</v>
      </c>
      <c r="AA397" s="391" t="s">
        <v>541</v>
      </c>
      <c r="AB397" s="391" t="s">
        <v>542</v>
      </c>
      <c r="AC397" s="391">
        <v>220.0</v>
      </c>
      <c r="AD397" s="193"/>
      <c r="AE397" s="377"/>
    </row>
    <row r="398">
      <c r="A398" s="391" t="s">
        <v>597</v>
      </c>
      <c r="B398" s="391">
        <v>6.0</v>
      </c>
      <c r="C398" s="391">
        <v>430.0</v>
      </c>
      <c r="D398" s="391" t="s">
        <v>579</v>
      </c>
      <c r="E398" s="391">
        <v>1.0</v>
      </c>
      <c r="F398" s="402">
        <v>45495.618055555555</v>
      </c>
      <c r="G398" s="391">
        <v>1.0</v>
      </c>
      <c r="H398" s="391">
        <v>51.3708</v>
      </c>
      <c r="I398" s="391">
        <v>6.51359</v>
      </c>
      <c r="J398" s="391">
        <v>-24.784756</v>
      </c>
      <c r="K398" s="391">
        <v>-24.418256</v>
      </c>
      <c r="L398" s="391">
        <v>-2.28224</v>
      </c>
      <c r="M398" s="391">
        <v>50.999698</v>
      </c>
      <c r="N398" s="391">
        <v>277.93428</v>
      </c>
      <c r="O398" s="391">
        <v>11598.9648</v>
      </c>
      <c r="P398" s="394">
        <v>2064.36458</v>
      </c>
      <c r="Q398" s="376" t="s">
        <v>12</v>
      </c>
      <c r="R398" s="394" t="s">
        <v>553</v>
      </c>
      <c r="S398" s="394">
        <v>10.0</v>
      </c>
      <c r="T398" s="394">
        <v>5.0</v>
      </c>
      <c r="U398" s="394">
        <v>0.7</v>
      </c>
      <c r="V398" s="394">
        <v>0.7</v>
      </c>
      <c r="W398" s="394">
        <v>0.7</v>
      </c>
      <c r="X398" s="391">
        <v>2000.0</v>
      </c>
      <c r="Y398" s="391" t="s">
        <v>540</v>
      </c>
      <c r="Z398" s="391">
        <v>0.2</v>
      </c>
      <c r="AA398" s="391" t="s">
        <v>541</v>
      </c>
      <c r="AB398" s="391" t="s">
        <v>542</v>
      </c>
      <c r="AC398" s="391">
        <v>220.0</v>
      </c>
      <c r="AD398" s="193"/>
      <c r="AE398" s="377"/>
    </row>
    <row r="399">
      <c r="A399" s="391" t="s">
        <v>598</v>
      </c>
      <c r="B399" s="391">
        <v>6.0</v>
      </c>
      <c r="C399" s="391">
        <v>430.0</v>
      </c>
      <c r="D399" s="391" t="s">
        <v>579</v>
      </c>
      <c r="E399" s="391">
        <v>1.0</v>
      </c>
      <c r="F399" s="402">
        <v>45495.620833333334</v>
      </c>
      <c r="G399" s="391">
        <v>1.0</v>
      </c>
      <c r="H399" s="391">
        <v>51.3708</v>
      </c>
      <c r="I399" s="391">
        <v>6.43818</v>
      </c>
      <c r="J399" s="391">
        <v>-24.761013</v>
      </c>
      <c r="K399" s="391">
        <v>-24.544294</v>
      </c>
      <c r="L399" s="391">
        <v>-5.23263</v>
      </c>
      <c r="M399" s="391">
        <v>51.499247</v>
      </c>
      <c r="N399" s="391">
        <v>240.122137</v>
      </c>
      <c r="O399" s="391">
        <v>11598.9648</v>
      </c>
      <c r="P399" s="394">
        <v>2064.36458</v>
      </c>
      <c r="Q399" s="376" t="s">
        <v>12</v>
      </c>
      <c r="R399" s="394" t="s">
        <v>553</v>
      </c>
      <c r="S399" s="394">
        <v>10.0</v>
      </c>
      <c r="T399" s="394">
        <v>5.0</v>
      </c>
      <c r="U399" s="394">
        <v>0.7</v>
      </c>
      <c r="V399" s="394">
        <v>0.7</v>
      </c>
      <c r="W399" s="394">
        <v>0.7</v>
      </c>
      <c r="X399" s="391">
        <v>2000.0</v>
      </c>
      <c r="Y399" s="391" t="s">
        <v>540</v>
      </c>
      <c r="Z399" s="391">
        <v>0.2</v>
      </c>
      <c r="AA399" s="391" t="s">
        <v>541</v>
      </c>
      <c r="AB399" s="391" t="s">
        <v>542</v>
      </c>
      <c r="AC399" s="391">
        <v>220.0</v>
      </c>
      <c r="AD399" s="193"/>
      <c r="AE399" s="377"/>
    </row>
    <row r="400">
      <c r="A400" s="391" t="s">
        <v>739</v>
      </c>
      <c r="B400" s="391">
        <v>6.0</v>
      </c>
      <c r="C400" s="391">
        <v>430.0</v>
      </c>
      <c r="D400" s="391" t="s">
        <v>579</v>
      </c>
      <c r="E400" s="391">
        <v>1.0</v>
      </c>
      <c r="F400" s="402">
        <v>45495.623611111114</v>
      </c>
      <c r="G400" s="391">
        <v>1.0</v>
      </c>
      <c r="H400" s="391">
        <v>51.3741</v>
      </c>
      <c r="I400" s="391">
        <v>6.50557</v>
      </c>
      <c r="J400" s="391">
        <v>-24.658</v>
      </c>
      <c r="K400" s="391">
        <v>-23.13755</v>
      </c>
      <c r="L400" s="391">
        <v>752.394</v>
      </c>
      <c r="M400" s="391">
        <v>69.500081</v>
      </c>
      <c r="N400" s="391">
        <v>7924.87537</v>
      </c>
      <c r="O400" s="391">
        <v>11598.9648</v>
      </c>
      <c r="P400" s="394">
        <v>2064.36458</v>
      </c>
      <c r="Q400" s="376" t="s">
        <v>12</v>
      </c>
      <c r="R400" s="394" t="s">
        <v>553</v>
      </c>
      <c r="S400" s="394">
        <v>10.0</v>
      </c>
      <c r="T400" s="394">
        <v>5.0</v>
      </c>
      <c r="U400" s="394">
        <v>0.7</v>
      </c>
      <c r="V400" s="394">
        <v>0.7</v>
      </c>
      <c r="W400" s="394">
        <v>0.7</v>
      </c>
      <c r="X400" s="391">
        <v>2000.0</v>
      </c>
      <c r="Y400" s="391" t="s">
        <v>540</v>
      </c>
      <c r="Z400" s="391">
        <v>0.2</v>
      </c>
      <c r="AA400" s="391" t="s">
        <v>541</v>
      </c>
      <c r="AB400" s="391" t="s">
        <v>542</v>
      </c>
      <c r="AC400" s="391">
        <v>220.0</v>
      </c>
      <c r="AD400" s="193"/>
      <c r="AE400" s="377"/>
    </row>
    <row r="401">
      <c r="A401" s="391" t="s">
        <v>740</v>
      </c>
      <c r="B401" s="391">
        <v>6.0</v>
      </c>
      <c r="C401" s="391">
        <v>430.0</v>
      </c>
      <c r="D401" s="391" t="s">
        <v>579</v>
      </c>
      <c r="E401" s="391">
        <v>1.0</v>
      </c>
      <c r="F401" s="402">
        <v>45495.626388888886</v>
      </c>
      <c r="G401" s="391">
        <v>1.0</v>
      </c>
      <c r="H401" s="391">
        <v>51.3774</v>
      </c>
      <c r="I401" s="391">
        <v>6.67993</v>
      </c>
      <c r="J401" s="391">
        <v>-24.531444</v>
      </c>
      <c r="K401" s="391">
        <v>-22.550944</v>
      </c>
      <c r="L401" s="391">
        <v>1047.94</v>
      </c>
      <c r="M401" s="391">
        <v>68.499969</v>
      </c>
      <c r="N401" s="391">
        <v>11597.4479</v>
      </c>
      <c r="O401" s="391">
        <v>11598.9648</v>
      </c>
      <c r="P401" s="394">
        <v>2064.36458</v>
      </c>
      <c r="Q401" s="376" t="s">
        <v>12</v>
      </c>
      <c r="R401" s="394" t="s">
        <v>539</v>
      </c>
      <c r="S401" s="394">
        <v>10.0</v>
      </c>
      <c r="T401" s="394">
        <v>5.0</v>
      </c>
      <c r="U401" s="394">
        <v>0.7</v>
      </c>
      <c r="V401" s="394">
        <v>0.7</v>
      </c>
      <c r="W401" s="394">
        <v>0.7</v>
      </c>
      <c r="X401" s="391">
        <v>2000.0</v>
      </c>
      <c r="Y401" s="391" t="s">
        <v>540</v>
      </c>
      <c r="Z401" s="391">
        <v>0.2</v>
      </c>
      <c r="AA401" s="391" t="s">
        <v>541</v>
      </c>
      <c r="AB401" s="391" t="s">
        <v>542</v>
      </c>
      <c r="AC401" s="391">
        <v>220.0</v>
      </c>
      <c r="AD401" s="193"/>
      <c r="AE401" s="377"/>
    </row>
    <row r="402">
      <c r="A402" s="391" t="s">
        <v>805</v>
      </c>
      <c r="B402" s="391">
        <v>6.0</v>
      </c>
      <c r="C402" s="391">
        <v>430.0</v>
      </c>
      <c r="D402" s="391" t="s">
        <v>579</v>
      </c>
      <c r="E402" s="391">
        <v>1.0</v>
      </c>
      <c r="F402" s="402">
        <v>45495.629166666666</v>
      </c>
      <c r="G402" s="391">
        <v>1.0</v>
      </c>
      <c r="H402" s="391">
        <v>51.3807</v>
      </c>
      <c r="I402" s="391">
        <v>6.77651</v>
      </c>
      <c r="J402" s="391">
        <v>-24.8146</v>
      </c>
      <c r="K402" s="391">
        <v>-23.341831</v>
      </c>
      <c r="L402" s="391">
        <v>1060.82</v>
      </c>
      <c r="M402" s="391">
        <v>74.500142</v>
      </c>
      <c r="N402" s="391">
        <v>11600.4818</v>
      </c>
      <c r="O402" s="391">
        <v>11598.9648</v>
      </c>
      <c r="P402" s="394">
        <v>2064.36458</v>
      </c>
      <c r="Q402" s="376" t="s">
        <v>12</v>
      </c>
      <c r="R402" s="394" t="s">
        <v>539</v>
      </c>
      <c r="S402" s="394">
        <v>10.0</v>
      </c>
      <c r="T402" s="394">
        <v>5.0</v>
      </c>
      <c r="U402" s="394">
        <v>0.7</v>
      </c>
      <c r="V402" s="394">
        <v>0.7</v>
      </c>
      <c r="W402" s="394">
        <v>0.7</v>
      </c>
      <c r="X402" s="391">
        <v>2000.0</v>
      </c>
      <c r="Y402" s="391" t="s">
        <v>540</v>
      </c>
      <c r="Z402" s="391">
        <v>0.2</v>
      </c>
      <c r="AA402" s="391" t="s">
        <v>541</v>
      </c>
      <c r="AB402" s="391" t="s">
        <v>542</v>
      </c>
      <c r="AC402" s="391">
        <v>220.0</v>
      </c>
      <c r="AD402" s="193"/>
      <c r="AE402" s="377"/>
    </row>
    <row r="403">
      <c r="A403" s="391" t="s">
        <v>599</v>
      </c>
      <c r="B403" s="391">
        <v>7.0</v>
      </c>
      <c r="C403" s="391">
        <v>431.0</v>
      </c>
      <c r="D403" s="391" t="s">
        <v>582</v>
      </c>
      <c r="E403" s="391">
        <v>1.0</v>
      </c>
      <c r="F403" s="402">
        <v>45495.63263888889</v>
      </c>
      <c r="G403" s="391">
        <v>1.0</v>
      </c>
      <c r="H403" s="391">
        <v>51.3741</v>
      </c>
      <c r="I403" s="391">
        <v>6.63039</v>
      </c>
      <c r="J403" s="391">
        <v>-24.869888</v>
      </c>
      <c r="K403" s="391">
        <v>-23.201425</v>
      </c>
      <c r="L403" s="391">
        <v>1048.46</v>
      </c>
      <c r="M403" s="391">
        <v>72.000086</v>
      </c>
      <c r="N403" s="391">
        <v>11354.3791</v>
      </c>
      <c r="O403" s="391">
        <v>0.0</v>
      </c>
      <c r="P403" s="394">
        <v>0.0</v>
      </c>
      <c r="Q403" s="376" t="s">
        <v>280</v>
      </c>
      <c r="R403" s="394" t="s">
        <v>607</v>
      </c>
      <c r="S403" s="394">
        <v>10.0</v>
      </c>
      <c r="T403" s="394">
        <v>5.0</v>
      </c>
      <c r="U403" s="394">
        <v>0.7</v>
      </c>
      <c r="V403" s="394">
        <v>0.7</v>
      </c>
      <c r="W403" s="394">
        <v>0.7</v>
      </c>
      <c r="X403" s="391">
        <v>2000.0</v>
      </c>
      <c r="Y403" s="391" t="s">
        <v>540</v>
      </c>
      <c r="Z403" s="391">
        <v>0.2</v>
      </c>
      <c r="AA403" s="391" t="s">
        <v>541</v>
      </c>
      <c r="AB403" s="391" t="s">
        <v>542</v>
      </c>
      <c r="AC403" s="391">
        <v>220.0</v>
      </c>
      <c r="AD403" s="193"/>
      <c r="AE403" s="377"/>
    </row>
    <row r="404">
      <c r="A404" s="391" t="s">
        <v>600</v>
      </c>
      <c r="B404" s="391">
        <v>7.0</v>
      </c>
      <c r="C404" s="391">
        <v>431.0</v>
      </c>
      <c r="D404" s="391" t="s">
        <v>582</v>
      </c>
      <c r="E404" s="391">
        <v>1.0</v>
      </c>
      <c r="F404" s="402">
        <v>45495.635416666664</v>
      </c>
      <c r="G404" s="391">
        <v>1.0</v>
      </c>
      <c r="H404" s="391">
        <v>51.3774</v>
      </c>
      <c r="I404" s="391">
        <v>7.13148</v>
      </c>
      <c r="J404" s="391">
        <v>-24.666269</v>
      </c>
      <c r="K404" s="391">
        <v>-23.573663</v>
      </c>
      <c r="L404" s="391">
        <v>1061.38</v>
      </c>
      <c r="M404" s="391">
        <v>77.99904</v>
      </c>
      <c r="N404" s="391">
        <v>11726.7822</v>
      </c>
      <c r="O404" s="391">
        <v>0.0</v>
      </c>
      <c r="P404" s="394">
        <v>0.0</v>
      </c>
      <c r="Q404" s="376" t="s">
        <v>280</v>
      </c>
      <c r="R404" s="394" t="s">
        <v>607</v>
      </c>
      <c r="S404" s="394">
        <v>10.0</v>
      </c>
      <c r="T404" s="394">
        <v>5.0</v>
      </c>
      <c r="U404" s="394">
        <v>0.7</v>
      </c>
      <c r="V404" s="394">
        <v>0.7</v>
      </c>
      <c r="W404" s="394">
        <v>0.7</v>
      </c>
      <c r="X404" s="391">
        <v>2000.0</v>
      </c>
      <c r="Y404" s="391" t="s">
        <v>540</v>
      </c>
      <c r="Z404" s="391">
        <v>0.2</v>
      </c>
      <c r="AA404" s="391" t="s">
        <v>541</v>
      </c>
      <c r="AB404" s="391" t="s">
        <v>542</v>
      </c>
      <c r="AC404" s="391">
        <v>220.0</v>
      </c>
      <c r="AD404" s="193"/>
      <c r="AE404" s="377"/>
    </row>
    <row r="405">
      <c r="A405" s="391" t="s">
        <v>691</v>
      </c>
      <c r="B405" s="391">
        <v>7.0</v>
      </c>
      <c r="C405" s="391">
        <v>431.0</v>
      </c>
      <c r="D405" s="391" t="s">
        <v>582</v>
      </c>
      <c r="E405" s="391">
        <v>1.0</v>
      </c>
      <c r="F405" s="402">
        <v>45495.638194444444</v>
      </c>
      <c r="G405" s="391">
        <v>1.0</v>
      </c>
      <c r="H405" s="391">
        <v>51.3741</v>
      </c>
      <c r="I405" s="391">
        <v>7.50719</v>
      </c>
      <c r="J405" s="391">
        <v>-24.778044</v>
      </c>
      <c r="K405" s="391">
        <v>-22.53655</v>
      </c>
      <c r="L405" s="391">
        <v>1075.76</v>
      </c>
      <c r="M405" s="391">
        <v>63.500044</v>
      </c>
      <c r="N405" s="391">
        <v>11579.11</v>
      </c>
      <c r="O405" s="391">
        <v>0.0</v>
      </c>
      <c r="P405" s="394">
        <v>0.0</v>
      </c>
      <c r="Q405" s="376" t="s">
        <v>280</v>
      </c>
      <c r="R405" s="394" t="s">
        <v>607</v>
      </c>
      <c r="S405" s="394">
        <v>10.0</v>
      </c>
      <c r="T405" s="394">
        <v>5.0</v>
      </c>
      <c r="U405" s="394">
        <v>0.7</v>
      </c>
      <c r="V405" s="394">
        <v>0.7</v>
      </c>
      <c r="W405" s="394">
        <v>0.7</v>
      </c>
      <c r="X405" s="391">
        <v>2000.0</v>
      </c>
      <c r="Y405" s="391" t="s">
        <v>540</v>
      </c>
      <c r="Z405" s="391">
        <v>0.2</v>
      </c>
      <c r="AA405" s="391" t="s">
        <v>541</v>
      </c>
      <c r="AB405" s="391" t="s">
        <v>542</v>
      </c>
      <c r="AC405" s="391">
        <v>220.0</v>
      </c>
      <c r="AD405" s="193"/>
      <c r="AE405" s="377"/>
    </row>
    <row r="406">
      <c r="A406" s="391" t="s">
        <v>806</v>
      </c>
      <c r="B406" s="391">
        <v>7.0</v>
      </c>
      <c r="C406" s="391">
        <v>431.0</v>
      </c>
      <c r="D406" s="391" t="s">
        <v>582</v>
      </c>
      <c r="E406" s="391">
        <v>1.0</v>
      </c>
      <c r="F406" s="402">
        <v>45495.64097222222</v>
      </c>
      <c r="G406" s="391">
        <v>1.0</v>
      </c>
      <c r="H406" s="391">
        <v>51.3741</v>
      </c>
      <c r="I406" s="391">
        <v>7.47791</v>
      </c>
      <c r="J406" s="391">
        <v>-24.726456</v>
      </c>
      <c r="K406" s="391">
        <v>-22.87165</v>
      </c>
      <c r="L406" s="391">
        <v>1071.8</v>
      </c>
      <c r="M406" s="391">
        <v>67.999815</v>
      </c>
      <c r="N406" s="391">
        <v>11833.5883</v>
      </c>
      <c r="O406" s="391">
        <v>0.0</v>
      </c>
      <c r="P406" s="394">
        <v>0.0</v>
      </c>
      <c r="Q406" s="376" t="s">
        <v>280</v>
      </c>
      <c r="R406" s="394" t="s">
        <v>607</v>
      </c>
      <c r="S406" s="394">
        <v>10.0</v>
      </c>
      <c r="T406" s="394">
        <v>5.0</v>
      </c>
      <c r="U406" s="394">
        <v>0.7</v>
      </c>
      <c r="V406" s="394">
        <v>0.7</v>
      </c>
      <c r="W406" s="394">
        <v>0.7</v>
      </c>
      <c r="X406" s="391">
        <v>2000.0</v>
      </c>
      <c r="Y406" s="391" t="s">
        <v>540</v>
      </c>
      <c r="Z406" s="391">
        <v>0.2</v>
      </c>
      <c r="AA406" s="391" t="s">
        <v>541</v>
      </c>
      <c r="AB406" s="391" t="s">
        <v>542</v>
      </c>
      <c r="AC406" s="391">
        <v>220.0</v>
      </c>
      <c r="AD406" s="193"/>
      <c r="AE406" s="377"/>
    </row>
    <row r="407" ht="14.25" customHeight="1">
      <c r="A407" s="391" t="s">
        <v>807</v>
      </c>
      <c r="B407" s="391">
        <v>7.0</v>
      </c>
      <c r="C407" s="391">
        <v>431.0</v>
      </c>
      <c r="D407" s="391" t="s">
        <v>582</v>
      </c>
      <c r="E407" s="391">
        <v>1.0</v>
      </c>
      <c r="F407" s="402">
        <v>45495.64375</v>
      </c>
      <c r="G407" s="391">
        <v>1.0</v>
      </c>
      <c r="H407" s="391">
        <v>51.3774</v>
      </c>
      <c r="I407" s="391">
        <v>7.69414</v>
      </c>
      <c r="J407" s="391">
        <v>-24.834944</v>
      </c>
      <c r="K407" s="391">
        <v>-23.200469</v>
      </c>
      <c r="L407" s="391">
        <v>1078.32</v>
      </c>
      <c r="M407" s="391">
        <v>69.000246</v>
      </c>
      <c r="N407" s="391">
        <v>11620.4886</v>
      </c>
      <c r="O407" s="391">
        <v>0.0</v>
      </c>
      <c r="P407" s="394">
        <v>0.0</v>
      </c>
      <c r="Q407" s="376" t="s">
        <v>280</v>
      </c>
      <c r="R407" s="394" t="s">
        <v>607</v>
      </c>
      <c r="S407" s="394">
        <v>10.0</v>
      </c>
      <c r="T407" s="394">
        <v>5.0</v>
      </c>
      <c r="U407" s="394">
        <v>0.7</v>
      </c>
      <c r="V407" s="394">
        <v>0.7</v>
      </c>
      <c r="W407" s="394">
        <v>0.7</v>
      </c>
      <c r="X407" s="391">
        <v>2000.0</v>
      </c>
      <c r="Y407" s="391" t="s">
        <v>540</v>
      </c>
      <c r="Z407" s="391">
        <v>0.2</v>
      </c>
      <c r="AA407" s="391" t="s">
        <v>541</v>
      </c>
      <c r="AB407" s="391" t="s">
        <v>542</v>
      </c>
      <c r="AC407" s="391">
        <v>220.0</v>
      </c>
      <c r="AD407" s="193"/>
      <c r="AE407" s="377"/>
    </row>
    <row r="408">
      <c r="A408" s="391" t="s">
        <v>808</v>
      </c>
      <c r="B408" s="391">
        <v>7.0</v>
      </c>
      <c r="C408" s="391">
        <v>431.0</v>
      </c>
      <c r="D408" s="391" t="s">
        <v>582</v>
      </c>
      <c r="E408" s="391">
        <v>1.0</v>
      </c>
      <c r="F408" s="404">
        <v>45495.646527777775</v>
      </c>
      <c r="G408" s="391">
        <v>2.0</v>
      </c>
      <c r="H408" s="391">
        <v>51.3741</v>
      </c>
      <c r="I408" s="391">
        <v>7.68724</v>
      </c>
      <c r="J408" s="391">
        <v>-24.793262</v>
      </c>
      <c r="K408" s="391">
        <v>-23.27285</v>
      </c>
      <c r="L408" s="391">
        <v>1077.68</v>
      </c>
      <c r="M408" s="391">
        <v>69.000238</v>
      </c>
      <c r="N408" s="391">
        <v>11629.7279</v>
      </c>
      <c r="O408" s="391">
        <v>11624.2516</v>
      </c>
      <c r="P408" s="394">
        <v>2068.82924</v>
      </c>
      <c r="Q408" s="376" t="s">
        <v>12</v>
      </c>
      <c r="R408" s="394" t="s">
        <v>539</v>
      </c>
      <c r="S408" s="394">
        <v>10.0</v>
      </c>
      <c r="T408" s="394">
        <v>5.0</v>
      </c>
      <c r="U408" s="394">
        <v>0.7</v>
      </c>
      <c r="V408" s="394">
        <v>0.7</v>
      </c>
      <c r="W408" s="394">
        <v>0.7</v>
      </c>
      <c r="X408" s="391">
        <v>2000.0</v>
      </c>
      <c r="Y408" s="391" t="s">
        <v>540</v>
      </c>
      <c r="Z408" s="391">
        <v>0.2</v>
      </c>
      <c r="AA408" s="391" t="s">
        <v>541</v>
      </c>
      <c r="AB408" s="391" t="s">
        <v>542</v>
      </c>
      <c r="AC408" s="391">
        <v>220.0</v>
      </c>
      <c r="AD408" s="193"/>
      <c r="AE408" s="377"/>
    </row>
    <row r="409">
      <c r="A409" s="391" t="s">
        <v>809</v>
      </c>
      <c r="B409" s="391">
        <v>7.0</v>
      </c>
      <c r="C409" s="391">
        <v>431.0</v>
      </c>
      <c r="D409" s="391" t="s">
        <v>582</v>
      </c>
      <c r="E409" s="391">
        <v>1.0</v>
      </c>
      <c r="F409" s="402">
        <v>45495.649305555555</v>
      </c>
      <c r="G409" s="391">
        <v>2.0</v>
      </c>
      <c r="H409" s="391">
        <v>51.3741</v>
      </c>
      <c r="I409" s="391">
        <v>7.65286</v>
      </c>
      <c r="J409" s="391">
        <v>-24.904956</v>
      </c>
      <c r="K409" s="391">
        <v>-23.1588</v>
      </c>
      <c r="L409" s="391">
        <v>1065.68</v>
      </c>
      <c r="M409" s="391">
        <v>65.500749</v>
      </c>
      <c r="N409" s="391">
        <v>11618.7753</v>
      </c>
      <c r="O409" s="391">
        <v>11624.2516</v>
      </c>
      <c r="P409" s="394">
        <v>2068.82924</v>
      </c>
      <c r="Q409" s="376" t="s">
        <v>12</v>
      </c>
      <c r="R409" s="394" t="s">
        <v>539</v>
      </c>
      <c r="S409" s="394">
        <v>10.0</v>
      </c>
      <c r="T409" s="394">
        <v>5.0</v>
      </c>
      <c r="U409" s="394">
        <v>0.7</v>
      </c>
      <c r="V409" s="394">
        <v>0.7</v>
      </c>
      <c r="W409" s="394">
        <v>0.7</v>
      </c>
      <c r="X409" s="391">
        <v>2000.0</v>
      </c>
      <c r="Y409" s="391" t="s">
        <v>540</v>
      </c>
      <c r="Z409" s="391">
        <v>0.2</v>
      </c>
      <c r="AA409" s="391" t="s">
        <v>541</v>
      </c>
      <c r="AB409" s="391" t="s">
        <v>542</v>
      </c>
      <c r="AC409" s="391">
        <v>220.0</v>
      </c>
      <c r="AD409" s="193"/>
      <c r="AE409" s="377"/>
    </row>
    <row r="410">
      <c r="A410" s="391" t="s">
        <v>601</v>
      </c>
      <c r="B410" s="391">
        <v>8.0</v>
      </c>
      <c r="C410" s="391">
        <v>534.0</v>
      </c>
      <c r="D410" s="391" t="s">
        <v>585</v>
      </c>
      <c r="E410" s="391">
        <v>1.0</v>
      </c>
      <c r="F410" s="393">
        <v>45495.65277777778</v>
      </c>
      <c r="G410" s="391">
        <v>1.0</v>
      </c>
      <c r="H410" s="391">
        <v>51.3741</v>
      </c>
      <c r="I410" s="391">
        <v>7.63864</v>
      </c>
      <c r="J410" s="391">
        <v>-24.789225</v>
      </c>
      <c r="K410" s="391">
        <v>-23.456769</v>
      </c>
      <c r="L410" s="391">
        <v>1076.03</v>
      </c>
      <c r="M410" s="391">
        <v>74.49963</v>
      </c>
      <c r="N410" s="391">
        <v>11694.6913</v>
      </c>
      <c r="O410" s="391">
        <v>11694.8103</v>
      </c>
      <c r="P410" s="394">
        <v>2081.28718</v>
      </c>
      <c r="Q410" s="376" t="s">
        <v>12</v>
      </c>
      <c r="R410" s="394" t="s">
        <v>539</v>
      </c>
      <c r="S410" s="394">
        <v>10.0</v>
      </c>
      <c r="T410" s="394">
        <v>5.0</v>
      </c>
      <c r="U410" s="394">
        <v>0.7</v>
      </c>
      <c r="V410" s="394">
        <v>0.7</v>
      </c>
      <c r="W410" s="394">
        <v>0.7</v>
      </c>
      <c r="X410" s="391">
        <v>2000.0</v>
      </c>
      <c r="Y410" s="391" t="s">
        <v>540</v>
      </c>
      <c r="Z410" s="391">
        <v>0.2</v>
      </c>
      <c r="AA410" s="391" t="s">
        <v>541</v>
      </c>
      <c r="AB410" s="391" t="s">
        <v>542</v>
      </c>
      <c r="AC410" s="391">
        <v>220.0</v>
      </c>
      <c r="AD410" s="193"/>
      <c r="AE410" s="377"/>
    </row>
    <row r="411">
      <c r="A411" s="391" t="s">
        <v>602</v>
      </c>
      <c r="B411" s="391">
        <v>8.0</v>
      </c>
      <c r="C411" s="391">
        <v>534.0</v>
      </c>
      <c r="D411" s="391" t="s">
        <v>585</v>
      </c>
      <c r="E411" s="391">
        <v>1.0</v>
      </c>
      <c r="F411" s="393">
        <v>45495.65555555555</v>
      </c>
      <c r="G411" s="391">
        <v>1.0</v>
      </c>
      <c r="H411" s="391">
        <v>51.3774</v>
      </c>
      <c r="I411" s="391">
        <v>7.61491</v>
      </c>
      <c r="J411" s="391">
        <v>-24.874437</v>
      </c>
      <c r="K411" s="391">
        <v>-23.108888</v>
      </c>
      <c r="L411" s="391">
        <v>1119.95</v>
      </c>
      <c r="M411" s="391">
        <v>68.50081</v>
      </c>
      <c r="N411" s="391">
        <v>11694.9293</v>
      </c>
      <c r="O411" s="391">
        <v>11694.8103</v>
      </c>
      <c r="P411" s="394">
        <v>2081.28718</v>
      </c>
      <c r="Q411" s="376" t="s">
        <v>12</v>
      </c>
      <c r="R411" s="394" t="s">
        <v>539</v>
      </c>
      <c r="S411" s="394">
        <v>10.0</v>
      </c>
      <c r="T411" s="394">
        <v>5.0</v>
      </c>
      <c r="U411" s="394">
        <v>0.7</v>
      </c>
      <c r="V411" s="394">
        <v>0.7</v>
      </c>
      <c r="W411" s="394">
        <v>0.7</v>
      </c>
      <c r="X411" s="391">
        <v>2000.0</v>
      </c>
      <c r="Y411" s="391" t="s">
        <v>540</v>
      </c>
      <c r="Z411" s="391">
        <v>0.2</v>
      </c>
      <c r="AA411" s="391" t="s">
        <v>541</v>
      </c>
      <c r="AB411" s="391" t="s">
        <v>542</v>
      </c>
      <c r="AC411" s="391">
        <v>220.0</v>
      </c>
      <c r="AD411" s="193"/>
      <c r="AE411" s="377"/>
    </row>
    <row r="412">
      <c r="A412" s="391" t="s">
        <v>606</v>
      </c>
      <c r="B412" s="391">
        <v>9.0</v>
      </c>
      <c r="C412" s="391">
        <v>535.0</v>
      </c>
      <c r="D412" s="391" t="s">
        <v>589</v>
      </c>
      <c r="E412" s="391">
        <v>1.0</v>
      </c>
      <c r="F412" s="393">
        <v>45495.65902777778</v>
      </c>
      <c r="G412" s="391">
        <v>1.0</v>
      </c>
      <c r="H412" s="391">
        <v>51.3741</v>
      </c>
      <c r="I412" s="391">
        <v>7.46606</v>
      </c>
      <c r="J412" s="391">
        <v>-24.810406</v>
      </c>
      <c r="K412" s="391">
        <v>-23.072862</v>
      </c>
      <c r="L412" s="391">
        <v>1096.69</v>
      </c>
      <c r="M412" s="391">
        <v>66.499887</v>
      </c>
      <c r="N412" s="391">
        <v>11687.0289</v>
      </c>
      <c r="O412" s="391">
        <v>11714.8073</v>
      </c>
      <c r="P412" s="394">
        <v>2084.81787</v>
      </c>
      <c r="Q412" s="376" t="s">
        <v>12</v>
      </c>
      <c r="R412" s="394" t="s">
        <v>553</v>
      </c>
      <c r="S412" s="394">
        <v>10.0</v>
      </c>
      <c r="T412" s="394">
        <v>5.0</v>
      </c>
      <c r="U412" s="394">
        <v>0.7</v>
      </c>
      <c r="V412" s="394">
        <v>0.7</v>
      </c>
      <c r="W412" s="394">
        <v>0.7</v>
      </c>
      <c r="X412" s="391">
        <v>2000.0</v>
      </c>
      <c r="Y412" s="391" t="s">
        <v>540</v>
      </c>
      <c r="Z412" s="391">
        <v>0.2</v>
      </c>
      <c r="AA412" s="391" t="s">
        <v>541</v>
      </c>
      <c r="AB412" s="391" t="s">
        <v>542</v>
      </c>
      <c r="AC412" s="391">
        <v>220.0</v>
      </c>
      <c r="AD412" s="193"/>
      <c r="AE412" s="377"/>
    </row>
    <row r="413">
      <c r="A413" s="391" t="s">
        <v>608</v>
      </c>
      <c r="B413" s="391">
        <v>9.0</v>
      </c>
      <c r="C413" s="391">
        <v>535.0</v>
      </c>
      <c r="D413" s="391" t="s">
        <v>589</v>
      </c>
      <c r="E413" s="391">
        <v>1.0</v>
      </c>
      <c r="F413" s="393">
        <v>45495.66180555556</v>
      </c>
      <c r="G413" s="391">
        <v>1.0</v>
      </c>
      <c r="H413" s="391">
        <v>51.3774</v>
      </c>
      <c r="I413" s="391">
        <v>7.46288</v>
      </c>
      <c r="J413" s="391">
        <v>-24.887131</v>
      </c>
      <c r="K413" s="391">
        <v>-23.323438</v>
      </c>
      <c r="L413" s="391">
        <v>1091.75</v>
      </c>
      <c r="M413" s="391">
        <v>71.501164</v>
      </c>
      <c r="N413" s="391">
        <v>11754.8013</v>
      </c>
      <c r="O413" s="391">
        <v>11714.8073</v>
      </c>
      <c r="P413" s="394">
        <v>2084.81787</v>
      </c>
      <c r="Q413" s="376" t="s">
        <v>12</v>
      </c>
      <c r="R413" s="394" t="s">
        <v>553</v>
      </c>
      <c r="S413" s="394">
        <v>10.0</v>
      </c>
      <c r="T413" s="394">
        <v>5.0</v>
      </c>
      <c r="U413" s="394">
        <v>0.7</v>
      </c>
      <c r="V413" s="394">
        <v>0.7</v>
      </c>
      <c r="W413" s="394">
        <v>0.7</v>
      </c>
      <c r="X413" s="391">
        <v>2000.0</v>
      </c>
      <c r="Y413" s="391" t="s">
        <v>540</v>
      </c>
      <c r="Z413" s="391">
        <v>0.2</v>
      </c>
      <c r="AA413" s="391" t="s">
        <v>541</v>
      </c>
      <c r="AB413" s="391" t="s">
        <v>542</v>
      </c>
      <c r="AC413" s="391">
        <v>220.0</v>
      </c>
      <c r="AD413" s="193"/>
      <c r="AE413" s="377"/>
    </row>
    <row r="414">
      <c r="A414" s="391" t="s">
        <v>609</v>
      </c>
      <c r="B414" s="391">
        <v>9.0</v>
      </c>
      <c r="C414" s="391">
        <v>535.0</v>
      </c>
      <c r="D414" s="391" t="s">
        <v>589</v>
      </c>
      <c r="E414" s="391">
        <v>1.0</v>
      </c>
      <c r="F414" s="393">
        <v>45495.66458333333</v>
      </c>
      <c r="G414" s="391">
        <v>1.0</v>
      </c>
      <c r="H414" s="391">
        <v>51.3675</v>
      </c>
      <c r="I414" s="391">
        <v>7.39422</v>
      </c>
      <c r="J414" s="391">
        <v>-24.9058</v>
      </c>
      <c r="K414" s="391">
        <v>-23.451644</v>
      </c>
      <c r="L414" s="391">
        <v>1066.66</v>
      </c>
      <c r="M414" s="391">
        <v>73.001501</v>
      </c>
      <c r="N414" s="391">
        <v>11710.7014</v>
      </c>
      <c r="O414" s="391">
        <v>11714.8073</v>
      </c>
      <c r="P414" s="394">
        <v>2084.81787</v>
      </c>
      <c r="Q414" s="376" t="s">
        <v>12</v>
      </c>
      <c r="R414" s="394" t="s">
        <v>539</v>
      </c>
      <c r="S414" s="394">
        <v>10.0</v>
      </c>
      <c r="T414" s="394">
        <v>5.0</v>
      </c>
      <c r="U414" s="394">
        <v>0.7</v>
      </c>
      <c r="V414" s="394">
        <v>0.7</v>
      </c>
      <c r="W414" s="394">
        <v>0.7</v>
      </c>
      <c r="X414" s="391">
        <v>2000.0</v>
      </c>
      <c r="Y414" s="391" t="s">
        <v>540</v>
      </c>
      <c r="Z414" s="391">
        <v>0.2</v>
      </c>
      <c r="AA414" s="391" t="s">
        <v>541</v>
      </c>
      <c r="AB414" s="391" t="s">
        <v>542</v>
      </c>
      <c r="AC414" s="391">
        <v>220.0</v>
      </c>
      <c r="AD414" s="193"/>
      <c r="AE414" s="377"/>
    </row>
    <row r="415">
      <c r="A415" s="391" t="s">
        <v>610</v>
      </c>
      <c r="B415" s="391">
        <v>9.0</v>
      </c>
      <c r="C415" s="391">
        <v>535.0</v>
      </c>
      <c r="D415" s="391" t="s">
        <v>589</v>
      </c>
      <c r="E415" s="391">
        <v>1.0</v>
      </c>
      <c r="F415" s="393">
        <v>45495.66736111111</v>
      </c>
      <c r="G415" s="391">
        <v>1.0</v>
      </c>
      <c r="H415" s="391">
        <v>51.3741</v>
      </c>
      <c r="I415" s="391">
        <v>7.27485</v>
      </c>
      <c r="J415" s="391">
        <v>-24.868294</v>
      </c>
      <c r="K415" s="391">
        <v>-23.451144</v>
      </c>
      <c r="L415" s="391">
        <v>1073.95</v>
      </c>
      <c r="M415" s="391">
        <v>72.500642</v>
      </c>
      <c r="N415" s="391">
        <v>11718.9132</v>
      </c>
      <c r="O415" s="391">
        <v>11714.8073</v>
      </c>
      <c r="P415" s="394">
        <v>2084.81787</v>
      </c>
      <c r="Q415" s="376" t="s">
        <v>12</v>
      </c>
      <c r="R415" s="394" t="s">
        <v>539</v>
      </c>
      <c r="S415" s="394">
        <v>10.0</v>
      </c>
      <c r="T415" s="394">
        <v>5.0</v>
      </c>
      <c r="U415" s="394">
        <v>0.7</v>
      </c>
      <c r="V415" s="394">
        <v>0.7</v>
      </c>
      <c r="W415" s="394">
        <v>0.7</v>
      </c>
      <c r="X415" s="391">
        <v>2000.0</v>
      </c>
      <c r="Y415" s="391" t="s">
        <v>540</v>
      </c>
      <c r="Z415" s="391">
        <v>0.2</v>
      </c>
      <c r="AA415" s="391" t="s">
        <v>541</v>
      </c>
      <c r="AB415" s="391" t="s">
        <v>542</v>
      </c>
      <c r="AC415" s="391">
        <v>220.0</v>
      </c>
      <c r="AD415" s="193"/>
      <c r="AE415" s="377"/>
    </row>
    <row r="416">
      <c r="A416" s="391" t="s">
        <v>810</v>
      </c>
      <c r="B416" s="391" t="s">
        <v>551</v>
      </c>
      <c r="C416" s="391" t="s">
        <v>776</v>
      </c>
      <c r="D416" s="391" t="s">
        <v>538</v>
      </c>
      <c r="E416" s="391">
        <v>0.8</v>
      </c>
      <c r="F416" s="393">
        <v>45495.67083333333</v>
      </c>
      <c r="G416" s="391">
        <v>1.0</v>
      </c>
      <c r="H416" s="391">
        <v>51.3741</v>
      </c>
      <c r="I416" s="391">
        <v>7.05106</v>
      </c>
      <c r="J416" s="391">
        <v>-24.981175</v>
      </c>
      <c r="K416" s="391">
        <v>-23.896438</v>
      </c>
      <c r="L416" s="391">
        <v>980.812</v>
      </c>
      <c r="M416" s="391">
        <v>72.499817</v>
      </c>
      <c r="N416" s="391">
        <v>9264.19014</v>
      </c>
      <c r="O416" s="391">
        <v>9223.96155</v>
      </c>
      <c r="P416" s="394">
        <v>2070.3457</v>
      </c>
      <c r="Q416" s="376" t="s">
        <v>12</v>
      </c>
      <c r="R416" s="394" t="s">
        <v>553</v>
      </c>
      <c r="S416" s="394">
        <v>10.0</v>
      </c>
      <c r="T416" s="394">
        <v>5.0</v>
      </c>
      <c r="U416" s="394">
        <v>0.7</v>
      </c>
      <c r="V416" s="394">
        <v>0.7</v>
      </c>
      <c r="W416" s="394">
        <v>0.7</v>
      </c>
      <c r="X416" s="391">
        <v>2000.0</v>
      </c>
      <c r="Y416" s="391" t="s">
        <v>540</v>
      </c>
      <c r="Z416" s="391">
        <v>0.2</v>
      </c>
      <c r="AA416" s="391" t="s">
        <v>541</v>
      </c>
      <c r="AB416" s="391" t="s">
        <v>542</v>
      </c>
      <c r="AC416" s="391">
        <v>220.0</v>
      </c>
      <c r="AD416" s="193"/>
      <c r="AE416" s="377"/>
    </row>
    <row r="417">
      <c r="A417" s="391" t="s">
        <v>811</v>
      </c>
      <c r="B417" s="391" t="s">
        <v>551</v>
      </c>
      <c r="C417" s="391" t="s">
        <v>776</v>
      </c>
      <c r="D417" s="391" t="s">
        <v>538</v>
      </c>
      <c r="E417" s="391">
        <v>0.8</v>
      </c>
      <c r="F417" s="393">
        <v>45495.67361111111</v>
      </c>
      <c r="G417" s="391">
        <v>1.0</v>
      </c>
      <c r="H417" s="391">
        <v>51.3741</v>
      </c>
      <c r="I417" s="391">
        <v>7.02758</v>
      </c>
      <c r="J417" s="391">
        <v>-24.9022</v>
      </c>
      <c r="K417" s="391">
        <v>-23.169125</v>
      </c>
      <c r="L417" s="391">
        <v>974.852</v>
      </c>
      <c r="M417" s="391">
        <v>64.498969</v>
      </c>
      <c r="N417" s="391">
        <v>9221.12723</v>
      </c>
      <c r="O417" s="391">
        <v>9223.96155</v>
      </c>
      <c r="P417" s="394">
        <v>2070.3457</v>
      </c>
      <c r="Q417" s="376" t="s">
        <v>12</v>
      </c>
      <c r="R417" s="394" t="s">
        <v>539</v>
      </c>
      <c r="S417" s="394">
        <v>10.0</v>
      </c>
      <c r="T417" s="394">
        <v>5.0</v>
      </c>
      <c r="U417" s="394">
        <v>0.7</v>
      </c>
      <c r="V417" s="394">
        <v>0.7</v>
      </c>
      <c r="W417" s="394">
        <v>0.7</v>
      </c>
      <c r="X417" s="391">
        <v>2000.0</v>
      </c>
      <c r="Y417" s="391" t="s">
        <v>540</v>
      </c>
      <c r="Z417" s="391">
        <v>0.2</v>
      </c>
      <c r="AA417" s="391" t="s">
        <v>541</v>
      </c>
      <c r="AB417" s="391" t="s">
        <v>542</v>
      </c>
      <c r="AC417" s="391">
        <v>220.0</v>
      </c>
      <c r="AD417" s="193"/>
      <c r="AE417" s="377"/>
    </row>
    <row r="418">
      <c r="A418" s="391" t="s">
        <v>812</v>
      </c>
      <c r="B418" s="391" t="s">
        <v>551</v>
      </c>
      <c r="C418" s="391" t="s">
        <v>776</v>
      </c>
      <c r="D418" s="391" t="s">
        <v>538</v>
      </c>
      <c r="E418" s="391">
        <v>0.8</v>
      </c>
      <c r="F418" s="393">
        <v>45495.67638888889</v>
      </c>
      <c r="G418" s="391">
        <v>1.0</v>
      </c>
      <c r="H418" s="391">
        <v>51.3774</v>
      </c>
      <c r="I418" s="391">
        <v>6.90808</v>
      </c>
      <c r="J418" s="391">
        <v>-24.919825</v>
      </c>
      <c r="K418" s="391">
        <v>-23.317712</v>
      </c>
      <c r="L418" s="391">
        <v>990.544</v>
      </c>
      <c r="M418" s="391">
        <v>65.499491</v>
      </c>
      <c r="N418" s="391">
        <v>9226.79586</v>
      </c>
      <c r="O418" s="391">
        <v>9223.96155</v>
      </c>
      <c r="P418" s="394">
        <v>2070.3457</v>
      </c>
      <c r="Q418" s="376" t="s">
        <v>12</v>
      </c>
      <c r="R418" s="394" t="s">
        <v>539</v>
      </c>
      <c r="S418" s="394">
        <v>10.0</v>
      </c>
      <c r="T418" s="394">
        <v>5.0</v>
      </c>
      <c r="U418" s="394">
        <v>0.7</v>
      </c>
      <c r="V418" s="394">
        <v>0.7</v>
      </c>
      <c r="W418" s="394">
        <v>0.7</v>
      </c>
      <c r="X418" s="391">
        <v>2000.0</v>
      </c>
      <c r="Y418" s="391" t="s">
        <v>540</v>
      </c>
      <c r="Z418" s="391">
        <v>0.2</v>
      </c>
      <c r="AA418" s="391" t="s">
        <v>541</v>
      </c>
      <c r="AB418" s="391" t="s">
        <v>542</v>
      </c>
      <c r="AC418" s="391">
        <v>220.0</v>
      </c>
      <c r="AD418" s="193"/>
      <c r="AE418" s="377"/>
    </row>
    <row r="419">
      <c r="A419" s="391" t="s">
        <v>813</v>
      </c>
      <c r="B419" s="391" t="s">
        <v>558</v>
      </c>
      <c r="C419" s="391" t="s">
        <v>776</v>
      </c>
      <c r="D419" s="391" t="s">
        <v>538</v>
      </c>
      <c r="E419" s="391">
        <v>1.0</v>
      </c>
      <c r="F419" s="393">
        <v>45495.67916666667</v>
      </c>
      <c r="G419" s="391">
        <v>1.0</v>
      </c>
      <c r="H419" s="391">
        <v>51.3774</v>
      </c>
      <c r="I419" s="391">
        <v>6.95192</v>
      </c>
      <c r="J419" s="391">
        <v>-24.990962</v>
      </c>
      <c r="K419" s="391">
        <v>-23.502125</v>
      </c>
      <c r="L419" s="391">
        <v>1054.03</v>
      </c>
      <c r="M419" s="391">
        <v>75.499658</v>
      </c>
      <c r="N419" s="391">
        <v>11592.3895</v>
      </c>
      <c r="O419" s="391">
        <v>11558.0322</v>
      </c>
      <c r="P419" s="394">
        <v>2070.3457</v>
      </c>
      <c r="Q419" s="376" t="s">
        <v>12</v>
      </c>
      <c r="R419" s="394" t="s">
        <v>553</v>
      </c>
      <c r="S419" s="394">
        <v>10.0</v>
      </c>
      <c r="T419" s="394">
        <v>5.0</v>
      </c>
      <c r="U419" s="394">
        <v>0.7</v>
      </c>
      <c r="V419" s="394">
        <v>0.7</v>
      </c>
      <c r="W419" s="394">
        <v>0.7</v>
      </c>
      <c r="X419" s="391">
        <v>2000.0</v>
      </c>
      <c r="Y419" s="391" t="s">
        <v>540</v>
      </c>
      <c r="Z419" s="391">
        <v>0.2</v>
      </c>
      <c r="AA419" s="391" t="s">
        <v>541</v>
      </c>
      <c r="AB419" s="391" t="s">
        <v>542</v>
      </c>
      <c r="AC419" s="391">
        <v>220.0</v>
      </c>
      <c r="AD419" s="193"/>
      <c r="AE419" s="377"/>
    </row>
    <row r="420">
      <c r="A420" s="391" t="s">
        <v>814</v>
      </c>
      <c r="B420" s="391" t="s">
        <v>558</v>
      </c>
      <c r="C420" s="391" t="s">
        <v>776</v>
      </c>
      <c r="D420" s="391" t="s">
        <v>538</v>
      </c>
      <c r="E420" s="391">
        <v>1.0</v>
      </c>
      <c r="F420" s="393">
        <v>45495.68194444444</v>
      </c>
      <c r="G420" s="391">
        <v>1.0</v>
      </c>
      <c r="H420" s="391">
        <v>51.3741</v>
      </c>
      <c r="I420" s="391">
        <v>6.9391</v>
      </c>
      <c r="J420" s="391">
        <v>-24.97435</v>
      </c>
      <c r="K420" s="391">
        <v>-23.284831</v>
      </c>
      <c r="L420" s="391">
        <v>1058.0</v>
      </c>
      <c r="M420" s="391">
        <v>68.999828</v>
      </c>
      <c r="N420" s="391">
        <v>11555.392</v>
      </c>
      <c r="O420" s="391">
        <v>11558.0322</v>
      </c>
      <c r="P420" s="394">
        <v>2070.3457</v>
      </c>
      <c r="Q420" s="376" t="s">
        <v>12</v>
      </c>
      <c r="R420" s="394" t="s">
        <v>539</v>
      </c>
      <c r="S420" s="394">
        <v>10.0</v>
      </c>
      <c r="T420" s="394">
        <v>5.0</v>
      </c>
      <c r="U420" s="394">
        <v>0.7</v>
      </c>
      <c r="V420" s="394">
        <v>0.7</v>
      </c>
      <c r="W420" s="394">
        <v>0.7</v>
      </c>
      <c r="X420" s="391">
        <v>2000.0</v>
      </c>
      <c r="Y420" s="391" t="s">
        <v>540</v>
      </c>
      <c r="Z420" s="391">
        <v>0.2</v>
      </c>
      <c r="AA420" s="391" t="s">
        <v>541</v>
      </c>
      <c r="AB420" s="391" t="s">
        <v>542</v>
      </c>
      <c r="AC420" s="391">
        <v>220.0</v>
      </c>
      <c r="AD420" s="193"/>
      <c r="AE420" s="377"/>
    </row>
    <row r="421">
      <c r="A421" s="395" t="s">
        <v>815</v>
      </c>
      <c r="B421" s="395" t="s">
        <v>558</v>
      </c>
      <c r="C421" s="395" t="s">
        <v>776</v>
      </c>
      <c r="D421" s="395" t="s">
        <v>538</v>
      </c>
      <c r="E421" s="395">
        <v>1.0</v>
      </c>
      <c r="F421" s="396">
        <v>45495.68472222222</v>
      </c>
      <c r="G421" s="395">
        <v>1.0</v>
      </c>
      <c r="H421" s="395">
        <v>51.3741</v>
      </c>
      <c r="I421" s="395">
        <v>7.45681</v>
      </c>
      <c r="J421" s="395">
        <v>-24.94335</v>
      </c>
      <c r="K421" s="395">
        <v>-23.086994</v>
      </c>
      <c r="L421" s="395">
        <v>1073.73</v>
      </c>
      <c r="M421" s="395">
        <v>65.501321</v>
      </c>
      <c r="N421" s="395">
        <v>11560.6724</v>
      </c>
      <c r="O421" s="395">
        <v>11558.0322</v>
      </c>
      <c r="P421" s="397">
        <v>2070.3457</v>
      </c>
      <c r="Q421" s="376" t="s">
        <v>12</v>
      </c>
      <c r="R421" s="394" t="s">
        <v>539</v>
      </c>
      <c r="S421" s="394">
        <v>10.0</v>
      </c>
      <c r="T421" s="394">
        <v>5.0</v>
      </c>
      <c r="U421" s="394">
        <v>0.7</v>
      </c>
      <c r="V421" s="394">
        <v>0.7</v>
      </c>
      <c r="W421" s="394">
        <v>0.7</v>
      </c>
      <c r="X421" s="391">
        <v>2000.0</v>
      </c>
      <c r="Y421" s="391" t="s">
        <v>540</v>
      </c>
      <c r="Z421" s="391">
        <v>0.2</v>
      </c>
      <c r="AA421" s="391" t="s">
        <v>541</v>
      </c>
      <c r="AB421" s="391" t="s">
        <v>542</v>
      </c>
      <c r="AC421" s="391">
        <v>220.0</v>
      </c>
      <c r="AD421" s="193"/>
      <c r="AE421" s="377"/>
    </row>
    <row r="422">
      <c r="A422" s="391" t="s">
        <v>816</v>
      </c>
      <c r="B422" s="391" t="s">
        <v>561</v>
      </c>
      <c r="C422" s="391" t="s">
        <v>776</v>
      </c>
      <c r="D422" s="391" t="s">
        <v>538</v>
      </c>
      <c r="E422" s="391">
        <v>1.2</v>
      </c>
      <c r="F422" s="393">
        <v>45495.6875</v>
      </c>
      <c r="G422" s="391">
        <v>1.0</v>
      </c>
      <c r="H422" s="391">
        <v>51.3774</v>
      </c>
      <c r="I422" s="391">
        <v>7.52159</v>
      </c>
      <c r="J422" s="391">
        <v>-24.918112</v>
      </c>
      <c r="K422" s="391">
        <v>-22.4627</v>
      </c>
      <c r="L422" s="391">
        <v>1117.12</v>
      </c>
      <c r="M422" s="391">
        <v>69.501903</v>
      </c>
      <c r="N422" s="391">
        <v>13904.8563</v>
      </c>
      <c r="O422" s="391">
        <v>13944.3721</v>
      </c>
      <c r="P422" s="394">
        <v>2070.3457</v>
      </c>
      <c r="Q422" s="376" t="s">
        <v>12</v>
      </c>
      <c r="R422" s="394" t="s">
        <v>553</v>
      </c>
      <c r="S422" s="394">
        <v>10.0</v>
      </c>
      <c r="T422" s="394">
        <v>5.0</v>
      </c>
      <c r="U422" s="394">
        <v>0.7</v>
      </c>
      <c r="V422" s="394">
        <v>0.7</v>
      </c>
      <c r="W422" s="394">
        <v>0.7</v>
      </c>
      <c r="X422" s="391">
        <v>2000.0</v>
      </c>
      <c r="Y422" s="391" t="s">
        <v>540</v>
      </c>
      <c r="Z422" s="391">
        <v>0.2</v>
      </c>
      <c r="AA422" s="391" t="s">
        <v>541</v>
      </c>
      <c r="AB422" s="391" t="s">
        <v>542</v>
      </c>
      <c r="AC422" s="391">
        <v>220.0</v>
      </c>
      <c r="AD422" s="193"/>
      <c r="AE422" s="377"/>
    </row>
    <row r="423">
      <c r="A423" s="391" t="s">
        <v>817</v>
      </c>
      <c r="B423" s="391" t="s">
        <v>561</v>
      </c>
      <c r="C423" s="391" t="s">
        <v>776</v>
      </c>
      <c r="D423" s="391" t="s">
        <v>538</v>
      </c>
      <c r="E423" s="391">
        <v>1.2</v>
      </c>
      <c r="F423" s="393">
        <v>45495.69027777778</v>
      </c>
      <c r="G423" s="391">
        <v>1.0</v>
      </c>
      <c r="H423" s="391">
        <v>51.3741</v>
      </c>
      <c r="I423" s="391">
        <v>7.5458</v>
      </c>
      <c r="J423" s="391">
        <v>-24.934256</v>
      </c>
      <c r="K423" s="391">
        <v>-22.988512</v>
      </c>
      <c r="L423" s="391">
        <v>1098.15</v>
      </c>
      <c r="M423" s="391">
        <v>71.498632</v>
      </c>
      <c r="N423" s="391">
        <v>13869.3368</v>
      </c>
      <c r="O423" s="391">
        <v>13944.3721</v>
      </c>
      <c r="P423" s="394">
        <v>2070.3457</v>
      </c>
      <c r="Q423" s="376" t="s">
        <v>12</v>
      </c>
      <c r="R423" s="394" t="s">
        <v>553</v>
      </c>
      <c r="S423" s="394">
        <v>10.0</v>
      </c>
      <c r="T423" s="394">
        <v>5.0</v>
      </c>
      <c r="U423" s="394">
        <v>0.7</v>
      </c>
      <c r="V423" s="394">
        <v>0.7</v>
      </c>
      <c r="W423" s="394">
        <v>0.7</v>
      </c>
      <c r="X423" s="391">
        <v>2000.0</v>
      </c>
      <c r="Y423" s="391" t="s">
        <v>540</v>
      </c>
      <c r="Z423" s="391">
        <v>0.2</v>
      </c>
      <c r="AA423" s="391" t="s">
        <v>541</v>
      </c>
      <c r="AB423" s="391" t="s">
        <v>542</v>
      </c>
      <c r="AC423" s="391">
        <v>220.0</v>
      </c>
      <c r="AD423" s="193"/>
      <c r="AE423" s="377"/>
    </row>
    <row r="424">
      <c r="A424" s="391" t="s">
        <v>818</v>
      </c>
      <c r="B424" s="391" t="s">
        <v>561</v>
      </c>
      <c r="C424" s="391" t="s">
        <v>776</v>
      </c>
      <c r="D424" s="391" t="s">
        <v>538</v>
      </c>
      <c r="E424" s="391">
        <v>1.2</v>
      </c>
      <c r="F424" s="393">
        <v>45495.69305555556</v>
      </c>
      <c r="G424" s="391">
        <v>1.0</v>
      </c>
      <c r="H424" s="391">
        <v>51.3708</v>
      </c>
      <c r="I424" s="391">
        <v>7.40119</v>
      </c>
      <c r="J424" s="391">
        <v>-24.980919</v>
      </c>
      <c r="K424" s="391">
        <v>-23.514938</v>
      </c>
      <c r="L424" s="391">
        <v>1088.19</v>
      </c>
      <c r="M424" s="391">
        <v>75.50096</v>
      </c>
      <c r="N424" s="391">
        <v>13946.5593</v>
      </c>
      <c r="O424" s="391">
        <v>13944.3721</v>
      </c>
      <c r="P424" s="394">
        <v>2070.3457</v>
      </c>
      <c r="Q424" s="376" t="s">
        <v>12</v>
      </c>
      <c r="R424" s="394" t="s">
        <v>539</v>
      </c>
      <c r="S424" s="394">
        <v>10.0</v>
      </c>
      <c r="T424" s="394">
        <v>5.0</v>
      </c>
      <c r="U424" s="394">
        <v>0.7</v>
      </c>
      <c r="V424" s="394">
        <v>0.7</v>
      </c>
      <c r="W424" s="394">
        <v>0.7</v>
      </c>
      <c r="X424" s="391">
        <v>2000.0</v>
      </c>
      <c r="Y424" s="391" t="s">
        <v>540</v>
      </c>
      <c r="Z424" s="391">
        <v>0.2</v>
      </c>
      <c r="AA424" s="391" t="s">
        <v>541</v>
      </c>
      <c r="AB424" s="391" t="s">
        <v>542</v>
      </c>
      <c r="AC424" s="391">
        <v>220.0</v>
      </c>
      <c r="AD424" s="193"/>
      <c r="AE424" s="377"/>
    </row>
    <row r="425">
      <c r="A425" s="391" t="s">
        <v>819</v>
      </c>
      <c r="B425" s="391" t="s">
        <v>561</v>
      </c>
      <c r="C425" s="391" t="s">
        <v>776</v>
      </c>
      <c r="D425" s="391" t="s">
        <v>538</v>
      </c>
      <c r="E425" s="391">
        <v>1.2</v>
      </c>
      <c r="F425" s="393">
        <v>45495.69583333333</v>
      </c>
      <c r="G425" s="391">
        <v>1.0</v>
      </c>
      <c r="H425" s="391">
        <v>51.3741</v>
      </c>
      <c r="I425" s="391">
        <v>7.18526</v>
      </c>
      <c r="J425" s="391">
        <v>-24.977137</v>
      </c>
      <c r="K425" s="391">
        <v>-23.216369</v>
      </c>
      <c r="L425" s="391">
        <v>1100.79</v>
      </c>
      <c r="M425" s="391">
        <v>71.999349</v>
      </c>
      <c r="N425" s="391">
        <v>13942.185</v>
      </c>
      <c r="O425" s="391">
        <v>13944.3721</v>
      </c>
      <c r="P425" s="394">
        <v>2070.3457</v>
      </c>
      <c r="Q425" s="376" t="s">
        <v>12</v>
      </c>
      <c r="R425" s="394" t="s">
        <v>539</v>
      </c>
      <c r="S425" s="394">
        <v>10.0</v>
      </c>
      <c r="T425" s="394">
        <v>5.0</v>
      </c>
      <c r="U425" s="394">
        <v>0.7</v>
      </c>
      <c r="V425" s="394">
        <v>0.7</v>
      </c>
      <c r="W425" s="394">
        <v>0.7</v>
      </c>
      <c r="X425" s="391">
        <v>2000.0</v>
      </c>
      <c r="Y425" s="391" t="s">
        <v>540</v>
      </c>
      <c r="Z425" s="391">
        <v>0.2</v>
      </c>
      <c r="AA425" s="391" t="s">
        <v>541</v>
      </c>
      <c r="AB425" s="391" t="s">
        <v>542</v>
      </c>
      <c r="AC425" s="391">
        <v>220.0</v>
      </c>
      <c r="AD425" s="193"/>
      <c r="AE425" s="377"/>
    </row>
    <row r="426">
      <c r="A426" s="391" t="s">
        <v>627</v>
      </c>
      <c r="B426" s="391">
        <v>2.0</v>
      </c>
      <c r="C426" s="391">
        <v>508.0</v>
      </c>
      <c r="D426" s="391" t="s">
        <v>564</v>
      </c>
      <c r="E426" s="391">
        <v>1.0</v>
      </c>
      <c r="F426" s="393">
        <v>45495.69930555556</v>
      </c>
      <c r="G426" s="391">
        <v>1.0</v>
      </c>
      <c r="H426" s="391">
        <v>51.3741</v>
      </c>
      <c r="I426" s="391">
        <v>7.05462</v>
      </c>
      <c r="J426" s="391">
        <v>-25.0257</v>
      </c>
      <c r="K426" s="391">
        <v>-23.3748</v>
      </c>
      <c r="L426" s="391">
        <v>1078.97</v>
      </c>
      <c r="M426" s="391">
        <v>70.001043</v>
      </c>
      <c r="N426" s="391">
        <v>11662.2269</v>
      </c>
      <c r="O426" s="391">
        <v>11658.7472</v>
      </c>
      <c r="P426" s="394">
        <v>2084.95824</v>
      </c>
      <c r="Q426" s="376" t="s">
        <v>12</v>
      </c>
      <c r="R426" s="394" t="s">
        <v>539</v>
      </c>
      <c r="S426" s="394">
        <v>10.0</v>
      </c>
      <c r="T426" s="394">
        <v>5.0</v>
      </c>
      <c r="U426" s="394">
        <v>0.7</v>
      </c>
      <c r="V426" s="394">
        <v>0.7</v>
      </c>
      <c r="W426" s="394">
        <v>0.7</v>
      </c>
      <c r="X426" s="391">
        <v>2000.0</v>
      </c>
      <c r="Y426" s="391" t="s">
        <v>540</v>
      </c>
      <c r="Z426" s="391">
        <v>0.2</v>
      </c>
      <c r="AA426" s="391" t="s">
        <v>541</v>
      </c>
      <c r="AB426" s="391" t="s">
        <v>542</v>
      </c>
      <c r="AC426" s="391">
        <v>220.0</v>
      </c>
      <c r="AD426" s="193"/>
      <c r="AE426" s="377"/>
    </row>
    <row r="427">
      <c r="A427" s="391" t="s">
        <v>628</v>
      </c>
      <c r="B427" s="391">
        <v>2.0</v>
      </c>
      <c r="C427" s="391">
        <v>508.0</v>
      </c>
      <c r="D427" s="391" t="s">
        <v>564</v>
      </c>
      <c r="E427" s="391">
        <v>1.0</v>
      </c>
      <c r="F427" s="393">
        <v>45495.70208333333</v>
      </c>
      <c r="G427" s="391">
        <v>1.0</v>
      </c>
      <c r="H427" s="391">
        <v>51.3741</v>
      </c>
      <c r="I427" s="391">
        <v>7.05368</v>
      </c>
      <c r="J427" s="391">
        <v>-24.9578</v>
      </c>
      <c r="K427" s="391">
        <v>-23.442619</v>
      </c>
      <c r="L427" s="391">
        <v>1044.99</v>
      </c>
      <c r="M427" s="391">
        <v>70.999694</v>
      </c>
      <c r="N427" s="391">
        <v>11655.2674</v>
      </c>
      <c r="O427" s="391">
        <v>11658.7472</v>
      </c>
      <c r="P427" s="394">
        <v>2084.95824</v>
      </c>
      <c r="Q427" s="376" t="s">
        <v>12</v>
      </c>
      <c r="R427" s="394" t="s">
        <v>539</v>
      </c>
      <c r="S427" s="394">
        <v>10.0</v>
      </c>
      <c r="T427" s="394">
        <v>5.0</v>
      </c>
      <c r="U427" s="394">
        <v>0.7</v>
      </c>
      <c r="V427" s="394">
        <v>0.7</v>
      </c>
      <c r="W427" s="394">
        <v>0.7</v>
      </c>
      <c r="X427" s="391">
        <v>2000.0</v>
      </c>
      <c r="Y427" s="391" t="s">
        <v>540</v>
      </c>
      <c r="Z427" s="391">
        <v>0.2</v>
      </c>
      <c r="AA427" s="391" t="s">
        <v>541</v>
      </c>
      <c r="AB427" s="391" t="s">
        <v>542</v>
      </c>
      <c r="AC427" s="391">
        <v>220.0</v>
      </c>
      <c r="AD427" s="193"/>
      <c r="AE427" s="377"/>
    </row>
    <row r="428">
      <c r="A428" s="391" t="s">
        <v>629</v>
      </c>
      <c r="B428" s="391">
        <v>3.0</v>
      </c>
      <c r="C428" s="391">
        <v>509.0</v>
      </c>
      <c r="D428" s="391" t="s">
        <v>568</v>
      </c>
      <c r="E428" s="391">
        <v>1.0</v>
      </c>
      <c r="F428" s="393">
        <v>45495.705555555556</v>
      </c>
      <c r="G428" s="391">
        <v>1.0</v>
      </c>
      <c r="H428" s="391">
        <v>51.3741</v>
      </c>
      <c r="I428" s="391">
        <v>7.02139</v>
      </c>
      <c r="J428" s="391">
        <v>-24.938131</v>
      </c>
      <c r="K428" s="391">
        <v>-23.135356</v>
      </c>
      <c r="L428" s="391">
        <v>1073.96</v>
      </c>
      <c r="M428" s="391">
        <v>67.500243</v>
      </c>
      <c r="N428" s="391">
        <v>11727.3921</v>
      </c>
      <c r="O428" s="391">
        <v>11639.7664</v>
      </c>
      <c r="P428" s="394">
        <v>2081.6283</v>
      </c>
      <c r="Q428" s="376" t="s">
        <v>12</v>
      </c>
      <c r="R428" s="394" t="s">
        <v>553</v>
      </c>
      <c r="S428" s="394">
        <v>10.0</v>
      </c>
      <c r="T428" s="394">
        <v>5.0</v>
      </c>
      <c r="U428" s="394">
        <v>0.7</v>
      </c>
      <c r="V428" s="394">
        <v>0.7</v>
      </c>
      <c r="W428" s="394">
        <v>0.7</v>
      </c>
      <c r="X428" s="391">
        <v>2000.0</v>
      </c>
      <c r="Y428" s="391" t="s">
        <v>540</v>
      </c>
      <c r="Z428" s="391">
        <v>0.2</v>
      </c>
      <c r="AA428" s="391" t="s">
        <v>541</v>
      </c>
      <c r="AB428" s="391" t="s">
        <v>542</v>
      </c>
      <c r="AC428" s="391">
        <v>220.0</v>
      </c>
      <c r="AD428" s="193"/>
      <c r="AE428" s="377"/>
    </row>
    <row r="429">
      <c r="A429" s="391" t="s">
        <v>630</v>
      </c>
      <c r="B429" s="391">
        <v>3.0</v>
      </c>
      <c r="C429" s="391">
        <v>509.0</v>
      </c>
      <c r="D429" s="391" t="s">
        <v>568</v>
      </c>
      <c r="E429" s="391">
        <v>1.0</v>
      </c>
      <c r="F429" s="393">
        <v>45495.708333333336</v>
      </c>
      <c r="G429" s="391">
        <v>1.0</v>
      </c>
      <c r="H429" s="391">
        <v>51.3741</v>
      </c>
      <c r="I429" s="391">
        <v>7.11335</v>
      </c>
      <c r="J429" s="391">
        <v>-25.034962</v>
      </c>
      <c r="K429" s="391">
        <v>-23.599544</v>
      </c>
      <c r="L429" s="391">
        <v>1054.97</v>
      </c>
      <c r="M429" s="391">
        <v>73.000149</v>
      </c>
      <c r="N429" s="391">
        <v>11640.0131</v>
      </c>
      <c r="O429" s="391">
        <v>11639.7664</v>
      </c>
      <c r="P429" s="394">
        <v>2081.6283</v>
      </c>
      <c r="Q429" s="376" t="s">
        <v>12</v>
      </c>
      <c r="R429" s="394" t="s">
        <v>539</v>
      </c>
      <c r="S429" s="394">
        <v>10.0</v>
      </c>
      <c r="T429" s="394">
        <v>5.0</v>
      </c>
      <c r="U429" s="394">
        <v>0.7</v>
      </c>
      <c r="V429" s="394">
        <v>0.7</v>
      </c>
      <c r="W429" s="394">
        <v>0.7</v>
      </c>
      <c r="X429" s="391">
        <v>2000.0</v>
      </c>
      <c r="Y429" s="391" t="s">
        <v>540</v>
      </c>
      <c r="Z429" s="391">
        <v>0.2</v>
      </c>
      <c r="AA429" s="391" t="s">
        <v>541</v>
      </c>
      <c r="AB429" s="391" t="s">
        <v>542</v>
      </c>
      <c r="AC429" s="391">
        <v>220.0</v>
      </c>
      <c r="AD429" s="193"/>
      <c r="AE429" s="377"/>
    </row>
    <row r="430">
      <c r="A430" s="391" t="s">
        <v>631</v>
      </c>
      <c r="B430" s="391">
        <v>3.0</v>
      </c>
      <c r="C430" s="391">
        <v>509.0</v>
      </c>
      <c r="D430" s="391" t="s">
        <v>568</v>
      </c>
      <c r="E430" s="391">
        <v>1.0</v>
      </c>
      <c r="F430" s="393">
        <v>45495.71111111111</v>
      </c>
      <c r="G430" s="391">
        <v>1.0</v>
      </c>
      <c r="H430" s="391">
        <v>51.3807</v>
      </c>
      <c r="I430" s="391">
        <v>7.01401</v>
      </c>
      <c r="J430" s="391">
        <v>-24.952744</v>
      </c>
      <c r="K430" s="391">
        <v>-23.32265</v>
      </c>
      <c r="L430" s="391">
        <v>1050.74</v>
      </c>
      <c r="M430" s="391">
        <v>71.501905</v>
      </c>
      <c r="N430" s="391">
        <v>11639.5198</v>
      </c>
      <c r="O430" s="391">
        <v>11639.7664</v>
      </c>
      <c r="P430" s="394">
        <v>2081.6283</v>
      </c>
      <c r="Q430" s="376" t="s">
        <v>12</v>
      </c>
      <c r="R430" s="394" t="s">
        <v>539</v>
      </c>
      <c r="S430" s="394">
        <v>10.0</v>
      </c>
      <c r="T430" s="394">
        <v>5.0</v>
      </c>
      <c r="U430" s="394">
        <v>0.7</v>
      </c>
      <c r="V430" s="394">
        <v>0.7</v>
      </c>
      <c r="W430" s="394">
        <v>0.7</v>
      </c>
      <c r="X430" s="391">
        <v>2000.0</v>
      </c>
      <c r="Y430" s="391" t="s">
        <v>540</v>
      </c>
      <c r="Z430" s="391">
        <v>0.2</v>
      </c>
      <c r="AA430" s="391" t="s">
        <v>541</v>
      </c>
      <c r="AB430" s="391" t="s">
        <v>542</v>
      </c>
      <c r="AC430" s="391">
        <v>220.0</v>
      </c>
      <c r="AD430" s="193"/>
      <c r="AE430" s="377"/>
    </row>
    <row r="431">
      <c r="A431" s="391" t="s">
        <v>632</v>
      </c>
      <c r="B431" s="391">
        <v>4.0</v>
      </c>
      <c r="C431" s="391">
        <v>469.0</v>
      </c>
      <c r="D431" s="391" t="s">
        <v>571</v>
      </c>
      <c r="E431" s="391">
        <v>1.0</v>
      </c>
      <c r="F431" s="393">
        <v>45495.714583333334</v>
      </c>
      <c r="G431" s="391">
        <v>1.0</v>
      </c>
      <c r="H431" s="391">
        <v>51.3708</v>
      </c>
      <c r="I431" s="391">
        <v>6.93872</v>
      </c>
      <c r="J431" s="391">
        <v>-24.9756</v>
      </c>
      <c r="K431" s="391">
        <v>-23.591462</v>
      </c>
      <c r="L431" s="391">
        <v>1067.28</v>
      </c>
      <c r="M431" s="391">
        <v>74.000147</v>
      </c>
      <c r="N431" s="391">
        <v>11600.3215</v>
      </c>
      <c r="O431" s="391">
        <v>11598.0306</v>
      </c>
      <c r="P431" s="394">
        <v>2074.30627</v>
      </c>
      <c r="Q431" s="376" t="s">
        <v>12</v>
      </c>
      <c r="R431" s="394" t="s">
        <v>539</v>
      </c>
      <c r="S431" s="394">
        <v>10.0</v>
      </c>
      <c r="T431" s="394">
        <v>5.0</v>
      </c>
      <c r="U431" s="394">
        <v>0.7</v>
      </c>
      <c r="V431" s="394">
        <v>0.7</v>
      </c>
      <c r="W431" s="394">
        <v>0.7</v>
      </c>
      <c r="X431" s="391">
        <v>2000.0</v>
      </c>
      <c r="Y431" s="391" t="s">
        <v>540</v>
      </c>
      <c r="Z431" s="391">
        <v>0.2</v>
      </c>
      <c r="AA431" s="391" t="s">
        <v>541</v>
      </c>
      <c r="AB431" s="391" t="s">
        <v>542</v>
      </c>
      <c r="AC431" s="391">
        <v>220.0</v>
      </c>
      <c r="AD431" s="193"/>
      <c r="AE431" s="377"/>
    </row>
    <row r="432">
      <c r="A432" s="391" t="s">
        <v>633</v>
      </c>
      <c r="B432" s="391">
        <v>4.0</v>
      </c>
      <c r="C432" s="391">
        <v>469.0</v>
      </c>
      <c r="D432" s="391" t="s">
        <v>571</v>
      </c>
      <c r="E432" s="391">
        <v>1.0</v>
      </c>
      <c r="F432" s="393">
        <v>45495.717361111114</v>
      </c>
      <c r="G432" s="391">
        <v>1.0</v>
      </c>
      <c r="H432" s="391">
        <v>51.3774</v>
      </c>
      <c r="I432" s="391">
        <v>6.9264</v>
      </c>
      <c r="J432" s="391">
        <v>-24.936187</v>
      </c>
      <c r="K432" s="391">
        <v>-23.568294</v>
      </c>
      <c r="L432" s="391">
        <v>1044.04</v>
      </c>
      <c r="M432" s="391">
        <v>74.999356</v>
      </c>
      <c r="N432" s="391">
        <v>11595.7398</v>
      </c>
      <c r="O432" s="391">
        <v>11598.0306</v>
      </c>
      <c r="P432" s="394">
        <v>2074.30627</v>
      </c>
      <c r="Q432" s="376" t="s">
        <v>12</v>
      </c>
      <c r="R432" s="394" t="s">
        <v>539</v>
      </c>
      <c r="S432" s="394">
        <v>10.0</v>
      </c>
      <c r="T432" s="394">
        <v>5.0</v>
      </c>
      <c r="U432" s="394">
        <v>0.7</v>
      </c>
      <c r="V432" s="394">
        <v>0.7</v>
      </c>
      <c r="W432" s="394">
        <v>0.7</v>
      </c>
      <c r="X432" s="391">
        <v>2000.0</v>
      </c>
      <c r="Y432" s="391" t="s">
        <v>540</v>
      </c>
      <c r="Z432" s="391">
        <v>0.2</v>
      </c>
      <c r="AA432" s="391" t="s">
        <v>541</v>
      </c>
      <c r="AB432" s="391" t="s">
        <v>542</v>
      </c>
      <c r="AC432" s="391">
        <v>220.0</v>
      </c>
      <c r="AD432" s="193"/>
      <c r="AE432" s="377"/>
    </row>
    <row r="433">
      <c r="A433" s="391" t="s">
        <v>704</v>
      </c>
      <c r="B433" s="391">
        <v>5.0</v>
      </c>
      <c r="C433" s="391">
        <v>470.0</v>
      </c>
      <c r="D433" s="391" t="s">
        <v>575</v>
      </c>
      <c r="E433" s="391">
        <v>1.0</v>
      </c>
      <c r="F433" s="393">
        <v>45495.72083333333</v>
      </c>
      <c r="G433" s="391">
        <v>1.0</v>
      </c>
      <c r="H433" s="391">
        <v>51.3708</v>
      </c>
      <c r="I433" s="391">
        <v>6.898</v>
      </c>
      <c r="J433" s="391">
        <v>-24.867263</v>
      </c>
      <c r="K433" s="391">
        <v>-23.017837</v>
      </c>
      <c r="L433" s="391">
        <v>1062.07</v>
      </c>
      <c r="M433" s="391">
        <v>66.499807</v>
      </c>
      <c r="N433" s="391">
        <v>11591.5237</v>
      </c>
      <c r="O433" s="391">
        <v>11591.2033</v>
      </c>
      <c r="P433" s="394">
        <v>2073.10849</v>
      </c>
      <c r="Q433" s="376" t="s">
        <v>12</v>
      </c>
      <c r="R433" s="394" t="s">
        <v>539</v>
      </c>
      <c r="S433" s="394">
        <v>10.0</v>
      </c>
      <c r="T433" s="394">
        <v>5.0</v>
      </c>
      <c r="U433" s="394">
        <v>0.7</v>
      </c>
      <c r="V433" s="394">
        <v>0.7</v>
      </c>
      <c r="W433" s="394">
        <v>0.7</v>
      </c>
      <c r="X433" s="391">
        <v>2000.0</v>
      </c>
      <c r="Y433" s="391" t="s">
        <v>540</v>
      </c>
      <c r="Z433" s="391">
        <v>0.2</v>
      </c>
      <c r="AA433" s="391" t="s">
        <v>541</v>
      </c>
      <c r="AB433" s="391" t="s">
        <v>542</v>
      </c>
      <c r="AC433" s="391">
        <v>220.0</v>
      </c>
      <c r="AD433" s="193"/>
      <c r="AE433" s="377"/>
    </row>
    <row r="434">
      <c r="A434" s="391" t="s">
        <v>705</v>
      </c>
      <c r="B434" s="391">
        <v>5.0</v>
      </c>
      <c r="C434" s="391">
        <v>470.0</v>
      </c>
      <c r="D434" s="391" t="s">
        <v>575</v>
      </c>
      <c r="E434" s="391">
        <v>1.0</v>
      </c>
      <c r="F434" s="393">
        <v>45495.72361111111</v>
      </c>
      <c r="G434" s="391">
        <v>1.0</v>
      </c>
      <c r="H434" s="391">
        <v>51.3807</v>
      </c>
      <c r="I434" s="391">
        <v>7.00855</v>
      </c>
      <c r="J434" s="391">
        <v>-24.729312</v>
      </c>
      <c r="K434" s="391">
        <v>-23.001694</v>
      </c>
      <c r="L434" s="391">
        <v>1064.33</v>
      </c>
      <c r="M434" s="391">
        <v>66.498808</v>
      </c>
      <c r="N434" s="391">
        <v>11590.8829</v>
      </c>
      <c r="O434" s="391">
        <v>11591.2033</v>
      </c>
      <c r="P434" s="394">
        <v>2073.10849</v>
      </c>
      <c r="Q434" s="376" t="s">
        <v>12</v>
      </c>
      <c r="R434" s="394" t="s">
        <v>539</v>
      </c>
      <c r="S434" s="394">
        <v>10.0</v>
      </c>
      <c r="T434" s="394">
        <v>5.0</v>
      </c>
      <c r="U434" s="394">
        <v>0.7</v>
      </c>
      <c r="V434" s="394">
        <v>0.7</v>
      </c>
      <c r="W434" s="394">
        <v>0.7</v>
      </c>
      <c r="X434" s="391">
        <v>2000.0</v>
      </c>
      <c r="Y434" s="391" t="s">
        <v>540</v>
      </c>
      <c r="Z434" s="391">
        <v>0.2</v>
      </c>
      <c r="AA434" s="391" t="s">
        <v>541</v>
      </c>
      <c r="AB434" s="391" t="s">
        <v>542</v>
      </c>
      <c r="AC434" s="391">
        <v>220.0</v>
      </c>
      <c r="AD434" s="193"/>
      <c r="AE434" s="377"/>
    </row>
    <row r="435">
      <c r="A435" s="391" t="s">
        <v>640</v>
      </c>
      <c r="B435" s="391">
        <v>6.0</v>
      </c>
      <c r="C435" s="391">
        <v>573.0</v>
      </c>
      <c r="D435" s="391" t="s">
        <v>579</v>
      </c>
      <c r="E435" s="391">
        <v>1.0</v>
      </c>
      <c r="F435" s="393">
        <v>45495.72708333333</v>
      </c>
      <c r="G435" s="391">
        <v>1.0</v>
      </c>
      <c r="H435" s="391">
        <v>51.3807</v>
      </c>
      <c r="I435" s="391">
        <v>7.00101</v>
      </c>
      <c r="J435" s="391">
        <v>-25.012313</v>
      </c>
      <c r="K435" s="391">
        <v>-23.304975</v>
      </c>
      <c r="L435" s="391">
        <v>1086.62</v>
      </c>
      <c r="M435" s="391">
        <v>70.500476</v>
      </c>
      <c r="N435" s="391">
        <v>11825.4707</v>
      </c>
      <c r="O435" s="391">
        <v>11837.1679</v>
      </c>
      <c r="P435" s="394">
        <v>2116.25998</v>
      </c>
      <c r="Q435" s="376" t="s">
        <v>12</v>
      </c>
      <c r="R435" s="394" t="s">
        <v>539</v>
      </c>
      <c r="S435" s="394">
        <v>10.0</v>
      </c>
      <c r="T435" s="394">
        <v>5.0</v>
      </c>
      <c r="U435" s="394">
        <v>0.7</v>
      </c>
      <c r="V435" s="394">
        <v>0.7</v>
      </c>
      <c r="W435" s="394">
        <v>0.7</v>
      </c>
      <c r="X435" s="391">
        <v>2000.0</v>
      </c>
      <c r="Y435" s="391" t="s">
        <v>540</v>
      </c>
      <c r="Z435" s="391">
        <v>0.2</v>
      </c>
      <c r="AA435" s="391" t="s">
        <v>541</v>
      </c>
      <c r="AB435" s="391" t="s">
        <v>542</v>
      </c>
      <c r="AC435" s="391">
        <v>220.0</v>
      </c>
      <c r="AD435" s="193"/>
      <c r="AE435" s="377"/>
    </row>
    <row r="436">
      <c r="A436" s="391" t="s">
        <v>641</v>
      </c>
      <c r="B436" s="391">
        <v>6.0</v>
      </c>
      <c r="C436" s="391">
        <v>573.0</v>
      </c>
      <c r="D436" s="391" t="s">
        <v>579</v>
      </c>
      <c r="E436" s="391">
        <v>1.0</v>
      </c>
      <c r="F436" s="393">
        <v>45495.72986111111</v>
      </c>
      <c r="G436" s="391">
        <v>1.0</v>
      </c>
      <c r="H436" s="391">
        <v>51.3741</v>
      </c>
      <c r="I436" s="391">
        <v>7.2872</v>
      </c>
      <c r="J436" s="391">
        <v>-24.91925</v>
      </c>
      <c r="K436" s="391">
        <v>-23.285975</v>
      </c>
      <c r="L436" s="391">
        <v>1111.71</v>
      </c>
      <c r="M436" s="391">
        <v>69.498475</v>
      </c>
      <c r="N436" s="391">
        <v>11848.8652</v>
      </c>
      <c r="O436" s="391">
        <v>11837.1679</v>
      </c>
      <c r="P436" s="394">
        <v>2116.25998</v>
      </c>
      <c r="Q436" s="376" t="s">
        <v>12</v>
      </c>
      <c r="R436" s="394" t="s">
        <v>539</v>
      </c>
      <c r="S436" s="394">
        <v>10.0</v>
      </c>
      <c r="T436" s="394">
        <v>5.0</v>
      </c>
      <c r="U436" s="394">
        <v>0.7</v>
      </c>
      <c r="V436" s="394">
        <v>0.7</v>
      </c>
      <c r="W436" s="394">
        <v>0.7</v>
      </c>
      <c r="X436" s="391">
        <v>2000.0</v>
      </c>
      <c r="Y436" s="391" t="s">
        <v>540</v>
      </c>
      <c r="Z436" s="391">
        <v>0.2</v>
      </c>
      <c r="AA436" s="391" t="s">
        <v>541</v>
      </c>
      <c r="AB436" s="391" t="s">
        <v>542</v>
      </c>
      <c r="AC436" s="391">
        <v>220.0</v>
      </c>
      <c r="AD436" s="193"/>
      <c r="AE436" s="377"/>
    </row>
    <row r="437">
      <c r="A437" s="391" t="s">
        <v>643</v>
      </c>
      <c r="B437" s="391">
        <v>7.0</v>
      </c>
      <c r="C437" s="391">
        <v>574.0</v>
      </c>
      <c r="D437" s="391" t="s">
        <v>582</v>
      </c>
      <c r="E437" s="391">
        <v>1.0</v>
      </c>
      <c r="F437" s="393">
        <v>45495.73333333333</v>
      </c>
      <c r="G437" s="391">
        <v>1.0</v>
      </c>
      <c r="H437" s="391">
        <v>51.3774</v>
      </c>
      <c r="I437" s="391">
        <v>7.26645</v>
      </c>
      <c r="J437" s="391">
        <v>-24.9412</v>
      </c>
      <c r="K437" s="391">
        <v>-22.774025</v>
      </c>
      <c r="L437" s="391">
        <v>1081.42</v>
      </c>
      <c r="M437" s="391">
        <v>64.999969</v>
      </c>
      <c r="N437" s="391">
        <v>11758.6593</v>
      </c>
      <c r="O437" s="391">
        <v>11757.8758</v>
      </c>
      <c r="P437" s="394">
        <v>2102.34915</v>
      </c>
      <c r="Q437" s="376" t="s">
        <v>12</v>
      </c>
      <c r="R437" s="394" t="s">
        <v>539</v>
      </c>
      <c r="S437" s="394">
        <v>10.0</v>
      </c>
      <c r="T437" s="394">
        <v>5.0</v>
      </c>
      <c r="U437" s="394">
        <v>0.7</v>
      </c>
      <c r="V437" s="394">
        <v>0.7</v>
      </c>
      <c r="W437" s="394">
        <v>0.7</v>
      </c>
      <c r="X437" s="391">
        <v>2000.0</v>
      </c>
      <c r="Y437" s="391" t="s">
        <v>540</v>
      </c>
      <c r="Z437" s="391">
        <v>0.2</v>
      </c>
      <c r="AA437" s="391" t="s">
        <v>541</v>
      </c>
      <c r="AB437" s="391" t="s">
        <v>542</v>
      </c>
      <c r="AC437" s="391">
        <v>220.0</v>
      </c>
      <c r="AD437" s="193"/>
      <c r="AE437" s="377"/>
    </row>
    <row r="438">
      <c r="A438" s="391" t="s">
        <v>644</v>
      </c>
      <c r="B438" s="391">
        <v>7.0</v>
      </c>
      <c r="C438" s="391">
        <v>574.0</v>
      </c>
      <c r="D438" s="391" t="s">
        <v>582</v>
      </c>
      <c r="E438" s="391">
        <v>1.0</v>
      </c>
      <c r="F438" s="393">
        <v>45495.73611111111</v>
      </c>
      <c r="G438" s="391">
        <v>1.0</v>
      </c>
      <c r="H438" s="391">
        <v>51.3741</v>
      </c>
      <c r="I438" s="391">
        <v>7.28801</v>
      </c>
      <c r="J438" s="391">
        <v>-24.91615</v>
      </c>
      <c r="K438" s="391">
        <v>-23.409619</v>
      </c>
      <c r="L438" s="391">
        <v>1070.96</v>
      </c>
      <c r="M438" s="391">
        <v>70.500075</v>
      </c>
      <c r="N438" s="391">
        <v>11757.0924</v>
      </c>
      <c r="O438" s="391">
        <v>11757.8758</v>
      </c>
      <c r="P438" s="394">
        <v>2102.34915</v>
      </c>
      <c r="Q438" s="376" t="s">
        <v>12</v>
      </c>
      <c r="R438" s="394" t="s">
        <v>539</v>
      </c>
      <c r="S438" s="394">
        <v>10.0</v>
      </c>
      <c r="T438" s="394">
        <v>5.0</v>
      </c>
      <c r="U438" s="394">
        <v>0.7</v>
      </c>
      <c r="V438" s="394">
        <v>0.7</v>
      </c>
      <c r="W438" s="394">
        <v>0.7</v>
      </c>
      <c r="X438" s="391">
        <v>2000.0</v>
      </c>
      <c r="Y438" s="391" t="s">
        <v>540</v>
      </c>
      <c r="Z438" s="391">
        <v>0.2</v>
      </c>
      <c r="AA438" s="391" t="s">
        <v>541</v>
      </c>
      <c r="AB438" s="391" t="s">
        <v>542</v>
      </c>
      <c r="AC438" s="391">
        <v>220.0</v>
      </c>
      <c r="AD438" s="193"/>
      <c r="AE438" s="377"/>
    </row>
    <row r="439">
      <c r="A439" s="391" t="s">
        <v>648</v>
      </c>
      <c r="B439" s="391">
        <v>8.0</v>
      </c>
      <c r="C439" s="391">
        <v>612.0</v>
      </c>
      <c r="D439" s="391" t="s">
        <v>585</v>
      </c>
      <c r="E439" s="391">
        <v>1.0</v>
      </c>
      <c r="F439" s="393">
        <v>45495.73888888889</v>
      </c>
      <c r="G439" s="391">
        <v>1.0</v>
      </c>
      <c r="H439" s="391">
        <v>51.3741</v>
      </c>
      <c r="I439" s="391">
        <v>7.35065</v>
      </c>
      <c r="J439" s="391">
        <v>-24.934244</v>
      </c>
      <c r="K439" s="391">
        <v>-23.451406</v>
      </c>
      <c r="L439" s="391">
        <v>1084.58</v>
      </c>
      <c r="M439" s="391">
        <v>74.50067</v>
      </c>
      <c r="N439" s="391">
        <v>11773.7813</v>
      </c>
      <c r="O439" s="391">
        <v>11748.9806</v>
      </c>
      <c r="P439" s="394">
        <v>2100.78859</v>
      </c>
      <c r="Q439" s="376" t="s">
        <v>12</v>
      </c>
      <c r="R439" s="394" t="s">
        <v>553</v>
      </c>
      <c r="S439" s="394">
        <v>10.0</v>
      </c>
      <c r="T439" s="394">
        <v>5.0</v>
      </c>
      <c r="U439" s="394">
        <v>0.7</v>
      </c>
      <c r="V439" s="394">
        <v>0.7</v>
      </c>
      <c r="W439" s="394">
        <v>0.7</v>
      </c>
      <c r="X439" s="391">
        <v>2000.0</v>
      </c>
      <c r="Y439" s="391" t="s">
        <v>540</v>
      </c>
      <c r="Z439" s="391">
        <v>0.2</v>
      </c>
      <c r="AA439" s="391" t="s">
        <v>541</v>
      </c>
      <c r="AB439" s="391" t="s">
        <v>542</v>
      </c>
      <c r="AC439" s="391">
        <v>220.0</v>
      </c>
      <c r="AD439" s="193"/>
      <c r="AE439" s="377"/>
    </row>
    <row r="440">
      <c r="A440" s="391" t="s">
        <v>650</v>
      </c>
      <c r="B440" s="391">
        <v>8.0</v>
      </c>
      <c r="C440" s="391">
        <v>612.0</v>
      </c>
      <c r="D440" s="391" t="s">
        <v>585</v>
      </c>
      <c r="E440" s="391">
        <v>1.0</v>
      </c>
      <c r="F440" s="393">
        <v>45495.74166666667</v>
      </c>
      <c r="G440" s="391">
        <v>1.0</v>
      </c>
      <c r="H440" s="391">
        <v>51.3774</v>
      </c>
      <c r="I440" s="391">
        <v>7.40002</v>
      </c>
      <c r="J440" s="391">
        <v>-24.859288</v>
      </c>
      <c r="K440" s="391">
        <v>-23.05665</v>
      </c>
      <c r="L440" s="391">
        <v>1088.26</v>
      </c>
      <c r="M440" s="391">
        <v>66.500468</v>
      </c>
      <c r="N440" s="391">
        <v>11749.1033</v>
      </c>
      <c r="O440" s="391">
        <v>11748.9806</v>
      </c>
      <c r="P440" s="394">
        <v>2100.78859</v>
      </c>
      <c r="Q440" s="376" t="s">
        <v>12</v>
      </c>
      <c r="R440" s="394" t="s">
        <v>539</v>
      </c>
      <c r="S440" s="394">
        <v>10.0</v>
      </c>
      <c r="T440" s="394">
        <v>5.0</v>
      </c>
      <c r="U440" s="394">
        <v>0.7</v>
      </c>
      <c r="V440" s="394">
        <v>0.7</v>
      </c>
      <c r="W440" s="394">
        <v>0.7</v>
      </c>
      <c r="X440" s="391">
        <v>2000.0</v>
      </c>
      <c r="Y440" s="391" t="s">
        <v>540</v>
      </c>
      <c r="Z440" s="391">
        <v>0.2</v>
      </c>
      <c r="AA440" s="391" t="s">
        <v>541</v>
      </c>
      <c r="AB440" s="391" t="s">
        <v>542</v>
      </c>
      <c r="AC440" s="391">
        <v>220.0</v>
      </c>
      <c r="AD440" s="193"/>
      <c r="AE440" s="377"/>
    </row>
    <row r="441">
      <c r="A441" s="391" t="s">
        <v>820</v>
      </c>
      <c r="B441" s="391">
        <v>8.0</v>
      </c>
      <c r="C441" s="391">
        <v>612.0</v>
      </c>
      <c r="D441" s="391" t="s">
        <v>585</v>
      </c>
      <c r="E441" s="391">
        <v>1.0</v>
      </c>
      <c r="F441" s="393">
        <v>45495.74444444444</v>
      </c>
      <c r="G441" s="391">
        <v>1.0</v>
      </c>
      <c r="H441" s="391">
        <v>51.3741</v>
      </c>
      <c r="I441" s="391">
        <v>7.31012</v>
      </c>
      <c r="J441" s="391">
        <v>-24.880719</v>
      </c>
      <c r="K441" s="391">
        <v>-23.193094</v>
      </c>
      <c r="L441" s="391">
        <v>1067.74</v>
      </c>
      <c r="M441" s="391">
        <v>68.000009</v>
      </c>
      <c r="N441" s="391">
        <v>11748.8579</v>
      </c>
      <c r="O441" s="391">
        <v>11748.9806</v>
      </c>
      <c r="P441" s="394">
        <v>2100.78859</v>
      </c>
      <c r="Q441" s="376" t="s">
        <v>12</v>
      </c>
      <c r="R441" s="394" t="s">
        <v>539</v>
      </c>
      <c r="S441" s="394">
        <v>10.0</v>
      </c>
      <c r="T441" s="394">
        <v>5.0</v>
      </c>
      <c r="U441" s="394">
        <v>0.7</v>
      </c>
      <c r="V441" s="394">
        <v>0.7</v>
      </c>
      <c r="W441" s="394">
        <v>0.7</v>
      </c>
      <c r="X441" s="391">
        <v>2000.0</v>
      </c>
      <c r="Y441" s="391" t="s">
        <v>540</v>
      </c>
      <c r="Z441" s="391">
        <v>0.2</v>
      </c>
      <c r="AA441" s="391" t="s">
        <v>541</v>
      </c>
      <c r="AB441" s="391" t="s">
        <v>542</v>
      </c>
      <c r="AC441" s="391">
        <v>220.0</v>
      </c>
      <c r="AD441" s="193"/>
      <c r="AE441" s="377"/>
    </row>
    <row r="442">
      <c r="A442" s="391" t="s">
        <v>651</v>
      </c>
      <c r="B442" s="391">
        <v>9.0</v>
      </c>
      <c r="C442" s="391">
        <v>613.0</v>
      </c>
      <c r="D442" s="391" t="s">
        <v>589</v>
      </c>
      <c r="E442" s="391">
        <v>1.0</v>
      </c>
      <c r="F442" s="393">
        <v>45495.74791666667</v>
      </c>
      <c r="G442" s="391">
        <v>1.0</v>
      </c>
      <c r="H442" s="391">
        <v>51.3774</v>
      </c>
      <c r="I442" s="391">
        <v>7.1104</v>
      </c>
      <c r="J442" s="391">
        <v>-24.883987</v>
      </c>
      <c r="K442" s="391">
        <v>-23.321994</v>
      </c>
      <c r="L442" s="391">
        <v>1078.15</v>
      </c>
      <c r="M442" s="391">
        <v>71.999367</v>
      </c>
      <c r="N442" s="391">
        <v>11852.4147</v>
      </c>
      <c r="O442" s="391">
        <v>11812.912</v>
      </c>
      <c r="P442" s="394">
        <v>2112.00457</v>
      </c>
      <c r="Q442" s="376" t="s">
        <v>12</v>
      </c>
      <c r="R442" s="394" t="s">
        <v>553</v>
      </c>
      <c r="S442" s="394">
        <v>10.0</v>
      </c>
      <c r="T442" s="394">
        <v>5.0</v>
      </c>
      <c r="U442" s="394">
        <v>0.7</v>
      </c>
      <c r="V442" s="394">
        <v>0.7</v>
      </c>
      <c r="W442" s="394">
        <v>0.7</v>
      </c>
      <c r="X442" s="391">
        <v>2000.0</v>
      </c>
      <c r="Y442" s="391" t="s">
        <v>540</v>
      </c>
      <c r="Z442" s="391">
        <v>0.2</v>
      </c>
      <c r="AA442" s="391" t="s">
        <v>541</v>
      </c>
      <c r="AB442" s="391" t="s">
        <v>542</v>
      </c>
      <c r="AC442" s="391">
        <v>220.0</v>
      </c>
      <c r="AD442" s="193"/>
      <c r="AE442" s="377"/>
    </row>
    <row r="443">
      <c r="A443" s="391" t="s">
        <v>652</v>
      </c>
      <c r="B443" s="391">
        <v>9.0</v>
      </c>
      <c r="C443" s="391">
        <v>613.0</v>
      </c>
      <c r="D443" s="391" t="s">
        <v>589</v>
      </c>
      <c r="E443" s="391">
        <v>1.0</v>
      </c>
      <c r="F443" s="393">
        <v>45495.75069444445</v>
      </c>
      <c r="G443" s="391">
        <v>1.0</v>
      </c>
      <c r="H443" s="391">
        <v>51.3708</v>
      </c>
      <c r="I443" s="391">
        <v>7.15358</v>
      </c>
      <c r="J443" s="391">
        <v>-24.743956</v>
      </c>
      <c r="K443" s="391">
        <v>-23.258163</v>
      </c>
      <c r="L443" s="391">
        <v>1101.49</v>
      </c>
      <c r="M443" s="391">
        <v>70.4997</v>
      </c>
      <c r="N443" s="391">
        <v>11817.9961</v>
      </c>
      <c r="O443" s="391">
        <v>11812.912</v>
      </c>
      <c r="P443" s="394">
        <v>2112.00457</v>
      </c>
      <c r="Q443" s="376" t="s">
        <v>12</v>
      </c>
      <c r="R443" s="394" t="s">
        <v>539</v>
      </c>
      <c r="S443" s="394">
        <v>10.0</v>
      </c>
      <c r="T443" s="394">
        <v>5.0</v>
      </c>
      <c r="U443" s="394">
        <v>0.7</v>
      </c>
      <c r="V443" s="394">
        <v>0.7</v>
      </c>
      <c r="W443" s="394">
        <v>0.7</v>
      </c>
      <c r="X443" s="391">
        <v>2000.0</v>
      </c>
      <c r="Y443" s="391" t="s">
        <v>540</v>
      </c>
      <c r="Z443" s="391">
        <v>0.2</v>
      </c>
      <c r="AA443" s="391" t="s">
        <v>541</v>
      </c>
      <c r="AB443" s="391" t="s">
        <v>542</v>
      </c>
      <c r="AC443" s="391">
        <v>220.0</v>
      </c>
      <c r="AD443" s="193"/>
      <c r="AE443" s="377"/>
    </row>
    <row r="444">
      <c r="A444" s="391" t="s">
        <v>653</v>
      </c>
      <c r="B444" s="391">
        <v>9.0</v>
      </c>
      <c r="C444" s="391">
        <v>613.0</v>
      </c>
      <c r="D444" s="391" t="s">
        <v>589</v>
      </c>
      <c r="E444" s="391">
        <v>1.0</v>
      </c>
      <c r="F444" s="393">
        <v>45495.75347222222</v>
      </c>
      <c r="G444" s="391">
        <v>1.0</v>
      </c>
      <c r="H444" s="391">
        <v>51.3675</v>
      </c>
      <c r="I444" s="391">
        <v>7.22955</v>
      </c>
      <c r="J444" s="391">
        <v>-24.891625</v>
      </c>
      <c r="K444" s="391">
        <v>-23.298106</v>
      </c>
      <c r="L444" s="391">
        <v>1063.38</v>
      </c>
      <c r="M444" s="391">
        <v>68.99882</v>
      </c>
      <c r="N444" s="391">
        <v>11807.8278</v>
      </c>
      <c r="O444" s="391">
        <v>11812.912</v>
      </c>
      <c r="P444" s="394">
        <v>2112.00457</v>
      </c>
      <c r="Q444" s="376" t="s">
        <v>12</v>
      </c>
      <c r="R444" s="394" t="s">
        <v>539</v>
      </c>
      <c r="S444" s="394">
        <v>10.0</v>
      </c>
      <c r="T444" s="394">
        <v>5.0</v>
      </c>
      <c r="U444" s="394">
        <v>0.7</v>
      </c>
      <c r="V444" s="394">
        <v>0.7</v>
      </c>
      <c r="W444" s="394">
        <v>0.7</v>
      </c>
      <c r="X444" s="391">
        <v>2000.0</v>
      </c>
      <c r="Y444" s="391" t="s">
        <v>540</v>
      </c>
      <c r="Z444" s="391">
        <v>0.2</v>
      </c>
      <c r="AA444" s="391" t="s">
        <v>541</v>
      </c>
      <c r="AB444" s="391" t="s">
        <v>542</v>
      </c>
      <c r="AC444" s="391">
        <v>220.0</v>
      </c>
      <c r="AD444" s="193"/>
      <c r="AE444" s="377"/>
    </row>
    <row r="445">
      <c r="A445" s="391" t="s">
        <v>654</v>
      </c>
      <c r="B445" s="391">
        <v>10.0</v>
      </c>
      <c r="C445" s="391" t="s">
        <v>776</v>
      </c>
      <c r="D445" s="391" t="s">
        <v>538</v>
      </c>
      <c r="E445" s="391">
        <v>1.0</v>
      </c>
      <c r="F445" s="393">
        <v>45495.756944444445</v>
      </c>
      <c r="G445" s="391">
        <v>1.0</v>
      </c>
      <c r="H445" s="391">
        <v>51.3708</v>
      </c>
      <c r="I445" s="391">
        <v>7.05396</v>
      </c>
      <c r="J445" s="391">
        <v>-24.924256</v>
      </c>
      <c r="K445" s="391">
        <v>-23.565475</v>
      </c>
      <c r="L445" s="391">
        <v>1063.71</v>
      </c>
      <c r="M445" s="391">
        <v>72.49954</v>
      </c>
      <c r="N445" s="391">
        <v>11637.2315</v>
      </c>
      <c r="O445" s="391">
        <v>11634.3311</v>
      </c>
      <c r="P445" s="394">
        <v>2080.67474</v>
      </c>
      <c r="Q445" s="376" t="s">
        <v>12</v>
      </c>
      <c r="R445" s="394" t="s">
        <v>553</v>
      </c>
      <c r="S445" s="394">
        <v>10.0</v>
      </c>
      <c r="T445" s="394">
        <v>5.0</v>
      </c>
      <c r="U445" s="394">
        <v>0.7</v>
      </c>
      <c r="V445" s="394">
        <v>0.7</v>
      </c>
      <c r="W445" s="394">
        <v>0.7</v>
      </c>
      <c r="X445" s="391">
        <v>2000.0</v>
      </c>
      <c r="Y445" s="391" t="s">
        <v>540</v>
      </c>
      <c r="Z445" s="391">
        <v>0.2</v>
      </c>
      <c r="AA445" s="391" t="s">
        <v>541</v>
      </c>
      <c r="AB445" s="391" t="s">
        <v>542</v>
      </c>
      <c r="AC445" s="391">
        <v>220.0</v>
      </c>
      <c r="AD445" s="193"/>
      <c r="AE445" s="377"/>
    </row>
    <row r="446">
      <c r="A446" s="391" t="s">
        <v>655</v>
      </c>
      <c r="B446" s="391">
        <v>10.0</v>
      </c>
      <c r="C446" s="391" t="s">
        <v>776</v>
      </c>
      <c r="D446" s="391" t="s">
        <v>538</v>
      </c>
      <c r="E446" s="391">
        <v>1.0</v>
      </c>
      <c r="F446" s="393">
        <v>45495.759722222225</v>
      </c>
      <c r="G446" s="391">
        <v>1.0</v>
      </c>
      <c r="H446" s="391">
        <v>51.3774</v>
      </c>
      <c r="I446" s="391">
        <v>6.91855</v>
      </c>
      <c r="J446" s="391">
        <v>-25.013937</v>
      </c>
      <c r="K446" s="391">
        <v>-23.211631</v>
      </c>
      <c r="L446" s="391">
        <v>1066.95</v>
      </c>
      <c r="M446" s="391">
        <v>67.9993</v>
      </c>
      <c r="N446" s="391">
        <v>11589.1142</v>
      </c>
      <c r="O446" s="391">
        <v>11634.3311</v>
      </c>
      <c r="P446" s="394">
        <v>2080.67474</v>
      </c>
      <c r="Q446" s="376" t="s">
        <v>12</v>
      </c>
      <c r="R446" s="394" t="s">
        <v>553</v>
      </c>
      <c r="S446" s="394">
        <v>10.0</v>
      </c>
      <c r="T446" s="394">
        <v>5.0</v>
      </c>
      <c r="U446" s="394">
        <v>0.7</v>
      </c>
      <c r="V446" s="394">
        <v>0.7</v>
      </c>
      <c r="W446" s="394">
        <v>0.7</v>
      </c>
      <c r="X446" s="391">
        <v>2000.0</v>
      </c>
      <c r="Y446" s="391" t="s">
        <v>540</v>
      </c>
      <c r="Z446" s="391">
        <v>0.2</v>
      </c>
      <c r="AA446" s="391" t="s">
        <v>541</v>
      </c>
      <c r="AB446" s="391" t="s">
        <v>542</v>
      </c>
      <c r="AC446" s="391">
        <v>220.0</v>
      </c>
      <c r="AD446" s="193"/>
      <c r="AE446" s="377"/>
    </row>
    <row r="447">
      <c r="A447" s="391" t="s">
        <v>656</v>
      </c>
      <c r="B447" s="391">
        <v>10.0</v>
      </c>
      <c r="C447" s="391" t="s">
        <v>776</v>
      </c>
      <c r="D447" s="391" t="s">
        <v>538</v>
      </c>
      <c r="E447" s="391">
        <v>1.0</v>
      </c>
      <c r="F447" s="393">
        <v>45495.7625</v>
      </c>
      <c r="G447" s="391">
        <v>1.0</v>
      </c>
      <c r="H447" s="391">
        <v>51.3741</v>
      </c>
      <c r="I447" s="391">
        <v>6.99678</v>
      </c>
      <c r="J447" s="391">
        <v>-24.939588</v>
      </c>
      <c r="K447" s="391">
        <v>-23.516838</v>
      </c>
      <c r="L447" s="391">
        <v>1068.01</v>
      </c>
      <c r="M447" s="391">
        <v>76.999634</v>
      </c>
      <c r="N447" s="391">
        <v>11645.4526</v>
      </c>
      <c r="O447" s="391">
        <v>11634.3311</v>
      </c>
      <c r="P447" s="394">
        <v>2080.67474</v>
      </c>
      <c r="Q447" s="376" t="s">
        <v>12</v>
      </c>
      <c r="R447" s="394" t="s">
        <v>539</v>
      </c>
      <c r="S447" s="394">
        <v>10.0</v>
      </c>
      <c r="T447" s="394">
        <v>5.0</v>
      </c>
      <c r="U447" s="394">
        <v>0.7</v>
      </c>
      <c r="V447" s="394">
        <v>0.7</v>
      </c>
      <c r="W447" s="394">
        <v>0.7</v>
      </c>
      <c r="X447" s="391">
        <v>2000.0</v>
      </c>
      <c r="Y447" s="391" t="s">
        <v>540</v>
      </c>
      <c r="Z447" s="391">
        <v>0.2</v>
      </c>
      <c r="AA447" s="391" t="s">
        <v>541</v>
      </c>
      <c r="AB447" s="391" t="s">
        <v>542</v>
      </c>
      <c r="AC447" s="391">
        <v>220.0</v>
      </c>
      <c r="AD447" s="186"/>
      <c r="AE447" s="253"/>
    </row>
    <row r="448">
      <c r="A448" s="391" t="s">
        <v>761</v>
      </c>
      <c r="B448" s="391">
        <v>10.0</v>
      </c>
      <c r="C448" s="391" t="s">
        <v>776</v>
      </c>
      <c r="D448" s="391" t="s">
        <v>538</v>
      </c>
      <c r="E448" s="391">
        <v>1.0</v>
      </c>
      <c r="F448" s="393">
        <v>45495.76527777778</v>
      </c>
      <c r="G448" s="391">
        <v>1.0</v>
      </c>
      <c r="H448" s="391">
        <v>51.3774</v>
      </c>
      <c r="I448" s="391">
        <v>6.98634</v>
      </c>
      <c r="J448" s="391">
        <v>-25.024994</v>
      </c>
      <c r="K448" s="391">
        <v>-23.526712</v>
      </c>
      <c r="L448" s="391">
        <v>1058.75</v>
      </c>
      <c r="M448" s="391">
        <v>73.998617</v>
      </c>
      <c r="N448" s="391">
        <v>11623.2096</v>
      </c>
      <c r="O448" s="391">
        <v>11634.3311</v>
      </c>
      <c r="P448" s="394">
        <v>2080.67474</v>
      </c>
      <c r="Q448" s="376" t="s">
        <v>12</v>
      </c>
      <c r="R448" s="394" t="s">
        <v>539</v>
      </c>
      <c r="S448" s="394">
        <v>10.0</v>
      </c>
      <c r="T448" s="394">
        <v>5.0</v>
      </c>
      <c r="U448" s="394">
        <v>0.7</v>
      </c>
      <c r="V448" s="394">
        <v>0.7</v>
      </c>
      <c r="W448" s="394">
        <v>0.7</v>
      </c>
      <c r="X448" s="391">
        <v>2000.0</v>
      </c>
      <c r="Y448" s="391" t="s">
        <v>540</v>
      </c>
      <c r="Z448" s="391">
        <v>0.2</v>
      </c>
      <c r="AA448" s="391" t="s">
        <v>541</v>
      </c>
      <c r="AB448" s="391" t="s">
        <v>542</v>
      </c>
      <c r="AC448" s="391">
        <v>220.0</v>
      </c>
      <c r="AD448" s="186"/>
      <c r="AE448" s="253"/>
    </row>
    <row r="449">
      <c r="A449" s="395" t="s">
        <v>798</v>
      </c>
      <c r="B449" s="395" t="s">
        <v>558</v>
      </c>
      <c r="C449" s="395" t="s">
        <v>776</v>
      </c>
      <c r="D449" s="395" t="s">
        <v>538</v>
      </c>
      <c r="E449" s="395">
        <v>1.0</v>
      </c>
      <c r="F449" s="396">
        <v>45495.56736111111</v>
      </c>
      <c r="G449" s="395">
        <v>1.0</v>
      </c>
      <c r="H449" s="395">
        <v>51.3741</v>
      </c>
      <c r="I449" s="395">
        <v>7.43632</v>
      </c>
      <c r="J449" s="395">
        <v>-24.316594</v>
      </c>
      <c r="K449" s="395">
        <v>-22.814144</v>
      </c>
      <c r="L449" s="395">
        <v>1068.42</v>
      </c>
      <c r="M449" s="395">
        <v>73.498876</v>
      </c>
      <c r="N449" s="395">
        <v>11680.8449</v>
      </c>
      <c r="O449" s="395">
        <v>11633.4675</v>
      </c>
      <c r="P449" s="397">
        <v>2070.3457</v>
      </c>
      <c r="Q449" s="376" t="s">
        <v>12</v>
      </c>
      <c r="R449" s="397" t="s">
        <v>553</v>
      </c>
      <c r="S449" s="397">
        <v>10.0</v>
      </c>
      <c r="T449" s="397">
        <v>5.0</v>
      </c>
      <c r="U449" s="397">
        <v>0.7</v>
      </c>
      <c r="V449" s="397">
        <v>0.7</v>
      </c>
      <c r="W449" s="397">
        <v>0.7</v>
      </c>
      <c r="X449" s="395">
        <v>2000.0</v>
      </c>
      <c r="Y449" s="395" t="s">
        <v>540</v>
      </c>
      <c r="Z449" s="395">
        <v>0.2</v>
      </c>
      <c r="AA449" s="395" t="s">
        <v>541</v>
      </c>
      <c r="AB449" s="395" t="s">
        <v>542</v>
      </c>
      <c r="AC449" s="405">
        <v>0.85</v>
      </c>
      <c r="AD449" s="406"/>
      <c r="AE449" s="407"/>
    </row>
    <row r="450">
      <c r="A450" s="391" t="s">
        <v>799</v>
      </c>
      <c r="B450" s="391" t="s">
        <v>558</v>
      </c>
      <c r="C450" s="391" t="s">
        <v>776</v>
      </c>
      <c r="D450" s="391" t="s">
        <v>538</v>
      </c>
      <c r="E450" s="391">
        <v>1.0</v>
      </c>
      <c r="F450" s="393">
        <v>45495.57013888889</v>
      </c>
      <c r="G450" s="391">
        <v>1.0</v>
      </c>
      <c r="H450" s="391">
        <v>51.3774</v>
      </c>
      <c r="I450" s="391">
        <v>7.33527</v>
      </c>
      <c r="J450" s="391">
        <v>-24.336338</v>
      </c>
      <c r="K450" s="391">
        <v>-22.873537</v>
      </c>
      <c r="L450" s="391">
        <v>1062.32</v>
      </c>
      <c r="M450" s="391">
        <v>72.500047</v>
      </c>
      <c r="N450" s="391">
        <v>11626.3421</v>
      </c>
      <c r="O450" s="391">
        <v>11633.4675</v>
      </c>
      <c r="P450" s="394">
        <v>2070.3457</v>
      </c>
      <c r="Q450" s="376" t="s">
        <v>12</v>
      </c>
      <c r="R450" s="394" t="s">
        <v>539</v>
      </c>
      <c r="S450" s="394">
        <v>10.0</v>
      </c>
      <c r="T450" s="394">
        <v>5.0</v>
      </c>
      <c r="U450" s="394">
        <v>0.7</v>
      </c>
      <c r="V450" s="394">
        <v>0.7</v>
      </c>
      <c r="W450" s="394">
        <v>0.7</v>
      </c>
      <c r="X450" s="391">
        <v>2000.0</v>
      </c>
      <c r="Y450" s="391" t="s">
        <v>540</v>
      </c>
      <c r="Z450" s="391">
        <v>0.2</v>
      </c>
      <c r="AA450" s="391" t="s">
        <v>541</v>
      </c>
      <c r="AB450" s="391" t="s">
        <v>542</v>
      </c>
      <c r="AC450" s="408">
        <v>0.85</v>
      </c>
      <c r="AD450" s="186"/>
      <c r="AE450" s="253"/>
    </row>
    <row r="451">
      <c r="A451" s="391" t="s">
        <v>800</v>
      </c>
      <c r="B451" s="391" t="s">
        <v>558</v>
      </c>
      <c r="C451" s="391" t="s">
        <v>776</v>
      </c>
      <c r="D451" s="391" t="s">
        <v>538</v>
      </c>
      <c r="E451" s="391">
        <v>1.0</v>
      </c>
      <c r="F451" s="393">
        <v>45495.572916666664</v>
      </c>
      <c r="G451" s="391">
        <v>1.0</v>
      </c>
      <c r="H451" s="391">
        <v>51.3774</v>
      </c>
      <c r="I451" s="391">
        <v>7.26185</v>
      </c>
      <c r="J451" s="391">
        <v>-24.248131</v>
      </c>
      <c r="K451" s="391">
        <v>-22.623581</v>
      </c>
      <c r="L451" s="391">
        <v>1075.53</v>
      </c>
      <c r="M451" s="391">
        <v>69.500285</v>
      </c>
      <c r="N451" s="391">
        <v>11640.5929</v>
      </c>
      <c r="O451" s="391">
        <v>11633.4675</v>
      </c>
      <c r="P451" s="394">
        <v>2070.3457</v>
      </c>
      <c r="Q451" s="376" t="s">
        <v>12</v>
      </c>
      <c r="R451" s="394" t="s">
        <v>539</v>
      </c>
      <c r="S451" s="394">
        <v>10.0</v>
      </c>
      <c r="T451" s="394">
        <v>5.0</v>
      </c>
      <c r="U451" s="394">
        <v>0.7</v>
      </c>
      <c r="V451" s="394">
        <v>0.7</v>
      </c>
      <c r="W451" s="394">
        <v>0.7</v>
      </c>
      <c r="X451" s="391">
        <v>2000.0</v>
      </c>
      <c r="Y451" s="391" t="s">
        <v>540</v>
      </c>
      <c r="Z451" s="391">
        <v>0.2</v>
      </c>
      <c r="AA451" s="391" t="s">
        <v>541</v>
      </c>
      <c r="AB451" s="391" t="s">
        <v>542</v>
      </c>
      <c r="AC451" s="408">
        <v>0.85</v>
      </c>
      <c r="AD451" s="186"/>
      <c r="AE451" s="253"/>
    </row>
    <row r="452">
      <c r="A452" s="391" t="s">
        <v>801</v>
      </c>
      <c r="B452" s="391" t="s">
        <v>561</v>
      </c>
      <c r="C452" s="391" t="s">
        <v>776</v>
      </c>
      <c r="D452" s="391" t="s">
        <v>538</v>
      </c>
      <c r="E452" s="391">
        <v>1.2</v>
      </c>
      <c r="F452" s="393">
        <v>45495.575694444444</v>
      </c>
      <c r="G452" s="391">
        <v>1.0</v>
      </c>
      <c r="H452" s="391">
        <v>51.3774</v>
      </c>
      <c r="I452" s="391">
        <v>7.17695</v>
      </c>
      <c r="J452" s="391">
        <v>-24.247744</v>
      </c>
      <c r="K452" s="391">
        <v>-22.929725</v>
      </c>
      <c r="L452" s="391">
        <v>1090.11</v>
      </c>
      <c r="M452" s="391">
        <v>81.499372</v>
      </c>
      <c r="N452" s="391">
        <v>14024.8772</v>
      </c>
      <c r="O452" s="391">
        <v>13977.7141</v>
      </c>
      <c r="P452" s="394">
        <v>2070.3457</v>
      </c>
      <c r="Q452" s="376" t="s">
        <v>12</v>
      </c>
      <c r="R452" s="394" t="s">
        <v>553</v>
      </c>
      <c r="S452" s="394">
        <v>10.0</v>
      </c>
      <c r="T452" s="394">
        <v>5.0</v>
      </c>
      <c r="U452" s="394">
        <v>0.7</v>
      </c>
      <c r="V452" s="394">
        <v>0.7</v>
      </c>
      <c r="W452" s="394">
        <v>0.7</v>
      </c>
      <c r="X452" s="391">
        <v>2000.0</v>
      </c>
      <c r="Y452" s="391" t="s">
        <v>540</v>
      </c>
      <c r="Z452" s="391">
        <v>0.2</v>
      </c>
      <c r="AA452" s="391" t="s">
        <v>541</v>
      </c>
      <c r="AB452" s="391" t="s">
        <v>542</v>
      </c>
      <c r="AC452" s="408">
        <v>0.85</v>
      </c>
      <c r="AD452" s="186"/>
      <c r="AE452" s="253"/>
    </row>
    <row r="453">
      <c r="A453" s="391" t="s">
        <v>802</v>
      </c>
      <c r="B453" s="391" t="s">
        <v>561</v>
      </c>
      <c r="C453" s="391" t="s">
        <v>776</v>
      </c>
      <c r="D453" s="391" t="s">
        <v>538</v>
      </c>
      <c r="E453" s="391">
        <v>1.2</v>
      </c>
      <c r="F453" s="393">
        <v>45495.57916666667</v>
      </c>
      <c r="G453" s="391">
        <v>1.0</v>
      </c>
      <c r="H453" s="391">
        <v>51.3708</v>
      </c>
      <c r="I453" s="391">
        <v>7.06356</v>
      </c>
      <c r="J453" s="391">
        <v>-24.116244</v>
      </c>
      <c r="K453" s="391">
        <v>-22.302012</v>
      </c>
      <c r="L453" s="391">
        <v>1107.72</v>
      </c>
      <c r="M453" s="391">
        <v>73.499185</v>
      </c>
      <c r="N453" s="391">
        <v>13989.3431</v>
      </c>
      <c r="O453" s="391">
        <v>13977.7141</v>
      </c>
      <c r="P453" s="394">
        <v>2070.3457</v>
      </c>
      <c r="Q453" s="376" t="s">
        <v>12</v>
      </c>
      <c r="R453" s="394" t="s">
        <v>539</v>
      </c>
      <c r="S453" s="394">
        <v>10.0</v>
      </c>
      <c r="T453" s="394">
        <v>5.0</v>
      </c>
      <c r="U453" s="394">
        <v>0.7</v>
      </c>
      <c r="V453" s="394">
        <v>0.7</v>
      </c>
      <c r="W453" s="394">
        <v>0.7</v>
      </c>
      <c r="X453" s="391">
        <v>2000.0</v>
      </c>
      <c r="Y453" s="391" t="s">
        <v>540</v>
      </c>
      <c r="Z453" s="391">
        <v>0.2</v>
      </c>
      <c r="AA453" s="391" t="s">
        <v>541</v>
      </c>
      <c r="AB453" s="391" t="s">
        <v>542</v>
      </c>
      <c r="AC453" s="408">
        <v>0.85</v>
      </c>
      <c r="AD453" s="186"/>
      <c r="AE453" s="253"/>
    </row>
    <row r="454">
      <c r="A454" s="391" t="s">
        <v>803</v>
      </c>
      <c r="B454" s="391" t="s">
        <v>561</v>
      </c>
      <c r="C454" s="391" t="s">
        <v>776</v>
      </c>
      <c r="D454" s="391" t="s">
        <v>538</v>
      </c>
      <c r="E454" s="391">
        <v>1.2</v>
      </c>
      <c r="F454" s="393">
        <v>45495.58194444444</v>
      </c>
      <c r="G454" s="391">
        <v>1.0</v>
      </c>
      <c r="H454" s="391">
        <v>51.3774</v>
      </c>
      <c r="I454" s="391">
        <v>6.97668</v>
      </c>
      <c r="J454" s="391">
        <v>-23.848431</v>
      </c>
      <c r="K454" s="391">
        <v>-22.374181</v>
      </c>
      <c r="L454" s="391">
        <v>1100.6</v>
      </c>
      <c r="M454" s="391">
        <v>75.000654</v>
      </c>
      <c r="N454" s="391">
        <v>13966.0851</v>
      </c>
      <c r="O454" s="391">
        <v>13977.7141</v>
      </c>
      <c r="P454" s="394">
        <v>2070.3457</v>
      </c>
      <c r="Q454" s="376" t="s">
        <v>12</v>
      </c>
      <c r="R454" s="394" t="s">
        <v>539</v>
      </c>
      <c r="S454" s="394">
        <v>10.0</v>
      </c>
      <c r="T454" s="394">
        <v>5.0</v>
      </c>
      <c r="U454" s="394">
        <v>0.7</v>
      </c>
      <c r="V454" s="394">
        <v>0.7</v>
      </c>
      <c r="W454" s="394">
        <v>0.7</v>
      </c>
      <c r="X454" s="391">
        <v>2000.0</v>
      </c>
      <c r="Y454" s="391" t="s">
        <v>540</v>
      </c>
      <c r="Z454" s="391">
        <v>0.2</v>
      </c>
      <c r="AA454" s="391" t="s">
        <v>541</v>
      </c>
      <c r="AB454" s="391" t="s">
        <v>542</v>
      </c>
      <c r="AC454" s="408">
        <v>0.85</v>
      </c>
      <c r="AD454" s="186"/>
      <c r="AE454" s="253"/>
    </row>
    <row r="455">
      <c r="A455" s="391" t="s">
        <v>581</v>
      </c>
      <c r="B455" s="391">
        <v>2.0</v>
      </c>
      <c r="C455" s="391">
        <v>495.0</v>
      </c>
      <c r="D455" s="391" t="s">
        <v>564</v>
      </c>
      <c r="E455" s="391">
        <v>1.0</v>
      </c>
      <c r="F455" s="393">
        <v>45495.58541666667</v>
      </c>
      <c r="G455" s="391">
        <v>1.0</v>
      </c>
      <c r="H455" s="391">
        <v>51.3774</v>
      </c>
      <c r="I455" s="391">
        <v>6.85744</v>
      </c>
      <c r="J455" s="391">
        <v>-24.134312</v>
      </c>
      <c r="K455" s="391">
        <v>-22.524138</v>
      </c>
      <c r="L455" s="391">
        <v>1082.46</v>
      </c>
      <c r="M455" s="391">
        <v>73.000071</v>
      </c>
      <c r="N455" s="391">
        <v>11696.4223</v>
      </c>
      <c r="O455" s="391">
        <v>11691.9669</v>
      </c>
      <c r="P455" s="394">
        <v>2080.78514</v>
      </c>
      <c r="Q455" s="376" t="s">
        <v>12</v>
      </c>
      <c r="R455" s="394" t="s">
        <v>539</v>
      </c>
      <c r="S455" s="394">
        <v>10.0</v>
      </c>
      <c r="T455" s="394">
        <v>5.0</v>
      </c>
      <c r="U455" s="394">
        <v>0.7</v>
      </c>
      <c r="V455" s="394">
        <v>0.7</v>
      </c>
      <c r="W455" s="394">
        <v>0.7</v>
      </c>
      <c r="X455" s="391">
        <v>2000.0</v>
      </c>
      <c r="Y455" s="391" t="s">
        <v>540</v>
      </c>
      <c r="Z455" s="391">
        <v>0.2</v>
      </c>
      <c r="AA455" s="391" t="s">
        <v>541</v>
      </c>
      <c r="AB455" s="391" t="s">
        <v>542</v>
      </c>
      <c r="AC455" s="408">
        <v>0.85</v>
      </c>
      <c r="AD455" s="186"/>
      <c r="AE455" s="253"/>
    </row>
    <row r="456">
      <c r="A456" s="391" t="s">
        <v>583</v>
      </c>
      <c r="B456" s="391">
        <v>2.0</v>
      </c>
      <c r="C456" s="391">
        <v>495.0</v>
      </c>
      <c r="D456" s="391" t="s">
        <v>564</v>
      </c>
      <c r="E456" s="391">
        <v>1.0</v>
      </c>
      <c r="F456" s="393">
        <v>45495.58819444444</v>
      </c>
      <c r="G456" s="391">
        <v>1.0</v>
      </c>
      <c r="H456" s="391">
        <v>51.3741</v>
      </c>
      <c r="I456" s="391">
        <v>7.32587</v>
      </c>
      <c r="J456" s="391">
        <v>-24.1675</v>
      </c>
      <c r="K456" s="391">
        <v>-22.612875</v>
      </c>
      <c r="L456" s="391">
        <v>1085.58</v>
      </c>
      <c r="M456" s="391">
        <v>69.50105</v>
      </c>
      <c r="N456" s="391">
        <v>11687.5115</v>
      </c>
      <c r="O456" s="391">
        <v>11691.9669</v>
      </c>
      <c r="P456" s="394">
        <v>2080.78514</v>
      </c>
      <c r="Q456" s="376" t="s">
        <v>12</v>
      </c>
      <c r="R456" s="394" t="s">
        <v>539</v>
      </c>
      <c r="S456" s="394">
        <v>10.0</v>
      </c>
      <c r="T456" s="394">
        <v>5.0</v>
      </c>
      <c r="U456" s="394">
        <v>0.7</v>
      </c>
      <c r="V456" s="394">
        <v>0.7</v>
      </c>
      <c r="W456" s="394">
        <v>0.7</v>
      </c>
      <c r="X456" s="391">
        <v>2000.0</v>
      </c>
      <c r="Y456" s="391" t="s">
        <v>540</v>
      </c>
      <c r="Z456" s="391">
        <v>0.2</v>
      </c>
      <c r="AA456" s="391" t="s">
        <v>541</v>
      </c>
      <c r="AB456" s="391" t="s">
        <v>542</v>
      </c>
      <c r="AC456" s="408">
        <v>0.85</v>
      </c>
      <c r="AD456" s="186"/>
      <c r="AE456" s="253"/>
    </row>
    <row r="457">
      <c r="A457" s="391" t="s">
        <v>584</v>
      </c>
      <c r="B457" s="391">
        <v>3.0</v>
      </c>
      <c r="C457" s="391">
        <v>496.0</v>
      </c>
      <c r="D457" s="391" t="s">
        <v>568</v>
      </c>
      <c r="E457" s="391">
        <v>1.0</v>
      </c>
      <c r="F457" s="393">
        <v>45495.59166666667</v>
      </c>
      <c r="G457" s="391">
        <v>1.0</v>
      </c>
      <c r="H457" s="391">
        <v>51.3741</v>
      </c>
      <c r="I457" s="391">
        <v>7.43892</v>
      </c>
      <c r="J457" s="391">
        <v>-24.21985</v>
      </c>
      <c r="K457" s="391">
        <v>-22.524687</v>
      </c>
      <c r="L457" s="391">
        <v>1101.49</v>
      </c>
      <c r="M457" s="391">
        <v>66.999012</v>
      </c>
      <c r="N457" s="391">
        <v>11694.1114</v>
      </c>
      <c r="O457" s="391">
        <v>11686.0491</v>
      </c>
      <c r="P457" s="394">
        <v>2079.74028</v>
      </c>
      <c r="Q457" s="376" t="s">
        <v>12</v>
      </c>
      <c r="R457" s="394" t="s">
        <v>539</v>
      </c>
      <c r="S457" s="394">
        <v>10.0</v>
      </c>
      <c r="T457" s="394">
        <v>5.0</v>
      </c>
      <c r="U457" s="394">
        <v>0.7</v>
      </c>
      <c r="V457" s="394">
        <v>0.7</v>
      </c>
      <c r="W457" s="394">
        <v>0.7</v>
      </c>
      <c r="X457" s="391">
        <v>2000.0</v>
      </c>
      <c r="Y457" s="391" t="s">
        <v>540</v>
      </c>
      <c r="Z457" s="391">
        <v>0.2</v>
      </c>
      <c r="AA457" s="391" t="s">
        <v>541</v>
      </c>
      <c r="AB457" s="391" t="s">
        <v>542</v>
      </c>
      <c r="AC457" s="408">
        <v>0.85</v>
      </c>
      <c r="AD457" s="186"/>
      <c r="AE457" s="253"/>
    </row>
    <row r="458">
      <c r="A458" s="391" t="s">
        <v>586</v>
      </c>
      <c r="B458" s="391">
        <v>3.0</v>
      </c>
      <c r="C458" s="391">
        <v>496.0</v>
      </c>
      <c r="D458" s="391" t="s">
        <v>568</v>
      </c>
      <c r="E458" s="391">
        <v>1.0</v>
      </c>
      <c r="F458" s="393">
        <v>45495.59444444445</v>
      </c>
      <c r="G458" s="391">
        <v>1.0</v>
      </c>
      <c r="H458" s="391">
        <v>51.3741</v>
      </c>
      <c r="I458" s="391">
        <v>7.54349</v>
      </c>
      <c r="J458" s="391">
        <v>-24.230512</v>
      </c>
      <c r="K458" s="391">
        <v>-22.925913</v>
      </c>
      <c r="L458" s="391">
        <v>1073.38</v>
      </c>
      <c r="M458" s="391">
        <v>72.501978</v>
      </c>
      <c r="N458" s="391">
        <v>11677.9867</v>
      </c>
      <c r="O458" s="391">
        <v>11686.0491</v>
      </c>
      <c r="P458" s="394">
        <v>2079.74028</v>
      </c>
      <c r="Q458" s="376" t="s">
        <v>12</v>
      </c>
      <c r="R458" s="394" t="s">
        <v>539</v>
      </c>
      <c r="S458" s="394">
        <v>10.0</v>
      </c>
      <c r="T458" s="394">
        <v>5.0</v>
      </c>
      <c r="U458" s="394">
        <v>0.7</v>
      </c>
      <c r="V458" s="394">
        <v>0.7</v>
      </c>
      <c r="W458" s="394">
        <v>0.7</v>
      </c>
      <c r="X458" s="391">
        <v>2000.0</v>
      </c>
      <c r="Y458" s="391" t="s">
        <v>540</v>
      </c>
      <c r="Z458" s="391">
        <v>0.2</v>
      </c>
      <c r="AA458" s="391" t="s">
        <v>541</v>
      </c>
      <c r="AB458" s="391" t="s">
        <v>542</v>
      </c>
      <c r="AC458" s="408">
        <v>0.85</v>
      </c>
      <c r="AD458" s="186"/>
      <c r="AE458" s="253"/>
    </row>
    <row r="459">
      <c r="A459" s="391" t="s">
        <v>588</v>
      </c>
      <c r="B459" s="391">
        <v>4.0</v>
      </c>
      <c r="C459" s="391">
        <v>560.0</v>
      </c>
      <c r="D459" s="391" t="s">
        <v>571</v>
      </c>
      <c r="E459" s="391">
        <v>1.0</v>
      </c>
      <c r="F459" s="393">
        <v>45495.59722222222</v>
      </c>
      <c r="G459" s="391">
        <v>1.0</v>
      </c>
      <c r="H459" s="391">
        <v>51.3774</v>
      </c>
      <c r="I459" s="391">
        <v>7.49796</v>
      </c>
      <c r="J459" s="391">
        <v>-24.095644</v>
      </c>
      <c r="K459" s="391">
        <v>-22.309375</v>
      </c>
      <c r="L459" s="391">
        <v>1076.38</v>
      </c>
      <c r="M459" s="391">
        <v>65.499562</v>
      </c>
      <c r="N459" s="391">
        <v>11692.7819</v>
      </c>
      <c r="O459" s="391">
        <v>11724.0791</v>
      </c>
      <c r="P459" s="394">
        <v>2086.4549</v>
      </c>
      <c r="Q459" s="376" t="s">
        <v>12</v>
      </c>
      <c r="R459" s="394" t="s">
        <v>553</v>
      </c>
      <c r="S459" s="394">
        <v>10.0</v>
      </c>
      <c r="T459" s="394">
        <v>5.0</v>
      </c>
      <c r="U459" s="394">
        <v>0.7</v>
      </c>
      <c r="V459" s="394">
        <v>0.7</v>
      </c>
      <c r="W459" s="394">
        <v>0.7</v>
      </c>
      <c r="X459" s="391">
        <v>2000.0</v>
      </c>
      <c r="Y459" s="391" t="s">
        <v>540</v>
      </c>
      <c r="Z459" s="391">
        <v>0.2</v>
      </c>
      <c r="AA459" s="391" t="s">
        <v>541</v>
      </c>
      <c r="AB459" s="391" t="s">
        <v>542</v>
      </c>
      <c r="AC459" s="408">
        <v>0.85</v>
      </c>
      <c r="AD459" s="186"/>
      <c r="AE459" s="253"/>
    </row>
    <row r="460">
      <c r="A460" s="391" t="s">
        <v>590</v>
      </c>
      <c r="B460" s="391">
        <v>4.0</v>
      </c>
      <c r="C460" s="391">
        <v>560.0</v>
      </c>
      <c r="D460" s="391" t="s">
        <v>571</v>
      </c>
      <c r="E460" s="391">
        <v>1.0</v>
      </c>
      <c r="F460" s="393">
        <v>45495.6</v>
      </c>
      <c r="G460" s="391">
        <v>1.0</v>
      </c>
      <c r="H460" s="391">
        <v>51.3774</v>
      </c>
      <c r="I460" s="391">
        <v>7.37528</v>
      </c>
      <c r="J460" s="391">
        <v>-24.193331</v>
      </c>
      <c r="K460" s="391">
        <v>-22.475487</v>
      </c>
      <c r="L460" s="391">
        <v>1071.82</v>
      </c>
      <c r="M460" s="391">
        <v>68.999806</v>
      </c>
      <c r="N460" s="391">
        <v>11734.552</v>
      </c>
      <c r="O460" s="391">
        <v>11724.0791</v>
      </c>
      <c r="P460" s="394">
        <v>2086.4549</v>
      </c>
      <c r="Q460" s="376" t="s">
        <v>12</v>
      </c>
      <c r="R460" s="394" t="s">
        <v>539</v>
      </c>
      <c r="S460" s="394">
        <v>10.0</v>
      </c>
      <c r="T460" s="394">
        <v>5.0</v>
      </c>
      <c r="U460" s="394">
        <v>0.7</v>
      </c>
      <c r="V460" s="394">
        <v>0.7</v>
      </c>
      <c r="W460" s="394">
        <v>0.7</v>
      </c>
      <c r="X460" s="391">
        <v>2000.0</v>
      </c>
      <c r="Y460" s="391" t="s">
        <v>540</v>
      </c>
      <c r="Z460" s="391">
        <v>0.2</v>
      </c>
      <c r="AA460" s="391" t="s">
        <v>541</v>
      </c>
      <c r="AB460" s="391" t="s">
        <v>542</v>
      </c>
      <c r="AC460" s="408">
        <v>0.85</v>
      </c>
      <c r="AD460" s="186"/>
      <c r="AE460" s="253"/>
    </row>
    <row r="461">
      <c r="A461" s="391" t="s">
        <v>685</v>
      </c>
      <c r="B461" s="391">
        <v>4.0</v>
      </c>
      <c r="C461" s="391">
        <v>560.0</v>
      </c>
      <c r="D461" s="391" t="s">
        <v>571</v>
      </c>
      <c r="E461" s="391">
        <v>1.0</v>
      </c>
      <c r="F461" s="393">
        <v>45495.60277777778</v>
      </c>
      <c r="G461" s="391">
        <v>1.0</v>
      </c>
      <c r="H461" s="391">
        <v>51.3741</v>
      </c>
      <c r="I461" s="391">
        <v>7.14879</v>
      </c>
      <c r="J461" s="391">
        <v>-24.615569</v>
      </c>
      <c r="K461" s="391">
        <v>-23.112012</v>
      </c>
      <c r="L461" s="391">
        <v>1066.64</v>
      </c>
      <c r="M461" s="391">
        <v>70.499118</v>
      </c>
      <c r="N461" s="391">
        <v>11713.6061</v>
      </c>
      <c r="O461" s="391">
        <v>11724.0791</v>
      </c>
      <c r="P461" s="394">
        <v>2086.4549</v>
      </c>
      <c r="Q461" s="376" t="s">
        <v>12</v>
      </c>
      <c r="R461" s="394" t="s">
        <v>539</v>
      </c>
      <c r="S461" s="394">
        <v>10.0</v>
      </c>
      <c r="T461" s="394">
        <v>5.0</v>
      </c>
      <c r="U461" s="394">
        <v>0.7</v>
      </c>
      <c r="V461" s="394">
        <v>0.7</v>
      </c>
      <c r="W461" s="394">
        <v>0.7</v>
      </c>
      <c r="X461" s="391">
        <v>2000.0</v>
      </c>
      <c r="Y461" s="391" t="s">
        <v>540</v>
      </c>
      <c r="Z461" s="391">
        <v>0.2</v>
      </c>
      <c r="AA461" s="391" t="s">
        <v>541</v>
      </c>
      <c r="AB461" s="391" t="s">
        <v>542</v>
      </c>
      <c r="AC461" s="408">
        <v>0.85</v>
      </c>
      <c r="AD461" s="186"/>
      <c r="AE461" s="253"/>
    </row>
    <row r="462">
      <c r="A462" s="391" t="s">
        <v>688</v>
      </c>
      <c r="B462" s="391">
        <v>5.0</v>
      </c>
      <c r="C462" s="391">
        <v>561.0</v>
      </c>
      <c r="D462" s="391" t="s">
        <v>575</v>
      </c>
      <c r="E462" s="391">
        <v>1.0</v>
      </c>
      <c r="F462" s="393">
        <v>45495.60625</v>
      </c>
      <c r="G462" s="391">
        <v>1.0</v>
      </c>
      <c r="H462" s="391">
        <v>51.3741</v>
      </c>
      <c r="I462" s="391">
        <v>6.91558</v>
      </c>
      <c r="J462" s="391">
        <v>-24.687144</v>
      </c>
      <c r="K462" s="391">
        <v>-22.930969</v>
      </c>
      <c r="L462" s="391">
        <v>1052.81</v>
      </c>
      <c r="M462" s="391">
        <v>73.500231</v>
      </c>
      <c r="N462" s="391">
        <v>11617.5863</v>
      </c>
      <c r="O462" s="391">
        <v>11644.6992</v>
      </c>
      <c r="P462" s="394">
        <v>2072.4395</v>
      </c>
      <c r="Q462" s="376" t="s">
        <v>12</v>
      </c>
      <c r="R462" s="394" t="s">
        <v>553</v>
      </c>
      <c r="S462" s="394">
        <v>10.0</v>
      </c>
      <c r="T462" s="394">
        <v>5.0</v>
      </c>
      <c r="U462" s="394">
        <v>0.7</v>
      </c>
      <c r="V462" s="394">
        <v>0.7</v>
      </c>
      <c r="W462" s="394">
        <v>0.7</v>
      </c>
      <c r="X462" s="391">
        <v>2000.0</v>
      </c>
      <c r="Y462" s="391" t="s">
        <v>540</v>
      </c>
      <c r="Z462" s="391">
        <v>0.2</v>
      </c>
      <c r="AA462" s="391" t="s">
        <v>541</v>
      </c>
      <c r="AB462" s="391" t="s">
        <v>542</v>
      </c>
      <c r="AC462" s="408">
        <v>0.85</v>
      </c>
      <c r="AD462" s="186"/>
      <c r="AE462" s="253"/>
    </row>
    <row r="463">
      <c r="A463" s="391" t="s">
        <v>689</v>
      </c>
      <c r="B463" s="391">
        <v>5.0</v>
      </c>
      <c r="C463" s="391">
        <v>561.0</v>
      </c>
      <c r="D463" s="391" t="s">
        <v>575</v>
      </c>
      <c r="E463" s="391">
        <v>1.0</v>
      </c>
      <c r="F463" s="393">
        <v>45495.60902777778</v>
      </c>
      <c r="G463" s="391">
        <v>1.0</v>
      </c>
      <c r="H463" s="391">
        <v>51.3774</v>
      </c>
      <c r="I463" s="391">
        <v>7.01653</v>
      </c>
      <c r="J463" s="391">
        <v>-24.623181</v>
      </c>
      <c r="K463" s="391">
        <v>-23.342094</v>
      </c>
      <c r="L463" s="391">
        <v>1043.65</v>
      </c>
      <c r="M463" s="391">
        <v>74.499498</v>
      </c>
      <c r="N463" s="391">
        <v>11667.7974</v>
      </c>
      <c r="O463" s="391">
        <v>11644.6992</v>
      </c>
      <c r="P463" s="394">
        <v>2072.4395</v>
      </c>
      <c r="Q463" s="376" t="s">
        <v>12</v>
      </c>
      <c r="R463" s="394" t="s">
        <v>553</v>
      </c>
      <c r="S463" s="394">
        <v>10.0</v>
      </c>
      <c r="T463" s="394">
        <v>5.0</v>
      </c>
      <c r="U463" s="394">
        <v>0.7</v>
      </c>
      <c r="V463" s="394">
        <v>0.7</v>
      </c>
      <c r="W463" s="394">
        <v>0.7</v>
      </c>
      <c r="X463" s="391">
        <v>2000.0</v>
      </c>
      <c r="Y463" s="391" t="s">
        <v>540</v>
      </c>
      <c r="Z463" s="391">
        <v>0.2</v>
      </c>
      <c r="AA463" s="391" t="s">
        <v>541</v>
      </c>
      <c r="AB463" s="391" t="s">
        <v>542</v>
      </c>
      <c r="AC463" s="408">
        <v>0.85</v>
      </c>
      <c r="AD463" s="186"/>
      <c r="AE463" s="253"/>
    </row>
    <row r="464">
      <c r="A464" s="391" t="s">
        <v>690</v>
      </c>
      <c r="B464" s="391">
        <v>5.0</v>
      </c>
      <c r="C464" s="391">
        <v>561.0</v>
      </c>
      <c r="D464" s="391" t="s">
        <v>575</v>
      </c>
      <c r="E464" s="391">
        <v>1.0</v>
      </c>
      <c r="F464" s="393">
        <v>45495.611805555556</v>
      </c>
      <c r="G464" s="391">
        <v>1.0</v>
      </c>
      <c r="H464" s="391">
        <v>51.3708</v>
      </c>
      <c r="I464" s="391">
        <v>6.88042</v>
      </c>
      <c r="J464" s="391">
        <v>-24.634569</v>
      </c>
      <c r="K464" s="391">
        <v>-23.208819</v>
      </c>
      <c r="L464" s="391">
        <v>1077.22</v>
      </c>
      <c r="M464" s="391">
        <v>72.999701</v>
      </c>
      <c r="N464" s="391">
        <v>11642.1681</v>
      </c>
      <c r="O464" s="391">
        <v>11644.6992</v>
      </c>
      <c r="P464" s="394">
        <v>2072.4395</v>
      </c>
      <c r="Q464" s="376" t="s">
        <v>12</v>
      </c>
      <c r="R464" s="394" t="s">
        <v>539</v>
      </c>
      <c r="S464" s="394">
        <v>10.0</v>
      </c>
      <c r="T464" s="394">
        <v>5.0</v>
      </c>
      <c r="U464" s="394">
        <v>0.7</v>
      </c>
      <c r="V464" s="394">
        <v>0.7</v>
      </c>
      <c r="W464" s="394">
        <v>0.7</v>
      </c>
      <c r="X464" s="391">
        <v>2000.0</v>
      </c>
      <c r="Y464" s="391" t="s">
        <v>540</v>
      </c>
      <c r="Z464" s="391">
        <v>0.2</v>
      </c>
      <c r="AA464" s="391" t="s">
        <v>541</v>
      </c>
      <c r="AB464" s="391" t="s">
        <v>542</v>
      </c>
      <c r="AC464" s="408">
        <v>0.85</v>
      </c>
      <c r="AD464" s="186"/>
      <c r="AE464" s="253"/>
    </row>
    <row r="465">
      <c r="A465" s="391" t="s">
        <v>804</v>
      </c>
      <c r="B465" s="391">
        <v>5.0</v>
      </c>
      <c r="C465" s="391">
        <v>561.0</v>
      </c>
      <c r="D465" s="391" t="s">
        <v>575</v>
      </c>
      <c r="E465" s="391">
        <v>1.0</v>
      </c>
      <c r="F465" s="393">
        <v>45495.615277777775</v>
      </c>
      <c r="G465" s="391">
        <v>1.0</v>
      </c>
      <c r="H465" s="391">
        <v>51.3741</v>
      </c>
      <c r="I465" s="391">
        <v>6.69737</v>
      </c>
      <c r="J465" s="391">
        <v>-24.666675</v>
      </c>
      <c r="K465" s="391">
        <v>-22.922925</v>
      </c>
      <c r="L465" s="391">
        <v>1054.02</v>
      </c>
      <c r="M465" s="391">
        <v>71.000448</v>
      </c>
      <c r="N465" s="391">
        <v>11647.2303</v>
      </c>
      <c r="O465" s="391">
        <v>11644.6992</v>
      </c>
      <c r="P465" s="394">
        <v>2072.4395</v>
      </c>
      <c r="Q465" s="376" t="s">
        <v>12</v>
      </c>
      <c r="R465" s="394" t="s">
        <v>539</v>
      </c>
      <c r="S465" s="394">
        <v>10.0</v>
      </c>
      <c r="T465" s="394">
        <v>5.0</v>
      </c>
      <c r="U465" s="394">
        <v>0.7</v>
      </c>
      <c r="V465" s="394">
        <v>0.7</v>
      </c>
      <c r="W465" s="394">
        <v>0.7</v>
      </c>
      <c r="X465" s="391">
        <v>2000.0</v>
      </c>
      <c r="Y465" s="391" t="s">
        <v>540</v>
      </c>
      <c r="Z465" s="391">
        <v>0.2</v>
      </c>
      <c r="AA465" s="391" t="s">
        <v>541</v>
      </c>
      <c r="AB465" s="391" t="s">
        <v>542</v>
      </c>
      <c r="AC465" s="408">
        <v>0.85</v>
      </c>
      <c r="AD465" s="186"/>
      <c r="AE465" s="253"/>
    </row>
    <row r="466">
      <c r="A466" s="391" t="s">
        <v>597</v>
      </c>
      <c r="B466" s="391">
        <v>6.0</v>
      </c>
      <c r="C466" s="391">
        <v>430.0</v>
      </c>
      <c r="D466" s="391" t="s">
        <v>579</v>
      </c>
      <c r="E466" s="391">
        <v>1.0</v>
      </c>
      <c r="F466" s="393">
        <v>45495.618055555555</v>
      </c>
      <c r="G466" s="391">
        <v>1.0</v>
      </c>
      <c r="H466" s="391">
        <v>51.3708</v>
      </c>
      <c r="I466" s="391">
        <v>6.51359</v>
      </c>
      <c r="J466" s="391">
        <v>-24.784756</v>
      </c>
      <c r="K466" s="391">
        <v>-24.418256</v>
      </c>
      <c r="L466" s="391">
        <v>-2.28224</v>
      </c>
      <c r="M466" s="391">
        <v>50.999698</v>
      </c>
      <c r="N466" s="391">
        <v>277.93428</v>
      </c>
      <c r="O466" s="391">
        <v>11598.9648</v>
      </c>
      <c r="P466" s="394">
        <v>2064.36458</v>
      </c>
      <c r="Q466" s="376" t="s">
        <v>12</v>
      </c>
      <c r="R466" s="394" t="s">
        <v>553</v>
      </c>
      <c r="S466" s="394">
        <v>10.0</v>
      </c>
      <c r="T466" s="394">
        <v>5.0</v>
      </c>
      <c r="U466" s="394">
        <v>0.7</v>
      </c>
      <c r="V466" s="394">
        <v>0.7</v>
      </c>
      <c r="W466" s="394">
        <v>0.7</v>
      </c>
      <c r="X466" s="391">
        <v>2000.0</v>
      </c>
      <c r="Y466" s="391" t="s">
        <v>540</v>
      </c>
      <c r="Z466" s="391">
        <v>0.2</v>
      </c>
      <c r="AA466" s="391" t="s">
        <v>541</v>
      </c>
      <c r="AB466" s="391" t="s">
        <v>542</v>
      </c>
      <c r="AC466" s="408">
        <v>0.85</v>
      </c>
      <c r="AD466" s="186"/>
      <c r="AE466" s="253"/>
    </row>
    <row r="467">
      <c r="A467" s="391" t="s">
        <v>598</v>
      </c>
      <c r="B467" s="391">
        <v>6.0</v>
      </c>
      <c r="C467" s="391">
        <v>430.0</v>
      </c>
      <c r="D467" s="391" t="s">
        <v>579</v>
      </c>
      <c r="E467" s="391">
        <v>1.0</v>
      </c>
      <c r="F467" s="393">
        <v>45495.620833333334</v>
      </c>
      <c r="G467" s="391">
        <v>1.0</v>
      </c>
      <c r="H467" s="391">
        <v>51.3708</v>
      </c>
      <c r="I467" s="391">
        <v>6.43818</v>
      </c>
      <c r="J467" s="391">
        <v>-24.761013</v>
      </c>
      <c r="K467" s="391">
        <v>-24.544294</v>
      </c>
      <c r="L467" s="391">
        <v>-5.23263</v>
      </c>
      <c r="M467" s="391">
        <v>51.499247</v>
      </c>
      <c r="N467" s="391">
        <v>240.122137</v>
      </c>
      <c r="O467" s="391">
        <v>11598.9648</v>
      </c>
      <c r="P467" s="394">
        <v>2064.36458</v>
      </c>
      <c r="Q467" s="376" t="s">
        <v>12</v>
      </c>
      <c r="R467" s="394" t="s">
        <v>553</v>
      </c>
      <c r="S467" s="394">
        <v>10.0</v>
      </c>
      <c r="T467" s="394">
        <v>5.0</v>
      </c>
      <c r="U467" s="394">
        <v>0.7</v>
      </c>
      <c r="V467" s="394">
        <v>0.7</v>
      </c>
      <c r="W467" s="394">
        <v>0.7</v>
      </c>
      <c r="X467" s="391">
        <v>2000.0</v>
      </c>
      <c r="Y467" s="391" t="s">
        <v>540</v>
      </c>
      <c r="Z467" s="391">
        <v>0.2</v>
      </c>
      <c r="AA467" s="391" t="s">
        <v>541</v>
      </c>
      <c r="AB467" s="391" t="s">
        <v>542</v>
      </c>
      <c r="AC467" s="408">
        <v>0.85</v>
      </c>
      <c r="AD467" s="186"/>
      <c r="AE467" s="253"/>
    </row>
    <row r="468">
      <c r="A468" s="391" t="s">
        <v>739</v>
      </c>
      <c r="B468" s="391">
        <v>6.0</v>
      </c>
      <c r="C468" s="391">
        <v>430.0</v>
      </c>
      <c r="D468" s="391" t="s">
        <v>579</v>
      </c>
      <c r="E468" s="391">
        <v>1.0</v>
      </c>
      <c r="F468" s="393">
        <v>45495.623611111114</v>
      </c>
      <c r="G468" s="391">
        <v>1.0</v>
      </c>
      <c r="H468" s="391">
        <v>51.3741</v>
      </c>
      <c r="I468" s="391">
        <v>6.50557</v>
      </c>
      <c r="J468" s="391">
        <v>-24.658</v>
      </c>
      <c r="K468" s="391">
        <v>-23.13755</v>
      </c>
      <c r="L468" s="391">
        <v>752.394</v>
      </c>
      <c r="M468" s="391">
        <v>69.500081</v>
      </c>
      <c r="N468" s="391">
        <v>7924.87537</v>
      </c>
      <c r="O468" s="391">
        <v>11598.9648</v>
      </c>
      <c r="P468" s="394">
        <v>2064.36458</v>
      </c>
      <c r="Q468" s="376" t="s">
        <v>12</v>
      </c>
      <c r="R468" s="394" t="s">
        <v>553</v>
      </c>
      <c r="S468" s="394">
        <v>10.0</v>
      </c>
      <c r="T468" s="394">
        <v>5.0</v>
      </c>
      <c r="U468" s="394">
        <v>0.7</v>
      </c>
      <c r="V468" s="394">
        <v>0.7</v>
      </c>
      <c r="W468" s="394">
        <v>0.7</v>
      </c>
      <c r="X468" s="391">
        <v>2000.0</v>
      </c>
      <c r="Y468" s="391" t="s">
        <v>540</v>
      </c>
      <c r="Z468" s="391">
        <v>0.2</v>
      </c>
      <c r="AA468" s="391" t="s">
        <v>541</v>
      </c>
      <c r="AB468" s="391" t="s">
        <v>542</v>
      </c>
      <c r="AC468" s="408">
        <v>0.85</v>
      </c>
      <c r="AD468" s="186"/>
      <c r="AE468" s="253"/>
    </row>
    <row r="469">
      <c r="A469" s="391" t="s">
        <v>740</v>
      </c>
      <c r="B469" s="391">
        <v>6.0</v>
      </c>
      <c r="C469" s="391">
        <v>430.0</v>
      </c>
      <c r="D469" s="391" t="s">
        <v>579</v>
      </c>
      <c r="E469" s="391">
        <v>1.0</v>
      </c>
      <c r="F469" s="393">
        <v>45495.626388888886</v>
      </c>
      <c r="G469" s="391">
        <v>1.0</v>
      </c>
      <c r="H469" s="391">
        <v>51.3774</v>
      </c>
      <c r="I469" s="391">
        <v>6.67993</v>
      </c>
      <c r="J469" s="391">
        <v>-24.531444</v>
      </c>
      <c r="K469" s="391">
        <v>-22.550944</v>
      </c>
      <c r="L469" s="391">
        <v>1047.94</v>
      </c>
      <c r="M469" s="391">
        <v>68.499969</v>
      </c>
      <c r="N469" s="391">
        <v>11597.4479</v>
      </c>
      <c r="O469" s="391">
        <v>11598.9648</v>
      </c>
      <c r="P469" s="394">
        <v>2064.36458</v>
      </c>
      <c r="Q469" s="376" t="s">
        <v>12</v>
      </c>
      <c r="R469" s="394" t="s">
        <v>539</v>
      </c>
      <c r="S469" s="394">
        <v>10.0</v>
      </c>
      <c r="T469" s="394">
        <v>5.0</v>
      </c>
      <c r="U469" s="394">
        <v>0.7</v>
      </c>
      <c r="V469" s="394">
        <v>0.7</v>
      </c>
      <c r="W469" s="394">
        <v>0.7</v>
      </c>
      <c r="X469" s="391">
        <v>2000.0</v>
      </c>
      <c r="Y469" s="391" t="s">
        <v>540</v>
      </c>
      <c r="Z469" s="391">
        <v>0.2</v>
      </c>
      <c r="AA469" s="391" t="s">
        <v>541</v>
      </c>
      <c r="AB469" s="391" t="s">
        <v>542</v>
      </c>
      <c r="AC469" s="408">
        <v>0.85</v>
      </c>
      <c r="AD469" s="186"/>
      <c r="AE469" s="253"/>
    </row>
    <row r="470">
      <c r="A470" s="391" t="s">
        <v>805</v>
      </c>
      <c r="B470" s="391">
        <v>6.0</v>
      </c>
      <c r="C470" s="391">
        <v>430.0</v>
      </c>
      <c r="D470" s="391" t="s">
        <v>579</v>
      </c>
      <c r="E470" s="391">
        <v>1.0</v>
      </c>
      <c r="F470" s="393">
        <v>45495.629166666666</v>
      </c>
      <c r="G470" s="391">
        <v>1.0</v>
      </c>
      <c r="H470" s="391">
        <v>51.3807</v>
      </c>
      <c r="I470" s="391">
        <v>6.77651</v>
      </c>
      <c r="J470" s="391">
        <v>-24.8146</v>
      </c>
      <c r="K470" s="391">
        <v>-23.341831</v>
      </c>
      <c r="L470" s="391">
        <v>1060.82</v>
      </c>
      <c r="M470" s="391">
        <v>74.500142</v>
      </c>
      <c r="N470" s="391">
        <v>11600.4817</v>
      </c>
      <c r="O470" s="391">
        <v>11598.9648</v>
      </c>
      <c r="P470" s="394">
        <v>2064.36458</v>
      </c>
      <c r="Q470" s="376" t="s">
        <v>12</v>
      </c>
      <c r="R470" s="394" t="s">
        <v>539</v>
      </c>
      <c r="S470" s="394">
        <v>10.0</v>
      </c>
      <c r="T470" s="394">
        <v>5.0</v>
      </c>
      <c r="U470" s="394">
        <v>0.7</v>
      </c>
      <c r="V470" s="394">
        <v>0.7</v>
      </c>
      <c r="W470" s="394">
        <v>0.7</v>
      </c>
      <c r="X470" s="391">
        <v>2000.0</v>
      </c>
      <c r="Y470" s="391" t="s">
        <v>540</v>
      </c>
      <c r="Z470" s="391">
        <v>0.2</v>
      </c>
      <c r="AA470" s="391" t="s">
        <v>541</v>
      </c>
      <c r="AB470" s="391" t="s">
        <v>542</v>
      </c>
      <c r="AC470" s="408">
        <v>0.85</v>
      </c>
      <c r="AD470" s="186"/>
      <c r="AE470" s="253"/>
    </row>
    <row r="471">
      <c r="A471" s="391" t="s">
        <v>599</v>
      </c>
      <c r="B471" s="391">
        <v>7.0</v>
      </c>
      <c r="C471" s="391">
        <v>431.0</v>
      </c>
      <c r="D471" s="391" t="s">
        <v>582</v>
      </c>
      <c r="E471" s="391">
        <v>1.0</v>
      </c>
      <c r="F471" s="393">
        <v>45495.63263888889</v>
      </c>
      <c r="G471" s="391">
        <v>1.0</v>
      </c>
      <c r="H471" s="391">
        <v>51.3741</v>
      </c>
      <c r="I471" s="391">
        <v>6.63039</v>
      </c>
      <c r="J471" s="391">
        <v>-24.869888</v>
      </c>
      <c r="K471" s="391">
        <v>-23.201425</v>
      </c>
      <c r="L471" s="391">
        <v>1048.46</v>
      </c>
      <c r="M471" s="391">
        <v>72.000086</v>
      </c>
      <c r="N471" s="391">
        <v>11354.3791</v>
      </c>
      <c r="O471" s="391">
        <v>0.0</v>
      </c>
      <c r="P471" s="394">
        <v>0.0</v>
      </c>
      <c r="Q471" s="376" t="s">
        <v>280</v>
      </c>
      <c r="R471" s="394" t="s">
        <v>607</v>
      </c>
      <c r="S471" s="394">
        <v>10.0</v>
      </c>
      <c r="T471" s="394">
        <v>5.0</v>
      </c>
      <c r="U471" s="394">
        <v>0.7</v>
      </c>
      <c r="V471" s="394">
        <v>0.7</v>
      </c>
      <c r="W471" s="394">
        <v>0.7</v>
      </c>
      <c r="X471" s="391">
        <v>2000.0</v>
      </c>
      <c r="Y471" s="391" t="s">
        <v>540</v>
      </c>
      <c r="Z471" s="391">
        <v>0.2</v>
      </c>
      <c r="AA471" s="391" t="s">
        <v>541</v>
      </c>
      <c r="AB471" s="391" t="s">
        <v>542</v>
      </c>
      <c r="AC471" s="408">
        <v>0.85</v>
      </c>
      <c r="AD471" s="186"/>
      <c r="AE471" s="253"/>
    </row>
    <row r="472">
      <c r="A472" s="391" t="s">
        <v>600</v>
      </c>
      <c r="B472" s="391">
        <v>7.0</v>
      </c>
      <c r="C472" s="391">
        <v>431.0</v>
      </c>
      <c r="D472" s="391" t="s">
        <v>582</v>
      </c>
      <c r="E472" s="391">
        <v>1.0</v>
      </c>
      <c r="F472" s="393">
        <v>45495.635416666664</v>
      </c>
      <c r="G472" s="391">
        <v>1.0</v>
      </c>
      <c r="H472" s="391">
        <v>51.3774</v>
      </c>
      <c r="I472" s="391">
        <v>7.13148</v>
      </c>
      <c r="J472" s="391">
        <v>-24.666269</v>
      </c>
      <c r="K472" s="391">
        <v>-23.573663</v>
      </c>
      <c r="L472" s="391">
        <v>1061.38</v>
      </c>
      <c r="M472" s="391">
        <v>77.99904</v>
      </c>
      <c r="N472" s="391">
        <v>11726.7822</v>
      </c>
      <c r="O472" s="391">
        <v>0.0</v>
      </c>
      <c r="P472" s="394">
        <v>0.0</v>
      </c>
      <c r="Q472" s="376" t="s">
        <v>280</v>
      </c>
      <c r="R472" s="394" t="s">
        <v>607</v>
      </c>
      <c r="S472" s="394">
        <v>10.0</v>
      </c>
      <c r="T472" s="394">
        <v>5.0</v>
      </c>
      <c r="U472" s="394">
        <v>0.7</v>
      </c>
      <c r="V472" s="394">
        <v>0.7</v>
      </c>
      <c r="W472" s="394">
        <v>0.7</v>
      </c>
      <c r="X472" s="391">
        <v>2000.0</v>
      </c>
      <c r="Y472" s="391" t="s">
        <v>540</v>
      </c>
      <c r="Z472" s="391">
        <v>0.2</v>
      </c>
      <c r="AA472" s="391" t="s">
        <v>541</v>
      </c>
      <c r="AB472" s="391" t="s">
        <v>542</v>
      </c>
      <c r="AC472" s="408">
        <v>0.85</v>
      </c>
      <c r="AD472" s="186"/>
      <c r="AE472" s="253"/>
    </row>
    <row r="473">
      <c r="A473" s="391" t="s">
        <v>691</v>
      </c>
      <c r="B473" s="391">
        <v>7.0</v>
      </c>
      <c r="C473" s="391">
        <v>431.0</v>
      </c>
      <c r="D473" s="391" t="s">
        <v>582</v>
      </c>
      <c r="E473" s="391">
        <v>1.0</v>
      </c>
      <c r="F473" s="393">
        <v>45495.638194444444</v>
      </c>
      <c r="G473" s="391">
        <v>1.0</v>
      </c>
      <c r="H473" s="391">
        <v>51.3741</v>
      </c>
      <c r="I473" s="391">
        <v>7.50719</v>
      </c>
      <c r="J473" s="391">
        <v>-24.778044</v>
      </c>
      <c r="K473" s="391">
        <v>-22.53655</v>
      </c>
      <c r="L473" s="391">
        <v>1075.76</v>
      </c>
      <c r="M473" s="391">
        <v>63.500044</v>
      </c>
      <c r="N473" s="391">
        <v>11579.11</v>
      </c>
      <c r="O473" s="391">
        <v>0.0</v>
      </c>
      <c r="P473" s="394">
        <v>0.0</v>
      </c>
      <c r="Q473" s="376" t="s">
        <v>280</v>
      </c>
      <c r="R473" s="394" t="s">
        <v>607</v>
      </c>
      <c r="S473" s="394">
        <v>10.0</v>
      </c>
      <c r="T473" s="394">
        <v>5.0</v>
      </c>
      <c r="U473" s="394">
        <v>0.7</v>
      </c>
      <c r="V473" s="394">
        <v>0.7</v>
      </c>
      <c r="W473" s="394">
        <v>0.7</v>
      </c>
      <c r="X473" s="391">
        <v>2000.0</v>
      </c>
      <c r="Y473" s="391" t="s">
        <v>540</v>
      </c>
      <c r="Z473" s="391">
        <v>0.2</v>
      </c>
      <c r="AA473" s="391" t="s">
        <v>541</v>
      </c>
      <c r="AB473" s="391" t="s">
        <v>542</v>
      </c>
      <c r="AC473" s="408">
        <v>0.85</v>
      </c>
      <c r="AD473" s="186"/>
      <c r="AE473" s="253"/>
    </row>
    <row r="474">
      <c r="A474" s="391" t="s">
        <v>806</v>
      </c>
      <c r="B474" s="391">
        <v>7.0</v>
      </c>
      <c r="C474" s="391">
        <v>431.0</v>
      </c>
      <c r="D474" s="391" t="s">
        <v>582</v>
      </c>
      <c r="E474" s="391">
        <v>1.0</v>
      </c>
      <c r="F474" s="393">
        <v>45495.64097222222</v>
      </c>
      <c r="G474" s="391">
        <v>1.0</v>
      </c>
      <c r="H474" s="391">
        <v>51.3741</v>
      </c>
      <c r="I474" s="391">
        <v>7.47791</v>
      </c>
      <c r="J474" s="391">
        <v>-24.726456</v>
      </c>
      <c r="K474" s="391">
        <v>-22.87165</v>
      </c>
      <c r="L474" s="391">
        <v>1071.8</v>
      </c>
      <c r="M474" s="391">
        <v>67.999815</v>
      </c>
      <c r="N474" s="391">
        <v>11833.5883</v>
      </c>
      <c r="O474" s="391">
        <v>0.0</v>
      </c>
      <c r="P474" s="394">
        <v>0.0</v>
      </c>
      <c r="Q474" s="376" t="s">
        <v>280</v>
      </c>
      <c r="R474" s="394" t="s">
        <v>607</v>
      </c>
      <c r="S474" s="394">
        <v>10.0</v>
      </c>
      <c r="T474" s="394">
        <v>5.0</v>
      </c>
      <c r="U474" s="394">
        <v>0.7</v>
      </c>
      <c r="V474" s="394">
        <v>0.7</v>
      </c>
      <c r="W474" s="394">
        <v>0.7</v>
      </c>
      <c r="X474" s="391">
        <v>2000.0</v>
      </c>
      <c r="Y474" s="391" t="s">
        <v>540</v>
      </c>
      <c r="Z474" s="391">
        <v>0.2</v>
      </c>
      <c r="AA474" s="391" t="s">
        <v>541</v>
      </c>
      <c r="AB474" s="391" t="s">
        <v>542</v>
      </c>
      <c r="AC474" s="408">
        <v>0.85</v>
      </c>
      <c r="AD474" s="186"/>
      <c r="AE474" s="253"/>
    </row>
    <row r="475">
      <c r="A475" s="391" t="s">
        <v>807</v>
      </c>
      <c r="B475" s="391">
        <v>7.0</v>
      </c>
      <c r="C475" s="391">
        <v>431.0</v>
      </c>
      <c r="D475" s="391" t="s">
        <v>582</v>
      </c>
      <c r="E475" s="391">
        <v>1.0</v>
      </c>
      <c r="F475" s="393">
        <v>45495.64375</v>
      </c>
      <c r="G475" s="391">
        <v>1.0</v>
      </c>
      <c r="H475" s="391">
        <v>51.3774</v>
      </c>
      <c r="I475" s="391">
        <v>7.69414</v>
      </c>
      <c r="J475" s="391">
        <v>-24.834944</v>
      </c>
      <c r="K475" s="391">
        <v>-23.200469</v>
      </c>
      <c r="L475" s="391">
        <v>1078.32</v>
      </c>
      <c r="M475" s="391">
        <v>69.000246</v>
      </c>
      <c r="N475" s="391">
        <v>11620.4886</v>
      </c>
      <c r="O475" s="391">
        <v>0.0</v>
      </c>
      <c r="P475" s="394">
        <v>0.0</v>
      </c>
      <c r="Q475" s="376" t="s">
        <v>280</v>
      </c>
      <c r="R475" s="394" t="s">
        <v>607</v>
      </c>
      <c r="S475" s="394">
        <v>10.0</v>
      </c>
      <c r="T475" s="394">
        <v>5.0</v>
      </c>
      <c r="U475" s="394">
        <v>0.7</v>
      </c>
      <c r="V475" s="394">
        <v>0.7</v>
      </c>
      <c r="W475" s="394">
        <v>0.7</v>
      </c>
      <c r="X475" s="391">
        <v>2000.0</v>
      </c>
      <c r="Y475" s="391" t="s">
        <v>540</v>
      </c>
      <c r="Z475" s="391">
        <v>0.2</v>
      </c>
      <c r="AA475" s="391" t="s">
        <v>541</v>
      </c>
      <c r="AB475" s="391" t="s">
        <v>542</v>
      </c>
      <c r="AC475" s="408">
        <v>0.85</v>
      </c>
      <c r="AD475" s="186"/>
      <c r="AE475" s="253"/>
    </row>
    <row r="476">
      <c r="A476" s="391" t="s">
        <v>808</v>
      </c>
      <c r="B476" s="391">
        <v>7.0</v>
      </c>
      <c r="C476" s="391">
        <v>431.0</v>
      </c>
      <c r="D476" s="391" t="s">
        <v>582</v>
      </c>
      <c r="E476" s="391">
        <v>1.0</v>
      </c>
      <c r="F476" s="393">
        <v>45495.646527777775</v>
      </c>
      <c r="G476" s="391">
        <v>2.0</v>
      </c>
      <c r="H476" s="391">
        <v>51.3741</v>
      </c>
      <c r="I476" s="391">
        <v>7.68724</v>
      </c>
      <c r="J476" s="391">
        <v>-24.793262</v>
      </c>
      <c r="K476" s="391">
        <v>-23.27285</v>
      </c>
      <c r="L476" s="391">
        <v>1077.68</v>
      </c>
      <c r="M476" s="391">
        <v>69.000238</v>
      </c>
      <c r="N476" s="391">
        <v>11629.7279</v>
      </c>
      <c r="O476" s="391">
        <v>11624.2516</v>
      </c>
      <c r="P476" s="394">
        <v>2068.82924</v>
      </c>
      <c r="Q476" s="376" t="s">
        <v>12</v>
      </c>
      <c r="R476" s="394" t="s">
        <v>539</v>
      </c>
      <c r="S476" s="394">
        <v>10.0</v>
      </c>
      <c r="T476" s="394">
        <v>5.0</v>
      </c>
      <c r="U476" s="394">
        <v>0.7</v>
      </c>
      <c r="V476" s="394">
        <v>0.7</v>
      </c>
      <c r="W476" s="394">
        <v>0.7</v>
      </c>
      <c r="X476" s="391">
        <v>2000.0</v>
      </c>
      <c r="Y476" s="391" t="s">
        <v>540</v>
      </c>
      <c r="Z476" s="391">
        <v>0.2</v>
      </c>
      <c r="AA476" s="391" t="s">
        <v>541</v>
      </c>
      <c r="AB476" s="391" t="s">
        <v>542</v>
      </c>
      <c r="AC476" s="408">
        <v>0.85</v>
      </c>
      <c r="AD476" s="186"/>
      <c r="AE476" s="253"/>
    </row>
    <row r="477">
      <c r="A477" s="391" t="s">
        <v>809</v>
      </c>
      <c r="B477" s="391">
        <v>7.0</v>
      </c>
      <c r="C477" s="391">
        <v>431.0</v>
      </c>
      <c r="D477" s="391" t="s">
        <v>582</v>
      </c>
      <c r="E477" s="391">
        <v>1.0</v>
      </c>
      <c r="F477" s="393">
        <v>45495.649305555555</v>
      </c>
      <c r="G477" s="391">
        <v>2.0</v>
      </c>
      <c r="H477" s="391">
        <v>51.3741</v>
      </c>
      <c r="I477" s="391">
        <v>7.65286</v>
      </c>
      <c r="J477" s="391">
        <v>-24.904956</v>
      </c>
      <c r="K477" s="391">
        <v>-23.1588</v>
      </c>
      <c r="L477" s="391">
        <v>1065.68</v>
      </c>
      <c r="M477" s="391">
        <v>65.500749</v>
      </c>
      <c r="N477" s="391">
        <v>11618.7753</v>
      </c>
      <c r="O477" s="391">
        <v>11624.2516</v>
      </c>
      <c r="P477" s="394">
        <v>2068.82924</v>
      </c>
      <c r="Q477" s="376" t="s">
        <v>12</v>
      </c>
      <c r="R477" s="394" t="s">
        <v>539</v>
      </c>
      <c r="S477" s="394">
        <v>10.0</v>
      </c>
      <c r="T477" s="394">
        <v>5.0</v>
      </c>
      <c r="U477" s="394">
        <v>0.7</v>
      </c>
      <c r="V477" s="394">
        <v>0.7</v>
      </c>
      <c r="W477" s="394">
        <v>0.7</v>
      </c>
      <c r="X477" s="391">
        <v>2000.0</v>
      </c>
      <c r="Y477" s="391" t="s">
        <v>540</v>
      </c>
      <c r="Z477" s="391">
        <v>0.2</v>
      </c>
      <c r="AA477" s="391" t="s">
        <v>541</v>
      </c>
      <c r="AB477" s="391" t="s">
        <v>542</v>
      </c>
      <c r="AC477" s="408">
        <v>0.85</v>
      </c>
      <c r="AD477" s="186"/>
      <c r="AE477" s="253"/>
    </row>
    <row r="478">
      <c r="A478" s="391" t="s">
        <v>601</v>
      </c>
      <c r="B478" s="391">
        <v>8.0</v>
      </c>
      <c r="C478" s="391">
        <v>534.0</v>
      </c>
      <c r="D478" s="391" t="s">
        <v>585</v>
      </c>
      <c r="E478" s="391">
        <v>1.0</v>
      </c>
      <c r="F478" s="393">
        <v>45495.65277777778</v>
      </c>
      <c r="G478" s="391">
        <v>1.0</v>
      </c>
      <c r="H478" s="391">
        <v>51.3741</v>
      </c>
      <c r="I478" s="391">
        <v>7.63864</v>
      </c>
      <c r="J478" s="391">
        <v>-24.789225</v>
      </c>
      <c r="K478" s="391">
        <v>-23.456769</v>
      </c>
      <c r="L478" s="391">
        <v>1076.03</v>
      </c>
      <c r="M478" s="391">
        <v>74.49963</v>
      </c>
      <c r="N478" s="391">
        <v>11694.6913</v>
      </c>
      <c r="O478" s="391">
        <v>11694.8103</v>
      </c>
      <c r="P478" s="394">
        <v>2081.28718</v>
      </c>
      <c r="Q478" s="376" t="s">
        <v>12</v>
      </c>
      <c r="R478" s="394" t="s">
        <v>539</v>
      </c>
      <c r="S478" s="394">
        <v>10.0</v>
      </c>
      <c r="T478" s="394">
        <v>5.0</v>
      </c>
      <c r="U478" s="394">
        <v>0.7</v>
      </c>
      <c r="V478" s="394">
        <v>0.7</v>
      </c>
      <c r="W478" s="394">
        <v>0.7</v>
      </c>
      <c r="X478" s="391">
        <v>2000.0</v>
      </c>
      <c r="Y478" s="391" t="s">
        <v>540</v>
      </c>
      <c r="Z478" s="391">
        <v>0.2</v>
      </c>
      <c r="AA478" s="391" t="s">
        <v>541</v>
      </c>
      <c r="AB478" s="391" t="s">
        <v>542</v>
      </c>
      <c r="AC478" s="408">
        <v>0.85</v>
      </c>
      <c r="AD478" s="186"/>
      <c r="AE478" s="253"/>
    </row>
    <row r="479">
      <c r="A479" s="391" t="s">
        <v>602</v>
      </c>
      <c r="B479" s="391">
        <v>8.0</v>
      </c>
      <c r="C479" s="391">
        <v>534.0</v>
      </c>
      <c r="D479" s="391" t="s">
        <v>585</v>
      </c>
      <c r="E479" s="391">
        <v>1.0</v>
      </c>
      <c r="F479" s="393">
        <v>45495.65555555555</v>
      </c>
      <c r="G479" s="391">
        <v>1.0</v>
      </c>
      <c r="H479" s="391">
        <v>51.3774</v>
      </c>
      <c r="I479" s="391">
        <v>7.61491</v>
      </c>
      <c r="J479" s="391">
        <v>-24.874437</v>
      </c>
      <c r="K479" s="391">
        <v>-23.108888</v>
      </c>
      <c r="L479" s="391">
        <v>1119.95</v>
      </c>
      <c r="M479" s="391">
        <v>68.50081</v>
      </c>
      <c r="N479" s="391">
        <v>11694.9293</v>
      </c>
      <c r="O479" s="391">
        <v>11694.8103</v>
      </c>
      <c r="P479" s="394">
        <v>2081.28718</v>
      </c>
      <c r="Q479" s="376" t="s">
        <v>12</v>
      </c>
      <c r="R479" s="394" t="s">
        <v>539</v>
      </c>
      <c r="S479" s="394">
        <v>10.0</v>
      </c>
      <c r="T479" s="394">
        <v>5.0</v>
      </c>
      <c r="U479" s="394">
        <v>0.7</v>
      </c>
      <c r="V479" s="394">
        <v>0.7</v>
      </c>
      <c r="W479" s="394">
        <v>0.7</v>
      </c>
      <c r="X479" s="391">
        <v>2000.0</v>
      </c>
      <c r="Y479" s="391" t="s">
        <v>540</v>
      </c>
      <c r="Z479" s="391">
        <v>0.2</v>
      </c>
      <c r="AA479" s="391" t="s">
        <v>541</v>
      </c>
      <c r="AB479" s="391" t="s">
        <v>542</v>
      </c>
      <c r="AC479" s="408">
        <v>0.85</v>
      </c>
      <c r="AD479" s="186"/>
      <c r="AE479" s="253"/>
    </row>
    <row r="480">
      <c r="A480" s="391" t="s">
        <v>606</v>
      </c>
      <c r="B480" s="391">
        <v>9.0</v>
      </c>
      <c r="C480" s="391">
        <v>535.0</v>
      </c>
      <c r="D480" s="391" t="s">
        <v>589</v>
      </c>
      <c r="E480" s="391">
        <v>1.0</v>
      </c>
      <c r="F480" s="393">
        <v>45495.65902777778</v>
      </c>
      <c r="G480" s="391">
        <v>1.0</v>
      </c>
      <c r="H480" s="391">
        <v>51.3741</v>
      </c>
      <c r="I480" s="391">
        <v>7.46606</v>
      </c>
      <c r="J480" s="391">
        <v>-24.810406</v>
      </c>
      <c r="K480" s="391">
        <v>-23.072862</v>
      </c>
      <c r="L480" s="391">
        <v>1096.69</v>
      </c>
      <c r="M480" s="391">
        <v>66.499887</v>
      </c>
      <c r="N480" s="391">
        <v>11687.0289</v>
      </c>
      <c r="O480" s="391">
        <v>11714.8073</v>
      </c>
      <c r="P480" s="394">
        <v>2084.81787</v>
      </c>
      <c r="Q480" s="376" t="s">
        <v>12</v>
      </c>
      <c r="R480" s="394" t="s">
        <v>553</v>
      </c>
      <c r="S480" s="394">
        <v>10.0</v>
      </c>
      <c r="T480" s="394">
        <v>5.0</v>
      </c>
      <c r="U480" s="394">
        <v>0.7</v>
      </c>
      <c r="V480" s="394">
        <v>0.7</v>
      </c>
      <c r="W480" s="394">
        <v>0.7</v>
      </c>
      <c r="X480" s="391">
        <v>2000.0</v>
      </c>
      <c r="Y480" s="391" t="s">
        <v>540</v>
      </c>
      <c r="Z480" s="391">
        <v>0.2</v>
      </c>
      <c r="AA480" s="391" t="s">
        <v>541</v>
      </c>
      <c r="AB480" s="391" t="s">
        <v>542</v>
      </c>
      <c r="AC480" s="408">
        <v>0.85</v>
      </c>
      <c r="AD480" s="186"/>
      <c r="AE480" s="253"/>
    </row>
    <row r="481">
      <c r="A481" s="391" t="s">
        <v>608</v>
      </c>
      <c r="B481" s="391">
        <v>9.0</v>
      </c>
      <c r="C481" s="391">
        <v>535.0</v>
      </c>
      <c r="D481" s="391" t="s">
        <v>589</v>
      </c>
      <c r="E481" s="391">
        <v>1.0</v>
      </c>
      <c r="F481" s="393">
        <v>45495.66180555556</v>
      </c>
      <c r="G481" s="391">
        <v>1.0</v>
      </c>
      <c r="H481" s="391">
        <v>51.3774</v>
      </c>
      <c r="I481" s="391">
        <v>7.46288</v>
      </c>
      <c r="J481" s="391">
        <v>-24.887131</v>
      </c>
      <c r="K481" s="391">
        <v>-23.323438</v>
      </c>
      <c r="L481" s="391">
        <v>1091.75</v>
      </c>
      <c r="M481" s="391">
        <v>71.501164</v>
      </c>
      <c r="N481" s="391">
        <v>11754.8013</v>
      </c>
      <c r="O481" s="391">
        <v>11714.8073</v>
      </c>
      <c r="P481" s="394">
        <v>2084.81787</v>
      </c>
      <c r="Q481" s="376" t="s">
        <v>12</v>
      </c>
      <c r="R481" s="394" t="s">
        <v>553</v>
      </c>
      <c r="S481" s="394">
        <v>10.0</v>
      </c>
      <c r="T481" s="394">
        <v>5.0</v>
      </c>
      <c r="U481" s="394">
        <v>0.7</v>
      </c>
      <c r="V481" s="394">
        <v>0.7</v>
      </c>
      <c r="W481" s="394">
        <v>0.7</v>
      </c>
      <c r="X481" s="391">
        <v>2000.0</v>
      </c>
      <c r="Y481" s="391" t="s">
        <v>540</v>
      </c>
      <c r="Z481" s="391">
        <v>0.2</v>
      </c>
      <c r="AA481" s="391" t="s">
        <v>541</v>
      </c>
      <c r="AB481" s="391" t="s">
        <v>542</v>
      </c>
      <c r="AC481" s="408">
        <v>0.85</v>
      </c>
      <c r="AD481" s="186"/>
      <c r="AE481" s="253"/>
    </row>
    <row r="482">
      <c r="A482" s="391" t="s">
        <v>609</v>
      </c>
      <c r="B482" s="391">
        <v>9.0</v>
      </c>
      <c r="C482" s="391">
        <v>535.0</v>
      </c>
      <c r="D482" s="391" t="s">
        <v>589</v>
      </c>
      <c r="E482" s="391">
        <v>1.0</v>
      </c>
      <c r="F482" s="393">
        <v>45495.66458333333</v>
      </c>
      <c r="G482" s="391">
        <v>1.0</v>
      </c>
      <c r="H482" s="391">
        <v>51.3675</v>
      </c>
      <c r="I482" s="391">
        <v>7.39422</v>
      </c>
      <c r="J482" s="391">
        <v>-24.9058</v>
      </c>
      <c r="K482" s="391">
        <v>-23.451644</v>
      </c>
      <c r="L482" s="391">
        <v>1066.66</v>
      </c>
      <c r="M482" s="391">
        <v>73.001501</v>
      </c>
      <c r="N482" s="391">
        <v>11710.7014</v>
      </c>
      <c r="O482" s="391">
        <v>11714.8073</v>
      </c>
      <c r="P482" s="394">
        <v>2084.81787</v>
      </c>
      <c r="Q482" s="376" t="s">
        <v>12</v>
      </c>
      <c r="R482" s="394" t="s">
        <v>539</v>
      </c>
      <c r="S482" s="394">
        <v>10.0</v>
      </c>
      <c r="T482" s="394">
        <v>5.0</v>
      </c>
      <c r="U482" s="394">
        <v>0.7</v>
      </c>
      <c r="V482" s="394">
        <v>0.7</v>
      </c>
      <c r="W482" s="394">
        <v>0.7</v>
      </c>
      <c r="X482" s="391">
        <v>2000.0</v>
      </c>
      <c r="Y482" s="391" t="s">
        <v>540</v>
      </c>
      <c r="Z482" s="391">
        <v>0.2</v>
      </c>
      <c r="AA482" s="391" t="s">
        <v>541</v>
      </c>
      <c r="AB482" s="391" t="s">
        <v>542</v>
      </c>
      <c r="AC482" s="408">
        <v>0.85</v>
      </c>
      <c r="AD482" s="186"/>
      <c r="AE482" s="253"/>
    </row>
    <row r="483">
      <c r="A483" s="391" t="s">
        <v>610</v>
      </c>
      <c r="B483" s="391">
        <v>9.0</v>
      </c>
      <c r="C483" s="391">
        <v>535.0</v>
      </c>
      <c r="D483" s="391" t="s">
        <v>589</v>
      </c>
      <c r="E483" s="391">
        <v>1.0</v>
      </c>
      <c r="F483" s="393">
        <v>45495.66736111111</v>
      </c>
      <c r="G483" s="391">
        <v>1.0</v>
      </c>
      <c r="H483" s="391">
        <v>51.3741</v>
      </c>
      <c r="I483" s="391">
        <v>7.27485</v>
      </c>
      <c r="J483" s="391">
        <v>-24.868294</v>
      </c>
      <c r="K483" s="391">
        <v>-23.451144</v>
      </c>
      <c r="L483" s="391">
        <v>1073.95</v>
      </c>
      <c r="M483" s="391">
        <v>72.500642</v>
      </c>
      <c r="N483" s="391">
        <v>11718.9132</v>
      </c>
      <c r="O483" s="391">
        <v>11714.8073</v>
      </c>
      <c r="P483" s="394">
        <v>2084.81787</v>
      </c>
      <c r="Q483" s="376" t="s">
        <v>12</v>
      </c>
      <c r="R483" s="394" t="s">
        <v>539</v>
      </c>
      <c r="S483" s="394">
        <v>10.0</v>
      </c>
      <c r="T483" s="394">
        <v>5.0</v>
      </c>
      <c r="U483" s="394">
        <v>0.7</v>
      </c>
      <c r="V483" s="394">
        <v>0.7</v>
      </c>
      <c r="W483" s="394">
        <v>0.7</v>
      </c>
      <c r="X483" s="391">
        <v>2000.0</v>
      </c>
      <c r="Y483" s="391" t="s">
        <v>540</v>
      </c>
      <c r="Z483" s="391">
        <v>0.2</v>
      </c>
      <c r="AA483" s="391" t="s">
        <v>541</v>
      </c>
      <c r="AB483" s="391" t="s">
        <v>542</v>
      </c>
      <c r="AC483" s="408">
        <v>0.85</v>
      </c>
      <c r="AD483" s="186"/>
      <c r="AE483" s="253"/>
    </row>
    <row r="484">
      <c r="A484" s="391" t="s">
        <v>810</v>
      </c>
      <c r="B484" s="391" t="s">
        <v>551</v>
      </c>
      <c r="C484" s="391" t="s">
        <v>776</v>
      </c>
      <c r="D484" s="391" t="s">
        <v>538</v>
      </c>
      <c r="E484" s="391">
        <v>0.8</v>
      </c>
      <c r="F484" s="393">
        <v>45495.67083333333</v>
      </c>
      <c r="G484" s="391">
        <v>1.0</v>
      </c>
      <c r="H484" s="391">
        <v>51.3741</v>
      </c>
      <c r="I484" s="391">
        <v>7.05106</v>
      </c>
      <c r="J484" s="391">
        <v>-24.981175</v>
      </c>
      <c r="K484" s="391">
        <v>-23.896438</v>
      </c>
      <c r="L484" s="391">
        <v>980.812</v>
      </c>
      <c r="M484" s="391">
        <v>72.499817</v>
      </c>
      <c r="N484" s="391">
        <v>9264.19014</v>
      </c>
      <c r="O484" s="391">
        <v>9223.96155</v>
      </c>
      <c r="P484" s="394">
        <v>2070.3457</v>
      </c>
      <c r="Q484" s="376" t="s">
        <v>12</v>
      </c>
      <c r="R484" s="394" t="s">
        <v>553</v>
      </c>
      <c r="S484" s="394">
        <v>10.0</v>
      </c>
      <c r="T484" s="394">
        <v>5.0</v>
      </c>
      <c r="U484" s="394">
        <v>0.7</v>
      </c>
      <c r="V484" s="394">
        <v>0.7</v>
      </c>
      <c r="W484" s="394">
        <v>0.7</v>
      </c>
      <c r="X484" s="391">
        <v>2000.0</v>
      </c>
      <c r="Y484" s="391" t="s">
        <v>540</v>
      </c>
      <c r="Z484" s="391">
        <v>0.2</v>
      </c>
      <c r="AA484" s="391" t="s">
        <v>541</v>
      </c>
      <c r="AB484" s="391" t="s">
        <v>542</v>
      </c>
      <c r="AC484" s="408">
        <v>0.85</v>
      </c>
      <c r="AD484" s="186"/>
      <c r="AE484" s="253"/>
    </row>
    <row r="485">
      <c r="A485" s="391" t="s">
        <v>811</v>
      </c>
      <c r="B485" s="391" t="s">
        <v>551</v>
      </c>
      <c r="C485" s="391" t="s">
        <v>776</v>
      </c>
      <c r="D485" s="391" t="s">
        <v>538</v>
      </c>
      <c r="E485" s="391">
        <v>0.8</v>
      </c>
      <c r="F485" s="393">
        <v>45495.67361111111</v>
      </c>
      <c r="G485" s="391">
        <v>1.0</v>
      </c>
      <c r="H485" s="391">
        <v>51.3741</v>
      </c>
      <c r="I485" s="391">
        <v>7.02758</v>
      </c>
      <c r="J485" s="391">
        <v>-24.9022</v>
      </c>
      <c r="K485" s="391">
        <v>-23.169125</v>
      </c>
      <c r="L485" s="391">
        <v>974.852</v>
      </c>
      <c r="M485" s="391">
        <v>64.498969</v>
      </c>
      <c r="N485" s="391">
        <v>9221.12723</v>
      </c>
      <c r="O485" s="391">
        <v>9223.96155</v>
      </c>
      <c r="P485" s="394">
        <v>2070.3457</v>
      </c>
      <c r="Q485" s="376" t="s">
        <v>12</v>
      </c>
      <c r="R485" s="394" t="s">
        <v>539</v>
      </c>
      <c r="S485" s="394">
        <v>10.0</v>
      </c>
      <c r="T485" s="394">
        <v>5.0</v>
      </c>
      <c r="U485" s="394">
        <v>0.7</v>
      </c>
      <c r="V485" s="394">
        <v>0.7</v>
      </c>
      <c r="W485" s="394">
        <v>0.7</v>
      </c>
      <c r="X485" s="391">
        <v>2000.0</v>
      </c>
      <c r="Y485" s="391" t="s">
        <v>540</v>
      </c>
      <c r="Z485" s="391">
        <v>0.2</v>
      </c>
      <c r="AA485" s="391" t="s">
        <v>541</v>
      </c>
      <c r="AB485" s="391" t="s">
        <v>542</v>
      </c>
      <c r="AC485" s="408">
        <v>0.85</v>
      </c>
      <c r="AD485" s="186"/>
      <c r="AE485" s="253"/>
    </row>
    <row r="486">
      <c r="A486" s="391" t="s">
        <v>812</v>
      </c>
      <c r="B486" s="391" t="s">
        <v>551</v>
      </c>
      <c r="C486" s="391" t="s">
        <v>776</v>
      </c>
      <c r="D486" s="391" t="s">
        <v>538</v>
      </c>
      <c r="E486" s="391">
        <v>0.8</v>
      </c>
      <c r="F486" s="393">
        <v>45495.67638888889</v>
      </c>
      <c r="G486" s="391">
        <v>1.0</v>
      </c>
      <c r="H486" s="391">
        <v>51.3774</v>
      </c>
      <c r="I486" s="391">
        <v>6.90808</v>
      </c>
      <c r="J486" s="391">
        <v>-24.919825</v>
      </c>
      <c r="K486" s="391">
        <v>-23.317712</v>
      </c>
      <c r="L486" s="391">
        <v>990.544</v>
      </c>
      <c r="M486" s="391">
        <v>65.499491</v>
      </c>
      <c r="N486" s="391">
        <v>9226.79586</v>
      </c>
      <c r="O486" s="391">
        <v>9223.96155</v>
      </c>
      <c r="P486" s="394">
        <v>2070.3457</v>
      </c>
      <c r="Q486" s="376" t="s">
        <v>12</v>
      </c>
      <c r="R486" s="394" t="s">
        <v>539</v>
      </c>
      <c r="S486" s="394">
        <v>10.0</v>
      </c>
      <c r="T486" s="394">
        <v>5.0</v>
      </c>
      <c r="U486" s="394">
        <v>0.7</v>
      </c>
      <c r="V486" s="394">
        <v>0.7</v>
      </c>
      <c r="W486" s="394">
        <v>0.7</v>
      </c>
      <c r="X486" s="391">
        <v>2000.0</v>
      </c>
      <c r="Y486" s="391" t="s">
        <v>540</v>
      </c>
      <c r="Z486" s="391">
        <v>0.2</v>
      </c>
      <c r="AA486" s="391" t="s">
        <v>541</v>
      </c>
      <c r="AB486" s="391" t="s">
        <v>542</v>
      </c>
      <c r="AC486" s="408">
        <v>0.85</v>
      </c>
      <c r="AD486" s="186"/>
      <c r="AE486" s="253"/>
    </row>
    <row r="487">
      <c r="A487" s="391" t="s">
        <v>813</v>
      </c>
      <c r="B487" s="391" t="s">
        <v>558</v>
      </c>
      <c r="C487" s="391" t="s">
        <v>776</v>
      </c>
      <c r="D487" s="391" t="s">
        <v>538</v>
      </c>
      <c r="E487" s="391">
        <v>1.0</v>
      </c>
      <c r="F487" s="393">
        <v>45495.67916666667</v>
      </c>
      <c r="G487" s="391">
        <v>1.0</v>
      </c>
      <c r="H487" s="391">
        <v>51.3774</v>
      </c>
      <c r="I487" s="391">
        <v>6.95192</v>
      </c>
      <c r="J487" s="391">
        <v>-24.990962</v>
      </c>
      <c r="K487" s="391">
        <v>-23.502125</v>
      </c>
      <c r="L487" s="391">
        <v>1054.03</v>
      </c>
      <c r="M487" s="391">
        <v>75.499658</v>
      </c>
      <c r="N487" s="391">
        <v>11592.3895</v>
      </c>
      <c r="O487" s="391">
        <v>11558.0322</v>
      </c>
      <c r="P487" s="394">
        <v>2070.3457</v>
      </c>
      <c r="Q487" s="376" t="s">
        <v>12</v>
      </c>
      <c r="R487" s="394" t="s">
        <v>553</v>
      </c>
      <c r="S487" s="394">
        <v>10.0</v>
      </c>
      <c r="T487" s="394">
        <v>5.0</v>
      </c>
      <c r="U487" s="394">
        <v>0.7</v>
      </c>
      <c r="V487" s="394">
        <v>0.7</v>
      </c>
      <c r="W487" s="394">
        <v>0.7</v>
      </c>
      <c r="X487" s="391">
        <v>2000.0</v>
      </c>
      <c r="Y487" s="391" t="s">
        <v>540</v>
      </c>
      <c r="Z487" s="391">
        <v>0.2</v>
      </c>
      <c r="AA487" s="391" t="s">
        <v>541</v>
      </c>
      <c r="AB487" s="391" t="s">
        <v>542</v>
      </c>
      <c r="AC487" s="408">
        <v>0.85</v>
      </c>
      <c r="AD487" s="186"/>
      <c r="AE487" s="253"/>
    </row>
    <row r="488">
      <c r="A488" s="391" t="s">
        <v>814</v>
      </c>
      <c r="B488" s="391" t="s">
        <v>558</v>
      </c>
      <c r="C488" s="391" t="s">
        <v>776</v>
      </c>
      <c r="D488" s="391" t="s">
        <v>538</v>
      </c>
      <c r="E488" s="391">
        <v>1.0</v>
      </c>
      <c r="F488" s="393">
        <v>45495.68194444444</v>
      </c>
      <c r="G488" s="391">
        <v>1.0</v>
      </c>
      <c r="H488" s="391">
        <v>51.3741</v>
      </c>
      <c r="I488" s="391">
        <v>6.9391</v>
      </c>
      <c r="J488" s="391">
        <v>-24.97435</v>
      </c>
      <c r="K488" s="391">
        <v>-23.284831</v>
      </c>
      <c r="L488" s="391">
        <v>1058.0</v>
      </c>
      <c r="M488" s="391">
        <v>68.999828</v>
      </c>
      <c r="N488" s="391">
        <v>11555.392</v>
      </c>
      <c r="O488" s="391">
        <v>11558.0322</v>
      </c>
      <c r="P488" s="394">
        <v>2070.3457</v>
      </c>
      <c r="Q488" s="376" t="s">
        <v>12</v>
      </c>
      <c r="R488" s="394" t="s">
        <v>539</v>
      </c>
      <c r="S488" s="394">
        <v>10.0</v>
      </c>
      <c r="T488" s="394">
        <v>5.0</v>
      </c>
      <c r="U488" s="394">
        <v>0.7</v>
      </c>
      <c r="V488" s="394">
        <v>0.7</v>
      </c>
      <c r="W488" s="394">
        <v>0.7</v>
      </c>
      <c r="X488" s="391">
        <v>2000.0</v>
      </c>
      <c r="Y488" s="391" t="s">
        <v>540</v>
      </c>
      <c r="Z488" s="391">
        <v>0.2</v>
      </c>
      <c r="AA488" s="391" t="s">
        <v>541</v>
      </c>
      <c r="AB488" s="391" t="s">
        <v>542</v>
      </c>
      <c r="AC488" s="408">
        <v>0.85</v>
      </c>
      <c r="AD488" s="186"/>
      <c r="AE488" s="253"/>
    </row>
    <row r="489">
      <c r="A489" s="395" t="s">
        <v>815</v>
      </c>
      <c r="B489" s="395" t="s">
        <v>558</v>
      </c>
      <c r="C489" s="395" t="s">
        <v>776</v>
      </c>
      <c r="D489" s="395" t="s">
        <v>538</v>
      </c>
      <c r="E489" s="395">
        <v>1.0</v>
      </c>
      <c r="F489" s="396">
        <v>45495.68472222222</v>
      </c>
      <c r="G489" s="395">
        <v>1.0</v>
      </c>
      <c r="H489" s="395">
        <v>51.3741</v>
      </c>
      <c r="I489" s="395">
        <v>7.45681</v>
      </c>
      <c r="J489" s="395">
        <v>-24.94335</v>
      </c>
      <c r="K489" s="395">
        <v>-23.086994</v>
      </c>
      <c r="L489" s="395">
        <v>1073.73</v>
      </c>
      <c r="M489" s="395">
        <v>65.501321</v>
      </c>
      <c r="N489" s="395">
        <v>11560.6724</v>
      </c>
      <c r="O489" s="395">
        <v>11558.0322</v>
      </c>
      <c r="P489" s="397">
        <v>2070.3457</v>
      </c>
      <c r="Q489" s="376" t="s">
        <v>12</v>
      </c>
      <c r="R489" s="394" t="s">
        <v>539</v>
      </c>
      <c r="S489" s="394">
        <v>10.0</v>
      </c>
      <c r="T489" s="394">
        <v>5.0</v>
      </c>
      <c r="U489" s="394">
        <v>0.7</v>
      </c>
      <c r="V489" s="394">
        <v>0.7</v>
      </c>
      <c r="W489" s="394">
        <v>0.7</v>
      </c>
      <c r="X489" s="391">
        <v>2000.0</v>
      </c>
      <c r="Y489" s="391" t="s">
        <v>540</v>
      </c>
      <c r="Z489" s="391">
        <v>0.2</v>
      </c>
      <c r="AA489" s="391" t="s">
        <v>541</v>
      </c>
      <c r="AB489" s="391" t="s">
        <v>542</v>
      </c>
      <c r="AC489" s="408">
        <v>0.85</v>
      </c>
      <c r="AD489" s="186"/>
      <c r="AE489" s="253"/>
    </row>
    <row r="490">
      <c r="A490" s="391" t="s">
        <v>816</v>
      </c>
      <c r="B490" s="391" t="s">
        <v>561</v>
      </c>
      <c r="C490" s="391" t="s">
        <v>776</v>
      </c>
      <c r="D490" s="391" t="s">
        <v>538</v>
      </c>
      <c r="E490" s="391">
        <v>1.2</v>
      </c>
      <c r="F490" s="393">
        <v>45495.6875</v>
      </c>
      <c r="G490" s="391">
        <v>1.0</v>
      </c>
      <c r="H490" s="391">
        <v>51.3774</v>
      </c>
      <c r="I490" s="391">
        <v>7.52159</v>
      </c>
      <c r="J490" s="391">
        <v>-24.918112</v>
      </c>
      <c r="K490" s="391">
        <v>-22.4627</v>
      </c>
      <c r="L490" s="391">
        <v>1117.12</v>
      </c>
      <c r="M490" s="391">
        <v>69.501903</v>
      </c>
      <c r="N490" s="391">
        <v>13904.8563</v>
      </c>
      <c r="O490" s="391">
        <v>13944.3721</v>
      </c>
      <c r="P490" s="394">
        <v>2070.3457</v>
      </c>
      <c r="Q490" s="376" t="s">
        <v>12</v>
      </c>
      <c r="R490" s="394" t="s">
        <v>553</v>
      </c>
      <c r="S490" s="394">
        <v>10.0</v>
      </c>
      <c r="T490" s="394">
        <v>5.0</v>
      </c>
      <c r="U490" s="394">
        <v>0.7</v>
      </c>
      <c r="V490" s="394">
        <v>0.7</v>
      </c>
      <c r="W490" s="394">
        <v>0.7</v>
      </c>
      <c r="X490" s="391">
        <v>2000.0</v>
      </c>
      <c r="Y490" s="391" t="s">
        <v>540</v>
      </c>
      <c r="Z490" s="391">
        <v>0.2</v>
      </c>
      <c r="AA490" s="391" t="s">
        <v>541</v>
      </c>
      <c r="AB490" s="391" t="s">
        <v>542</v>
      </c>
      <c r="AC490" s="408">
        <v>0.85</v>
      </c>
      <c r="AD490" s="186"/>
      <c r="AE490" s="253"/>
    </row>
    <row r="491">
      <c r="A491" s="391" t="s">
        <v>817</v>
      </c>
      <c r="B491" s="391" t="s">
        <v>561</v>
      </c>
      <c r="C491" s="391" t="s">
        <v>776</v>
      </c>
      <c r="D491" s="391" t="s">
        <v>538</v>
      </c>
      <c r="E491" s="391">
        <v>1.2</v>
      </c>
      <c r="F491" s="393">
        <v>45495.69027777778</v>
      </c>
      <c r="G491" s="391">
        <v>1.0</v>
      </c>
      <c r="H491" s="391">
        <v>51.3741</v>
      </c>
      <c r="I491" s="391">
        <v>7.5458</v>
      </c>
      <c r="J491" s="391">
        <v>-24.934256</v>
      </c>
      <c r="K491" s="391">
        <v>-22.988512</v>
      </c>
      <c r="L491" s="391">
        <v>1098.15</v>
      </c>
      <c r="M491" s="391">
        <v>71.498632</v>
      </c>
      <c r="N491" s="391">
        <v>13869.3368</v>
      </c>
      <c r="O491" s="391">
        <v>13944.3721</v>
      </c>
      <c r="P491" s="394">
        <v>2070.3457</v>
      </c>
      <c r="Q491" s="376" t="s">
        <v>12</v>
      </c>
      <c r="R491" s="394" t="s">
        <v>553</v>
      </c>
      <c r="S491" s="394">
        <v>10.0</v>
      </c>
      <c r="T491" s="394">
        <v>5.0</v>
      </c>
      <c r="U491" s="394">
        <v>0.7</v>
      </c>
      <c r="V491" s="394">
        <v>0.7</v>
      </c>
      <c r="W491" s="394">
        <v>0.7</v>
      </c>
      <c r="X491" s="391">
        <v>2000.0</v>
      </c>
      <c r="Y491" s="391" t="s">
        <v>540</v>
      </c>
      <c r="Z491" s="391">
        <v>0.2</v>
      </c>
      <c r="AA491" s="391" t="s">
        <v>541</v>
      </c>
      <c r="AB491" s="391" t="s">
        <v>542</v>
      </c>
      <c r="AC491" s="408">
        <v>0.85</v>
      </c>
      <c r="AD491" s="186"/>
      <c r="AE491" s="253"/>
    </row>
    <row r="492">
      <c r="A492" s="391" t="s">
        <v>818</v>
      </c>
      <c r="B492" s="391" t="s">
        <v>561</v>
      </c>
      <c r="C492" s="391" t="s">
        <v>776</v>
      </c>
      <c r="D492" s="391" t="s">
        <v>538</v>
      </c>
      <c r="E492" s="391">
        <v>1.2</v>
      </c>
      <c r="F492" s="393">
        <v>45495.69305555556</v>
      </c>
      <c r="G492" s="391">
        <v>1.0</v>
      </c>
      <c r="H492" s="391">
        <v>51.3708</v>
      </c>
      <c r="I492" s="391">
        <v>7.40119</v>
      </c>
      <c r="J492" s="391">
        <v>-24.980919</v>
      </c>
      <c r="K492" s="391">
        <v>-23.514938</v>
      </c>
      <c r="L492" s="391">
        <v>1088.19</v>
      </c>
      <c r="M492" s="391">
        <v>75.50096</v>
      </c>
      <c r="N492" s="391">
        <v>13946.5593</v>
      </c>
      <c r="O492" s="391">
        <v>13944.3721</v>
      </c>
      <c r="P492" s="394">
        <v>2070.3457</v>
      </c>
      <c r="Q492" s="376" t="s">
        <v>12</v>
      </c>
      <c r="R492" s="394" t="s">
        <v>539</v>
      </c>
      <c r="S492" s="394">
        <v>10.0</v>
      </c>
      <c r="T492" s="394">
        <v>5.0</v>
      </c>
      <c r="U492" s="394">
        <v>0.7</v>
      </c>
      <c r="V492" s="394">
        <v>0.7</v>
      </c>
      <c r="W492" s="394">
        <v>0.7</v>
      </c>
      <c r="X492" s="391">
        <v>2000.0</v>
      </c>
      <c r="Y492" s="391" t="s">
        <v>540</v>
      </c>
      <c r="Z492" s="391">
        <v>0.2</v>
      </c>
      <c r="AA492" s="391" t="s">
        <v>541</v>
      </c>
      <c r="AB492" s="391" t="s">
        <v>542</v>
      </c>
      <c r="AC492" s="408">
        <v>0.85</v>
      </c>
      <c r="AD492" s="186"/>
      <c r="AE492" s="253"/>
    </row>
    <row r="493">
      <c r="A493" s="391" t="s">
        <v>819</v>
      </c>
      <c r="B493" s="391" t="s">
        <v>561</v>
      </c>
      <c r="C493" s="391" t="s">
        <v>776</v>
      </c>
      <c r="D493" s="391" t="s">
        <v>538</v>
      </c>
      <c r="E493" s="391">
        <v>1.2</v>
      </c>
      <c r="F493" s="393">
        <v>45495.69583333333</v>
      </c>
      <c r="G493" s="391">
        <v>1.0</v>
      </c>
      <c r="H493" s="391">
        <v>51.3741</v>
      </c>
      <c r="I493" s="391">
        <v>7.18526</v>
      </c>
      <c r="J493" s="391">
        <v>-24.977137</v>
      </c>
      <c r="K493" s="391">
        <v>-23.216369</v>
      </c>
      <c r="L493" s="391">
        <v>1100.79</v>
      </c>
      <c r="M493" s="391">
        <v>71.999349</v>
      </c>
      <c r="N493" s="391">
        <v>13942.185</v>
      </c>
      <c r="O493" s="391">
        <v>13944.3721</v>
      </c>
      <c r="P493" s="394">
        <v>2070.3457</v>
      </c>
      <c r="Q493" s="376" t="s">
        <v>12</v>
      </c>
      <c r="R493" s="394" t="s">
        <v>539</v>
      </c>
      <c r="S493" s="394">
        <v>10.0</v>
      </c>
      <c r="T493" s="394">
        <v>5.0</v>
      </c>
      <c r="U493" s="394">
        <v>0.7</v>
      </c>
      <c r="V493" s="394">
        <v>0.7</v>
      </c>
      <c r="W493" s="394">
        <v>0.7</v>
      </c>
      <c r="X493" s="391">
        <v>2000.0</v>
      </c>
      <c r="Y493" s="391" t="s">
        <v>540</v>
      </c>
      <c r="Z493" s="391">
        <v>0.2</v>
      </c>
      <c r="AA493" s="391" t="s">
        <v>541</v>
      </c>
      <c r="AB493" s="391" t="s">
        <v>542</v>
      </c>
      <c r="AC493" s="408">
        <v>0.85</v>
      </c>
      <c r="AD493" s="186"/>
      <c r="AE493" s="253"/>
    </row>
    <row r="494">
      <c r="A494" s="391" t="s">
        <v>627</v>
      </c>
      <c r="B494" s="391">
        <v>2.0</v>
      </c>
      <c r="C494" s="391">
        <v>508.0</v>
      </c>
      <c r="D494" s="391" t="s">
        <v>564</v>
      </c>
      <c r="E494" s="391">
        <v>1.0</v>
      </c>
      <c r="F494" s="393">
        <v>45495.69930555556</v>
      </c>
      <c r="G494" s="391">
        <v>1.0</v>
      </c>
      <c r="H494" s="391">
        <v>51.3741</v>
      </c>
      <c r="I494" s="391">
        <v>7.05462</v>
      </c>
      <c r="J494" s="391">
        <v>-25.0257</v>
      </c>
      <c r="K494" s="391">
        <v>-23.3748</v>
      </c>
      <c r="L494" s="391">
        <v>1078.97</v>
      </c>
      <c r="M494" s="391">
        <v>70.001043</v>
      </c>
      <c r="N494" s="391">
        <v>11662.2269</v>
      </c>
      <c r="O494" s="391">
        <v>11658.7472</v>
      </c>
      <c r="P494" s="394">
        <v>2084.95824</v>
      </c>
      <c r="Q494" s="376" t="s">
        <v>12</v>
      </c>
      <c r="R494" s="394" t="s">
        <v>539</v>
      </c>
      <c r="S494" s="394">
        <v>10.0</v>
      </c>
      <c r="T494" s="394">
        <v>5.0</v>
      </c>
      <c r="U494" s="394">
        <v>0.7</v>
      </c>
      <c r="V494" s="394">
        <v>0.7</v>
      </c>
      <c r="W494" s="394">
        <v>0.7</v>
      </c>
      <c r="X494" s="391">
        <v>2000.0</v>
      </c>
      <c r="Y494" s="391" t="s">
        <v>540</v>
      </c>
      <c r="Z494" s="391">
        <v>0.2</v>
      </c>
      <c r="AA494" s="391" t="s">
        <v>541</v>
      </c>
      <c r="AB494" s="391" t="s">
        <v>542</v>
      </c>
      <c r="AC494" s="408">
        <v>0.85</v>
      </c>
      <c r="AD494" s="186"/>
      <c r="AE494" s="253"/>
    </row>
    <row r="495">
      <c r="A495" s="391" t="s">
        <v>628</v>
      </c>
      <c r="B495" s="391">
        <v>2.0</v>
      </c>
      <c r="C495" s="391">
        <v>508.0</v>
      </c>
      <c r="D495" s="391" t="s">
        <v>564</v>
      </c>
      <c r="E495" s="391">
        <v>1.0</v>
      </c>
      <c r="F495" s="393">
        <v>45495.70208333333</v>
      </c>
      <c r="G495" s="391">
        <v>1.0</v>
      </c>
      <c r="H495" s="391">
        <v>51.3741</v>
      </c>
      <c r="I495" s="391">
        <v>7.05368</v>
      </c>
      <c r="J495" s="391">
        <v>-24.9578</v>
      </c>
      <c r="K495" s="391">
        <v>-23.442619</v>
      </c>
      <c r="L495" s="391">
        <v>1044.99</v>
      </c>
      <c r="M495" s="391">
        <v>70.999694</v>
      </c>
      <c r="N495" s="391">
        <v>11655.2674</v>
      </c>
      <c r="O495" s="391">
        <v>11658.7472</v>
      </c>
      <c r="P495" s="394">
        <v>2084.95824</v>
      </c>
      <c r="Q495" s="376" t="s">
        <v>12</v>
      </c>
      <c r="R495" s="394" t="s">
        <v>539</v>
      </c>
      <c r="S495" s="394">
        <v>10.0</v>
      </c>
      <c r="T495" s="394">
        <v>5.0</v>
      </c>
      <c r="U495" s="394">
        <v>0.7</v>
      </c>
      <c r="V495" s="394">
        <v>0.7</v>
      </c>
      <c r="W495" s="394">
        <v>0.7</v>
      </c>
      <c r="X495" s="391">
        <v>2000.0</v>
      </c>
      <c r="Y495" s="391" t="s">
        <v>540</v>
      </c>
      <c r="Z495" s="391">
        <v>0.2</v>
      </c>
      <c r="AA495" s="391" t="s">
        <v>541</v>
      </c>
      <c r="AB495" s="391" t="s">
        <v>542</v>
      </c>
      <c r="AC495" s="408">
        <v>0.85</v>
      </c>
      <c r="AD495" s="186"/>
      <c r="AE495" s="253"/>
    </row>
    <row r="496">
      <c r="A496" s="391" t="s">
        <v>629</v>
      </c>
      <c r="B496" s="391">
        <v>3.0</v>
      </c>
      <c r="C496" s="391">
        <v>509.0</v>
      </c>
      <c r="D496" s="391" t="s">
        <v>568</v>
      </c>
      <c r="E496" s="391">
        <v>1.0</v>
      </c>
      <c r="F496" s="393">
        <v>45495.705555555556</v>
      </c>
      <c r="G496" s="391">
        <v>1.0</v>
      </c>
      <c r="H496" s="391">
        <v>51.3741</v>
      </c>
      <c r="I496" s="391">
        <v>7.02139</v>
      </c>
      <c r="J496" s="391">
        <v>-24.938131</v>
      </c>
      <c r="K496" s="391">
        <v>-23.135356</v>
      </c>
      <c r="L496" s="391">
        <v>1073.96</v>
      </c>
      <c r="M496" s="391">
        <v>67.500243</v>
      </c>
      <c r="N496" s="391">
        <v>11727.3921</v>
      </c>
      <c r="O496" s="391">
        <v>11639.7664</v>
      </c>
      <c r="P496" s="394">
        <v>2081.6283</v>
      </c>
      <c r="Q496" s="376" t="s">
        <v>12</v>
      </c>
      <c r="R496" s="394" t="s">
        <v>553</v>
      </c>
      <c r="S496" s="394">
        <v>10.0</v>
      </c>
      <c r="T496" s="394">
        <v>5.0</v>
      </c>
      <c r="U496" s="394">
        <v>0.7</v>
      </c>
      <c r="V496" s="394">
        <v>0.7</v>
      </c>
      <c r="W496" s="394">
        <v>0.7</v>
      </c>
      <c r="X496" s="391">
        <v>2000.0</v>
      </c>
      <c r="Y496" s="391" t="s">
        <v>540</v>
      </c>
      <c r="Z496" s="391">
        <v>0.2</v>
      </c>
      <c r="AA496" s="391" t="s">
        <v>541</v>
      </c>
      <c r="AB496" s="391" t="s">
        <v>542</v>
      </c>
      <c r="AC496" s="408">
        <v>0.85</v>
      </c>
      <c r="AD496" s="186"/>
      <c r="AE496" s="253"/>
    </row>
    <row r="497">
      <c r="A497" s="391" t="s">
        <v>630</v>
      </c>
      <c r="B497" s="391">
        <v>3.0</v>
      </c>
      <c r="C497" s="391">
        <v>509.0</v>
      </c>
      <c r="D497" s="391" t="s">
        <v>568</v>
      </c>
      <c r="E497" s="391">
        <v>1.0</v>
      </c>
      <c r="F497" s="393">
        <v>45495.708333333336</v>
      </c>
      <c r="G497" s="391">
        <v>1.0</v>
      </c>
      <c r="H497" s="391">
        <v>51.3741</v>
      </c>
      <c r="I497" s="391">
        <v>7.11335</v>
      </c>
      <c r="J497" s="391">
        <v>-25.034962</v>
      </c>
      <c r="K497" s="391">
        <v>-23.599544</v>
      </c>
      <c r="L497" s="391">
        <v>1054.97</v>
      </c>
      <c r="M497" s="391">
        <v>73.000149</v>
      </c>
      <c r="N497" s="391">
        <v>11640.0131</v>
      </c>
      <c r="O497" s="391">
        <v>11639.7664</v>
      </c>
      <c r="P497" s="394">
        <v>2081.6283</v>
      </c>
      <c r="Q497" s="376" t="s">
        <v>12</v>
      </c>
      <c r="R497" s="394" t="s">
        <v>539</v>
      </c>
      <c r="S497" s="394">
        <v>10.0</v>
      </c>
      <c r="T497" s="394">
        <v>5.0</v>
      </c>
      <c r="U497" s="394">
        <v>0.7</v>
      </c>
      <c r="V497" s="394">
        <v>0.7</v>
      </c>
      <c r="W497" s="394">
        <v>0.7</v>
      </c>
      <c r="X497" s="391">
        <v>2000.0</v>
      </c>
      <c r="Y497" s="391" t="s">
        <v>540</v>
      </c>
      <c r="Z497" s="391">
        <v>0.2</v>
      </c>
      <c r="AA497" s="391" t="s">
        <v>541</v>
      </c>
      <c r="AB497" s="391" t="s">
        <v>542</v>
      </c>
      <c r="AC497" s="408">
        <v>0.85</v>
      </c>
      <c r="AD497" s="186"/>
      <c r="AE497" s="253"/>
    </row>
    <row r="498">
      <c r="A498" s="391" t="s">
        <v>631</v>
      </c>
      <c r="B498" s="391">
        <v>3.0</v>
      </c>
      <c r="C498" s="391">
        <v>509.0</v>
      </c>
      <c r="D498" s="391" t="s">
        <v>568</v>
      </c>
      <c r="E498" s="391">
        <v>1.0</v>
      </c>
      <c r="F498" s="393">
        <v>45495.71111111111</v>
      </c>
      <c r="G498" s="391">
        <v>1.0</v>
      </c>
      <c r="H498" s="391">
        <v>51.3807</v>
      </c>
      <c r="I498" s="391">
        <v>7.01401</v>
      </c>
      <c r="J498" s="391">
        <v>-24.952744</v>
      </c>
      <c r="K498" s="391">
        <v>-23.32265</v>
      </c>
      <c r="L498" s="391">
        <v>1050.74</v>
      </c>
      <c r="M498" s="391">
        <v>71.501905</v>
      </c>
      <c r="N498" s="391">
        <v>11639.5198</v>
      </c>
      <c r="O498" s="391">
        <v>11639.7664</v>
      </c>
      <c r="P498" s="394">
        <v>2081.6283</v>
      </c>
      <c r="Q498" s="376" t="s">
        <v>12</v>
      </c>
      <c r="R498" s="394" t="s">
        <v>539</v>
      </c>
      <c r="S498" s="394">
        <v>10.0</v>
      </c>
      <c r="T498" s="394">
        <v>5.0</v>
      </c>
      <c r="U498" s="394">
        <v>0.7</v>
      </c>
      <c r="V498" s="394">
        <v>0.7</v>
      </c>
      <c r="W498" s="394">
        <v>0.7</v>
      </c>
      <c r="X498" s="391">
        <v>2000.0</v>
      </c>
      <c r="Y498" s="391" t="s">
        <v>540</v>
      </c>
      <c r="Z498" s="391">
        <v>0.2</v>
      </c>
      <c r="AA498" s="391" t="s">
        <v>541</v>
      </c>
      <c r="AB498" s="391" t="s">
        <v>542</v>
      </c>
      <c r="AC498" s="408">
        <v>0.85</v>
      </c>
      <c r="AD498" s="186"/>
      <c r="AE498" s="253"/>
    </row>
    <row r="499">
      <c r="A499" s="391" t="s">
        <v>632</v>
      </c>
      <c r="B499" s="391">
        <v>4.0</v>
      </c>
      <c r="C499" s="391">
        <v>469.0</v>
      </c>
      <c r="D499" s="391" t="s">
        <v>571</v>
      </c>
      <c r="E499" s="391">
        <v>1.0</v>
      </c>
      <c r="F499" s="393">
        <v>45495.714583333334</v>
      </c>
      <c r="G499" s="391">
        <v>1.0</v>
      </c>
      <c r="H499" s="391">
        <v>51.3708</v>
      </c>
      <c r="I499" s="391">
        <v>6.93872</v>
      </c>
      <c r="J499" s="391">
        <v>-24.9756</v>
      </c>
      <c r="K499" s="391">
        <v>-23.591462</v>
      </c>
      <c r="L499" s="391">
        <v>1067.28</v>
      </c>
      <c r="M499" s="391">
        <v>74.000147</v>
      </c>
      <c r="N499" s="391">
        <v>11600.3215</v>
      </c>
      <c r="O499" s="391">
        <v>11598.0306</v>
      </c>
      <c r="P499" s="394">
        <v>2074.30627</v>
      </c>
      <c r="Q499" s="376" t="s">
        <v>12</v>
      </c>
      <c r="R499" s="394" t="s">
        <v>539</v>
      </c>
      <c r="S499" s="394">
        <v>10.0</v>
      </c>
      <c r="T499" s="394">
        <v>5.0</v>
      </c>
      <c r="U499" s="394">
        <v>0.7</v>
      </c>
      <c r="V499" s="394">
        <v>0.7</v>
      </c>
      <c r="W499" s="394">
        <v>0.7</v>
      </c>
      <c r="X499" s="391">
        <v>2000.0</v>
      </c>
      <c r="Y499" s="391" t="s">
        <v>540</v>
      </c>
      <c r="Z499" s="391">
        <v>0.2</v>
      </c>
      <c r="AA499" s="391" t="s">
        <v>541</v>
      </c>
      <c r="AB499" s="391" t="s">
        <v>542</v>
      </c>
      <c r="AC499" s="408">
        <v>0.85</v>
      </c>
      <c r="AD499" s="186"/>
      <c r="AE499" s="253"/>
    </row>
    <row r="500">
      <c r="A500" s="391" t="s">
        <v>633</v>
      </c>
      <c r="B500" s="391">
        <v>4.0</v>
      </c>
      <c r="C500" s="391">
        <v>469.0</v>
      </c>
      <c r="D500" s="391" t="s">
        <v>571</v>
      </c>
      <c r="E500" s="391">
        <v>1.0</v>
      </c>
      <c r="F500" s="393">
        <v>45495.717361111114</v>
      </c>
      <c r="G500" s="391">
        <v>1.0</v>
      </c>
      <c r="H500" s="391">
        <v>51.3774</v>
      </c>
      <c r="I500" s="391">
        <v>6.9264</v>
      </c>
      <c r="J500" s="391">
        <v>-24.936187</v>
      </c>
      <c r="K500" s="391">
        <v>-23.568294</v>
      </c>
      <c r="L500" s="391">
        <v>1044.04</v>
      </c>
      <c r="M500" s="391">
        <v>74.999356</v>
      </c>
      <c r="N500" s="391">
        <v>11595.7398</v>
      </c>
      <c r="O500" s="391">
        <v>11598.0306</v>
      </c>
      <c r="P500" s="394">
        <v>2074.30627</v>
      </c>
      <c r="Q500" s="376" t="s">
        <v>12</v>
      </c>
      <c r="R500" s="394" t="s">
        <v>539</v>
      </c>
      <c r="S500" s="394">
        <v>10.0</v>
      </c>
      <c r="T500" s="394">
        <v>5.0</v>
      </c>
      <c r="U500" s="394">
        <v>0.7</v>
      </c>
      <c r="V500" s="394">
        <v>0.7</v>
      </c>
      <c r="W500" s="394">
        <v>0.7</v>
      </c>
      <c r="X500" s="391">
        <v>2000.0</v>
      </c>
      <c r="Y500" s="391" t="s">
        <v>540</v>
      </c>
      <c r="Z500" s="391">
        <v>0.2</v>
      </c>
      <c r="AA500" s="391" t="s">
        <v>541</v>
      </c>
      <c r="AB500" s="391" t="s">
        <v>542</v>
      </c>
      <c r="AC500" s="408">
        <v>0.85</v>
      </c>
      <c r="AD500" s="186"/>
      <c r="AE500" s="253"/>
    </row>
    <row r="501">
      <c r="A501" s="391" t="s">
        <v>704</v>
      </c>
      <c r="B501" s="391">
        <v>5.0</v>
      </c>
      <c r="C501" s="391">
        <v>470.0</v>
      </c>
      <c r="D501" s="391" t="s">
        <v>575</v>
      </c>
      <c r="E501" s="391">
        <v>1.0</v>
      </c>
      <c r="F501" s="393">
        <v>45495.72083333333</v>
      </c>
      <c r="G501" s="391">
        <v>1.0</v>
      </c>
      <c r="H501" s="391">
        <v>51.3708</v>
      </c>
      <c r="I501" s="391">
        <v>6.898</v>
      </c>
      <c r="J501" s="391">
        <v>-24.867263</v>
      </c>
      <c r="K501" s="391">
        <v>-23.017837</v>
      </c>
      <c r="L501" s="391">
        <v>1062.07</v>
      </c>
      <c r="M501" s="391">
        <v>66.499807</v>
      </c>
      <c r="N501" s="391">
        <v>11591.5237</v>
      </c>
      <c r="O501" s="391">
        <v>11591.2033</v>
      </c>
      <c r="P501" s="394">
        <v>2073.10849</v>
      </c>
      <c r="Q501" s="376" t="s">
        <v>12</v>
      </c>
      <c r="R501" s="394" t="s">
        <v>539</v>
      </c>
      <c r="S501" s="394">
        <v>10.0</v>
      </c>
      <c r="T501" s="394">
        <v>5.0</v>
      </c>
      <c r="U501" s="394">
        <v>0.7</v>
      </c>
      <c r="V501" s="394">
        <v>0.7</v>
      </c>
      <c r="W501" s="394">
        <v>0.7</v>
      </c>
      <c r="X501" s="391">
        <v>2000.0</v>
      </c>
      <c r="Y501" s="391" t="s">
        <v>540</v>
      </c>
      <c r="Z501" s="391">
        <v>0.2</v>
      </c>
      <c r="AA501" s="391" t="s">
        <v>541</v>
      </c>
      <c r="AB501" s="391" t="s">
        <v>542</v>
      </c>
      <c r="AC501" s="408">
        <v>0.85</v>
      </c>
      <c r="AD501" s="186"/>
      <c r="AE501" s="253"/>
    </row>
    <row r="502">
      <c r="A502" s="391" t="s">
        <v>705</v>
      </c>
      <c r="B502" s="391">
        <v>5.0</v>
      </c>
      <c r="C502" s="391">
        <v>470.0</v>
      </c>
      <c r="D502" s="391" t="s">
        <v>575</v>
      </c>
      <c r="E502" s="391">
        <v>1.0</v>
      </c>
      <c r="F502" s="393">
        <v>45495.72361111111</v>
      </c>
      <c r="G502" s="391">
        <v>1.0</v>
      </c>
      <c r="H502" s="391">
        <v>51.3807</v>
      </c>
      <c r="I502" s="391">
        <v>7.00855</v>
      </c>
      <c r="J502" s="391">
        <v>-24.729312</v>
      </c>
      <c r="K502" s="391">
        <v>-23.001694</v>
      </c>
      <c r="L502" s="391">
        <v>1064.33</v>
      </c>
      <c r="M502" s="391">
        <v>66.498808</v>
      </c>
      <c r="N502" s="391">
        <v>11590.8828</v>
      </c>
      <c r="O502" s="391">
        <v>11591.2033</v>
      </c>
      <c r="P502" s="394">
        <v>2073.10849</v>
      </c>
      <c r="Q502" s="376" t="s">
        <v>12</v>
      </c>
      <c r="R502" s="394" t="s">
        <v>539</v>
      </c>
      <c r="S502" s="394">
        <v>10.0</v>
      </c>
      <c r="T502" s="394">
        <v>5.0</v>
      </c>
      <c r="U502" s="394">
        <v>0.7</v>
      </c>
      <c r="V502" s="394">
        <v>0.7</v>
      </c>
      <c r="W502" s="394">
        <v>0.7</v>
      </c>
      <c r="X502" s="391">
        <v>2000.0</v>
      </c>
      <c r="Y502" s="391" t="s">
        <v>540</v>
      </c>
      <c r="Z502" s="391">
        <v>0.2</v>
      </c>
      <c r="AA502" s="391" t="s">
        <v>541</v>
      </c>
      <c r="AB502" s="391" t="s">
        <v>542</v>
      </c>
      <c r="AC502" s="408">
        <v>0.85</v>
      </c>
      <c r="AD502" s="186"/>
      <c r="AE502" s="253"/>
    </row>
    <row r="503">
      <c r="A503" s="391" t="s">
        <v>640</v>
      </c>
      <c r="B503" s="391">
        <v>6.0</v>
      </c>
      <c r="C503" s="391">
        <v>573.0</v>
      </c>
      <c r="D503" s="391" t="s">
        <v>579</v>
      </c>
      <c r="E503" s="391">
        <v>1.0</v>
      </c>
      <c r="F503" s="393">
        <v>45495.72708333333</v>
      </c>
      <c r="G503" s="391">
        <v>1.0</v>
      </c>
      <c r="H503" s="391">
        <v>51.3807</v>
      </c>
      <c r="I503" s="391">
        <v>7.00101</v>
      </c>
      <c r="J503" s="391">
        <v>-25.012313</v>
      </c>
      <c r="K503" s="391">
        <v>-23.304975</v>
      </c>
      <c r="L503" s="391">
        <v>1086.62</v>
      </c>
      <c r="M503" s="391">
        <v>70.500476</v>
      </c>
      <c r="N503" s="391">
        <v>11825.4707</v>
      </c>
      <c r="O503" s="391">
        <v>11837.1679</v>
      </c>
      <c r="P503" s="394">
        <v>2116.25998</v>
      </c>
      <c r="Q503" s="376" t="s">
        <v>12</v>
      </c>
      <c r="R503" s="394" t="s">
        <v>539</v>
      </c>
      <c r="S503" s="394">
        <v>10.0</v>
      </c>
      <c r="T503" s="394">
        <v>5.0</v>
      </c>
      <c r="U503" s="394">
        <v>0.7</v>
      </c>
      <c r="V503" s="394">
        <v>0.7</v>
      </c>
      <c r="W503" s="394">
        <v>0.7</v>
      </c>
      <c r="X503" s="391">
        <v>2000.0</v>
      </c>
      <c r="Y503" s="391" t="s">
        <v>540</v>
      </c>
      <c r="Z503" s="391">
        <v>0.2</v>
      </c>
      <c r="AA503" s="391" t="s">
        <v>541</v>
      </c>
      <c r="AB503" s="391" t="s">
        <v>542</v>
      </c>
      <c r="AC503" s="408">
        <v>0.85</v>
      </c>
      <c r="AD503" s="186"/>
      <c r="AE503" s="253"/>
    </row>
    <row r="504">
      <c r="A504" s="391" t="s">
        <v>641</v>
      </c>
      <c r="B504" s="391">
        <v>6.0</v>
      </c>
      <c r="C504" s="391">
        <v>573.0</v>
      </c>
      <c r="D504" s="391" t="s">
        <v>579</v>
      </c>
      <c r="E504" s="391">
        <v>1.0</v>
      </c>
      <c r="F504" s="393">
        <v>45495.72986111111</v>
      </c>
      <c r="G504" s="391">
        <v>1.0</v>
      </c>
      <c r="H504" s="391">
        <v>51.3741</v>
      </c>
      <c r="I504" s="391">
        <v>7.2872</v>
      </c>
      <c r="J504" s="391">
        <v>-24.91925</v>
      </c>
      <c r="K504" s="391">
        <v>-23.285975</v>
      </c>
      <c r="L504" s="391">
        <v>1111.71</v>
      </c>
      <c r="M504" s="391">
        <v>69.498475</v>
      </c>
      <c r="N504" s="391">
        <v>11848.8651</v>
      </c>
      <c r="O504" s="391">
        <v>11837.1679</v>
      </c>
      <c r="P504" s="394">
        <v>2116.25998</v>
      </c>
      <c r="Q504" s="376" t="s">
        <v>12</v>
      </c>
      <c r="R504" s="394" t="s">
        <v>539</v>
      </c>
      <c r="S504" s="394">
        <v>10.0</v>
      </c>
      <c r="T504" s="394">
        <v>5.0</v>
      </c>
      <c r="U504" s="394">
        <v>0.7</v>
      </c>
      <c r="V504" s="394">
        <v>0.7</v>
      </c>
      <c r="W504" s="394">
        <v>0.7</v>
      </c>
      <c r="X504" s="391">
        <v>2000.0</v>
      </c>
      <c r="Y504" s="391" t="s">
        <v>540</v>
      </c>
      <c r="Z504" s="391">
        <v>0.2</v>
      </c>
      <c r="AA504" s="391" t="s">
        <v>541</v>
      </c>
      <c r="AB504" s="391" t="s">
        <v>542</v>
      </c>
      <c r="AC504" s="408">
        <v>0.85</v>
      </c>
      <c r="AD504" s="186"/>
      <c r="AE504" s="253"/>
    </row>
    <row r="505">
      <c r="A505" s="391" t="s">
        <v>643</v>
      </c>
      <c r="B505" s="391">
        <v>7.0</v>
      </c>
      <c r="C505" s="391">
        <v>574.0</v>
      </c>
      <c r="D505" s="391" t="s">
        <v>582</v>
      </c>
      <c r="E505" s="391">
        <v>1.0</v>
      </c>
      <c r="F505" s="393">
        <v>45495.73333333333</v>
      </c>
      <c r="G505" s="391">
        <v>1.0</v>
      </c>
      <c r="H505" s="391">
        <v>51.3774</v>
      </c>
      <c r="I505" s="391">
        <v>7.26645</v>
      </c>
      <c r="J505" s="391">
        <v>-24.9412</v>
      </c>
      <c r="K505" s="391">
        <v>-22.774025</v>
      </c>
      <c r="L505" s="391">
        <v>1081.42</v>
      </c>
      <c r="M505" s="391">
        <v>64.999969</v>
      </c>
      <c r="N505" s="391">
        <v>11758.6593</v>
      </c>
      <c r="O505" s="391">
        <v>11757.8758</v>
      </c>
      <c r="P505" s="394">
        <v>2102.34915</v>
      </c>
      <c r="Q505" s="376" t="s">
        <v>12</v>
      </c>
      <c r="R505" s="394" t="s">
        <v>539</v>
      </c>
      <c r="S505" s="394">
        <v>10.0</v>
      </c>
      <c r="T505" s="394">
        <v>5.0</v>
      </c>
      <c r="U505" s="394">
        <v>0.7</v>
      </c>
      <c r="V505" s="394">
        <v>0.7</v>
      </c>
      <c r="W505" s="394">
        <v>0.7</v>
      </c>
      <c r="X505" s="391">
        <v>2000.0</v>
      </c>
      <c r="Y505" s="391" t="s">
        <v>540</v>
      </c>
      <c r="Z505" s="391">
        <v>0.2</v>
      </c>
      <c r="AA505" s="391" t="s">
        <v>541</v>
      </c>
      <c r="AB505" s="391" t="s">
        <v>542</v>
      </c>
      <c r="AC505" s="408">
        <v>0.85</v>
      </c>
      <c r="AD505" s="186"/>
      <c r="AE505" s="253"/>
    </row>
    <row r="506">
      <c r="A506" s="391" t="s">
        <v>644</v>
      </c>
      <c r="B506" s="391">
        <v>7.0</v>
      </c>
      <c r="C506" s="391">
        <v>574.0</v>
      </c>
      <c r="D506" s="391" t="s">
        <v>582</v>
      </c>
      <c r="E506" s="391">
        <v>1.0</v>
      </c>
      <c r="F506" s="393">
        <v>45495.73611111111</v>
      </c>
      <c r="G506" s="391">
        <v>1.0</v>
      </c>
      <c r="H506" s="391">
        <v>51.3741</v>
      </c>
      <c r="I506" s="391">
        <v>7.28801</v>
      </c>
      <c r="J506" s="391">
        <v>-24.91615</v>
      </c>
      <c r="K506" s="391">
        <v>-23.409619</v>
      </c>
      <c r="L506" s="391">
        <v>1070.96</v>
      </c>
      <c r="M506" s="391">
        <v>70.500075</v>
      </c>
      <c r="N506" s="391">
        <v>11757.0924</v>
      </c>
      <c r="O506" s="391">
        <v>11757.8758</v>
      </c>
      <c r="P506" s="394">
        <v>2102.34915</v>
      </c>
      <c r="Q506" s="376" t="s">
        <v>12</v>
      </c>
      <c r="R506" s="394" t="s">
        <v>539</v>
      </c>
      <c r="S506" s="394">
        <v>10.0</v>
      </c>
      <c r="T506" s="394">
        <v>5.0</v>
      </c>
      <c r="U506" s="394">
        <v>0.7</v>
      </c>
      <c r="V506" s="394">
        <v>0.7</v>
      </c>
      <c r="W506" s="394">
        <v>0.7</v>
      </c>
      <c r="X506" s="391">
        <v>2000.0</v>
      </c>
      <c r="Y506" s="391" t="s">
        <v>540</v>
      </c>
      <c r="Z506" s="391">
        <v>0.2</v>
      </c>
      <c r="AA506" s="391" t="s">
        <v>541</v>
      </c>
      <c r="AB506" s="391" t="s">
        <v>542</v>
      </c>
      <c r="AC506" s="408">
        <v>0.85</v>
      </c>
      <c r="AD506" s="186"/>
      <c r="AE506" s="253"/>
    </row>
    <row r="507">
      <c r="A507" s="391" t="s">
        <v>648</v>
      </c>
      <c r="B507" s="391">
        <v>8.0</v>
      </c>
      <c r="C507" s="391">
        <v>612.0</v>
      </c>
      <c r="D507" s="391" t="s">
        <v>585</v>
      </c>
      <c r="E507" s="391">
        <v>1.0</v>
      </c>
      <c r="F507" s="393">
        <v>45495.73888888889</v>
      </c>
      <c r="G507" s="391">
        <v>1.0</v>
      </c>
      <c r="H507" s="391">
        <v>51.3741</v>
      </c>
      <c r="I507" s="391">
        <v>7.35065</v>
      </c>
      <c r="J507" s="391">
        <v>-24.934244</v>
      </c>
      <c r="K507" s="391">
        <v>-23.451406</v>
      </c>
      <c r="L507" s="391">
        <v>1084.58</v>
      </c>
      <c r="M507" s="391">
        <v>74.50067</v>
      </c>
      <c r="N507" s="391">
        <v>11773.7813</v>
      </c>
      <c r="O507" s="391">
        <v>11748.9806</v>
      </c>
      <c r="P507" s="394">
        <v>2100.78859</v>
      </c>
      <c r="Q507" s="376" t="s">
        <v>12</v>
      </c>
      <c r="R507" s="394" t="s">
        <v>553</v>
      </c>
      <c r="S507" s="394">
        <v>10.0</v>
      </c>
      <c r="T507" s="394">
        <v>5.0</v>
      </c>
      <c r="U507" s="394">
        <v>0.7</v>
      </c>
      <c r="V507" s="394">
        <v>0.7</v>
      </c>
      <c r="W507" s="394">
        <v>0.7</v>
      </c>
      <c r="X507" s="391">
        <v>2000.0</v>
      </c>
      <c r="Y507" s="391" t="s">
        <v>540</v>
      </c>
      <c r="Z507" s="391">
        <v>0.2</v>
      </c>
      <c r="AA507" s="391" t="s">
        <v>541</v>
      </c>
      <c r="AB507" s="391" t="s">
        <v>542</v>
      </c>
      <c r="AC507" s="408">
        <v>0.85</v>
      </c>
      <c r="AD507" s="186"/>
      <c r="AE507" s="253"/>
    </row>
    <row r="508">
      <c r="A508" s="391" t="s">
        <v>650</v>
      </c>
      <c r="B508" s="391">
        <v>8.0</v>
      </c>
      <c r="C508" s="391">
        <v>612.0</v>
      </c>
      <c r="D508" s="391" t="s">
        <v>585</v>
      </c>
      <c r="E508" s="391">
        <v>1.0</v>
      </c>
      <c r="F508" s="393">
        <v>45495.74166666667</v>
      </c>
      <c r="G508" s="391">
        <v>1.0</v>
      </c>
      <c r="H508" s="391">
        <v>51.3774</v>
      </c>
      <c r="I508" s="391">
        <v>7.40002</v>
      </c>
      <c r="J508" s="391">
        <v>-24.859288</v>
      </c>
      <c r="K508" s="391">
        <v>-23.05665</v>
      </c>
      <c r="L508" s="391">
        <v>1088.26</v>
      </c>
      <c r="M508" s="391">
        <v>66.500468</v>
      </c>
      <c r="N508" s="391">
        <v>11749.1033</v>
      </c>
      <c r="O508" s="391">
        <v>11748.9806</v>
      </c>
      <c r="P508" s="394">
        <v>2100.78859</v>
      </c>
      <c r="Q508" s="376" t="s">
        <v>12</v>
      </c>
      <c r="R508" s="394" t="s">
        <v>539</v>
      </c>
      <c r="S508" s="394">
        <v>10.0</v>
      </c>
      <c r="T508" s="394">
        <v>5.0</v>
      </c>
      <c r="U508" s="394">
        <v>0.7</v>
      </c>
      <c r="V508" s="394">
        <v>0.7</v>
      </c>
      <c r="W508" s="394">
        <v>0.7</v>
      </c>
      <c r="X508" s="391">
        <v>2000.0</v>
      </c>
      <c r="Y508" s="391" t="s">
        <v>540</v>
      </c>
      <c r="Z508" s="391">
        <v>0.2</v>
      </c>
      <c r="AA508" s="391" t="s">
        <v>541</v>
      </c>
      <c r="AB508" s="391" t="s">
        <v>542</v>
      </c>
      <c r="AC508" s="408">
        <v>0.85</v>
      </c>
      <c r="AD508" s="186"/>
      <c r="AE508" s="253"/>
    </row>
    <row r="509">
      <c r="A509" s="391" t="s">
        <v>820</v>
      </c>
      <c r="B509" s="391">
        <v>8.0</v>
      </c>
      <c r="C509" s="391">
        <v>612.0</v>
      </c>
      <c r="D509" s="391" t="s">
        <v>585</v>
      </c>
      <c r="E509" s="391">
        <v>1.0</v>
      </c>
      <c r="F509" s="393">
        <v>45495.74444444444</v>
      </c>
      <c r="G509" s="391">
        <v>1.0</v>
      </c>
      <c r="H509" s="391">
        <v>51.3741</v>
      </c>
      <c r="I509" s="391">
        <v>7.31012</v>
      </c>
      <c r="J509" s="391">
        <v>-24.880719</v>
      </c>
      <c r="K509" s="391">
        <v>-23.193094</v>
      </c>
      <c r="L509" s="391">
        <v>1067.74</v>
      </c>
      <c r="M509" s="391">
        <v>68.000009</v>
      </c>
      <c r="N509" s="391">
        <v>11748.8579</v>
      </c>
      <c r="O509" s="391">
        <v>11748.9806</v>
      </c>
      <c r="P509" s="394">
        <v>2100.78859</v>
      </c>
      <c r="Q509" s="376" t="s">
        <v>12</v>
      </c>
      <c r="R509" s="394" t="s">
        <v>539</v>
      </c>
      <c r="S509" s="394">
        <v>10.0</v>
      </c>
      <c r="T509" s="394">
        <v>5.0</v>
      </c>
      <c r="U509" s="394">
        <v>0.7</v>
      </c>
      <c r="V509" s="394">
        <v>0.7</v>
      </c>
      <c r="W509" s="394">
        <v>0.7</v>
      </c>
      <c r="X509" s="391">
        <v>2000.0</v>
      </c>
      <c r="Y509" s="391" t="s">
        <v>540</v>
      </c>
      <c r="Z509" s="391">
        <v>0.2</v>
      </c>
      <c r="AA509" s="391" t="s">
        <v>541</v>
      </c>
      <c r="AB509" s="391" t="s">
        <v>542</v>
      </c>
      <c r="AC509" s="408">
        <v>0.85</v>
      </c>
      <c r="AD509" s="186"/>
      <c r="AE509" s="253"/>
    </row>
    <row r="510">
      <c r="A510" s="391" t="s">
        <v>651</v>
      </c>
      <c r="B510" s="391">
        <v>9.0</v>
      </c>
      <c r="C510" s="391">
        <v>613.0</v>
      </c>
      <c r="D510" s="391" t="s">
        <v>589</v>
      </c>
      <c r="E510" s="391">
        <v>1.0</v>
      </c>
      <c r="F510" s="393">
        <v>45495.74791666667</v>
      </c>
      <c r="G510" s="391">
        <v>1.0</v>
      </c>
      <c r="H510" s="391">
        <v>51.3774</v>
      </c>
      <c r="I510" s="391">
        <v>7.1104</v>
      </c>
      <c r="J510" s="391">
        <v>-24.883987</v>
      </c>
      <c r="K510" s="391">
        <v>-23.321994</v>
      </c>
      <c r="L510" s="391">
        <v>1078.15</v>
      </c>
      <c r="M510" s="391">
        <v>71.999367</v>
      </c>
      <c r="N510" s="391">
        <v>11852.4147</v>
      </c>
      <c r="O510" s="391">
        <v>11812.912</v>
      </c>
      <c r="P510" s="394">
        <v>2112.00457</v>
      </c>
      <c r="Q510" s="376" t="s">
        <v>12</v>
      </c>
      <c r="R510" s="394" t="s">
        <v>553</v>
      </c>
      <c r="S510" s="394">
        <v>10.0</v>
      </c>
      <c r="T510" s="394">
        <v>5.0</v>
      </c>
      <c r="U510" s="394">
        <v>0.7</v>
      </c>
      <c r="V510" s="394">
        <v>0.7</v>
      </c>
      <c r="W510" s="394">
        <v>0.7</v>
      </c>
      <c r="X510" s="391">
        <v>2000.0</v>
      </c>
      <c r="Y510" s="391" t="s">
        <v>540</v>
      </c>
      <c r="Z510" s="391">
        <v>0.2</v>
      </c>
      <c r="AA510" s="391" t="s">
        <v>541</v>
      </c>
      <c r="AB510" s="391" t="s">
        <v>542</v>
      </c>
      <c r="AC510" s="408">
        <v>0.85</v>
      </c>
      <c r="AD510" s="186"/>
      <c r="AE510" s="253"/>
    </row>
    <row r="511">
      <c r="A511" s="391" t="s">
        <v>652</v>
      </c>
      <c r="B511" s="391">
        <v>9.0</v>
      </c>
      <c r="C511" s="391">
        <v>613.0</v>
      </c>
      <c r="D511" s="391" t="s">
        <v>589</v>
      </c>
      <c r="E511" s="391">
        <v>1.0</v>
      </c>
      <c r="F511" s="393">
        <v>45495.75069444445</v>
      </c>
      <c r="G511" s="391">
        <v>1.0</v>
      </c>
      <c r="H511" s="391">
        <v>51.3708</v>
      </c>
      <c r="I511" s="391">
        <v>7.15358</v>
      </c>
      <c r="J511" s="391">
        <v>-24.743956</v>
      </c>
      <c r="K511" s="391">
        <v>-23.258163</v>
      </c>
      <c r="L511" s="391">
        <v>1101.49</v>
      </c>
      <c r="M511" s="391">
        <v>70.4997</v>
      </c>
      <c r="N511" s="391">
        <v>11817.9961</v>
      </c>
      <c r="O511" s="391">
        <v>11812.912</v>
      </c>
      <c r="P511" s="394">
        <v>2112.00457</v>
      </c>
      <c r="Q511" s="376" t="s">
        <v>12</v>
      </c>
      <c r="R511" s="394" t="s">
        <v>539</v>
      </c>
      <c r="S511" s="394">
        <v>10.0</v>
      </c>
      <c r="T511" s="394">
        <v>5.0</v>
      </c>
      <c r="U511" s="394">
        <v>0.7</v>
      </c>
      <c r="V511" s="394">
        <v>0.7</v>
      </c>
      <c r="W511" s="394">
        <v>0.7</v>
      </c>
      <c r="X511" s="391">
        <v>2000.0</v>
      </c>
      <c r="Y511" s="391" t="s">
        <v>540</v>
      </c>
      <c r="Z511" s="391">
        <v>0.2</v>
      </c>
      <c r="AA511" s="391" t="s">
        <v>541</v>
      </c>
      <c r="AB511" s="391" t="s">
        <v>542</v>
      </c>
      <c r="AC511" s="408">
        <v>0.85</v>
      </c>
      <c r="AD511" s="186"/>
      <c r="AE511" s="253"/>
    </row>
    <row r="512">
      <c r="A512" s="391" t="s">
        <v>653</v>
      </c>
      <c r="B512" s="391">
        <v>9.0</v>
      </c>
      <c r="C512" s="391">
        <v>613.0</v>
      </c>
      <c r="D512" s="391" t="s">
        <v>589</v>
      </c>
      <c r="E512" s="391">
        <v>1.0</v>
      </c>
      <c r="F512" s="393">
        <v>45495.75347222222</v>
      </c>
      <c r="G512" s="391">
        <v>1.0</v>
      </c>
      <c r="H512" s="391">
        <v>51.3675</v>
      </c>
      <c r="I512" s="391">
        <v>7.22955</v>
      </c>
      <c r="J512" s="391">
        <v>-24.891625</v>
      </c>
      <c r="K512" s="391">
        <v>-23.298106</v>
      </c>
      <c r="L512" s="391">
        <v>1063.38</v>
      </c>
      <c r="M512" s="391">
        <v>68.99882</v>
      </c>
      <c r="N512" s="391">
        <v>11807.8278</v>
      </c>
      <c r="O512" s="391">
        <v>11812.912</v>
      </c>
      <c r="P512" s="394">
        <v>2112.00457</v>
      </c>
      <c r="Q512" s="376" t="s">
        <v>12</v>
      </c>
      <c r="R512" s="394" t="s">
        <v>539</v>
      </c>
      <c r="S512" s="394">
        <v>10.0</v>
      </c>
      <c r="T512" s="394">
        <v>5.0</v>
      </c>
      <c r="U512" s="394">
        <v>0.7</v>
      </c>
      <c r="V512" s="394">
        <v>0.7</v>
      </c>
      <c r="W512" s="394">
        <v>0.7</v>
      </c>
      <c r="X512" s="391">
        <v>2000.0</v>
      </c>
      <c r="Y512" s="391" t="s">
        <v>540</v>
      </c>
      <c r="Z512" s="391">
        <v>0.2</v>
      </c>
      <c r="AA512" s="391" t="s">
        <v>541</v>
      </c>
      <c r="AB512" s="391" t="s">
        <v>542</v>
      </c>
      <c r="AC512" s="408">
        <v>0.85</v>
      </c>
      <c r="AD512" s="186"/>
      <c r="AE512" s="253"/>
    </row>
    <row r="513">
      <c r="A513" s="395" t="s">
        <v>654</v>
      </c>
      <c r="B513" s="395">
        <v>10.0</v>
      </c>
      <c r="C513" s="395" t="s">
        <v>776</v>
      </c>
      <c r="D513" s="395" t="s">
        <v>538</v>
      </c>
      <c r="E513" s="395">
        <v>1.0</v>
      </c>
      <c r="F513" s="396">
        <v>45495.756944444445</v>
      </c>
      <c r="G513" s="395">
        <v>1.0</v>
      </c>
      <c r="H513" s="395">
        <v>51.3708</v>
      </c>
      <c r="I513" s="395">
        <v>7.05396</v>
      </c>
      <c r="J513" s="395">
        <v>-24.924256</v>
      </c>
      <c r="K513" s="395">
        <v>-23.565475</v>
      </c>
      <c r="L513" s="395">
        <v>1063.71</v>
      </c>
      <c r="M513" s="395">
        <v>72.49954</v>
      </c>
      <c r="N513" s="395">
        <v>11637.2315</v>
      </c>
      <c r="O513" s="395">
        <v>11634.3311</v>
      </c>
      <c r="P513" s="397">
        <v>2080.67474</v>
      </c>
      <c r="Q513" s="376" t="s">
        <v>12</v>
      </c>
      <c r="R513" s="397" t="s">
        <v>553</v>
      </c>
      <c r="S513" s="394">
        <v>10.0</v>
      </c>
      <c r="T513" s="394">
        <v>5.0</v>
      </c>
      <c r="U513" s="394">
        <v>0.7</v>
      </c>
      <c r="V513" s="394">
        <v>0.7</v>
      </c>
      <c r="W513" s="394">
        <v>0.7</v>
      </c>
      <c r="X513" s="391">
        <v>2000.0</v>
      </c>
      <c r="Y513" s="391" t="s">
        <v>540</v>
      </c>
      <c r="Z513" s="391">
        <v>0.2</v>
      </c>
      <c r="AA513" s="391" t="s">
        <v>541</v>
      </c>
      <c r="AB513" s="391" t="s">
        <v>542</v>
      </c>
      <c r="AC513" s="408">
        <v>0.85</v>
      </c>
      <c r="AD513" s="186"/>
      <c r="AE513" s="253"/>
    </row>
    <row r="514">
      <c r="A514" s="395" t="s">
        <v>655</v>
      </c>
      <c r="B514" s="395">
        <v>10.0</v>
      </c>
      <c r="C514" s="395" t="s">
        <v>776</v>
      </c>
      <c r="D514" s="395" t="s">
        <v>538</v>
      </c>
      <c r="E514" s="395">
        <v>1.0</v>
      </c>
      <c r="F514" s="396">
        <v>45495.759722222225</v>
      </c>
      <c r="G514" s="395">
        <v>1.0</v>
      </c>
      <c r="H514" s="395">
        <v>51.3774</v>
      </c>
      <c r="I514" s="395">
        <v>6.91855</v>
      </c>
      <c r="J514" s="395">
        <v>-25.013937</v>
      </c>
      <c r="K514" s="395">
        <v>-23.211631</v>
      </c>
      <c r="L514" s="395">
        <v>1066.95</v>
      </c>
      <c r="M514" s="395">
        <v>67.9993</v>
      </c>
      <c r="N514" s="395">
        <v>11589.1142</v>
      </c>
      <c r="O514" s="395">
        <v>11634.3311</v>
      </c>
      <c r="P514" s="397">
        <v>2080.67474</v>
      </c>
      <c r="Q514" s="376" t="s">
        <v>12</v>
      </c>
      <c r="R514" s="397" t="s">
        <v>553</v>
      </c>
      <c r="S514" s="394">
        <v>10.0</v>
      </c>
      <c r="T514" s="394">
        <v>5.0</v>
      </c>
      <c r="U514" s="394">
        <v>0.7</v>
      </c>
      <c r="V514" s="394">
        <v>0.7</v>
      </c>
      <c r="W514" s="394">
        <v>0.7</v>
      </c>
      <c r="X514" s="391">
        <v>2000.0</v>
      </c>
      <c r="Y514" s="391" t="s">
        <v>540</v>
      </c>
      <c r="Z514" s="391">
        <v>0.2</v>
      </c>
      <c r="AA514" s="391" t="s">
        <v>541</v>
      </c>
      <c r="AB514" s="391" t="s">
        <v>542</v>
      </c>
      <c r="AC514" s="408">
        <v>0.85</v>
      </c>
      <c r="AD514" s="186"/>
      <c r="AE514" s="253"/>
    </row>
    <row r="515">
      <c r="A515" s="395" t="s">
        <v>656</v>
      </c>
      <c r="B515" s="395">
        <v>10.0</v>
      </c>
      <c r="C515" s="395" t="s">
        <v>776</v>
      </c>
      <c r="D515" s="395" t="s">
        <v>538</v>
      </c>
      <c r="E515" s="395">
        <v>1.0</v>
      </c>
      <c r="F515" s="396">
        <v>45495.7625</v>
      </c>
      <c r="G515" s="395">
        <v>1.0</v>
      </c>
      <c r="H515" s="395">
        <v>51.3741</v>
      </c>
      <c r="I515" s="395">
        <v>6.99678</v>
      </c>
      <c r="J515" s="395">
        <v>-24.939588</v>
      </c>
      <c r="K515" s="395">
        <v>-23.516838</v>
      </c>
      <c r="L515" s="395">
        <v>1068.01</v>
      </c>
      <c r="M515" s="395">
        <v>76.999634</v>
      </c>
      <c r="N515" s="395">
        <v>11645.4526</v>
      </c>
      <c r="O515" s="395">
        <v>11634.3311</v>
      </c>
      <c r="P515" s="397">
        <v>2080.67474</v>
      </c>
      <c r="Q515" s="376" t="s">
        <v>12</v>
      </c>
      <c r="R515" s="397" t="s">
        <v>539</v>
      </c>
      <c r="S515" s="394">
        <v>10.0</v>
      </c>
      <c r="T515" s="394">
        <v>5.0</v>
      </c>
      <c r="U515" s="394">
        <v>0.7</v>
      </c>
      <c r="V515" s="394">
        <v>0.7</v>
      </c>
      <c r="W515" s="394">
        <v>0.7</v>
      </c>
      <c r="X515" s="391">
        <v>2000.0</v>
      </c>
      <c r="Y515" s="391" t="s">
        <v>540</v>
      </c>
      <c r="Z515" s="391">
        <v>0.2</v>
      </c>
      <c r="AA515" s="391" t="s">
        <v>541</v>
      </c>
      <c r="AB515" s="391" t="s">
        <v>542</v>
      </c>
      <c r="AC515" s="408">
        <v>0.85</v>
      </c>
      <c r="AD515" s="186"/>
      <c r="AE515" s="253"/>
    </row>
    <row r="516">
      <c r="A516" s="395" t="s">
        <v>761</v>
      </c>
      <c r="B516" s="395">
        <v>10.0</v>
      </c>
      <c r="C516" s="395" t="s">
        <v>776</v>
      </c>
      <c r="D516" s="395" t="s">
        <v>538</v>
      </c>
      <c r="E516" s="395">
        <v>1.0</v>
      </c>
      <c r="F516" s="396">
        <v>45495.76527777778</v>
      </c>
      <c r="G516" s="395">
        <v>1.0</v>
      </c>
      <c r="H516" s="395">
        <v>51.3774</v>
      </c>
      <c r="I516" s="395">
        <v>6.98634</v>
      </c>
      <c r="J516" s="395">
        <v>-25.024994</v>
      </c>
      <c r="K516" s="395">
        <v>-23.526712</v>
      </c>
      <c r="L516" s="395">
        <v>1058.75</v>
      </c>
      <c r="M516" s="395">
        <v>73.998617</v>
      </c>
      <c r="N516" s="395">
        <v>11623.2096</v>
      </c>
      <c r="O516" s="395">
        <v>11634.3311</v>
      </c>
      <c r="P516" s="397">
        <v>2080.67474</v>
      </c>
      <c r="Q516" s="376" t="s">
        <v>12</v>
      </c>
      <c r="R516" s="397" t="s">
        <v>539</v>
      </c>
      <c r="S516" s="394">
        <v>10.0</v>
      </c>
      <c r="T516" s="394">
        <v>5.0</v>
      </c>
      <c r="U516" s="394">
        <v>0.7</v>
      </c>
      <c r="V516" s="394">
        <v>0.7</v>
      </c>
      <c r="W516" s="394">
        <v>0.7</v>
      </c>
      <c r="X516" s="391">
        <v>2000.0</v>
      </c>
      <c r="Y516" s="391" t="s">
        <v>540</v>
      </c>
      <c r="Z516" s="391">
        <v>0.2</v>
      </c>
      <c r="AA516" s="391" t="s">
        <v>541</v>
      </c>
      <c r="AB516" s="391" t="s">
        <v>542</v>
      </c>
      <c r="AC516" s="408">
        <v>0.85</v>
      </c>
      <c r="AD516" s="186"/>
      <c r="AE516" s="253"/>
    </row>
    <row r="517">
      <c r="A517" s="391" t="s">
        <v>536</v>
      </c>
      <c r="B517" s="391" t="s">
        <v>537</v>
      </c>
      <c r="C517" s="391" t="s">
        <v>675</v>
      </c>
      <c r="D517" s="391" t="s">
        <v>538</v>
      </c>
      <c r="E517" s="391">
        <v>1.0</v>
      </c>
      <c r="F517" s="393">
        <v>45503.57916666667</v>
      </c>
      <c r="G517" s="391">
        <v>1.0</v>
      </c>
      <c r="H517" s="391">
        <v>51.3708</v>
      </c>
      <c r="I517" s="391">
        <v>12.9035</v>
      </c>
      <c r="J517" s="391">
        <v>-24.194706</v>
      </c>
      <c r="K517" s="391">
        <v>-22.318881</v>
      </c>
      <c r="L517" s="391">
        <v>981.163</v>
      </c>
      <c r="M517" s="391">
        <v>66.00115</v>
      </c>
      <c r="N517" s="391">
        <v>11293.2442</v>
      </c>
      <c r="O517" s="391">
        <v>11293.2442</v>
      </c>
      <c r="P517" s="394">
        <v>2020.83522</v>
      </c>
      <c r="Q517" s="376" t="s">
        <v>12</v>
      </c>
      <c r="R517" s="394" t="s">
        <v>539</v>
      </c>
      <c r="S517" s="394">
        <v>10.0</v>
      </c>
      <c r="T517" s="394">
        <v>5.0</v>
      </c>
      <c r="U517" s="394">
        <v>0.7</v>
      </c>
      <c r="V517" s="394">
        <v>0.7</v>
      </c>
      <c r="W517" s="394">
        <v>0.7</v>
      </c>
      <c r="X517" s="391">
        <v>2000.0</v>
      </c>
      <c r="Y517" s="391" t="s">
        <v>540</v>
      </c>
      <c r="Z517" s="391">
        <v>0.2</v>
      </c>
      <c r="AA517" s="391" t="s">
        <v>541</v>
      </c>
      <c r="AB517" s="391" t="s">
        <v>542</v>
      </c>
      <c r="AC517" s="391">
        <v>220.0</v>
      </c>
      <c r="AD517" s="186"/>
      <c r="AE517" s="253"/>
    </row>
    <row r="518">
      <c r="A518" s="391" t="s">
        <v>543</v>
      </c>
      <c r="B518" s="391" t="s">
        <v>537</v>
      </c>
      <c r="C518" s="391" t="s">
        <v>675</v>
      </c>
      <c r="D518" s="391" t="s">
        <v>538</v>
      </c>
      <c r="E518" s="391">
        <v>1.0</v>
      </c>
      <c r="F518" s="393">
        <v>45503.58194444444</v>
      </c>
      <c r="G518" s="391">
        <v>1.0</v>
      </c>
      <c r="H518" s="391">
        <v>51.3807</v>
      </c>
      <c r="I518" s="391">
        <v>14.2865</v>
      </c>
      <c r="J518" s="391">
        <v>-24.626513</v>
      </c>
      <c r="K518" s="391">
        <v>-23.016781</v>
      </c>
      <c r="L518" s="391">
        <v>988.82</v>
      </c>
      <c r="M518" s="391">
        <v>69.000566</v>
      </c>
      <c r="N518" s="391">
        <v>11207.8134</v>
      </c>
      <c r="O518" s="391">
        <v>11207.8134</v>
      </c>
      <c r="P518" s="394">
        <v>2005.84744</v>
      </c>
      <c r="Q518" s="376" t="s">
        <v>12</v>
      </c>
      <c r="R518" s="394" t="s">
        <v>539</v>
      </c>
      <c r="S518" s="394">
        <v>10.0</v>
      </c>
      <c r="T518" s="394">
        <v>5.0</v>
      </c>
      <c r="U518" s="394">
        <v>0.7</v>
      </c>
      <c r="V518" s="394">
        <v>0.7</v>
      </c>
      <c r="W518" s="394">
        <v>0.7</v>
      </c>
      <c r="X518" s="391">
        <v>2000.0</v>
      </c>
      <c r="Y518" s="391" t="s">
        <v>540</v>
      </c>
      <c r="Z518" s="391">
        <v>0.2</v>
      </c>
      <c r="AA518" s="391" t="s">
        <v>541</v>
      </c>
      <c r="AB518" s="391" t="s">
        <v>542</v>
      </c>
      <c r="AC518" s="391">
        <v>220.0</v>
      </c>
      <c r="AD518" s="186"/>
      <c r="AE518" s="253"/>
    </row>
    <row r="519">
      <c r="A519" s="391" t="s">
        <v>544</v>
      </c>
      <c r="B519" s="391" t="s">
        <v>537</v>
      </c>
      <c r="C519" s="391" t="s">
        <v>675</v>
      </c>
      <c r="D519" s="391" t="s">
        <v>538</v>
      </c>
      <c r="E519" s="391">
        <v>1.0</v>
      </c>
      <c r="F519" s="393">
        <v>45503.584027777775</v>
      </c>
      <c r="G519" s="391">
        <v>1.0</v>
      </c>
      <c r="H519" s="391">
        <v>51.3708</v>
      </c>
      <c r="I519" s="391">
        <v>13.6929</v>
      </c>
      <c r="J519" s="391">
        <v>-24.740281</v>
      </c>
      <c r="K519" s="391">
        <v>-23.12195</v>
      </c>
      <c r="L519" s="391">
        <v>990.738</v>
      </c>
      <c r="M519" s="391">
        <v>69.500476</v>
      </c>
      <c r="N519" s="391">
        <v>11195.4581</v>
      </c>
      <c r="O519" s="391">
        <v>11195.4581</v>
      </c>
      <c r="P519" s="394">
        <v>2003.67985</v>
      </c>
      <c r="Q519" s="376" t="s">
        <v>12</v>
      </c>
      <c r="R519" s="394" t="s">
        <v>539</v>
      </c>
      <c r="S519" s="394">
        <v>10.0</v>
      </c>
      <c r="T519" s="394">
        <v>5.0</v>
      </c>
      <c r="U519" s="394">
        <v>0.7</v>
      </c>
      <c r="V519" s="394">
        <v>0.7</v>
      </c>
      <c r="W519" s="394">
        <v>0.7</v>
      </c>
      <c r="X519" s="391">
        <v>2000.0</v>
      </c>
      <c r="Y519" s="391" t="s">
        <v>540</v>
      </c>
      <c r="Z519" s="391">
        <v>0.2</v>
      </c>
      <c r="AA519" s="391" t="s">
        <v>541</v>
      </c>
      <c r="AB519" s="391" t="s">
        <v>542</v>
      </c>
      <c r="AC519" s="391">
        <v>220.0</v>
      </c>
      <c r="AD519" s="186"/>
      <c r="AE519" s="253"/>
    </row>
    <row r="520">
      <c r="A520" s="391" t="s">
        <v>545</v>
      </c>
      <c r="B520" s="391" t="s">
        <v>537</v>
      </c>
      <c r="C520" s="391" t="s">
        <v>675</v>
      </c>
      <c r="D520" s="391" t="s">
        <v>538</v>
      </c>
      <c r="E520" s="391">
        <v>1.0</v>
      </c>
      <c r="F520" s="393">
        <v>45503.586805555555</v>
      </c>
      <c r="G520" s="391">
        <v>1.0</v>
      </c>
      <c r="H520" s="391">
        <v>51.3741</v>
      </c>
      <c r="I520" s="391">
        <v>12.5282</v>
      </c>
      <c r="J520" s="391">
        <v>-24.816456</v>
      </c>
      <c r="K520" s="391">
        <v>-23.016125</v>
      </c>
      <c r="L520" s="391">
        <v>995.657</v>
      </c>
      <c r="M520" s="391">
        <v>65.499776</v>
      </c>
      <c r="N520" s="391">
        <v>11234.8718</v>
      </c>
      <c r="O520" s="391">
        <v>11234.8718</v>
      </c>
      <c r="P520" s="394">
        <v>2010.59449</v>
      </c>
      <c r="Q520" s="376" t="s">
        <v>12</v>
      </c>
      <c r="R520" s="394" t="s">
        <v>539</v>
      </c>
      <c r="S520" s="394">
        <v>10.0</v>
      </c>
      <c r="T520" s="394">
        <v>5.0</v>
      </c>
      <c r="U520" s="394">
        <v>0.7</v>
      </c>
      <c r="V520" s="394">
        <v>0.7</v>
      </c>
      <c r="W520" s="394">
        <v>0.7</v>
      </c>
      <c r="X520" s="391">
        <v>2000.0</v>
      </c>
      <c r="Y520" s="391" t="s">
        <v>540</v>
      </c>
      <c r="Z520" s="391">
        <v>0.2</v>
      </c>
      <c r="AA520" s="391" t="s">
        <v>541</v>
      </c>
      <c r="AB520" s="391" t="s">
        <v>542</v>
      </c>
      <c r="AC520" s="391">
        <v>220.0</v>
      </c>
      <c r="AD520" s="186"/>
      <c r="AE520" s="253"/>
    </row>
    <row r="521">
      <c r="A521" s="391" t="s">
        <v>546</v>
      </c>
      <c r="B521" s="391" t="s">
        <v>537</v>
      </c>
      <c r="C521" s="391" t="s">
        <v>821</v>
      </c>
      <c r="D521" s="391" t="s">
        <v>538</v>
      </c>
      <c r="E521" s="391">
        <v>1.0</v>
      </c>
      <c r="F521" s="393">
        <v>45503.59861111111</v>
      </c>
      <c r="G521" s="391">
        <v>1.0</v>
      </c>
      <c r="H521" s="391">
        <v>51.3675</v>
      </c>
      <c r="I521" s="391">
        <v>12.0674</v>
      </c>
      <c r="J521" s="391">
        <v>-24.950313</v>
      </c>
      <c r="K521" s="391">
        <v>-23.070163</v>
      </c>
      <c r="L521" s="391">
        <v>988.31</v>
      </c>
      <c r="M521" s="391">
        <v>65.999514</v>
      </c>
      <c r="N521" s="391">
        <v>11189.4899</v>
      </c>
      <c r="O521" s="391">
        <v>11189.4899</v>
      </c>
      <c r="P521" s="394">
        <v>2002.63279</v>
      </c>
      <c r="Q521" s="376" t="s">
        <v>12</v>
      </c>
      <c r="R521" s="394" t="s">
        <v>539</v>
      </c>
      <c r="S521" s="394">
        <v>10.0</v>
      </c>
      <c r="T521" s="394">
        <v>5.0</v>
      </c>
      <c r="U521" s="394">
        <v>0.7</v>
      </c>
      <c r="V521" s="394">
        <v>0.7</v>
      </c>
      <c r="W521" s="394">
        <v>0.7</v>
      </c>
      <c r="X521" s="391">
        <v>2000.0</v>
      </c>
      <c r="Y521" s="391" t="s">
        <v>540</v>
      </c>
      <c r="Z521" s="391">
        <v>0.2</v>
      </c>
      <c r="AA521" s="391" t="s">
        <v>541</v>
      </c>
      <c r="AB521" s="391" t="s">
        <v>542</v>
      </c>
      <c r="AC521" s="391">
        <v>220.0</v>
      </c>
      <c r="AD521" s="186"/>
      <c r="AE521" s="253"/>
    </row>
    <row r="522">
      <c r="A522" s="391" t="s">
        <v>547</v>
      </c>
      <c r="B522" s="391" t="s">
        <v>537</v>
      </c>
      <c r="C522" s="391" t="s">
        <v>821</v>
      </c>
      <c r="D522" s="391" t="s">
        <v>538</v>
      </c>
      <c r="E522" s="391">
        <v>1.0</v>
      </c>
      <c r="F522" s="393">
        <v>45503.600694444445</v>
      </c>
      <c r="G522" s="391">
        <v>1.0</v>
      </c>
      <c r="H522" s="391">
        <v>51.3708</v>
      </c>
      <c r="I522" s="391">
        <v>11.8109</v>
      </c>
      <c r="J522" s="391">
        <v>-24.995481</v>
      </c>
      <c r="K522" s="391">
        <v>-23.872044</v>
      </c>
      <c r="L522" s="391">
        <v>998.378</v>
      </c>
      <c r="M522" s="391">
        <v>70.500368</v>
      </c>
      <c r="N522" s="391">
        <v>11260.719</v>
      </c>
      <c r="O522" s="391">
        <v>11260.719</v>
      </c>
      <c r="P522" s="394">
        <v>2015.12908</v>
      </c>
      <c r="Q522" s="376" t="s">
        <v>12</v>
      </c>
      <c r="R522" s="394" t="s">
        <v>539</v>
      </c>
      <c r="S522" s="394">
        <v>10.0</v>
      </c>
      <c r="T522" s="394">
        <v>5.0</v>
      </c>
      <c r="U522" s="394">
        <v>0.7</v>
      </c>
      <c r="V522" s="394">
        <v>0.7</v>
      </c>
      <c r="W522" s="394">
        <v>0.7</v>
      </c>
      <c r="X522" s="391">
        <v>2000.0</v>
      </c>
      <c r="Y522" s="391" t="s">
        <v>540</v>
      </c>
      <c r="Z522" s="391">
        <v>0.2</v>
      </c>
      <c r="AA522" s="391" t="s">
        <v>541</v>
      </c>
      <c r="AB522" s="391" t="s">
        <v>542</v>
      </c>
      <c r="AC522" s="391">
        <v>220.0</v>
      </c>
      <c r="AD522" s="186"/>
      <c r="AE522" s="253"/>
    </row>
    <row r="523">
      <c r="A523" s="391" t="s">
        <v>548</v>
      </c>
      <c r="B523" s="391" t="s">
        <v>537</v>
      </c>
      <c r="C523" s="391" t="s">
        <v>821</v>
      </c>
      <c r="D523" s="391" t="s">
        <v>538</v>
      </c>
      <c r="E523" s="391">
        <v>1.0</v>
      </c>
      <c r="F523" s="393">
        <v>45503.603472222225</v>
      </c>
      <c r="G523" s="391">
        <v>1.0</v>
      </c>
      <c r="H523" s="391">
        <v>51.3741</v>
      </c>
      <c r="I523" s="391">
        <v>11.2385</v>
      </c>
      <c r="J523" s="391">
        <v>-24.950463</v>
      </c>
      <c r="K523" s="391">
        <v>-23.929056</v>
      </c>
      <c r="L523" s="391">
        <v>999.274</v>
      </c>
      <c r="M523" s="391">
        <v>77.000168</v>
      </c>
      <c r="N523" s="391">
        <v>11273.2506</v>
      </c>
      <c r="O523" s="391">
        <v>11273.2506</v>
      </c>
      <c r="P523" s="394">
        <v>2017.32759</v>
      </c>
      <c r="Q523" s="376" t="s">
        <v>12</v>
      </c>
      <c r="R523" s="394" t="s">
        <v>539</v>
      </c>
      <c r="S523" s="394">
        <v>10.0</v>
      </c>
      <c r="T523" s="394">
        <v>5.0</v>
      </c>
      <c r="U523" s="394">
        <v>0.7</v>
      </c>
      <c r="V523" s="394">
        <v>0.7</v>
      </c>
      <c r="W523" s="394">
        <v>0.7</v>
      </c>
      <c r="X523" s="391">
        <v>2000.0</v>
      </c>
      <c r="Y523" s="391" t="s">
        <v>540</v>
      </c>
      <c r="Z523" s="391">
        <v>0.2</v>
      </c>
      <c r="AA523" s="391" t="s">
        <v>541</v>
      </c>
      <c r="AB523" s="391" t="s">
        <v>542</v>
      </c>
      <c r="AC523" s="391">
        <v>220.0</v>
      </c>
      <c r="AD523" s="186"/>
      <c r="AE523" s="253"/>
    </row>
    <row r="524">
      <c r="A524" s="391" t="s">
        <v>549</v>
      </c>
      <c r="B524" s="391" t="s">
        <v>537</v>
      </c>
      <c r="C524" s="391" t="s">
        <v>821</v>
      </c>
      <c r="D524" s="391" t="s">
        <v>538</v>
      </c>
      <c r="E524" s="391">
        <v>1.0</v>
      </c>
      <c r="F524" s="393">
        <v>45503.61597222222</v>
      </c>
      <c r="G524" s="391">
        <v>1.0</v>
      </c>
      <c r="H524" s="391">
        <v>51.3675</v>
      </c>
      <c r="I524" s="391">
        <v>10.8894</v>
      </c>
      <c r="J524" s="391">
        <v>-24.98835</v>
      </c>
      <c r="K524" s="391">
        <v>-23.556531</v>
      </c>
      <c r="L524" s="391">
        <v>998.698</v>
      </c>
      <c r="M524" s="391">
        <v>69.999789</v>
      </c>
      <c r="N524" s="391">
        <v>11257.7481</v>
      </c>
      <c r="O524" s="391">
        <v>11257.7481</v>
      </c>
      <c r="P524" s="394">
        <v>2014.60786</v>
      </c>
      <c r="Q524" s="376" t="s">
        <v>12</v>
      </c>
      <c r="R524" s="394" t="s">
        <v>539</v>
      </c>
      <c r="S524" s="394">
        <v>10.0</v>
      </c>
      <c r="T524" s="394">
        <v>5.0</v>
      </c>
      <c r="U524" s="394">
        <v>0.7</v>
      </c>
      <c r="V524" s="394">
        <v>0.7</v>
      </c>
      <c r="W524" s="394">
        <v>0.7</v>
      </c>
      <c r="X524" s="391">
        <v>2000.0</v>
      </c>
      <c r="Y524" s="391" t="s">
        <v>540</v>
      </c>
      <c r="Z524" s="391">
        <v>0.2</v>
      </c>
      <c r="AA524" s="391" t="s">
        <v>541</v>
      </c>
      <c r="AB524" s="391" t="s">
        <v>542</v>
      </c>
      <c r="AC524" s="391">
        <v>220.0</v>
      </c>
      <c r="AD524" s="186"/>
      <c r="AE524" s="253"/>
    </row>
    <row r="525">
      <c r="A525" s="391" t="s">
        <v>550</v>
      </c>
      <c r="B525" s="391" t="s">
        <v>551</v>
      </c>
      <c r="C525" s="391" t="s">
        <v>821</v>
      </c>
      <c r="D525" s="391" t="s">
        <v>538</v>
      </c>
      <c r="E525" s="391">
        <v>0.8</v>
      </c>
      <c r="F525" s="393">
        <v>45503.63611111111</v>
      </c>
      <c r="G525" s="391">
        <v>1.0</v>
      </c>
      <c r="H525" s="391">
        <v>51.3741</v>
      </c>
      <c r="I525" s="391">
        <v>10.6889</v>
      </c>
      <c r="J525" s="391">
        <v>-24.779925</v>
      </c>
      <c r="K525" s="391">
        <v>-23.340994</v>
      </c>
      <c r="L525" s="391">
        <v>999.976</v>
      </c>
      <c r="M525" s="391">
        <v>63.999628</v>
      </c>
      <c r="N525" s="391">
        <v>9102.87893</v>
      </c>
      <c r="O525" s="391">
        <v>9201.50183</v>
      </c>
      <c r="P525" s="394">
        <v>2070.3457</v>
      </c>
      <c r="Q525" s="376" t="s">
        <v>12</v>
      </c>
      <c r="R525" s="394" t="s">
        <v>553</v>
      </c>
      <c r="S525" s="394">
        <v>10.0</v>
      </c>
      <c r="T525" s="394">
        <v>5.0</v>
      </c>
      <c r="U525" s="394">
        <v>0.7</v>
      </c>
      <c r="V525" s="394">
        <v>0.7</v>
      </c>
      <c r="W525" s="394">
        <v>0.7</v>
      </c>
      <c r="X525" s="391">
        <v>2000.0</v>
      </c>
      <c r="Y525" s="391" t="s">
        <v>540</v>
      </c>
      <c r="Z525" s="391">
        <v>0.2</v>
      </c>
      <c r="AA525" s="391" t="s">
        <v>541</v>
      </c>
      <c r="AB525" s="391" t="s">
        <v>542</v>
      </c>
      <c r="AC525" s="391">
        <v>220.0</v>
      </c>
      <c r="AD525" s="186"/>
      <c r="AE525" s="253"/>
    </row>
    <row r="526">
      <c r="A526" s="391" t="s">
        <v>554</v>
      </c>
      <c r="B526" s="391" t="s">
        <v>551</v>
      </c>
      <c r="C526" s="391" t="s">
        <v>821</v>
      </c>
      <c r="D526" s="391" t="s">
        <v>538</v>
      </c>
      <c r="E526" s="391">
        <v>0.8</v>
      </c>
      <c r="F526" s="393">
        <v>45503.63888888889</v>
      </c>
      <c r="G526" s="391">
        <v>1.0</v>
      </c>
      <c r="H526" s="391">
        <v>51.3708</v>
      </c>
      <c r="I526" s="391">
        <v>9.65105</v>
      </c>
      <c r="J526" s="391">
        <v>-25.189806</v>
      </c>
      <c r="K526" s="391">
        <v>-23.719</v>
      </c>
      <c r="L526" s="391">
        <v>1008.84</v>
      </c>
      <c r="M526" s="391">
        <v>65.49949</v>
      </c>
      <c r="N526" s="391">
        <v>9194.73931</v>
      </c>
      <c r="O526" s="391">
        <v>9201.50183</v>
      </c>
      <c r="P526" s="394">
        <v>2070.3457</v>
      </c>
      <c r="Q526" s="376" t="s">
        <v>12</v>
      </c>
      <c r="R526" s="394" t="s">
        <v>539</v>
      </c>
      <c r="S526" s="394">
        <v>10.0</v>
      </c>
      <c r="T526" s="394">
        <v>5.0</v>
      </c>
      <c r="U526" s="394">
        <v>0.7</v>
      </c>
      <c r="V526" s="394">
        <v>0.7</v>
      </c>
      <c r="W526" s="394">
        <v>0.7</v>
      </c>
      <c r="X526" s="391">
        <v>2000.0</v>
      </c>
      <c r="Y526" s="391" t="s">
        <v>540</v>
      </c>
      <c r="Z526" s="391">
        <v>0.2</v>
      </c>
      <c r="AA526" s="391" t="s">
        <v>541</v>
      </c>
      <c r="AB526" s="391" t="s">
        <v>542</v>
      </c>
      <c r="AC526" s="391">
        <v>220.0</v>
      </c>
      <c r="AD526" s="186"/>
      <c r="AE526" s="253"/>
    </row>
    <row r="527">
      <c r="A527" s="395" t="s">
        <v>555</v>
      </c>
      <c r="B527" s="395" t="s">
        <v>551</v>
      </c>
      <c r="C527" s="395" t="s">
        <v>821</v>
      </c>
      <c r="D527" s="395" t="s">
        <v>538</v>
      </c>
      <c r="E527" s="395">
        <v>0.8</v>
      </c>
      <c r="F527" s="396">
        <v>45503.64166666667</v>
      </c>
      <c r="G527" s="395">
        <v>1.0</v>
      </c>
      <c r="H527" s="395">
        <v>51.3774</v>
      </c>
      <c r="I527" s="395">
        <v>8.53061</v>
      </c>
      <c r="J527" s="395">
        <v>-25.2932</v>
      </c>
      <c r="K527" s="395">
        <v>-23.911088</v>
      </c>
      <c r="L527" s="395">
        <v>1005.19</v>
      </c>
      <c r="M527" s="395">
        <v>67.999688</v>
      </c>
      <c r="N527" s="395">
        <v>9208.26435</v>
      </c>
      <c r="O527" s="395">
        <v>9201.50183</v>
      </c>
      <c r="P527" s="397">
        <v>2070.3457</v>
      </c>
      <c r="Q527" s="376" t="s">
        <v>12</v>
      </c>
      <c r="R527" s="394" t="s">
        <v>539</v>
      </c>
      <c r="S527" s="394">
        <v>10.0</v>
      </c>
      <c r="T527" s="394">
        <v>5.0</v>
      </c>
      <c r="U527" s="394">
        <v>0.7</v>
      </c>
      <c r="V527" s="394">
        <v>0.7</v>
      </c>
      <c r="W527" s="394">
        <v>0.7</v>
      </c>
      <c r="X527" s="391">
        <v>2000.0</v>
      </c>
      <c r="Y527" s="391" t="s">
        <v>540</v>
      </c>
      <c r="Z527" s="391">
        <v>0.2</v>
      </c>
      <c r="AA527" s="391" t="s">
        <v>541</v>
      </c>
      <c r="AB527" s="391" t="s">
        <v>542</v>
      </c>
      <c r="AC527" s="391">
        <v>220.0</v>
      </c>
      <c r="AD527" s="186"/>
      <c r="AE527" s="253"/>
    </row>
    <row r="528">
      <c r="A528" s="391" t="s">
        <v>557</v>
      </c>
      <c r="B528" s="391" t="s">
        <v>558</v>
      </c>
      <c r="C528" s="391" t="s">
        <v>821</v>
      </c>
      <c r="D528" s="391" t="s">
        <v>538</v>
      </c>
      <c r="E528" s="391">
        <v>1.0</v>
      </c>
      <c r="F528" s="393">
        <v>45503.64444444444</v>
      </c>
      <c r="G528" s="391">
        <v>1.0</v>
      </c>
      <c r="H528" s="391">
        <v>51.3708</v>
      </c>
      <c r="I528" s="391">
        <v>8.04551</v>
      </c>
      <c r="J528" s="391">
        <v>-25.244363</v>
      </c>
      <c r="K528" s="391">
        <v>-23.9413</v>
      </c>
      <c r="L528" s="391">
        <v>1057.28</v>
      </c>
      <c r="M528" s="391">
        <v>75.999938</v>
      </c>
      <c r="N528" s="391">
        <v>11583.0968</v>
      </c>
      <c r="O528" s="391">
        <v>11579.0319</v>
      </c>
      <c r="P528" s="394">
        <v>2070.3457</v>
      </c>
      <c r="Q528" s="376" t="s">
        <v>12</v>
      </c>
      <c r="R528" s="394" t="s">
        <v>539</v>
      </c>
      <c r="S528" s="394">
        <v>10.0</v>
      </c>
      <c r="T528" s="394">
        <v>5.0</v>
      </c>
      <c r="U528" s="394">
        <v>0.7</v>
      </c>
      <c r="V528" s="394">
        <v>0.7</v>
      </c>
      <c r="W528" s="394">
        <v>0.7</v>
      </c>
      <c r="X528" s="391">
        <v>2000.0</v>
      </c>
      <c r="Y528" s="391" t="s">
        <v>540</v>
      </c>
      <c r="Z528" s="391">
        <v>0.2</v>
      </c>
      <c r="AA528" s="391" t="s">
        <v>541</v>
      </c>
      <c r="AB528" s="391" t="s">
        <v>542</v>
      </c>
      <c r="AC528" s="391">
        <v>220.0</v>
      </c>
      <c r="AD528" s="186"/>
      <c r="AE528" s="253"/>
    </row>
    <row r="529">
      <c r="A529" s="391" t="s">
        <v>559</v>
      </c>
      <c r="B529" s="391" t="s">
        <v>558</v>
      </c>
      <c r="C529" s="391" t="s">
        <v>821</v>
      </c>
      <c r="D529" s="391" t="s">
        <v>538</v>
      </c>
      <c r="E529" s="391">
        <v>1.0</v>
      </c>
      <c r="F529" s="393">
        <v>45503.64722222222</v>
      </c>
      <c r="G529" s="391">
        <v>1.0</v>
      </c>
      <c r="H529" s="391">
        <v>51.3741</v>
      </c>
      <c r="I529" s="391">
        <v>7.82413</v>
      </c>
      <c r="J529" s="391">
        <v>-25.275569</v>
      </c>
      <c r="K529" s="391">
        <v>-23.511713</v>
      </c>
      <c r="L529" s="391">
        <v>1066.84</v>
      </c>
      <c r="M529" s="391">
        <v>66.501408</v>
      </c>
      <c r="N529" s="391">
        <v>11574.967</v>
      </c>
      <c r="O529" s="391">
        <v>11579.0319</v>
      </c>
      <c r="P529" s="394">
        <v>2070.3457</v>
      </c>
      <c r="Q529" s="376" t="s">
        <v>12</v>
      </c>
      <c r="R529" s="394" t="s">
        <v>539</v>
      </c>
      <c r="S529" s="394">
        <v>10.0</v>
      </c>
      <c r="T529" s="394">
        <v>5.0</v>
      </c>
      <c r="U529" s="394">
        <v>0.7</v>
      </c>
      <c r="V529" s="394">
        <v>0.7</v>
      </c>
      <c r="W529" s="394">
        <v>0.7</v>
      </c>
      <c r="X529" s="391">
        <v>2000.0</v>
      </c>
      <c r="Y529" s="391" t="s">
        <v>540</v>
      </c>
      <c r="Z529" s="391">
        <v>0.2</v>
      </c>
      <c r="AA529" s="391" t="s">
        <v>541</v>
      </c>
      <c r="AB529" s="391" t="s">
        <v>542</v>
      </c>
      <c r="AC529" s="391">
        <v>220.0</v>
      </c>
      <c r="AD529" s="186"/>
      <c r="AE529" s="253"/>
    </row>
    <row r="530">
      <c r="A530" s="391" t="s">
        <v>560</v>
      </c>
      <c r="B530" s="391" t="s">
        <v>561</v>
      </c>
      <c r="C530" s="391" t="s">
        <v>821</v>
      </c>
      <c r="D530" s="391" t="s">
        <v>538</v>
      </c>
      <c r="E530" s="391">
        <v>1.2</v>
      </c>
      <c r="F530" s="393">
        <v>45503.65</v>
      </c>
      <c r="G530" s="391">
        <v>1.0</v>
      </c>
      <c r="H530" s="391">
        <v>51.3741</v>
      </c>
      <c r="I530" s="391">
        <v>7.48746</v>
      </c>
      <c r="J530" s="391">
        <v>-25.358675</v>
      </c>
      <c r="K530" s="391">
        <v>-23.488156</v>
      </c>
      <c r="L530" s="391">
        <v>1093.6</v>
      </c>
      <c r="M530" s="391">
        <v>70.50081</v>
      </c>
      <c r="N530" s="391">
        <v>13964.2841</v>
      </c>
      <c r="O530" s="391">
        <v>13950.8569</v>
      </c>
      <c r="P530" s="394">
        <v>2070.3457</v>
      </c>
      <c r="Q530" s="376" t="s">
        <v>12</v>
      </c>
      <c r="R530" s="394" t="s">
        <v>539</v>
      </c>
      <c r="S530" s="394">
        <v>10.0</v>
      </c>
      <c r="T530" s="394">
        <v>5.0</v>
      </c>
      <c r="U530" s="394">
        <v>0.7</v>
      </c>
      <c r="V530" s="394">
        <v>0.7</v>
      </c>
      <c r="W530" s="394">
        <v>0.7</v>
      </c>
      <c r="X530" s="391">
        <v>2000.0</v>
      </c>
      <c r="Y530" s="391" t="s">
        <v>540</v>
      </c>
      <c r="Z530" s="391">
        <v>0.2</v>
      </c>
      <c r="AA530" s="391" t="s">
        <v>541</v>
      </c>
      <c r="AB530" s="391" t="s">
        <v>542</v>
      </c>
      <c r="AC530" s="391">
        <v>220.0</v>
      </c>
      <c r="AD530" s="186"/>
      <c r="AE530" s="253"/>
    </row>
    <row r="531">
      <c r="A531" s="391" t="s">
        <v>562</v>
      </c>
      <c r="B531" s="391" t="s">
        <v>561</v>
      </c>
      <c r="C531" s="391" t="s">
        <v>821</v>
      </c>
      <c r="D531" s="391" t="s">
        <v>538</v>
      </c>
      <c r="E531" s="391">
        <v>1.2</v>
      </c>
      <c r="F531" s="393">
        <v>45503.65277777778</v>
      </c>
      <c r="G531" s="391">
        <v>1.0</v>
      </c>
      <c r="H531" s="391">
        <v>51.3708</v>
      </c>
      <c r="I531" s="391">
        <v>7.67975</v>
      </c>
      <c r="J531" s="391">
        <v>-25.256019</v>
      </c>
      <c r="K531" s="391">
        <v>-23.801988</v>
      </c>
      <c r="L531" s="391">
        <v>1113.01</v>
      </c>
      <c r="M531" s="391">
        <v>74.000527</v>
      </c>
      <c r="N531" s="391">
        <v>13937.4297</v>
      </c>
      <c r="O531" s="391">
        <v>13950.8569</v>
      </c>
      <c r="P531" s="394">
        <v>2070.3457</v>
      </c>
      <c r="Q531" s="376" t="s">
        <v>12</v>
      </c>
      <c r="R531" s="394" t="s">
        <v>539</v>
      </c>
      <c r="S531" s="394">
        <v>10.0</v>
      </c>
      <c r="T531" s="394">
        <v>5.0</v>
      </c>
      <c r="U531" s="394">
        <v>0.7</v>
      </c>
      <c r="V531" s="394">
        <v>0.7</v>
      </c>
      <c r="W531" s="394">
        <v>0.7</v>
      </c>
      <c r="X531" s="391">
        <v>2000.0</v>
      </c>
      <c r="Y531" s="391" t="s">
        <v>540</v>
      </c>
      <c r="Z531" s="391">
        <v>0.2</v>
      </c>
      <c r="AA531" s="391" t="s">
        <v>541</v>
      </c>
      <c r="AB531" s="391" t="s">
        <v>542</v>
      </c>
      <c r="AC531" s="391">
        <v>220.0</v>
      </c>
      <c r="AD531" s="186"/>
      <c r="AE531" s="253"/>
    </row>
    <row r="532">
      <c r="A532" s="391" t="s">
        <v>563</v>
      </c>
      <c r="B532" s="391">
        <v>2.0</v>
      </c>
      <c r="C532" s="391">
        <v>599.0</v>
      </c>
      <c r="D532" s="391" t="s">
        <v>564</v>
      </c>
      <c r="E532" s="391">
        <v>1.0</v>
      </c>
      <c r="F532" s="393">
        <v>45503.65625</v>
      </c>
      <c r="G532" s="391">
        <v>1.0</v>
      </c>
      <c r="H532" s="391">
        <v>51.3741</v>
      </c>
      <c r="I532" s="391">
        <v>7.21706</v>
      </c>
      <c r="J532" s="391">
        <v>-25.327775</v>
      </c>
      <c r="K532" s="391">
        <v>-24.050725</v>
      </c>
      <c r="L532" s="391">
        <v>1065.45</v>
      </c>
      <c r="M532" s="391">
        <v>74.499691</v>
      </c>
      <c r="N532" s="391">
        <v>11721.9169</v>
      </c>
      <c r="O532" s="391">
        <v>11634.6173</v>
      </c>
      <c r="P532" s="394">
        <v>2080.36965</v>
      </c>
      <c r="Q532" s="376" t="s">
        <v>12</v>
      </c>
      <c r="R532" s="394" t="s">
        <v>553</v>
      </c>
      <c r="S532" s="394">
        <v>10.0</v>
      </c>
      <c r="T532" s="394">
        <v>5.0</v>
      </c>
      <c r="U532" s="394">
        <v>0.7</v>
      </c>
      <c r="V532" s="394">
        <v>0.7</v>
      </c>
      <c r="W532" s="394">
        <v>0.7</v>
      </c>
      <c r="X532" s="391">
        <v>2000.0</v>
      </c>
      <c r="Y532" s="391" t="s">
        <v>540</v>
      </c>
      <c r="Z532" s="391">
        <v>0.2</v>
      </c>
      <c r="AA532" s="391" t="s">
        <v>541</v>
      </c>
      <c r="AB532" s="391" t="s">
        <v>542</v>
      </c>
      <c r="AC532" s="391">
        <v>220.0</v>
      </c>
      <c r="AD532" s="186"/>
      <c r="AE532" s="253"/>
    </row>
    <row r="533">
      <c r="A533" s="391" t="s">
        <v>565</v>
      </c>
      <c r="B533" s="391">
        <v>2.0</v>
      </c>
      <c r="C533" s="391">
        <v>599.0</v>
      </c>
      <c r="D533" s="391" t="s">
        <v>564</v>
      </c>
      <c r="E533" s="391">
        <v>1.0</v>
      </c>
      <c r="F533" s="393">
        <v>45503.65902777778</v>
      </c>
      <c r="G533" s="391">
        <v>1.0</v>
      </c>
      <c r="H533" s="391">
        <v>51.3708</v>
      </c>
      <c r="I533" s="391">
        <v>6.73822</v>
      </c>
      <c r="J533" s="391">
        <v>-25.227869</v>
      </c>
      <c r="K533" s="391">
        <v>-23.601012</v>
      </c>
      <c r="L533" s="391">
        <v>1046.44</v>
      </c>
      <c r="M533" s="391">
        <v>71.999742</v>
      </c>
      <c r="N533" s="391">
        <v>11685.4732</v>
      </c>
      <c r="O533" s="391">
        <v>11634.6173</v>
      </c>
      <c r="P533" s="394">
        <v>2080.36965</v>
      </c>
      <c r="Q533" s="376" t="s">
        <v>12</v>
      </c>
      <c r="R533" s="394" t="s">
        <v>553</v>
      </c>
      <c r="S533" s="394">
        <v>10.0</v>
      </c>
      <c r="T533" s="394">
        <v>5.0</v>
      </c>
      <c r="U533" s="394">
        <v>0.7</v>
      </c>
      <c r="V533" s="394">
        <v>0.7</v>
      </c>
      <c r="W533" s="394">
        <v>0.7</v>
      </c>
      <c r="X533" s="391">
        <v>2000.0</v>
      </c>
      <c r="Y533" s="391" t="s">
        <v>540</v>
      </c>
      <c r="Z533" s="391">
        <v>0.2</v>
      </c>
      <c r="AA533" s="391" t="s">
        <v>541</v>
      </c>
      <c r="AB533" s="391" t="s">
        <v>542</v>
      </c>
      <c r="AC533" s="391">
        <v>220.0</v>
      </c>
      <c r="AD533" s="186"/>
      <c r="AE533" s="253"/>
    </row>
    <row r="534">
      <c r="A534" s="391" t="s">
        <v>566</v>
      </c>
      <c r="B534" s="391">
        <v>2.0</v>
      </c>
      <c r="C534" s="391">
        <v>599.0</v>
      </c>
      <c r="D534" s="391" t="s">
        <v>564</v>
      </c>
      <c r="E534" s="391">
        <v>1.0</v>
      </c>
      <c r="F534" s="393">
        <v>45503.66180555556</v>
      </c>
      <c r="G534" s="391">
        <v>1.0</v>
      </c>
      <c r="H534" s="391">
        <v>51.3741</v>
      </c>
      <c r="I534" s="391">
        <v>6.64248</v>
      </c>
      <c r="J534" s="391">
        <v>-25.294906</v>
      </c>
      <c r="K534" s="391">
        <v>-23.768975</v>
      </c>
      <c r="L534" s="391">
        <v>1055.36</v>
      </c>
      <c r="M534" s="391">
        <v>73.999965</v>
      </c>
      <c r="N534" s="391">
        <v>11520.2604</v>
      </c>
      <c r="O534" s="391">
        <v>11634.6173</v>
      </c>
      <c r="P534" s="394">
        <v>2080.36965</v>
      </c>
      <c r="Q534" s="376" t="s">
        <v>12</v>
      </c>
      <c r="R534" s="394" t="s">
        <v>553</v>
      </c>
      <c r="S534" s="394">
        <v>10.0</v>
      </c>
      <c r="T534" s="394">
        <v>5.0</v>
      </c>
      <c r="U534" s="394">
        <v>0.7</v>
      </c>
      <c r="V534" s="394">
        <v>0.7</v>
      </c>
      <c r="W534" s="394">
        <v>0.7</v>
      </c>
      <c r="X534" s="391">
        <v>2000.0</v>
      </c>
      <c r="Y534" s="391" t="s">
        <v>540</v>
      </c>
      <c r="Z534" s="391">
        <v>0.2</v>
      </c>
      <c r="AA534" s="391" t="s">
        <v>541</v>
      </c>
      <c r="AB534" s="391" t="s">
        <v>542</v>
      </c>
      <c r="AC534" s="391">
        <v>220.0</v>
      </c>
      <c r="AD534" s="186"/>
      <c r="AE534" s="253"/>
    </row>
    <row r="535">
      <c r="A535" s="391" t="s">
        <v>822</v>
      </c>
      <c r="B535" s="391">
        <v>2.0</v>
      </c>
      <c r="C535" s="391">
        <v>599.0</v>
      </c>
      <c r="D535" s="391" t="s">
        <v>564</v>
      </c>
      <c r="E535" s="391">
        <v>1.0</v>
      </c>
      <c r="F535" s="393">
        <v>45503.66458333333</v>
      </c>
      <c r="G535" s="391">
        <v>1.0</v>
      </c>
      <c r="H535" s="391">
        <v>51.3741</v>
      </c>
      <c r="I535" s="391">
        <v>6.73626</v>
      </c>
      <c r="J535" s="391">
        <v>-25.351825</v>
      </c>
      <c r="K535" s="391">
        <v>-23.820256</v>
      </c>
      <c r="L535" s="391">
        <v>1037.98</v>
      </c>
      <c r="M535" s="391">
        <v>74.500154</v>
      </c>
      <c r="N535" s="391">
        <v>11633.7114</v>
      </c>
      <c r="O535" s="391">
        <v>11634.6173</v>
      </c>
      <c r="P535" s="394">
        <v>2080.36965</v>
      </c>
      <c r="Q535" s="376" t="s">
        <v>12</v>
      </c>
      <c r="R535" s="394" t="s">
        <v>539</v>
      </c>
      <c r="S535" s="394">
        <v>10.0</v>
      </c>
      <c r="T535" s="394">
        <v>5.0</v>
      </c>
      <c r="U535" s="394">
        <v>0.7</v>
      </c>
      <c r="V535" s="394">
        <v>0.7</v>
      </c>
      <c r="W535" s="394">
        <v>0.7</v>
      </c>
      <c r="X535" s="391">
        <v>2000.0</v>
      </c>
      <c r="Y535" s="391" t="s">
        <v>540</v>
      </c>
      <c r="Z535" s="391">
        <v>0.2</v>
      </c>
      <c r="AA535" s="391" t="s">
        <v>541</v>
      </c>
      <c r="AB535" s="391" t="s">
        <v>542</v>
      </c>
      <c r="AC535" s="391">
        <v>220.0</v>
      </c>
      <c r="AD535" s="186"/>
      <c r="AE535" s="253"/>
    </row>
    <row r="536">
      <c r="A536" s="391" t="s">
        <v>823</v>
      </c>
      <c r="B536" s="391">
        <v>2.0</v>
      </c>
      <c r="C536" s="391">
        <v>599.0</v>
      </c>
      <c r="D536" s="391" t="s">
        <v>564</v>
      </c>
      <c r="E536" s="391">
        <v>1.0</v>
      </c>
      <c r="F536" s="393">
        <v>45503.66805555556</v>
      </c>
      <c r="G536" s="391">
        <v>1.0</v>
      </c>
      <c r="H536" s="391">
        <v>51.3741</v>
      </c>
      <c r="I536" s="391">
        <v>6.71225</v>
      </c>
      <c r="J536" s="391">
        <v>-25.2734</v>
      </c>
      <c r="K536" s="391">
        <v>-23.734638</v>
      </c>
      <c r="L536" s="391">
        <v>1044.4</v>
      </c>
      <c r="M536" s="391">
        <v>73.000658</v>
      </c>
      <c r="N536" s="391">
        <v>11635.5232</v>
      </c>
      <c r="O536" s="391">
        <v>11634.6173</v>
      </c>
      <c r="P536" s="394">
        <v>2080.36965</v>
      </c>
      <c r="Q536" s="376" t="s">
        <v>12</v>
      </c>
      <c r="R536" s="394" t="s">
        <v>539</v>
      </c>
      <c r="S536" s="394">
        <v>10.0</v>
      </c>
      <c r="T536" s="394">
        <v>5.0</v>
      </c>
      <c r="U536" s="394">
        <v>0.7</v>
      </c>
      <c r="V536" s="394">
        <v>0.7</v>
      </c>
      <c r="W536" s="394">
        <v>0.7</v>
      </c>
      <c r="X536" s="391">
        <v>2000.0</v>
      </c>
      <c r="Y536" s="391" t="s">
        <v>540</v>
      </c>
      <c r="Z536" s="391">
        <v>0.2</v>
      </c>
      <c r="AA536" s="391" t="s">
        <v>541</v>
      </c>
      <c r="AB536" s="391" t="s">
        <v>542</v>
      </c>
      <c r="AC536" s="391">
        <v>220.0</v>
      </c>
      <c r="AD536" s="186"/>
      <c r="AE536" s="253"/>
    </row>
    <row r="537">
      <c r="A537" s="391" t="s">
        <v>567</v>
      </c>
      <c r="B537" s="391">
        <v>3.0</v>
      </c>
      <c r="C537" s="391">
        <v>600.0</v>
      </c>
      <c r="D537" s="391" t="s">
        <v>568</v>
      </c>
      <c r="E537" s="391">
        <v>1.0</v>
      </c>
      <c r="F537" s="393">
        <v>45503.67152777778</v>
      </c>
      <c r="G537" s="391">
        <v>1.0</v>
      </c>
      <c r="H537" s="391">
        <v>51.3741</v>
      </c>
      <c r="I537" s="391">
        <v>6.52685</v>
      </c>
      <c r="J537" s="391">
        <v>-25.260087</v>
      </c>
      <c r="K537" s="391">
        <v>-23.358162</v>
      </c>
      <c r="L537" s="391">
        <v>1051.97</v>
      </c>
      <c r="M537" s="391">
        <v>68.499453</v>
      </c>
      <c r="N537" s="391">
        <v>11626.2313</v>
      </c>
      <c r="O537" s="391">
        <v>11654.501</v>
      </c>
      <c r="P537" s="394">
        <v>2083.83674</v>
      </c>
      <c r="Q537" s="376" t="s">
        <v>12</v>
      </c>
      <c r="R537" s="394" t="s">
        <v>553</v>
      </c>
      <c r="S537" s="394">
        <v>10.0</v>
      </c>
      <c r="T537" s="394">
        <v>5.0</v>
      </c>
      <c r="U537" s="394">
        <v>0.7</v>
      </c>
      <c r="V537" s="394">
        <v>0.7</v>
      </c>
      <c r="W537" s="394">
        <v>0.7</v>
      </c>
      <c r="X537" s="391">
        <v>2000.0</v>
      </c>
      <c r="Y537" s="391" t="s">
        <v>540</v>
      </c>
      <c r="Z537" s="391">
        <v>0.2</v>
      </c>
      <c r="AA537" s="391" t="s">
        <v>541</v>
      </c>
      <c r="AB537" s="391" t="s">
        <v>542</v>
      </c>
      <c r="AC537" s="391">
        <v>220.0</v>
      </c>
      <c r="AD537" s="186"/>
      <c r="AE537" s="253"/>
    </row>
    <row r="538">
      <c r="A538" s="391" t="s">
        <v>569</v>
      </c>
      <c r="B538" s="391">
        <v>3.0</v>
      </c>
      <c r="C538" s="391">
        <v>600.0</v>
      </c>
      <c r="D538" s="391" t="s">
        <v>568</v>
      </c>
      <c r="E538" s="391">
        <v>1.0</v>
      </c>
      <c r="F538" s="393">
        <v>45503.674305555556</v>
      </c>
      <c r="G538" s="391">
        <v>1.0</v>
      </c>
      <c r="H538" s="391">
        <v>51.3708</v>
      </c>
      <c r="I538" s="391">
        <v>6.48976</v>
      </c>
      <c r="J538" s="391">
        <v>-25.318413</v>
      </c>
      <c r="K538" s="391">
        <v>-24.006969</v>
      </c>
      <c r="L538" s="391">
        <v>1028.23</v>
      </c>
      <c r="M538" s="391">
        <v>76.0001</v>
      </c>
      <c r="N538" s="391">
        <v>11674.8562</v>
      </c>
      <c r="O538" s="391">
        <v>11654.501</v>
      </c>
      <c r="P538" s="394">
        <v>2083.83674</v>
      </c>
      <c r="Q538" s="376" t="s">
        <v>12</v>
      </c>
      <c r="R538" s="394" t="s">
        <v>553</v>
      </c>
      <c r="S538" s="394">
        <v>10.0</v>
      </c>
      <c r="T538" s="394">
        <v>5.0</v>
      </c>
      <c r="U538" s="394">
        <v>0.7</v>
      </c>
      <c r="V538" s="394">
        <v>0.7</v>
      </c>
      <c r="W538" s="394">
        <v>0.7</v>
      </c>
      <c r="X538" s="391">
        <v>2000.0</v>
      </c>
      <c r="Y538" s="391" t="s">
        <v>540</v>
      </c>
      <c r="Z538" s="391">
        <v>0.2</v>
      </c>
      <c r="AA538" s="391" t="s">
        <v>541</v>
      </c>
      <c r="AB538" s="391" t="s">
        <v>542</v>
      </c>
      <c r="AC538" s="391">
        <v>220.0</v>
      </c>
      <c r="AD538" s="186"/>
      <c r="AE538" s="253"/>
    </row>
    <row r="539">
      <c r="A539" s="391" t="s">
        <v>789</v>
      </c>
      <c r="B539" s="391">
        <v>3.0</v>
      </c>
      <c r="C539" s="391">
        <v>600.0</v>
      </c>
      <c r="D539" s="391" t="s">
        <v>568</v>
      </c>
      <c r="E539" s="391">
        <v>1.0</v>
      </c>
      <c r="F539" s="393">
        <v>45503.677083333336</v>
      </c>
      <c r="G539" s="391">
        <v>1.0</v>
      </c>
      <c r="H539" s="391">
        <v>51.3741</v>
      </c>
      <c r="I539" s="391">
        <v>6.29485</v>
      </c>
      <c r="J539" s="391">
        <v>-25.436462</v>
      </c>
      <c r="K539" s="391">
        <v>-23.02995</v>
      </c>
      <c r="L539" s="391">
        <v>1026.3</v>
      </c>
      <c r="M539" s="391">
        <v>66.499712</v>
      </c>
      <c r="N539" s="391">
        <v>11553.2532</v>
      </c>
      <c r="O539" s="391">
        <v>11654.501</v>
      </c>
      <c r="P539" s="394">
        <v>2083.83674</v>
      </c>
      <c r="Q539" s="376" t="s">
        <v>12</v>
      </c>
      <c r="R539" s="394" t="s">
        <v>553</v>
      </c>
      <c r="S539" s="394">
        <v>10.0</v>
      </c>
      <c r="T539" s="394">
        <v>5.0</v>
      </c>
      <c r="U539" s="394">
        <v>0.7</v>
      </c>
      <c r="V539" s="394">
        <v>0.7</v>
      </c>
      <c r="W539" s="394">
        <v>0.7</v>
      </c>
      <c r="X539" s="391">
        <v>2000.0</v>
      </c>
      <c r="Y539" s="391" t="s">
        <v>540</v>
      </c>
      <c r="Z539" s="391">
        <v>0.2</v>
      </c>
      <c r="AA539" s="391" t="s">
        <v>541</v>
      </c>
      <c r="AB539" s="391" t="s">
        <v>542</v>
      </c>
      <c r="AC539" s="391">
        <v>220.0</v>
      </c>
      <c r="AD539" s="186"/>
      <c r="AE539" s="253"/>
    </row>
    <row r="540">
      <c r="A540" s="391" t="s">
        <v>790</v>
      </c>
      <c r="B540" s="391">
        <v>3.0</v>
      </c>
      <c r="C540" s="391">
        <v>600.0</v>
      </c>
      <c r="D540" s="391" t="s">
        <v>568</v>
      </c>
      <c r="E540" s="391">
        <v>1.0</v>
      </c>
      <c r="F540" s="393">
        <v>45503.67986111111</v>
      </c>
      <c r="G540" s="391">
        <v>1.0</v>
      </c>
      <c r="H540" s="391">
        <v>51.3708</v>
      </c>
      <c r="I540" s="391">
        <v>6.52426</v>
      </c>
      <c r="J540" s="391">
        <v>-25.4582</v>
      </c>
      <c r="K540" s="391">
        <v>-23.923325</v>
      </c>
      <c r="L540" s="391">
        <v>1054.34</v>
      </c>
      <c r="M540" s="391">
        <v>75.002474</v>
      </c>
      <c r="N540" s="391">
        <v>11644.9018</v>
      </c>
      <c r="O540" s="391">
        <v>11654.501</v>
      </c>
      <c r="P540" s="394">
        <v>2083.83674</v>
      </c>
      <c r="Q540" s="376" t="s">
        <v>12</v>
      </c>
      <c r="R540" s="394" t="s">
        <v>539</v>
      </c>
      <c r="S540" s="394">
        <v>10.0</v>
      </c>
      <c r="T540" s="394">
        <v>5.0</v>
      </c>
      <c r="U540" s="394">
        <v>0.7</v>
      </c>
      <c r="V540" s="394">
        <v>0.7</v>
      </c>
      <c r="W540" s="394">
        <v>0.7</v>
      </c>
      <c r="X540" s="391">
        <v>2000.0</v>
      </c>
      <c r="Y540" s="391" t="s">
        <v>540</v>
      </c>
      <c r="Z540" s="391">
        <v>0.2</v>
      </c>
      <c r="AA540" s="391" t="s">
        <v>541</v>
      </c>
      <c r="AB540" s="391" t="s">
        <v>542</v>
      </c>
      <c r="AC540" s="391">
        <v>220.0</v>
      </c>
      <c r="AD540" s="186"/>
      <c r="AE540" s="253"/>
    </row>
    <row r="541">
      <c r="A541" s="391" t="s">
        <v>791</v>
      </c>
      <c r="B541" s="391">
        <v>3.0</v>
      </c>
      <c r="C541" s="391">
        <v>600.0</v>
      </c>
      <c r="D541" s="391" t="s">
        <v>568</v>
      </c>
      <c r="E541" s="391">
        <v>1.0</v>
      </c>
      <c r="F541" s="393">
        <v>45503.68263888889</v>
      </c>
      <c r="G541" s="391">
        <v>1.0</v>
      </c>
      <c r="H541" s="391">
        <v>51.3774</v>
      </c>
      <c r="I541" s="391">
        <v>6.55209</v>
      </c>
      <c r="J541" s="391">
        <v>-25.456031</v>
      </c>
      <c r="K541" s="391">
        <v>-23.672738</v>
      </c>
      <c r="L541" s="391">
        <v>1049.15</v>
      </c>
      <c r="M541" s="391">
        <v>74.000228</v>
      </c>
      <c r="N541" s="391">
        <v>11664.1002</v>
      </c>
      <c r="O541" s="391">
        <v>11654.501</v>
      </c>
      <c r="P541" s="394">
        <v>2083.83674</v>
      </c>
      <c r="Q541" s="376" t="s">
        <v>12</v>
      </c>
      <c r="R541" s="394" t="s">
        <v>539</v>
      </c>
      <c r="S541" s="394">
        <v>10.0</v>
      </c>
      <c r="T541" s="394">
        <v>5.0</v>
      </c>
      <c r="U541" s="394">
        <v>0.7</v>
      </c>
      <c r="V541" s="394">
        <v>0.7</v>
      </c>
      <c r="W541" s="394">
        <v>0.7</v>
      </c>
      <c r="X541" s="391">
        <v>2000.0</v>
      </c>
      <c r="Y541" s="391" t="s">
        <v>540</v>
      </c>
      <c r="Z541" s="391">
        <v>0.2</v>
      </c>
      <c r="AA541" s="391" t="s">
        <v>541</v>
      </c>
      <c r="AB541" s="391" t="s">
        <v>542</v>
      </c>
      <c r="AC541" s="391">
        <v>220.0</v>
      </c>
      <c r="AD541" s="186"/>
      <c r="AE541" s="253"/>
    </row>
    <row r="542">
      <c r="A542" s="391" t="s">
        <v>570</v>
      </c>
      <c r="B542" s="391">
        <v>4.0</v>
      </c>
      <c r="C542" s="391">
        <v>547.0</v>
      </c>
      <c r="D542" s="391" t="s">
        <v>571</v>
      </c>
      <c r="E542" s="391">
        <v>1.0</v>
      </c>
      <c r="F542" s="393">
        <v>45503.686111111114</v>
      </c>
      <c r="G542" s="391">
        <v>1.0</v>
      </c>
      <c r="H542" s="391">
        <v>51.3708</v>
      </c>
      <c r="I542" s="391">
        <v>6.48028</v>
      </c>
      <c r="J542" s="391">
        <v>-25.370744</v>
      </c>
      <c r="K542" s="391">
        <v>-23.951562</v>
      </c>
      <c r="L542" s="391">
        <v>1044.5</v>
      </c>
      <c r="M542" s="391">
        <v>74.000321</v>
      </c>
      <c r="N542" s="391">
        <v>11641.7874</v>
      </c>
      <c r="O542" s="391">
        <v>11643.9669</v>
      </c>
      <c r="P542" s="394">
        <v>2081.99991</v>
      </c>
      <c r="Q542" s="376" t="s">
        <v>12</v>
      </c>
      <c r="R542" s="394" t="s">
        <v>553</v>
      </c>
      <c r="S542" s="394">
        <v>10.0</v>
      </c>
      <c r="T542" s="394">
        <v>5.0</v>
      </c>
      <c r="U542" s="394">
        <v>0.7</v>
      </c>
      <c r="V542" s="394">
        <v>0.7</v>
      </c>
      <c r="W542" s="394">
        <v>0.7</v>
      </c>
      <c r="X542" s="391">
        <v>2000.0</v>
      </c>
      <c r="Y542" s="391" t="s">
        <v>540</v>
      </c>
      <c r="Z542" s="391">
        <v>0.2</v>
      </c>
      <c r="AA542" s="391" t="s">
        <v>541</v>
      </c>
      <c r="AB542" s="391" t="s">
        <v>542</v>
      </c>
      <c r="AC542" s="391">
        <v>220.0</v>
      </c>
      <c r="AD542" s="186"/>
      <c r="AE542" s="253"/>
    </row>
    <row r="543">
      <c r="A543" s="391" t="s">
        <v>572</v>
      </c>
      <c r="B543" s="391">
        <v>4.0</v>
      </c>
      <c r="C543" s="391">
        <v>547.0</v>
      </c>
      <c r="D543" s="391" t="s">
        <v>571</v>
      </c>
      <c r="E543" s="391">
        <v>1.0</v>
      </c>
      <c r="F543" s="393">
        <v>45503.688888888886</v>
      </c>
      <c r="G543" s="391">
        <v>1.0</v>
      </c>
      <c r="H543" s="391">
        <v>51.3708</v>
      </c>
      <c r="I543" s="391">
        <v>6.95286</v>
      </c>
      <c r="J543" s="391">
        <v>-25.482331</v>
      </c>
      <c r="K543" s="391">
        <v>-23.794638</v>
      </c>
      <c r="L543" s="391">
        <v>1074.81</v>
      </c>
      <c r="M543" s="391">
        <v>68.99996</v>
      </c>
      <c r="N543" s="391">
        <v>11783.6946</v>
      </c>
      <c r="O543" s="391">
        <v>11643.9669</v>
      </c>
      <c r="P543" s="394">
        <v>2081.99991</v>
      </c>
      <c r="Q543" s="376" t="s">
        <v>12</v>
      </c>
      <c r="R543" s="394" t="s">
        <v>553</v>
      </c>
      <c r="S543" s="394">
        <v>10.0</v>
      </c>
      <c r="T543" s="394">
        <v>5.0</v>
      </c>
      <c r="U543" s="394">
        <v>0.7</v>
      </c>
      <c r="V543" s="394">
        <v>0.7</v>
      </c>
      <c r="W543" s="394">
        <v>0.7</v>
      </c>
      <c r="X543" s="391">
        <v>2000.0</v>
      </c>
      <c r="Y543" s="391" t="s">
        <v>540</v>
      </c>
      <c r="Z543" s="391">
        <v>0.2</v>
      </c>
      <c r="AA543" s="391" t="s">
        <v>541</v>
      </c>
      <c r="AB543" s="391" t="s">
        <v>542</v>
      </c>
      <c r="AC543" s="391">
        <v>220.0</v>
      </c>
      <c r="AD543" s="186"/>
      <c r="AE543" s="253"/>
    </row>
    <row r="544">
      <c r="A544" s="391" t="s">
        <v>573</v>
      </c>
      <c r="B544" s="391">
        <v>4.0</v>
      </c>
      <c r="C544" s="391">
        <v>547.0</v>
      </c>
      <c r="D544" s="391" t="s">
        <v>571</v>
      </c>
      <c r="E544" s="391">
        <v>1.0</v>
      </c>
      <c r="F544" s="393">
        <v>45503.691666666666</v>
      </c>
      <c r="G544" s="391">
        <v>1.0</v>
      </c>
      <c r="H544" s="391">
        <v>51.3741</v>
      </c>
      <c r="I544" s="391">
        <v>6.65967</v>
      </c>
      <c r="J544" s="391">
        <v>-25.409519</v>
      </c>
      <c r="K544" s="391">
        <v>-23.891319</v>
      </c>
      <c r="L544" s="391">
        <v>1094.57</v>
      </c>
      <c r="M544" s="391">
        <v>71.999333</v>
      </c>
      <c r="N544" s="391">
        <v>11653.817</v>
      </c>
      <c r="O544" s="391">
        <v>11643.9669</v>
      </c>
      <c r="P544" s="394">
        <v>2081.99991</v>
      </c>
      <c r="Q544" s="376" t="s">
        <v>12</v>
      </c>
      <c r="R544" s="394" t="s">
        <v>539</v>
      </c>
      <c r="S544" s="394">
        <v>10.0</v>
      </c>
      <c r="T544" s="394">
        <v>5.0</v>
      </c>
      <c r="U544" s="394">
        <v>0.7</v>
      </c>
      <c r="V544" s="394">
        <v>0.7</v>
      </c>
      <c r="W544" s="394">
        <v>0.7</v>
      </c>
      <c r="X544" s="391">
        <v>2000.0</v>
      </c>
      <c r="Y544" s="391" t="s">
        <v>540</v>
      </c>
      <c r="Z544" s="391">
        <v>0.2</v>
      </c>
      <c r="AA544" s="391" t="s">
        <v>541</v>
      </c>
      <c r="AB544" s="391" t="s">
        <v>542</v>
      </c>
      <c r="AC544" s="391">
        <v>220.0</v>
      </c>
      <c r="AD544" s="186"/>
      <c r="AE544" s="253"/>
    </row>
    <row r="545">
      <c r="A545" s="391" t="s">
        <v>824</v>
      </c>
      <c r="B545" s="391">
        <v>4.0</v>
      </c>
      <c r="C545" s="391">
        <v>547.0</v>
      </c>
      <c r="D545" s="391" t="s">
        <v>571</v>
      </c>
      <c r="E545" s="391">
        <v>1.0</v>
      </c>
      <c r="F545" s="393">
        <v>45503.694444444445</v>
      </c>
      <c r="G545" s="391">
        <v>1.0</v>
      </c>
      <c r="H545" s="391">
        <v>51.3741</v>
      </c>
      <c r="I545" s="391">
        <v>6.55222</v>
      </c>
      <c r="J545" s="391">
        <v>-25.4087</v>
      </c>
      <c r="K545" s="391">
        <v>-23.413525</v>
      </c>
      <c r="L545" s="391">
        <v>1039.9</v>
      </c>
      <c r="M545" s="391">
        <v>70.500096</v>
      </c>
      <c r="N545" s="391">
        <v>11634.1167</v>
      </c>
      <c r="O545" s="391">
        <v>11643.9669</v>
      </c>
      <c r="P545" s="394">
        <v>2081.99991</v>
      </c>
      <c r="Q545" s="376" t="s">
        <v>12</v>
      </c>
      <c r="R545" s="394" t="s">
        <v>539</v>
      </c>
      <c r="S545" s="394">
        <v>10.0</v>
      </c>
      <c r="T545" s="394">
        <v>5.0</v>
      </c>
      <c r="U545" s="394">
        <v>0.7</v>
      </c>
      <c r="V545" s="394">
        <v>0.7</v>
      </c>
      <c r="W545" s="394">
        <v>0.7</v>
      </c>
      <c r="X545" s="391">
        <v>2000.0</v>
      </c>
      <c r="Y545" s="391" t="s">
        <v>540</v>
      </c>
      <c r="Z545" s="391">
        <v>0.2</v>
      </c>
      <c r="AA545" s="391" t="s">
        <v>541</v>
      </c>
      <c r="AB545" s="391" t="s">
        <v>542</v>
      </c>
      <c r="AC545" s="391">
        <v>220.0</v>
      </c>
      <c r="AD545" s="186"/>
      <c r="AE545" s="253"/>
    </row>
    <row r="546">
      <c r="A546" s="391" t="s">
        <v>574</v>
      </c>
      <c r="B546" s="391">
        <v>5.0</v>
      </c>
      <c r="C546" s="391">
        <v>548.0</v>
      </c>
      <c r="D546" s="391" t="s">
        <v>575</v>
      </c>
      <c r="E546" s="391">
        <v>1.0</v>
      </c>
      <c r="F546" s="393">
        <v>45503.697916666664</v>
      </c>
      <c r="G546" s="391">
        <v>1.0</v>
      </c>
      <c r="H546" s="391">
        <v>51.3741</v>
      </c>
      <c r="I546" s="391">
        <v>6.33063</v>
      </c>
      <c r="J546" s="391">
        <v>-25.505606</v>
      </c>
      <c r="K546" s="391">
        <v>-24.187863</v>
      </c>
      <c r="L546" s="391">
        <v>1053.84</v>
      </c>
      <c r="M546" s="391">
        <v>76.499744</v>
      </c>
      <c r="N546" s="391">
        <v>11658.7997</v>
      </c>
      <c r="O546" s="391">
        <v>11657.9182</v>
      </c>
      <c r="P546" s="394">
        <v>2084.43259</v>
      </c>
      <c r="Q546" s="376" t="s">
        <v>12</v>
      </c>
      <c r="R546" s="394" t="s">
        <v>539</v>
      </c>
      <c r="S546" s="394">
        <v>10.0</v>
      </c>
      <c r="T546" s="394">
        <v>5.0</v>
      </c>
      <c r="U546" s="394">
        <v>0.7</v>
      </c>
      <c r="V546" s="394">
        <v>0.7</v>
      </c>
      <c r="W546" s="394">
        <v>0.7</v>
      </c>
      <c r="X546" s="391">
        <v>2000.0</v>
      </c>
      <c r="Y546" s="391" t="s">
        <v>540</v>
      </c>
      <c r="Z546" s="391">
        <v>0.2</v>
      </c>
      <c r="AA546" s="391" t="s">
        <v>541</v>
      </c>
      <c r="AB546" s="391" t="s">
        <v>542</v>
      </c>
      <c r="AC546" s="391">
        <v>220.0</v>
      </c>
      <c r="AD546" s="186"/>
      <c r="AE546" s="253"/>
    </row>
    <row r="547">
      <c r="A547" s="391" t="s">
        <v>576</v>
      </c>
      <c r="B547" s="391">
        <v>5.0</v>
      </c>
      <c r="C547" s="391">
        <v>548.0</v>
      </c>
      <c r="D547" s="391" t="s">
        <v>575</v>
      </c>
      <c r="E547" s="391">
        <v>1.0</v>
      </c>
      <c r="F547" s="393">
        <v>45503.700694444444</v>
      </c>
      <c r="G547" s="391">
        <v>1.0</v>
      </c>
      <c r="H547" s="391">
        <v>51.3741</v>
      </c>
      <c r="I547" s="391">
        <v>6.28558</v>
      </c>
      <c r="J547" s="391">
        <v>-25.4542</v>
      </c>
      <c r="K547" s="391">
        <v>-23.405625</v>
      </c>
      <c r="L547" s="391">
        <v>1049.58</v>
      </c>
      <c r="M547" s="391">
        <v>69.001351</v>
      </c>
      <c r="N547" s="391">
        <v>11657.0368</v>
      </c>
      <c r="O547" s="391">
        <v>11657.9182</v>
      </c>
      <c r="P547" s="394">
        <v>2084.43259</v>
      </c>
      <c r="Q547" s="376" t="s">
        <v>12</v>
      </c>
      <c r="R547" s="394" t="s">
        <v>539</v>
      </c>
      <c r="S547" s="394">
        <v>10.0</v>
      </c>
      <c r="T547" s="394">
        <v>5.0</v>
      </c>
      <c r="U547" s="394">
        <v>0.7</v>
      </c>
      <c r="V547" s="394">
        <v>0.7</v>
      </c>
      <c r="W547" s="394">
        <v>0.7</v>
      </c>
      <c r="X547" s="391">
        <v>2000.0</v>
      </c>
      <c r="Y547" s="391" t="s">
        <v>540</v>
      </c>
      <c r="Z547" s="391">
        <v>0.2</v>
      </c>
      <c r="AA547" s="391" t="s">
        <v>541</v>
      </c>
      <c r="AB547" s="391" t="s">
        <v>542</v>
      </c>
      <c r="AC547" s="391">
        <v>220.0</v>
      </c>
      <c r="AD547" s="186"/>
      <c r="AE547" s="253"/>
    </row>
    <row r="548">
      <c r="A548" s="391" t="s">
        <v>578</v>
      </c>
      <c r="B548" s="391">
        <v>6.0</v>
      </c>
      <c r="C548" s="391" t="s">
        <v>821</v>
      </c>
      <c r="D548" s="391" t="s">
        <v>538</v>
      </c>
      <c r="E548" s="391">
        <v>1.0</v>
      </c>
      <c r="F548" s="393">
        <v>45503.70416666667</v>
      </c>
      <c r="G548" s="391">
        <v>1.0</v>
      </c>
      <c r="H548" s="391">
        <v>51.3741</v>
      </c>
      <c r="I548" s="391">
        <v>6.40098</v>
      </c>
      <c r="J548" s="391">
        <v>-25.421456</v>
      </c>
      <c r="K548" s="391">
        <v>-23.4584</v>
      </c>
      <c r="L548" s="391">
        <v>1049.41</v>
      </c>
      <c r="M548" s="391">
        <v>68.49999</v>
      </c>
      <c r="N548" s="391">
        <v>11527.4019</v>
      </c>
      <c r="O548" s="391">
        <v>0.0</v>
      </c>
      <c r="P548" s="394">
        <v>0.0</v>
      </c>
      <c r="Q548" s="376" t="s">
        <v>280</v>
      </c>
      <c r="R548" s="394" t="s">
        <v>607</v>
      </c>
      <c r="S548" s="394">
        <v>10.0</v>
      </c>
      <c r="T548" s="394">
        <v>5.0</v>
      </c>
      <c r="U548" s="394">
        <v>0.7</v>
      </c>
      <c r="V548" s="394">
        <v>0.7</v>
      </c>
      <c r="W548" s="394">
        <v>0.7</v>
      </c>
      <c r="X548" s="391">
        <v>2000.0</v>
      </c>
      <c r="Y548" s="391" t="s">
        <v>540</v>
      </c>
      <c r="Z548" s="391">
        <v>0.2</v>
      </c>
      <c r="AA548" s="391" t="s">
        <v>541</v>
      </c>
      <c r="AB548" s="391" t="s">
        <v>542</v>
      </c>
      <c r="AC548" s="391">
        <v>220.0</v>
      </c>
      <c r="AD548" s="186"/>
      <c r="AE548" s="253"/>
    </row>
    <row r="549">
      <c r="A549" s="391" t="s">
        <v>580</v>
      </c>
      <c r="B549" s="391">
        <v>6.0</v>
      </c>
      <c r="C549" s="391" t="s">
        <v>821</v>
      </c>
      <c r="D549" s="391" t="s">
        <v>538</v>
      </c>
      <c r="E549" s="391">
        <v>1.0</v>
      </c>
      <c r="F549" s="393">
        <v>45503.70694444444</v>
      </c>
      <c r="G549" s="391">
        <v>1.0</v>
      </c>
      <c r="H549" s="391">
        <v>51.3741</v>
      </c>
      <c r="I549" s="391">
        <v>6.71549</v>
      </c>
      <c r="J549" s="391">
        <v>-25.407581</v>
      </c>
      <c r="K549" s="391">
        <v>-24.124125</v>
      </c>
      <c r="L549" s="391">
        <v>1048.23</v>
      </c>
      <c r="M549" s="391">
        <v>77.499394</v>
      </c>
      <c r="N549" s="391">
        <v>11579.7297</v>
      </c>
      <c r="O549" s="391">
        <v>0.0</v>
      </c>
      <c r="P549" s="394">
        <v>0.0</v>
      </c>
      <c r="Q549" s="376" t="s">
        <v>280</v>
      </c>
      <c r="R549" s="394" t="s">
        <v>607</v>
      </c>
      <c r="S549" s="394">
        <v>10.0</v>
      </c>
      <c r="T549" s="394">
        <v>5.0</v>
      </c>
      <c r="U549" s="394">
        <v>0.7</v>
      </c>
      <c r="V549" s="394">
        <v>0.7</v>
      </c>
      <c r="W549" s="394">
        <v>0.7</v>
      </c>
      <c r="X549" s="391">
        <v>2000.0</v>
      </c>
      <c r="Y549" s="391" t="s">
        <v>540</v>
      </c>
      <c r="Z549" s="391">
        <v>0.2</v>
      </c>
      <c r="AA549" s="391" t="s">
        <v>541</v>
      </c>
      <c r="AB549" s="391" t="s">
        <v>542</v>
      </c>
      <c r="AC549" s="391">
        <v>220.0</v>
      </c>
      <c r="AD549" s="186"/>
      <c r="AE549" s="253"/>
    </row>
    <row r="550">
      <c r="A550" s="391" t="s">
        <v>825</v>
      </c>
      <c r="B550" s="391">
        <v>6.0</v>
      </c>
      <c r="C550" s="391" t="s">
        <v>821</v>
      </c>
      <c r="D550" s="391" t="s">
        <v>538</v>
      </c>
      <c r="E550" s="391">
        <v>1.0</v>
      </c>
      <c r="F550" s="393">
        <v>45503.70972222222</v>
      </c>
      <c r="G550" s="391">
        <v>1.0</v>
      </c>
      <c r="H550" s="391">
        <v>51.3774</v>
      </c>
      <c r="I550" s="391">
        <v>6.82847</v>
      </c>
      <c r="J550" s="391">
        <v>-25.458306</v>
      </c>
      <c r="K550" s="391">
        <v>-23.998913</v>
      </c>
      <c r="L550" s="391">
        <v>1054.79</v>
      </c>
      <c r="M550" s="391">
        <v>74.500768</v>
      </c>
      <c r="N550" s="391">
        <v>11618.693</v>
      </c>
      <c r="O550" s="391">
        <v>0.0</v>
      </c>
      <c r="P550" s="394">
        <v>0.0</v>
      </c>
      <c r="Q550" s="376" t="s">
        <v>280</v>
      </c>
      <c r="R550" s="394" t="s">
        <v>607</v>
      </c>
      <c r="S550" s="394">
        <v>10.0</v>
      </c>
      <c r="T550" s="394">
        <v>5.0</v>
      </c>
      <c r="U550" s="394">
        <v>0.7</v>
      </c>
      <c r="V550" s="394">
        <v>0.7</v>
      </c>
      <c r="W550" s="394">
        <v>0.7</v>
      </c>
      <c r="X550" s="391">
        <v>2000.0</v>
      </c>
      <c r="Y550" s="391" t="s">
        <v>540</v>
      </c>
      <c r="Z550" s="391">
        <v>0.2</v>
      </c>
      <c r="AA550" s="391" t="s">
        <v>541</v>
      </c>
      <c r="AB550" s="391" t="s">
        <v>542</v>
      </c>
      <c r="AC550" s="391">
        <v>220.0</v>
      </c>
      <c r="AD550" s="186"/>
      <c r="AE550" s="253"/>
    </row>
    <row r="551">
      <c r="A551" s="391" t="s">
        <v>826</v>
      </c>
      <c r="B551" s="391">
        <v>6.0</v>
      </c>
      <c r="C551" s="391" t="s">
        <v>821</v>
      </c>
      <c r="D551" s="391" t="s">
        <v>538</v>
      </c>
      <c r="E551" s="391">
        <v>1.0</v>
      </c>
      <c r="F551" s="393">
        <v>45503.7125</v>
      </c>
      <c r="G551" s="391">
        <v>1.0</v>
      </c>
      <c r="H551" s="391">
        <v>51.3774</v>
      </c>
      <c r="I551" s="391">
        <v>6.51592</v>
      </c>
      <c r="J551" s="391">
        <v>-25.383431</v>
      </c>
      <c r="K551" s="391">
        <v>-23.78225</v>
      </c>
      <c r="L551" s="391">
        <v>1051.19</v>
      </c>
      <c r="M551" s="391">
        <v>72.500411</v>
      </c>
      <c r="N551" s="391">
        <v>11520.9097</v>
      </c>
      <c r="O551" s="391">
        <v>0.0</v>
      </c>
      <c r="P551" s="394">
        <v>0.0</v>
      </c>
      <c r="Q551" s="376" t="s">
        <v>280</v>
      </c>
      <c r="R551" s="394" t="s">
        <v>607</v>
      </c>
      <c r="S551" s="394">
        <v>10.0</v>
      </c>
      <c r="T551" s="394">
        <v>5.0</v>
      </c>
      <c r="U551" s="394">
        <v>0.7</v>
      </c>
      <c r="V551" s="394">
        <v>0.7</v>
      </c>
      <c r="W551" s="394">
        <v>0.7</v>
      </c>
      <c r="X551" s="391">
        <v>2000.0</v>
      </c>
      <c r="Y551" s="391" t="s">
        <v>540</v>
      </c>
      <c r="Z551" s="391">
        <v>0.2</v>
      </c>
      <c r="AA551" s="391" t="s">
        <v>541</v>
      </c>
      <c r="AB551" s="391" t="s">
        <v>542</v>
      </c>
      <c r="AC551" s="391">
        <v>220.0</v>
      </c>
      <c r="AD551" s="186"/>
      <c r="AE551" s="253"/>
    </row>
    <row r="552">
      <c r="A552" s="391" t="s">
        <v>827</v>
      </c>
      <c r="B552" s="391">
        <v>6.0</v>
      </c>
      <c r="C552" s="391" t="s">
        <v>821</v>
      </c>
      <c r="D552" s="391" t="s">
        <v>538</v>
      </c>
      <c r="E552" s="391">
        <v>1.0</v>
      </c>
      <c r="F552" s="393">
        <v>45503.71527777778</v>
      </c>
      <c r="G552" s="391">
        <v>1.0</v>
      </c>
      <c r="H552" s="391">
        <v>51.3774</v>
      </c>
      <c r="I552" s="391">
        <v>6.81088</v>
      </c>
      <c r="J552" s="391">
        <v>-25.229962</v>
      </c>
      <c r="K552" s="391">
        <v>-23.664931</v>
      </c>
      <c r="L552" s="391">
        <v>1060.04</v>
      </c>
      <c r="M552" s="391">
        <v>69.000706</v>
      </c>
      <c r="N552" s="391">
        <v>11595.9118</v>
      </c>
      <c r="O552" s="391">
        <v>0.0</v>
      </c>
      <c r="P552" s="394">
        <v>0.0</v>
      </c>
      <c r="Q552" s="376" t="s">
        <v>280</v>
      </c>
      <c r="R552" s="394" t="s">
        <v>607</v>
      </c>
      <c r="S552" s="394">
        <v>10.0</v>
      </c>
      <c r="T552" s="394">
        <v>5.0</v>
      </c>
      <c r="U552" s="394">
        <v>0.7</v>
      </c>
      <c r="V552" s="394">
        <v>0.7</v>
      </c>
      <c r="W552" s="394">
        <v>0.7</v>
      </c>
      <c r="X552" s="391">
        <v>2000.0</v>
      </c>
      <c r="Y552" s="391" t="s">
        <v>540</v>
      </c>
      <c r="Z552" s="391">
        <v>0.2</v>
      </c>
      <c r="AA552" s="391" t="s">
        <v>541</v>
      </c>
      <c r="AB552" s="391" t="s">
        <v>542</v>
      </c>
      <c r="AC552" s="391">
        <v>220.0</v>
      </c>
      <c r="AD552" s="186"/>
      <c r="AE552" s="253"/>
    </row>
    <row r="553">
      <c r="A553" s="391" t="s">
        <v>828</v>
      </c>
      <c r="B553" s="391">
        <v>6.0</v>
      </c>
      <c r="C553" s="391" t="s">
        <v>821</v>
      </c>
      <c r="D553" s="391" t="s">
        <v>538</v>
      </c>
      <c r="E553" s="391">
        <v>1.0</v>
      </c>
      <c r="F553" s="393">
        <v>45503.71805555555</v>
      </c>
      <c r="G553" s="391">
        <v>2.0</v>
      </c>
      <c r="H553" s="391">
        <v>51.3708</v>
      </c>
      <c r="I553" s="391">
        <v>6.70782</v>
      </c>
      <c r="J553" s="391">
        <v>-25.387413</v>
      </c>
      <c r="K553" s="391">
        <v>-23.633919</v>
      </c>
      <c r="L553" s="391">
        <v>1065.9</v>
      </c>
      <c r="M553" s="391">
        <v>70.499488</v>
      </c>
      <c r="N553" s="391">
        <v>11565.1562</v>
      </c>
      <c r="O553" s="391">
        <v>0.0</v>
      </c>
      <c r="P553" s="394">
        <v>0.0</v>
      </c>
      <c r="Q553" s="376" t="s">
        <v>280</v>
      </c>
      <c r="R553" s="394" t="s">
        <v>607</v>
      </c>
      <c r="S553" s="394">
        <v>10.0</v>
      </c>
      <c r="T553" s="394">
        <v>5.0</v>
      </c>
      <c r="U553" s="394">
        <v>0.7</v>
      </c>
      <c r="V553" s="394">
        <v>0.7</v>
      </c>
      <c r="W553" s="394">
        <v>0.7</v>
      </c>
      <c r="X553" s="391">
        <v>2000.0</v>
      </c>
      <c r="Y553" s="391" t="s">
        <v>540</v>
      </c>
      <c r="Z553" s="391">
        <v>0.2</v>
      </c>
      <c r="AA553" s="391" t="s">
        <v>541</v>
      </c>
      <c r="AB553" s="391" t="s">
        <v>542</v>
      </c>
      <c r="AC553" s="391">
        <v>220.0</v>
      </c>
      <c r="AD553" s="186"/>
      <c r="AE553" s="253"/>
    </row>
    <row r="554">
      <c r="A554" s="391" t="s">
        <v>829</v>
      </c>
      <c r="B554" s="391">
        <v>6.0</v>
      </c>
      <c r="C554" s="391" t="s">
        <v>821</v>
      </c>
      <c r="D554" s="391" t="s">
        <v>538</v>
      </c>
      <c r="E554" s="391">
        <v>1.0</v>
      </c>
      <c r="F554" s="393">
        <v>45503.72083333333</v>
      </c>
      <c r="G554" s="391">
        <v>2.0</v>
      </c>
      <c r="H554" s="391">
        <v>51.3774</v>
      </c>
      <c r="I554" s="391">
        <v>6.55704</v>
      </c>
      <c r="J554" s="391">
        <v>-25.400444</v>
      </c>
      <c r="K554" s="391">
        <v>-23.381319</v>
      </c>
      <c r="L554" s="391">
        <v>1051.75</v>
      </c>
      <c r="M554" s="391">
        <v>68.001376</v>
      </c>
      <c r="N554" s="391">
        <v>11467.3159</v>
      </c>
      <c r="O554" s="391">
        <v>0.0</v>
      </c>
      <c r="P554" s="394">
        <v>0.0</v>
      </c>
      <c r="Q554" s="376" t="s">
        <v>280</v>
      </c>
      <c r="R554" s="394" t="s">
        <v>607</v>
      </c>
      <c r="S554" s="394">
        <v>10.0</v>
      </c>
      <c r="T554" s="394">
        <v>5.0</v>
      </c>
      <c r="U554" s="394">
        <v>0.7</v>
      </c>
      <c r="V554" s="394">
        <v>0.7</v>
      </c>
      <c r="W554" s="394">
        <v>0.7</v>
      </c>
      <c r="X554" s="391">
        <v>2000.0</v>
      </c>
      <c r="Y554" s="391" t="s">
        <v>540</v>
      </c>
      <c r="Z554" s="391">
        <v>0.2</v>
      </c>
      <c r="AA554" s="391" t="s">
        <v>541</v>
      </c>
      <c r="AB554" s="391" t="s">
        <v>542</v>
      </c>
      <c r="AC554" s="391">
        <v>220.0</v>
      </c>
      <c r="AD554" s="186"/>
      <c r="AE554" s="253"/>
    </row>
    <row r="555">
      <c r="A555" s="391" t="s">
        <v>830</v>
      </c>
      <c r="B555" s="391">
        <v>6.0</v>
      </c>
      <c r="C555" s="391" t="s">
        <v>821</v>
      </c>
      <c r="D555" s="391" t="s">
        <v>538</v>
      </c>
      <c r="E555" s="391">
        <v>1.0</v>
      </c>
      <c r="F555" s="393">
        <v>45503.72361111111</v>
      </c>
      <c r="G555" s="391">
        <v>2.0</v>
      </c>
      <c r="H555" s="391">
        <v>51.3708</v>
      </c>
      <c r="I555" s="391">
        <v>6.37888</v>
      </c>
      <c r="J555" s="391">
        <v>-25.424975</v>
      </c>
      <c r="K555" s="391">
        <v>-23.912075</v>
      </c>
      <c r="L555" s="391">
        <v>1053.56</v>
      </c>
      <c r="M555" s="391">
        <v>73.999345</v>
      </c>
      <c r="N555" s="391">
        <v>11565.9807</v>
      </c>
      <c r="O555" s="391">
        <v>0.0</v>
      </c>
      <c r="P555" s="394">
        <v>0.0</v>
      </c>
      <c r="Q555" s="376" t="s">
        <v>280</v>
      </c>
      <c r="R555" s="394" t="s">
        <v>607</v>
      </c>
      <c r="S555" s="394">
        <v>10.0</v>
      </c>
      <c r="T555" s="394">
        <v>5.0</v>
      </c>
      <c r="U555" s="394">
        <v>0.7</v>
      </c>
      <c r="V555" s="394">
        <v>0.7</v>
      </c>
      <c r="W555" s="394">
        <v>0.7</v>
      </c>
      <c r="X555" s="391">
        <v>2000.0</v>
      </c>
      <c r="Y555" s="391" t="s">
        <v>540</v>
      </c>
      <c r="Z555" s="391">
        <v>0.2</v>
      </c>
      <c r="AA555" s="391" t="s">
        <v>541</v>
      </c>
      <c r="AB555" s="391" t="s">
        <v>542</v>
      </c>
      <c r="AC555" s="391">
        <v>220.0</v>
      </c>
      <c r="AD555" s="186"/>
      <c r="AE555" s="253"/>
    </row>
    <row r="556">
      <c r="A556" s="391" t="s">
        <v>831</v>
      </c>
      <c r="B556" s="391">
        <v>6.0</v>
      </c>
      <c r="C556" s="391" t="s">
        <v>821</v>
      </c>
      <c r="D556" s="391" t="s">
        <v>538</v>
      </c>
      <c r="E556" s="391">
        <v>1.0</v>
      </c>
      <c r="F556" s="393">
        <v>45503.72638888889</v>
      </c>
      <c r="G556" s="391">
        <v>2.0</v>
      </c>
      <c r="H556" s="391">
        <v>51.3708</v>
      </c>
      <c r="I556" s="391">
        <v>6.88722</v>
      </c>
      <c r="J556" s="391">
        <v>-25.427206</v>
      </c>
      <c r="K556" s="391">
        <v>-24.003044</v>
      </c>
      <c r="L556" s="391">
        <v>1100.53</v>
      </c>
      <c r="M556" s="391">
        <v>73.499222</v>
      </c>
      <c r="N556" s="391">
        <v>11591.2792</v>
      </c>
      <c r="O556" s="391">
        <v>0.0</v>
      </c>
      <c r="P556" s="394">
        <v>0.0</v>
      </c>
      <c r="Q556" s="376" t="s">
        <v>280</v>
      </c>
      <c r="R556" s="394" t="s">
        <v>607</v>
      </c>
      <c r="S556" s="394">
        <v>10.0</v>
      </c>
      <c r="T556" s="394">
        <v>5.0</v>
      </c>
      <c r="U556" s="394">
        <v>0.7</v>
      </c>
      <c r="V556" s="394">
        <v>0.7</v>
      </c>
      <c r="W556" s="394">
        <v>0.7</v>
      </c>
      <c r="X556" s="391">
        <v>2000.0</v>
      </c>
      <c r="Y556" s="391" t="s">
        <v>540</v>
      </c>
      <c r="Z556" s="391">
        <v>0.2</v>
      </c>
      <c r="AA556" s="391" t="s">
        <v>541</v>
      </c>
      <c r="AB556" s="391" t="s">
        <v>542</v>
      </c>
      <c r="AC556" s="391">
        <v>220.0</v>
      </c>
      <c r="AD556" s="186"/>
      <c r="AE556" s="253"/>
    </row>
    <row r="557">
      <c r="A557" s="391" t="s">
        <v>832</v>
      </c>
      <c r="B557" s="391">
        <v>6.0</v>
      </c>
      <c r="C557" s="391" t="s">
        <v>821</v>
      </c>
      <c r="D557" s="391" t="s">
        <v>538</v>
      </c>
      <c r="E557" s="391">
        <v>1.0</v>
      </c>
      <c r="F557" s="393">
        <v>45503.729166666664</v>
      </c>
      <c r="G557" s="391">
        <v>2.0</v>
      </c>
      <c r="H557" s="391">
        <v>51.3741</v>
      </c>
      <c r="I557" s="391">
        <v>6.79744</v>
      </c>
      <c r="J557" s="391">
        <v>-25.500144</v>
      </c>
      <c r="K557" s="391">
        <v>-23.884937</v>
      </c>
      <c r="L557" s="391">
        <v>1056.66</v>
      </c>
      <c r="M557" s="391">
        <v>70.499771</v>
      </c>
      <c r="N557" s="391">
        <v>11561.0246</v>
      </c>
      <c r="O557" s="391">
        <v>0.0</v>
      </c>
      <c r="P557" s="394">
        <v>0.0</v>
      </c>
      <c r="Q557" s="376" t="s">
        <v>280</v>
      </c>
      <c r="R557" s="394" t="s">
        <v>607</v>
      </c>
      <c r="S557" s="394">
        <v>10.0</v>
      </c>
      <c r="T557" s="394">
        <v>5.0</v>
      </c>
      <c r="U557" s="394">
        <v>0.7</v>
      </c>
      <c r="V557" s="394">
        <v>0.7</v>
      </c>
      <c r="W557" s="394">
        <v>0.7</v>
      </c>
      <c r="X557" s="391">
        <v>2000.0</v>
      </c>
      <c r="Y557" s="391" t="s">
        <v>540</v>
      </c>
      <c r="Z557" s="391">
        <v>0.2</v>
      </c>
      <c r="AA557" s="391" t="s">
        <v>541</v>
      </c>
      <c r="AB557" s="391" t="s">
        <v>542</v>
      </c>
      <c r="AC557" s="391">
        <v>220.0</v>
      </c>
      <c r="AD557" s="186"/>
      <c r="AE557" s="253"/>
    </row>
    <row r="558">
      <c r="A558" s="391" t="s">
        <v>833</v>
      </c>
      <c r="B558" s="391" t="s">
        <v>551</v>
      </c>
      <c r="C558" s="392"/>
      <c r="D558" s="391" t="s">
        <v>538</v>
      </c>
      <c r="E558" s="391">
        <v>0.8</v>
      </c>
      <c r="F558" s="393">
        <v>45503.73472222222</v>
      </c>
      <c r="G558" s="391">
        <v>1.0</v>
      </c>
      <c r="H558" s="391">
        <v>51.3741</v>
      </c>
      <c r="I558" s="391">
        <v>6.64017</v>
      </c>
      <c r="J558" s="391">
        <v>-25.373562</v>
      </c>
      <c r="K558" s="391">
        <v>-24.026831</v>
      </c>
      <c r="L558" s="391">
        <v>994.031</v>
      </c>
      <c r="M558" s="391">
        <v>65.999784</v>
      </c>
      <c r="N558" s="391">
        <v>9231.98608</v>
      </c>
      <c r="O558" s="391">
        <v>9177.49503</v>
      </c>
      <c r="P558" s="394">
        <v>2070.3457</v>
      </c>
      <c r="Q558" s="376" t="s">
        <v>12</v>
      </c>
      <c r="R558" s="394" t="s">
        <v>553</v>
      </c>
      <c r="S558" s="394">
        <v>10.0</v>
      </c>
      <c r="T558" s="394">
        <v>5.0</v>
      </c>
      <c r="U558" s="394">
        <v>0.7</v>
      </c>
      <c r="V558" s="394">
        <v>0.7</v>
      </c>
      <c r="W558" s="394">
        <v>0.7</v>
      </c>
      <c r="X558" s="391">
        <v>2000.0</v>
      </c>
      <c r="Y558" s="391" t="s">
        <v>540</v>
      </c>
      <c r="Z558" s="391">
        <v>0.2</v>
      </c>
      <c r="AA558" s="391" t="s">
        <v>541</v>
      </c>
      <c r="AB558" s="391" t="s">
        <v>542</v>
      </c>
      <c r="AC558" s="391">
        <v>220.0</v>
      </c>
      <c r="AD558" s="186"/>
      <c r="AE558" s="253"/>
    </row>
    <row r="559">
      <c r="A559" s="391" t="s">
        <v>834</v>
      </c>
      <c r="B559" s="391" t="s">
        <v>551</v>
      </c>
      <c r="C559" s="392"/>
      <c r="D559" s="391" t="s">
        <v>538</v>
      </c>
      <c r="E559" s="391">
        <v>0.8</v>
      </c>
      <c r="F559" s="393">
        <v>45503.7375</v>
      </c>
      <c r="G559" s="391">
        <v>1.0</v>
      </c>
      <c r="H559" s="391">
        <v>51.3708</v>
      </c>
      <c r="I559" s="391">
        <v>6.49327</v>
      </c>
      <c r="J559" s="391">
        <v>-25.461044</v>
      </c>
      <c r="K559" s="391">
        <v>-23.900562</v>
      </c>
      <c r="L559" s="391">
        <v>986.279</v>
      </c>
      <c r="M559" s="391">
        <v>67.500096</v>
      </c>
      <c r="N559" s="391">
        <v>9186.16941</v>
      </c>
      <c r="O559" s="391">
        <v>9177.49503</v>
      </c>
      <c r="P559" s="394">
        <v>2070.3457</v>
      </c>
      <c r="Q559" s="376" t="s">
        <v>12</v>
      </c>
      <c r="R559" s="394" t="s">
        <v>539</v>
      </c>
      <c r="S559" s="394">
        <v>10.0</v>
      </c>
      <c r="T559" s="394">
        <v>5.0</v>
      </c>
      <c r="U559" s="394">
        <v>0.7</v>
      </c>
      <c r="V559" s="394">
        <v>0.7</v>
      </c>
      <c r="W559" s="394">
        <v>0.7</v>
      </c>
      <c r="X559" s="391">
        <v>2000.0</v>
      </c>
      <c r="Y559" s="391" t="s">
        <v>540</v>
      </c>
      <c r="Z559" s="391">
        <v>0.2</v>
      </c>
      <c r="AA559" s="391" t="s">
        <v>541</v>
      </c>
      <c r="AB559" s="391" t="s">
        <v>542</v>
      </c>
      <c r="AC559" s="391">
        <v>220.0</v>
      </c>
      <c r="AD559" s="186"/>
      <c r="AE559" s="253"/>
    </row>
    <row r="560">
      <c r="A560" s="391" t="s">
        <v>835</v>
      </c>
      <c r="B560" s="391" t="s">
        <v>551</v>
      </c>
      <c r="C560" s="392"/>
      <c r="D560" s="391" t="s">
        <v>538</v>
      </c>
      <c r="E560" s="391">
        <v>0.8</v>
      </c>
      <c r="F560" s="393">
        <v>45503.740277777775</v>
      </c>
      <c r="G560" s="391">
        <v>1.0</v>
      </c>
      <c r="H560" s="391">
        <v>51.3774</v>
      </c>
      <c r="I560" s="391">
        <v>6.48938</v>
      </c>
      <c r="J560" s="391">
        <v>-25.434838</v>
      </c>
      <c r="K560" s="391">
        <v>-23.824037</v>
      </c>
      <c r="L560" s="391">
        <v>990.103</v>
      </c>
      <c r="M560" s="391">
        <v>65.499344</v>
      </c>
      <c r="N560" s="391">
        <v>9168.82066</v>
      </c>
      <c r="O560" s="391">
        <v>9177.49503</v>
      </c>
      <c r="P560" s="394">
        <v>2070.3457</v>
      </c>
      <c r="Q560" s="376" t="s">
        <v>12</v>
      </c>
      <c r="R560" s="394" t="s">
        <v>539</v>
      </c>
      <c r="S560" s="394">
        <v>10.0</v>
      </c>
      <c r="T560" s="394">
        <v>5.0</v>
      </c>
      <c r="U560" s="394">
        <v>0.7</v>
      </c>
      <c r="V560" s="394">
        <v>0.7</v>
      </c>
      <c r="W560" s="394">
        <v>0.7</v>
      </c>
      <c r="X560" s="391">
        <v>2000.0</v>
      </c>
      <c r="Y560" s="391" t="s">
        <v>540</v>
      </c>
      <c r="Z560" s="391">
        <v>0.2</v>
      </c>
      <c r="AA560" s="391" t="s">
        <v>541</v>
      </c>
      <c r="AB560" s="391" t="s">
        <v>542</v>
      </c>
      <c r="AC560" s="391">
        <v>220.0</v>
      </c>
      <c r="AD560" s="186"/>
      <c r="AE560" s="253"/>
    </row>
    <row r="561">
      <c r="A561" s="391" t="s">
        <v>836</v>
      </c>
      <c r="B561" s="391" t="s">
        <v>558</v>
      </c>
      <c r="C561" s="392"/>
      <c r="D561" s="391" t="s">
        <v>538</v>
      </c>
      <c r="E561" s="391">
        <v>1.0</v>
      </c>
      <c r="F561" s="393">
        <v>45503.743055555555</v>
      </c>
      <c r="G561" s="391">
        <v>1.0</v>
      </c>
      <c r="H561" s="391">
        <v>51.3741</v>
      </c>
      <c r="I561" s="391">
        <v>6.51455</v>
      </c>
      <c r="J561" s="391">
        <v>-25.465906</v>
      </c>
      <c r="K561" s="391">
        <v>-23.772731</v>
      </c>
      <c r="L561" s="391">
        <v>1074.45</v>
      </c>
      <c r="M561" s="391">
        <v>72.499959</v>
      </c>
      <c r="N561" s="391">
        <v>11523.5154</v>
      </c>
      <c r="O561" s="391">
        <v>0.0</v>
      </c>
      <c r="P561" s="394">
        <v>2070.3457</v>
      </c>
      <c r="Q561" s="376" t="s">
        <v>280</v>
      </c>
      <c r="R561" s="394" t="s">
        <v>607</v>
      </c>
      <c r="S561" s="394">
        <v>10.0</v>
      </c>
      <c r="T561" s="394">
        <v>5.0</v>
      </c>
      <c r="U561" s="394">
        <v>0.7</v>
      </c>
      <c r="V561" s="394">
        <v>0.7</v>
      </c>
      <c r="W561" s="394">
        <v>0.7</v>
      </c>
      <c r="X561" s="391">
        <v>2000.0</v>
      </c>
      <c r="Y561" s="391" t="s">
        <v>540</v>
      </c>
      <c r="Z561" s="391">
        <v>0.2</v>
      </c>
      <c r="AA561" s="391" t="s">
        <v>541</v>
      </c>
      <c r="AB561" s="391" t="s">
        <v>542</v>
      </c>
      <c r="AC561" s="391">
        <v>220.0</v>
      </c>
      <c r="AD561" s="186"/>
      <c r="AE561" s="253"/>
    </row>
    <row r="562">
      <c r="A562" s="391" t="s">
        <v>837</v>
      </c>
      <c r="B562" s="391" t="s">
        <v>558</v>
      </c>
      <c r="C562" s="392"/>
      <c r="D562" s="391" t="s">
        <v>538</v>
      </c>
      <c r="E562" s="391">
        <v>1.0</v>
      </c>
      <c r="F562" s="393">
        <v>45503.745833333334</v>
      </c>
      <c r="G562" s="391">
        <v>1.0</v>
      </c>
      <c r="H562" s="391">
        <v>51.3807</v>
      </c>
      <c r="I562" s="391">
        <v>6.51573</v>
      </c>
      <c r="J562" s="391">
        <v>-25.397475</v>
      </c>
      <c r="K562" s="391">
        <v>-23.566387</v>
      </c>
      <c r="L562" s="391">
        <v>1058.64</v>
      </c>
      <c r="M562" s="391">
        <v>69.000418</v>
      </c>
      <c r="N562" s="391">
        <v>11461.7781</v>
      </c>
      <c r="O562" s="391">
        <v>0.0</v>
      </c>
      <c r="P562" s="394">
        <v>2070.3457</v>
      </c>
      <c r="Q562" s="376" t="s">
        <v>280</v>
      </c>
      <c r="R562" s="394" t="s">
        <v>607</v>
      </c>
      <c r="S562" s="394">
        <v>10.0</v>
      </c>
      <c r="T562" s="394">
        <v>5.0</v>
      </c>
      <c r="U562" s="394">
        <v>0.7</v>
      </c>
      <c r="V562" s="394">
        <v>0.7</v>
      </c>
      <c r="W562" s="394">
        <v>0.7</v>
      </c>
      <c r="X562" s="391">
        <v>2000.0</v>
      </c>
      <c r="Y562" s="391" t="s">
        <v>540</v>
      </c>
      <c r="Z562" s="391">
        <v>0.2</v>
      </c>
      <c r="AA562" s="391" t="s">
        <v>541</v>
      </c>
      <c r="AB562" s="391" t="s">
        <v>542</v>
      </c>
      <c r="AC562" s="391">
        <v>220.0</v>
      </c>
      <c r="AD562" s="186"/>
      <c r="AE562" s="253"/>
    </row>
    <row r="563">
      <c r="A563" s="391" t="s">
        <v>838</v>
      </c>
      <c r="B563" s="391" t="s">
        <v>558</v>
      </c>
      <c r="C563" s="392"/>
      <c r="D563" s="391" t="s">
        <v>538</v>
      </c>
      <c r="E563" s="391">
        <v>1.0</v>
      </c>
      <c r="F563" s="393">
        <v>45503.748611111114</v>
      </c>
      <c r="G563" s="391">
        <v>1.0</v>
      </c>
      <c r="H563" s="391">
        <v>51.3675</v>
      </c>
      <c r="I563" s="391">
        <v>6.55405</v>
      </c>
      <c r="J563" s="391">
        <v>-25.30235</v>
      </c>
      <c r="K563" s="391">
        <v>-23.630356</v>
      </c>
      <c r="L563" s="391">
        <v>1057.66</v>
      </c>
      <c r="M563" s="391">
        <v>73.999933</v>
      </c>
      <c r="N563" s="391">
        <v>11545.1519</v>
      </c>
      <c r="O563" s="391">
        <v>0.0</v>
      </c>
      <c r="P563" s="394">
        <v>2070.3457</v>
      </c>
      <c r="Q563" s="376" t="s">
        <v>280</v>
      </c>
      <c r="R563" s="394" t="s">
        <v>607</v>
      </c>
      <c r="S563" s="394">
        <v>10.0</v>
      </c>
      <c r="T563" s="394">
        <v>5.0</v>
      </c>
      <c r="U563" s="394">
        <v>0.7</v>
      </c>
      <c r="V563" s="394">
        <v>0.7</v>
      </c>
      <c r="W563" s="394">
        <v>0.7</v>
      </c>
      <c r="X563" s="391">
        <v>2000.0</v>
      </c>
      <c r="Y563" s="391" t="s">
        <v>540</v>
      </c>
      <c r="Z563" s="391">
        <v>0.2</v>
      </c>
      <c r="AA563" s="391" t="s">
        <v>541</v>
      </c>
      <c r="AB563" s="391" t="s">
        <v>542</v>
      </c>
      <c r="AC563" s="391">
        <v>220.0</v>
      </c>
      <c r="AD563" s="186"/>
      <c r="AE563" s="253"/>
    </row>
    <row r="564">
      <c r="A564" s="391" t="s">
        <v>839</v>
      </c>
      <c r="B564" s="391" t="s">
        <v>558</v>
      </c>
      <c r="C564" s="392"/>
      <c r="D564" s="391" t="s">
        <v>538</v>
      </c>
      <c r="E564" s="391">
        <v>1.0</v>
      </c>
      <c r="F564" s="393">
        <v>45503.751388888886</v>
      </c>
      <c r="G564" s="391">
        <v>1.0</v>
      </c>
      <c r="H564" s="391">
        <v>51.3741</v>
      </c>
      <c r="I564" s="391">
        <v>6.47636</v>
      </c>
      <c r="J564" s="391">
        <v>-25.369369</v>
      </c>
      <c r="K564" s="391">
        <v>-23.517688</v>
      </c>
      <c r="L564" s="391">
        <v>1067.51</v>
      </c>
      <c r="M564" s="391">
        <v>67.501288</v>
      </c>
      <c r="N564" s="391">
        <v>11514.2939</v>
      </c>
      <c r="O564" s="391">
        <v>0.0</v>
      </c>
      <c r="P564" s="394">
        <v>2070.3457</v>
      </c>
      <c r="Q564" s="376" t="s">
        <v>280</v>
      </c>
      <c r="R564" s="394" t="s">
        <v>607</v>
      </c>
      <c r="S564" s="394">
        <v>10.0</v>
      </c>
      <c r="T564" s="394">
        <v>5.0</v>
      </c>
      <c r="U564" s="394">
        <v>0.7</v>
      </c>
      <c r="V564" s="394">
        <v>0.7</v>
      </c>
      <c r="W564" s="394">
        <v>0.7</v>
      </c>
      <c r="X564" s="391">
        <v>2000.0</v>
      </c>
      <c r="Y564" s="391" t="s">
        <v>540</v>
      </c>
      <c r="Z564" s="391">
        <v>0.2</v>
      </c>
      <c r="AA564" s="391" t="s">
        <v>541</v>
      </c>
      <c r="AB564" s="391" t="s">
        <v>542</v>
      </c>
      <c r="AC564" s="391">
        <v>220.0</v>
      </c>
      <c r="AD564" s="186"/>
      <c r="AE564" s="253"/>
    </row>
    <row r="565">
      <c r="A565" s="391" t="s">
        <v>840</v>
      </c>
      <c r="B565" s="391" t="s">
        <v>558</v>
      </c>
      <c r="C565" s="392"/>
      <c r="D565" s="391" t="s">
        <v>538</v>
      </c>
      <c r="E565" s="391">
        <v>1.0</v>
      </c>
      <c r="F565" s="393">
        <v>45503.754166666666</v>
      </c>
      <c r="G565" s="391">
        <v>1.0</v>
      </c>
      <c r="H565" s="391">
        <v>51.3774</v>
      </c>
      <c r="I565" s="391">
        <v>6.51429</v>
      </c>
      <c r="J565" s="391">
        <v>-25.498331</v>
      </c>
      <c r="K565" s="391">
        <v>-23.7243</v>
      </c>
      <c r="L565" s="391">
        <v>1051.78</v>
      </c>
      <c r="M565" s="391">
        <v>69.999651</v>
      </c>
      <c r="N565" s="391">
        <v>11542.7876</v>
      </c>
      <c r="O565" s="391">
        <v>0.0</v>
      </c>
      <c r="P565" s="394">
        <v>2070.3457</v>
      </c>
      <c r="Q565" s="376" t="s">
        <v>280</v>
      </c>
      <c r="R565" s="394" t="s">
        <v>607</v>
      </c>
      <c r="S565" s="394">
        <v>10.0</v>
      </c>
      <c r="T565" s="394">
        <v>5.0</v>
      </c>
      <c r="U565" s="394">
        <v>0.7</v>
      </c>
      <c r="V565" s="394">
        <v>0.7</v>
      </c>
      <c r="W565" s="394">
        <v>0.7</v>
      </c>
      <c r="X565" s="391">
        <v>2000.0</v>
      </c>
      <c r="Y565" s="391" t="s">
        <v>540</v>
      </c>
      <c r="Z565" s="391">
        <v>0.2</v>
      </c>
      <c r="AA565" s="391" t="s">
        <v>541</v>
      </c>
      <c r="AB565" s="391" t="s">
        <v>542</v>
      </c>
      <c r="AC565" s="391">
        <v>220.0</v>
      </c>
      <c r="AD565" s="186"/>
      <c r="AE565" s="253"/>
    </row>
    <row r="566">
      <c r="A566" s="395" t="s">
        <v>841</v>
      </c>
      <c r="B566" s="395" t="s">
        <v>558</v>
      </c>
      <c r="C566" s="401"/>
      <c r="D566" s="395" t="s">
        <v>538</v>
      </c>
      <c r="E566" s="395">
        <v>1.0</v>
      </c>
      <c r="F566" s="396">
        <v>45503.756944444445</v>
      </c>
      <c r="G566" s="395">
        <v>2.0</v>
      </c>
      <c r="H566" s="395">
        <v>51.3675</v>
      </c>
      <c r="I566" s="395">
        <v>6.58703</v>
      </c>
      <c r="J566" s="395">
        <v>-25.469013</v>
      </c>
      <c r="K566" s="395">
        <v>-23.67545</v>
      </c>
      <c r="L566" s="395">
        <v>1055.7</v>
      </c>
      <c r="M566" s="395">
        <v>69.501295</v>
      </c>
      <c r="N566" s="395">
        <v>11522.8966</v>
      </c>
      <c r="O566" s="395">
        <v>11533.2457</v>
      </c>
      <c r="P566" s="397">
        <v>2070.3457</v>
      </c>
      <c r="Q566" s="376" t="s">
        <v>12</v>
      </c>
      <c r="R566" s="394" t="s">
        <v>539</v>
      </c>
      <c r="S566" s="394">
        <v>10.0</v>
      </c>
      <c r="T566" s="394">
        <v>5.0</v>
      </c>
      <c r="U566" s="394">
        <v>0.7</v>
      </c>
      <c r="V566" s="394">
        <v>0.7</v>
      </c>
      <c r="W566" s="394">
        <v>0.7</v>
      </c>
      <c r="X566" s="391">
        <v>2000.0</v>
      </c>
      <c r="Y566" s="391" t="s">
        <v>540</v>
      </c>
      <c r="Z566" s="391">
        <v>0.2</v>
      </c>
      <c r="AA566" s="391" t="s">
        <v>541</v>
      </c>
      <c r="AB566" s="391" t="s">
        <v>542</v>
      </c>
      <c r="AC566" s="391">
        <v>220.0</v>
      </c>
      <c r="AD566" s="186"/>
      <c r="AE566" s="253"/>
    </row>
    <row r="567">
      <c r="A567" s="391" t="s">
        <v>842</v>
      </c>
      <c r="B567" s="391" t="s">
        <v>558</v>
      </c>
      <c r="C567" s="392"/>
      <c r="D567" s="391" t="s">
        <v>538</v>
      </c>
      <c r="E567" s="391">
        <v>1.0</v>
      </c>
      <c r="F567" s="393">
        <v>45503.759722222225</v>
      </c>
      <c r="G567" s="391">
        <v>2.0</v>
      </c>
      <c r="H567" s="391">
        <v>51.3774</v>
      </c>
      <c r="I567" s="391">
        <v>6.54941</v>
      </c>
      <c r="J567" s="391">
        <v>-25.445588</v>
      </c>
      <c r="K567" s="391">
        <v>-23.757981</v>
      </c>
      <c r="L567" s="391">
        <v>1066.14</v>
      </c>
      <c r="M567" s="391">
        <v>72.000066</v>
      </c>
      <c r="N567" s="391">
        <v>11543.5949</v>
      </c>
      <c r="O567" s="391">
        <v>11533.2457</v>
      </c>
      <c r="P567" s="394">
        <v>2070.3457</v>
      </c>
      <c r="Q567" s="376" t="s">
        <v>12</v>
      </c>
      <c r="R567" s="394" t="s">
        <v>539</v>
      </c>
      <c r="S567" s="394">
        <v>10.0</v>
      </c>
      <c r="T567" s="394">
        <v>5.0</v>
      </c>
      <c r="U567" s="394">
        <v>0.7</v>
      </c>
      <c r="V567" s="394">
        <v>0.7</v>
      </c>
      <c r="W567" s="394">
        <v>0.7</v>
      </c>
      <c r="X567" s="391">
        <v>2000.0</v>
      </c>
      <c r="Y567" s="391" t="s">
        <v>540</v>
      </c>
      <c r="Z567" s="391">
        <v>0.2</v>
      </c>
      <c r="AA567" s="391" t="s">
        <v>541</v>
      </c>
      <c r="AB567" s="391" t="s">
        <v>542</v>
      </c>
      <c r="AC567" s="391">
        <v>220.0</v>
      </c>
      <c r="AD567" s="186"/>
      <c r="AE567" s="253"/>
    </row>
    <row r="568">
      <c r="A568" s="391" t="s">
        <v>843</v>
      </c>
      <c r="B568" s="391" t="s">
        <v>561</v>
      </c>
      <c r="C568" s="392"/>
      <c r="D568" s="391" t="s">
        <v>538</v>
      </c>
      <c r="E568" s="391">
        <v>1.2</v>
      </c>
      <c r="F568" s="393">
        <v>45503.763194444444</v>
      </c>
      <c r="G568" s="391">
        <v>1.0</v>
      </c>
      <c r="H568" s="391">
        <v>51.3774</v>
      </c>
      <c r="I568" s="391">
        <v>7.04145</v>
      </c>
      <c r="J568" s="391">
        <v>-25.418288</v>
      </c>
      <c r="K568" s="391">
        <v>-22.977113</v>
      </c>
      <c r="L568" s="391">
        <v>1097.07</v>
      </c>
      <c r="M568" s="391">
        <v>66.001031</v>
      </c>
      <c r="N568" s="391">
        <v>13882.6878</v>
      </c>
      <c r="O568" s="391">
        <v>13884.977</v>
      </c>
      <c r="P568" s="394">
        <v>2070.3457</v>
      </c>
      <c r="Q568" s="376" t="s">
        <v>12</v>
      </c>
      <c r="R568" s="394" t="s">
        <v>539</v>
      </c>
      <c r="S568" s="394">
        <v>10.0</v>
      </c>
      <c r="T568" s="394">
        <v>5.0</v>
      </c>
      <c r="U568" s="394">
        <v>0.7</v>
      </c>
      <c r="V568" s="394">
        <v>0.7</v>
      </c>
      <c r="W568" s="394">
        <v>0.7</v>
      </c>
      <c r="X568" s="391">
        <v>2000.0</v>
      </c>
      <c r="Y568" s="391" t="s">
        <v>540</v>
      </c>
      <c r="Z568" s="391">
        <v>0.2</v>
      </c>
      <c r="AA568" s="391" t="s">
        <v>541</v>
      </c>
      <c r="AB568" s="391" t="s">
        <v>542</v>
      </c>
      <c r="AC568" s="391">
        <v>220.0</v>
      </c>
      <c r="AD568" s="186"/>
      <c r="AE568" s="253"/>
    </row>
    <row r="569">
      <c r="A569" s="391" t="s">
        <v>844</v>
      </c>
      <c r="B569" s="391" t="s">
        <v>561</v>
      </c>
      <c r="C569" s="392"/>
      <c r="D569" s="391" t="s">
        <v>538</v>
      </c>
      <c r="E569" s="391">
        <v>1.2</v>
      </c>
      <c r="F569" s="393">
        <v>45503.76597222222</v>
      </c>
      <c r="G569" s="391">
        <v>1.0</v>
      </c>
      <c r="H569" s="391">
        <v>51.3741</v>
      </c>
      <c r="I569" s="391">
        <v>7.21007</v>
      </c>
      <c r="J569" s="391">
        <v>-25.356775</v>
      </c>
      <c r="K569" s="391">
        <v>-23.133044</v>
      </c>
      <c r="L569" s="391">
        <v>1104.65</v>
      </c>
      <c r="M569" s="391">
        <v>67.499912</v>
      </c>
      <c r="N569" s="391">
        <v>13887.2662</v>
      </c>
      <c r="O569" s="391">
        <v>13884.977</v>
      </c>
      <c r="P569" s="394">
        <v>2070.3457</v>
      </c>
      <c r="Q569" s="376" t="s">
        <v>12</v>
      </c>
      <c r="R569" s="394" t="s">
        <v>539</v>
      </c>
      <c r="S569" s="394">
        <v>10.0</v>
      </c>
      <c r="T569" s="394">
        <v>5.0</v>
      </c>
      <c r="U569" s="394">
        <v>0.7</v>
      </c>
      <c r="V569" s="394">
        <v>0.7</v>
      </c>
      <c r="W569" s="394">
        <v>0.7</v>
      </c>
      <c r="X569" s="391">
        <v>2000.0</v>
      </c>
      <c r="Y569" s="391" t="s">
        <v>540</v>
      </c>
      <c r="Z569" s="391">
        <v>0.2</v>
      </c>
      <c r="AA569" s="391" t="s">
        <v>541</v>
      </c>
      <c r="AB569" s="391" t="s">
        <v>542</v>
      </c>
      <c r="AC569" s="391">
        <v>220.0</v>
      </c>
      <c r="AD569" s="186"/>
      <c r="AE569" s="253"/>
    </row>
    <row r="570">
      <c r="A570" s="391" t="s">
        <v>584</v>
      </c>
      <c r="B570" s="391">
        <v>2.0</v>
      </c>
      <c r="C570" s="392"/>
      <c r="D570" s="391" t="s">
        <v>538</v>
      </c>
      <c r="E570" s="391">
        <v>1.0</v>
      </c>
      <c r="F570" s="393">
        <v>45503.76875</v>
      </c>
      <c r="G570" s="391">
        <v>1.0</v>
      </c>
      <c r="H570" s="391">
        <v>51.3708</v>
      </c>
      <c r="I570" s="391">
        <v>7.09489</v>
      </c>
      <c r="J570" s="391">
        <v>-25.415444</v>
      </c>
      <c r="K570" s="391">
        <v>-23.660781</v>
      </c>
      <c r="L570" s="391">
        <v>1064.73</v>
      </c>
      <c r="M570" s="391">
        <v>68.001026</v>
      </c>
      <c r="N570" s="391">
        <v>11541.5783</v>
      </c>
      <c r="O570" s="391">
        <v>11540.4338</v>
      </c>
      <c r="P570" s="394">
        <v>2071.84593</v>
      </c>
      <c r="Q570" s="376" t="s">
        <v>12</v>
      </c>
      <c r="R570" s="394" t="s">
        <v>539</v>
      </c>
      <c r="S570" s="394">
        <v>10.0</v>
      </c>
      <c r="T570" s="394">
        <v>5.0</v>
      </c>
      <c r="U570" s="394">
        <v>0.7</v>
      </c>
      <c r="V570" s="394">
        <v>0.7</v>
      </c>
      <c r="W570" s="394">
        <v>0.7</v>
      </c>
      <c r="X570" s="391">
        <v>2000.0</v>
      </c>
      <c r="Y570" s="391" t="s">
        <v>540</v>
      </c>
      <c r="Z570" s="391">
        <v>0.2</v>
      </c>
      <c r="AA570" s="391" t="s">
        <v>541</v>
      </c>
      <c r="AB570" s="391" t="s">
        <v>542</v>
      </c>
      <c r="AC570" s="391">
        <v>220.0</v>
      </c>
      <c r="AD570" s="186"/>
      <c r="AE570" s="253"/>
    </row>
    <row r="571">
      <c r="A571" s="395" t="s">
        <v>586</v>
      </c>
      <c r="B571" s="395">
        <v>2.0</v>
      </c>
      <c r="C571" s="401"/>
      <c r="D571" s="395" t="s">
        <v>538</v>
      </c>
      <c r="E571" s="395">
        <v>1.0</v>
      </c>
      <c r="F571" s="396">
        <v>45503.771527777775</v>
      </c>
      <c r="G571" s="395">
        <v>1.0</v>
      </c>
      <c r="H571" s="395">
        <v>51.3708</v>
      </c>
      <c r="I571" s="395">
        <v>6.93158</v>
      </c>
      <c r="J571" s="395">
        <v>-25.28635</v>
      </c>
      <c r="K571" s="395">
        <v>-23.750725</v>
      </c>
      <c r="L571" s="395">
        <v>1068.36</v>
      </c>
      <c r="M571" s="395">
        <v>70.998625</v>
      </c>
      <c r="N571" s="395">
        <v>11539.2893</v>
      </c>
      <c r="O571" s="395">
        <v>11540.4338</v>
      </c>
      <c r="P571" s="397">
        <v>2071.84593</v>
      </c>
      <c r="Q571" s="376" t="s">
        <v>12</v>
      </c>
      <c r="R571" s="394" t="s">
        <v>539</v>
      </c>
      <c r="S571" s="394">
        <v>10.0</v>
      </c>
      <c r="T571" s="394">
        <v>5.0</v>
      </c>
      <c r="U571" s="394">
        <v>0.7</v>
      </c>
      <c r="V571" s="394">
        <v>0.7</v>
      </c>
      <c r="W571" s="394">
        <v>0.7</v>
      </c>
      <c r="X571" s="391">
        <v>2000.0</v>
      </c>
      <c r="Y571" s="391" t="s">
        <v>540</v>
      </c>
      <c r="Z571" s="391">
        <v>0.2</v>
      </c>
      <c r="AA571" s="391" t="s">
        <v>541</v>
      </c>
      <c r="AB571" s="391" t="s">
        <v>542</v>
      </c>
      <c r="AC571" s="391">
        <v>220.0</v>
      </c>
      <c r="AD571" s="186"/>
      <c r="AE571" s="253"/>
    </row>
    <row r="572">
      <c r="A572" s="409"/>
      <c r="B572" s="409"/>
      <c r="C572" s="409"/>
      <c r="D572" s="409"/>
      <c r="E572" s="409"/>
      <c r="F572" s="410"/>
      <c r="G572" s="409"/>
      <c r="H572" s="409"/>
      <c r="I572" s="409"/>
      <c r="J572" s="409"/>
      <c r="K572" s="409"/>
      <c r="L572" s="409"/>
      <c r="M572" s="409"/>
      <c r="N572" s="409"/>
      <c r="O572" s="409"/>
      <c r="P572" s="411"/>
      <c r="Q572" s="412"/>
      <c r="R572" s="412"/>
      <c r="S572" s="411"/>
      <c r="T572" s="411"/>
      <c r="U572" s="413"/>
      <c r="V572" s="413"/>
      <c r="W572" s="413"/>
      <c r="X572" s="408"/>
      <c r="Y572" s="408"/>
      <c r="Z572" s="408"/>
      <c r="AA572" s="408"/>
      <c r="AB572" s="408"/>
      <c r="AC572" s="408"/>
      <c r="AD572" s="186"/>
      <c r="AE572" s="253"/>
    </row>
    <row r="573">
      <c r="A573" s="409"/>
      <c r="B573" s="409"/>
      <c r="C573" s="409"/>
      <c r="D573" s="409"/>
      <c r="E573" s="409"/>
      <c r="F573" s="410"/>
      <c r="G573" s="409"/>
      <c r="H573" s="409"/>
      <c r="I573" s="409"/>
      <c r="J573" s="409"/>
      <c r="K573" s="409"/>
      <c r="L573" s="409"/>
      <c r="M573" s="409"/>
      <c r="N573" s="409"/>
      <c r="O573" s="409"/>
      <c r="P573" s="411"/>
      <c r="Q573" s="412"/>
      <c r="R573" s="412"/>
      <c r="S573" s="411"/>
      <c r="T573" s="411"/>
      <c r="U573" s="413"/>
      <c r="V573" s="413"/>
      <c r="W573" s="413"/>
      <c r="X573" s="408"/>
      <c r="Y573" s="408"/>
      <c r="Z573" s="408"/>
      <c r="AA573" s="408"/>
      <c r="AB573" s="408"/>
      <c r="AC573" s="408"/>
      <c r="AD573" s="186"/>
      <c r="AE573" s="253"/>
    </row>
    <row r="574">
      <c r="A574" s="409"/>
      <c r="B574" s="409"/>
      <c r="C574" s="409"/>
      <c r="D574" s="409"/>
      <c r="E574" s="409"/>
      <c r="F574" s="410"/>
      <c r="G574" s="409"/>
      <c r="H574" s="409"/>
      <c r="I574" s="409"/>
      <c r="J574" s="409"/>
      <c r="K574" s="409"/>
      <c r="L574" s="409"/>
      <c r="M574" s="409"/>
      <c r="N574" s="409"/>
      <c r="O574" s="409"/>
      <c r="P574" s="411"/>
      <c r="Q574" s="412"/>
      <c r="R574" s="412"/>
      <c r="S574" s="411"/>
      <c r="T574" s="411"/>
      <c r="U574" s="413"/>
      <c r="V574" s="413"/>
      <c r="W574" s="413"/>
      <c r="X574" s="408"/>
      <c r="Y574" s="408"/>
      <c r="Z574" s="408"/>
      <c r="AA574" s="408"/>
      <c r="AB574" s="408"/>
      <c r="AC574" s="408"/>
      <c r="AD574" s="186"/>
      <c r="AE574" s="253"/>
    </row>
    <row r="575">
      <c r="A575" s="409"/>
      <c r="B575" s="409"/>
      <c r="C575" s="409"/>
      <c r="D575" s="409"/>
      <c r="E575" s="409"/>
      <c r="F575" s="410"/>
      <c r="G575" s="409"/>
      <c r="H575" s="409"/>
      <c r="I575" s="409"/>
      <c r="J575" s="409"/>
      <c r="K575" s="409"/>
      <c r="L575" s="409"/>
      <c r="M575" s="409"/>
      <c r="N575" s="409"/>
      <c r="O575" s="409"/>
      <c r="P575" s="411"/>
      <c r="Q575" s="412"/>
      <c r="R575" s="412"/>
      <c r="S575" s="411"/>
      <c r="T575" s="411"/>
      <c r="U575" s="413"/>
      <c r="V575" s="413"/>
      <c r="W575" s="413"/>
      <c r="X575" s="408"/>
      <c r="Y575" s="408"/>
      <c r="Z575" s="408"/>
      <c r="AA575" s="408"/>
      <c r="AB575" s="408"/>
      <c r="AC575" s="408"/>
      <c r="AD575" s="186"/>
      <c r="AE575" s="253"/>
    </row>
    <row r="576">
      <c r="A576" s="409"/>
      <c r="B576" s="409"/>
      <c r="C576" s="409"/>
      <c r="D576" s="409"/>
      <c r="E576" s="409"/>
      <c r="F576" s="410"/>
      <c r="G576" s="409"/>
      <c r="H576" s="409"/>
      <c r="I576" s="409"/>
      <c r="J576" s="409"/>
      <c r="K576" s="409"/>
      <c r="L576" s="409"/>
      <c r="M576" s="409"/>
      <c r="N576" s="409"/>
      <c r="O576" s="409"/>
      <c r="P576" s="411"/>
      <c r="Q576" s="412"/>
      <c r="R576" s="412"/>
      <c r="S576" s="411"/>
      <c r="T576" s="411"/>
      <c r="U576" s="413"/>
      <c r="V576" s="413"/>
      <c r="W576" s="413"/>
      <c r="X576" s="408"/>
      <c r="Y576" s="408"/>
      <c r="Z576" s="408"/>
      <c r="AA576" s="408"/>
      <c r="AB576" s="408"/>
      <c r="AC576" s="408"/>
      <c r="AD576" s="186"/>
      <c r="AE576" s="253"/>
    </row>
    <row r="577">
      <c r="A577" s="409"/>
      <c r="B577" s="409"/>
      <c r="C577" s="409"/>
      <c r="D577" s="409"/>
      <c r="E577" s="409"/>
      <c r="F577" s="410"/>
      <c r="G577" s="409"/>
      <c r="H577" s="409"/>
      <c r="I577" s="409"/>
      <c r="J577" s="409"/>
      <c r="K577" s="409"/>
      <c r="L577" s="409"/>
      <c r="M577" s="409"/>
      <c r="N577" s="409"/>
      <c r="O577" s="409"/>
      <c r="P577" s="411"/>
      <c r="Q577" s="412"/>
      <c r="R577" s="412"/>
      <c r="S577" s="411"/>
      <c r="T577" s="411"/>
      <c r="U577" s="413"/>
      <c r="V577" s="413"/>
      <c r="W577" s="413"/>
      <c r="X577" s="408"/>
      <c r="Y577" s="408"/>
      <c r="Z577" s="408"/>
      <c r="AA577" s="408"/>
      <c r="AB577" s="408"/>
      <c r="AC577" s="408"/>
      <c r="AD577" s="186"/>
      <c r="AE577" s="253"/>
    </row>
    <row r="578">
      <c r="A578" s="409"/>
      <c r="B578" s="409"/>
      <c r="C578" s="409"/>
      <c r="D578" s="409"/>
      <c r="E578" s="409"/>
      <c r="F578" s="410"/>
      <c r="G578" s="409"/>
      <c r="H578" s="409"/>
      <c r="I578" s="409"/>
      <c r="J578" s="409"/>
      <c r="K578" s="409"/>
      <c r="L578" s="409"/>
      <c r="M578" s="409"/>
      <c r="N578" s="409"/>
      <c r="O578" s="409"/>
      <c r="P578" s="411"/>
      <c r="Q578" s="412"/>
      <c r="R578" s="412"/>
      <c r="S578" s="411"/>
      <c r="T578" s="411"/>
      <c r="U578" s="413"/>
      <c r="V578" s="413"/>
      <c r="W578" s="413"/>
      <c r="X578" s="408"/>
      <c r="Y578" s="408"/>
      <c r="Z578" s="408"/>
      <c r="AA578" s="408"/>
      <c r="AB578" s="408"/>
      <c r="AC578" s="408"/>
      <c r="AD578" s="186"/>
      <c r="AE578" s="253"/>
    </row>
    <row r="579">
      <c r="A579" s="409"/>
      <c r="B579" s="409"/>
      <c r="C579" s="409"/>
      <c r="D579" s="409"/>
      <c r="E579" s="409"/>
      <c r="F579" s="410"/>
      <c r="G579" s="409"/>
      <c r="H579" s="409"/>
      <c r="I579" s="409"/>
      <c r="J579" s="409"/>
      <c r="K579" s="409"/>
      <c r="L579" s="409"/>
      <c r="M579" s="409"/>
      <c r="N579" s="409"/>
      <c r="O579" s="409"/>
      <c r="P579" s="411"/>
      <c r="Q579" s="412"/>
      <c r="R579" s="412"/>
      <c r="S579" s="411"/>
      <c r="T579" s="411"/>
      <c r="U579" s="413"/>
      <c r="V579" s="413"/>
      <c r="W579" s="413"/>
      <c r="X579" s="408"/>
      <c r="Y579" s="408"/>
      <c r="Z579" s="408"/>
      <c r="AA579" s="408"/>
      <c r="AB579" s="408"/>
      <c r="AC579" s="408"/>
      <c r="AD579" s="186"/>
      <c r="AE579" s="253"/>
    </row>
    <row r="580">
      <c r="A580" s="409"/>
      <c r="B580" s="409"/>
      <c r="C580" s="409"/>
      <c r="D580" s="409"/>
      <c r="E580" s="409"/>
      <c r="F580" s="410"/>
      <c r="G580" s="409"/>
      <c r="H580" s="409"/>
      <c r="I580" s="409"/>
      <c r="J580" s="409"/>
      <c r="K580" s="409"/>
      <c r="L580" s="409"/>
      <c r="M580" s="409"/>
      <c r="N580" s="409"/>
      <c r="O580" s="409"/>
      <c r="P580" s="411"/>
      <c r="Q580" s="412"/>
      <c r="R580" s="412"/>
      <c r="S580" s="411"/>
      <c r="T580" s="411"/>
      <c r="U580" s="413"/>
      <c r="V580" s="413"/>
      <c r="W580" s="413"/>
      <c r="X580" s="408"/>
      <c r="Y580" s="408"/>
      <c r="Z580" s="408"/>
      <c r="AA580" s="408"/>
      <c r="AB580" s="408"/>
      <c r="AC580" s="408"/>
      <c r="AD580" s="186"/>
      <c r="AE580" s="253"/>
    </row>
    <row r="581">
      <c r="A581" s="409"/>
      <c r="B581" s="409"/>
      <c r="C581" s="409"/>
      <c r="D581" s="409"/>
      <c r="E581" s="409"/>
      <c r="F581" s="410"/>
      <c r="G581" s="409"/>
      <c r="H581" s="409"/>
      <c r="I581" s="409"/>
      <c r="J581" s="409"/>
      <c r="K581" s="409"/>
      <c r="L581" s="409"/>
      <c r="M581" s="409"/>
      <c r="N581" s="409"/>
      <c r="O581" s="409"/>
      <c r="P581" s="411"/>
      <c r="Q581" s="412"/>
      <c r="R581" s="412"/>
      <c r="S581" s="411"/>
      <c r="T581" s="411"/>
      <c r="U581" s="413"/>
      <c r="V581" s="413"/>
      <c r="W581" s="413"/>
      <c r="X581" s="408"/>
      <c r="Y581" s="408"/>
      <c r="Z581" s="408"/>
      <c r="AA581" s="408"/>
      <c r="AB581" s="408"/>
      <c r="AC581" s="408"/>
      <c r="AD581" s="186"/>
      <c r="AE581" s="253"/>
    </row>
    <row r="582">
      <c r="A582" s="409"/>
      <c r="B582" s="409"/>
      <c r="C582" s="409"/>
      <c r="D582" s="409"/>
      <c r="E582" s="409"/>
      <c r="F582" s="410"/>
      <c r="G582" s="409"/>
      <c r="H582" s="409"/>
      <c r="I582" s="409"/>
      <c r="J582" s="409"/>
      <c r="K582" s="409"/>
      <c r="L582" s="409"/>
      <c r="M582" s="409"/>
      <c r="N582" s="409"/>
      <c r="O582" s="409"/>
      <c r="P582" s="411"/>
      <c r="Q582" s="412"/>
      <c r="R582" s="412"/>
      <c r="S582" s="411"/>
      <c r="T582" s="411"/>
      <c r="U582" s="413"/>
      <c r="V582" s="413"/>
      <c r="W582" s="413"/>
      <c r="X582" s="408"/>
      <c r="Y582" s="408"/>
      <c r="Z582" s="408"/>
      <c r="AA582" s="408"/>
      <c r="AB582" s="408"/>
      <c r="AC582" s="408"/>
      <c r="AD582" s="186"/>
      <c r="AE582" s="253"/>
    </row>
    <row r="583">
      <c r="A583" s="409"/>
      <c r="B583" s="409"/>
      <c r="C583" s="409"/>
      <c r="D583" s="409"/>
      <c r="E583" s="409"/>
      <c r="F583" s="410"/>
      <c r="G583" s="409"/>
      <c r="H583" s="409"/>
      <c r="I583" s="409"/>
      <c r="J583" s="409"/>
      <c r="K583" s="409"/>
      <c r="L583" s="409"/>
      <c r="M583" s="409"/>
      <c r="N583" s="409"/>
      <c r="O583" s="409"/>
      <c r="P583" s="411"/>
      <c r="Q583" s="412"/>
      <c r="R583" s="412"/>
      <c r="S583" s="411"/>
      <c r="T583" s="411"/>
      <c r="U583" s="413"/>
      <c r="V583" s="413"/>
      <c r="W583" s="413"/>
      <c r="X583" s="408"/>
      <c r="Y583" s="408"/>
      <c r="Z583" s="408"/>
      <c r="AA583" s="408"/>
      <c r="AB583" s="408"/>
      <c r="AC583" s="408"/>
      <c r="AD583" s="186"/>
      <c r="AE583" s="253"/>
    </row>
    <row r="584">
      <c r="A584" s="409"/>
      <c r="B584" s="409"/>
      <c r="C584" s="409"/>
      <c r="D584" s="409"/>
      <c r="E584" s="409"/>
      <c r="F584" s="410"/>
      <c r="G584" s="409"/>
      <c r="H584" s="409"/>
      <c r="I584" s="409"/>
      <c r="J584" s="409"/>
      <c r="K584" s="409"/>
      <c r="L584" s="409"/>
      <c r="M584" s="409"/>
      <c r="N584" s="409"/>
      <c r="O584" s="409"/>
      <c r="P584" s="411"/>
      <c r="Q584" s="412"/>
      <c r="R584" s="412"/>
      <c r="S584" s="411"/>
      <c r="T584" s="411"/>
      <c r="U584" s="413"/>
      <c r="V584" s="413"/>
      <c r="W584" s="413"/>
      <c r="X584" s="408"/>
      <c r="Y584" s="408"/>
      <c r="Z584" s="408"/>
      <c r="AA584" s="408"/>
      <c r="AB584" s="408"/>
      <c r="AC584" s="408"/>
      <c r="AD584" s="186"/>
      <c r="AE584" s="253"/>
    </row>
    <row r="585">
      <c r="A585" s="409"/>
      <c r="B585" s="409"/>
      <c r="C585" s="409"/>
      <c r="D585" s="409"/>
      <c r="E585" s="409"/>
      <c r="F585" s="410"/>
      <c r="G585" s="409"/>
      <c r="H585" s="409"/>
      <c r="I585" s="409"/>
      <c r="J585" s="409"/>
      <c r="K585" s="409"/>
      <c r="L585" s="409"/>
      <c r="M585" s="409"/>
      <c r="N585" s="409"/>
      <c r="O585" s="409"/>
      <c r="P585" s="411"/>
      <c r="Q585" s="412"/>
      <c r="R585" s="412"/>
      <c r="S585" s="411"/>
      <c r="T585" s="411"/>
      <c r="U585" s="413"/>
      <c r="V585" s="413"/>
      <c r="W585" s="413"/>
      <c r="X585" s="408"/>
      <c r="Y585" s="408"/>
      <c r="Z585" s="408"/>
      <c r="AA585" s="408"/>
      <c r="AB585" s="408"/>
      <c r="AC585" s="408"/>
      <c r="AD585" s="186"/>
      <c r="AE585" s="253"/>
    </row>
    <row r="586">
      <c r="A586" s="409"/>
      <c r="B586" s="409"/>
      <c r="C586" s="409"/>
      <c r="D586" s="409"/>
      <c r="E586" s="409"/>
      <c r="F586" s="410"/>
      <c r="G586" s="409"/>
      <c r="H586" s="409"/>
      <c r="I586" s="409"/>
      <c r="J586" s="409"/>
      <c r="K586" s="409"/>
      <c r="L586" s="409"/>
      <c r="M586" s="409"/>
      <c r="N586" s="409"/>
      <c r="O586" s="409"/>
      <c r="P586" s="411"/>
      <c r="Q586" s="412"/>
      <c r="R586" s="412"/>
      <c r="S586" s="411"/>
      <c r="T586" s="411"/>
      <c r="U586" s="413"/>
      <c r="V586" s="413"/>
      <c r="W586" s="413"/>
      <c r="X586" s="408"/>
      <c r="Y586" s="408"/>
      <c r="Z586" s="408"/>
      <c r="AA586" s="408"/>
      <c r="AB586" s="408"/>
      <c r="AC586" s="408"/>
      <c r="AD586" s="186"/>
      <c r="AE586" s="253"/>
    </row>
    <row r="587">
      <c r="A587" s="409"/>
      <c r="B587" s="409"/>
      <c r="C587" s="409"/>
      <c r="D587" s="409"/>
      <c r="E587" s="409"/>
      <c r="F587" s="410"/>
      <c r="G587" s="409"/>
      <c r="H587" s="409"/>
      <c r="I587" s="409"/>
      <c r="J587" s="409"/>
      <c r="K587" s="409"/>
      <c r="L587" s="409"/>
      <c r="M587" s="409"/>
      <c r="N587" s="409"/>
      <c r="O587" s="409"/>
      <c r="P587" s="411"/>
      <c r="Q587" s="412"/>
      <c r="R587" s="412"/>
      <c r="S587" s="411"/>
      <c r="T587" s="411"/>
      <c r="U587" s="413"/>
      <c r="V587" s="413"/>
      <c r="W587" s="413"/>
      <c r="X587" s="408"/>
      <c r="Y587" s="408"/>
      <c r="Z587" s="408"/>
      <c r="AA587" s="408"/>
      <c r="AB587" s="408"/>
      <c r="AC587" s="408"/>
      <c r="AD587" s="186"/>
      <c r="AE587" s="253"/>
    </row>
    <row r="588">
      <c r="A588" s="409"/>
      <c r="B588" s="409"/>
      <c r="C588" s="409"/>
      <c r="D588" s="409"/>
      <c r="E588" s="409"/>
      <c r="F588" s="410"/>
      <c r="G588" s="409"/>
      <c r="H588" s="409"/>
      <c r="I588" s="409"/>
      <c r="J588" s="409"/>
      <c r="K588" s="409"/>
      <c r="L588" s="409"/>
      <c r="M588" s="409"/>
      <c r="N588" s="409"/>
      <c r="O588" s="409"/>
      <c r="P588" s="411"/>
      <c r="Q588" s="412"/>
      <c r="R588" s="412"/>
      <c r="S588" s="411"/>
      <c r="T588" s="411"/>
      <c r="U588" s="413"/>
      <c r="V588" s="413"/>
      <c r="W588" s="413"/>
      <c r="X588" s="408"/>
      <c r="Y588" s="408"/>
      <c r="Z588" s="408"/>
      <c r="AA588" s="408"/>
      <c r="AB588" s="408"/>
      <c r="AC588" s="408"/>
      <c r="AD588" s="186"/>
      <c r="AE588" s="253"/>
    </row>
    <row r="589">
      <c r="A589" s="409"/>
      <c r="B589" s="409"/>
      <c r="C589" s="409"/>
      <c r="D589" s="409"/>
      <c r="E589" s="409"/>
      <c r="F589" s="410"/>
      <c r="G589" s="409"/>
      <c r="H589" s="409"/>
      <c r="I589" s="409"/>
      <c r="J589" s="409"/>
      <c r="K589" s="409"/>
      <c r="L589" s="409"/>
      <c r="M589" s="409"/>
      <c r="N589" s="409"/>
      <c r="O589" s="409"/>
      <c r="P589" s="411"/>
      <c r="Q589" s="412"/>
      <c r="R589" s="412"/>
      <c r="S589" s="411"/>
      <c r="T589" s="411"/>
      <c r="U589" s="413"/>
      <c r="V589" s="413"/>
      <c r="W589" s="413"/>
      <c r="X589" s="408"/>
      <c r="Y589" s="408"/>
      <c r="Z589" s="408"/>
      <c r="AA589" s="408"/>
      <c r="AB589" s="408"/>
      <c r="AC589" s="408"/>
      <c r="AD589" s="186"/>
      <c r="AE589" s="253"/>
    </row>
    <row r="590">
      <c r="A590" s="409"/>
      <c r="B590" s="409"/>
      <c r="C590" s="409"/>
      <c r="D590" s="409"/>
      <c r="E590" s="409"/>
      <c r="F590" s="410"/>
      <c r="G590" s="409"/>
      <c r="H590" s="409"/>
      <c r="I590" s="409"/>
      <c r="J590" s="409"/>
      <c r="K590" s="409"/>
      <c r="L590" s="409"/>
      <c r="M590" s="409"/>
      <c r="N590" s="409"/>
      <c r="O590" s="409"/>
      <c r="P590" s="411"/>
      <c r="Q590" s="412"/>
      <c r="R590" s="412"/>
      <c r="S590" s="411"/>
      <c r="T590" s="411"/>
      <c r="U590" s="413"/>
      <c r="V590" s="413"/>
      <c r="W590" s="413"/>
      <c r="X590" s="408"/>
      <c r="Y590" s="408"/>
      <c r="Z590" s="408"/>
      <c r="AA590" s="408"/>
      <c r="AB590" s="408"/>
      <c r="AC590" s="408"/>
      <c r="AD590" s="186"/>
      <c r="AE590" s="253"/>
    </row>
    <row r="591">
      <c r="A591" s="409"/>
      <c r="B591" s="409"/>
      <c r="C591" s="409"/>
      <c r="D591" s="409"/>
      <c r="E591" s="409"/>
      <c r="F591" s="410"/>
      <c r="G591" s="409"/>
      <c r="H591" s="409"/>
      <c r="I591" s="409"/>
      <c r="J591" s="409"/>
      <c r="K591" s="409"/>
      <c r="L591" s="409"/>
      <c r="M591" s="409"/>
      <c r="N591" s="409"/>
      <c r="O591" s="409"/>
      <c r="P591" s="411"/>
      <c r="Q591" s="412"/>
      <c r="R591" s="412"/>
      <c r="S591" s="411"/>
      <c r="T591" s="411"/>
      <c r="U591" s="413"/>
      <c r="V591" s="413"/>
      <c r="W591" s="413"/>
      <c r="X591" s="408"/>
      <c r="Y591" s="408"/>
      <c r="Z591" s="408"/>
      <c r="AA591" s="408"/>
      <c r="AB591" s="408"/>
      <c r="AC591" s="408"/>
      <c r="AD591" s="186"/>
      <c r="AE591" s="253"/>
    </row>
    <row r="592">
      <c r="A592" s="409"/>
      <c r="B592" s="409"/>
      <c r="C592" s="409"/>
      <c r="D592" s="409"/>
      <c r="E592" s="409"/>
      <c r="F592" s="410"/>
      <c r="G592" s="409"/>
      <c r="H592" s="409"/>
      <c r="I592" s="409"/>
      <c r="J592" s="409"/>
      <c r="K592" s="409"/>
      <c r="L592" s="409"/>
      <c r="M592" s="409"/>
      <c r="N592" s="409"/>
      <c r="O592" s="409"/>
      <c r="P592" s="411"/>
      <c r="Q592" s="412"/>
      <c r="R592" s="412"/>
      <c r="S592" s="411"/>
      <c r="T592" s="411"/>
      <c r="U592" s="413"/>
      <c r="V592" s="413"/>
      <c r="W592" s="413"/>
      <c r="X592" s="408"/>
      <c r="Y592" s="408"/>
      <c r="Z592" s="408"/>
      <c r="AA592" s="408"/>
      <c r="AB592" s="408"/>
      <c r="AC592" s="408"/>
      <c r="AD592" s="186"/>
      <c r="AE592" s="253"/>
    </row>
    <row r="593">
      <c r="A593" s="409"/>
      <c r="B593" s="409"/>
      <c r="C593" s="409"/>
      <c r="D593" s="409"/>
      <c r="E593" s="409"/>
      <c r="F593" s="410"/>
      <c r="G593" s="409"/>
      <c r="H593" s="409"/>
      <c r="I593" s="409"/>
      <c r="J593" s="409"/>
      <c r="K593" s="409"/>
      <c r="L593" s="409"/>
      <c r="M593" s="409"/>
      <c r="N593" s="409"/>
      <c r="O593" s="409"/>
      <c r="P593" s="411"/>
      <c r="Q593" s="412"/>
      <c r="R593" s="412"/>
      <c r="S593" s="411"/>
      <c r="T593" s="411"/>
      <c r="U593" s="413"/>
      <c r="V593" s="413"/>
      <c r="W593" s="413"/>
      <c r="X593" s="408"/>
      <c r="Y593" s="408"/>
      <c r="Z593" s="408"/>
      <c r="AA593" s="408"/>
      <c r="AB593" s="408"/>
      <c r="AC593" s="408"/>
      <c r="AD593" s="186"/>
      <c r="AE593" s="253"/>
    </row>
    <row r="594">
      <c r="A594" s="409"/>
      <c r="B594" s="409"/>
      <c r="C594" s="409"/>
      <c r="D594" s="409"/>
      <c r="E594" s="409"/>
      <c r="F594" s="410"/>
      <c r="G594" s="409"/>
      <c r="H594" s="409"/>
      <c r="I594" s="409"/>
      <c r="J594" s="409"/>
      <c r="K594" s="409"/>
      <c r="L594" s="409"/>
      <c r="M594" s="409"/>
      <c r="N594" s="409"/>
      <c r="O594" s="409"/>
      <c r="P594" s="411"/>
      <c r="Q594" s="412"/>
      <c r="R594" s="412"/>
      <c r="S594" s="411"/>
      <c r="T594" s="411"/>
      <c r="U594" s="413"/>
      <c r="V594" s="413"/>
      <c r="W594" s="413"/>
      <c r="X594" s="408"/>
      <c r="Y594" s="408"/>
      <c r="Z594" s="408"/>
      <c r="AA594" s="408"/>
      <c r="AB594" s="408"/>
      <c r="AC594" s="408"/>
      <c r="AD594" s="186"/>
      <c r="AE594" s="253"/>
    </row>
    <row r="595">
      <c r="A595" s="409"/>
      <c r="B595" s="409"/>
      <c r="C595" s="409"/>
      <c r="D595" s="409"/>
      <c r="E595" s="409"/>
      <c r="F595" s="410"/>
      <c r="G595" s="409"/>
      <c r="H595" s="409"/>
      <c r="I595" s="409"/>
      <c r="J595" s="409"/>
      <c r="K595" s="409"/>
      <c r="L595" s="409"/>
      <c r="M595" s="409"/>
      <c r="N595" s="409"/>
      <c r="O595" s="409"/>
      <c r="P595" s="411"/>
      <c r="Q595" s="412"/>
      <c r="R595" s="412"/>
      <c r="S595" s="411"/>
      <c r="T595" s="411"/>
      <c r="U595" s="413"/>
      <c r="V595" s="413"/>
      <c r="W595" s="413"/>
      <c r="X595" s="408"/>
      <c r="Y595" s="408"/>
      <c r="Z595" s="408"/>
      <c r="AA595" s="408"/>
      <c r="AB595" s="408"/>
      <c r="AC595" s="408"/>
      <c r="AD595" s="186"/>
      <c r="AE595" s="253"/>
    </row>
    <row r="596">
      <c r="A596" s="409"/>
      <c r="B596" s="409"/>
      <c r="C596" s="409"/>
      <c r="D596" s="409"/>
      <c r="E596" s="409"/>
      <c r="F596" s="410"/>
      <c r="G596" s="409"/>
      <c r="H596" s="409"/>
      <c r="I596" s="409"/>
      <c r="J596" s="409"/>
      <c r="K596" s="409"/>
      <c r="L596" s="409"/>
      <c r="M596" s="409"/>
      <c r="N596" s="409"/>
      <c r="O596" s="409"/>
      <c r="P596" s="411"/>
      <c r="Q596" s="412"/>
      <c r="R596" s="412"/>
      <c r="S596" s="411"/>
      <c r="T596" s="411"/>
      <c r="U596" s="413" t="s">
        <v>539</v>
      </c>
      <c r="V596" s="413">
        <v>15.0</v>
      </c>
      <c r="W596" s="413">
        <v>5.0</v>
      </c>
      <c r="X596" s="408">
        <v>0.7</v>
      </c>
      <c r="Y596" s="408">
        <v>0.7</v>
      </c>
      <c r="Z596" s="408">
        <v>0.7</v>
      </c>
      <c r="AA596" s="408">
        <v>1700.0</v>
      </c>
      <c r="AB596" s="408" t="s">
        <v>612</v>
      </c>
      <c r="AC596" s="408">
        <v>0.85</v>
      </c>
      <c r="AD596" s="186"/>
      <c r="AE596" s="253"/>
    </row>
    <row r="597">
      <c r="A597" s="409"/>
      <c r="B597" s="409"/>
      <c r="C597" s="409"/>
      <c r="D597" s="409"/>
      <c r="E597" s="409"/>
      <c r="F597" s="410"/>
      <c r="G597" s="409"/>
      <c r="H597" s="409"/>
      <c r="I597" s="409"/>
      <c r="J597" s="409"/>
      <c r="K597" s="409"/>
      <c r="L597" s="409"/>
      <c r="M597" s="409"/>
      <c r="N597" s="409"/>
      <c r="O597" s="409"/>
      <c r="P597" s="411"/>
      <c r="Q597" s="412"/>
      <c r="R597" s="412"/>
      <c r="S597" s="411"/>
      <c r="T597" s="411"/>
      <c r="U597" s="413" t="s">
        <v>539</v>
      </c>
      <c r="V597" s="413">
        <v>15.0</v>
      </c>
      <c r="W597" s="413">
        <v>5.0</v>
      </c>
      <c r="X597" s="408">
        <v>0.7</v>
      </c>
      <c r="Y597" s="408">
        <v>0.7</v>
      </c>
      <c r="Z597" s="408">
        <v>0.7</v>
      </c>
      <c r="AA597" s="408">
        <v>1700.0</v>
      </c>
      <c r="AB597" s="408" t="s">
        <v>612</v>
      </c>
      <c r="AC597" s="408">
        <v>0.85</v>
      </c>
      <c r="AD597" s="186"/>
      <c r="AE597" s="253"/>
    </row>
    <row r="598">
      <c r="A598" s="409"/>
      <c r="B598" s="409"/>
      <c r="C598" s="409"/>
      <c r="D598" s="409"/>
      <c r="E598" s="409"/>
      <c r="F598" s="410"/>
      <c r="G598" s="409"/>
      <c r="H598" s="409"/>
      <c r="I598" s="409"/>
      <c r="J598" s="409"/>
      <c r="K598" s="409"/>
      <c r="L598" s="409"/>
      <c r="M598" s="409"/>
      <c r="N598" s="409"/>
      <c r="O598" s="409"/>
      <c r="P598" s="411"/>
      <c r="Q598" s="412"/>
      <c r="R598" s="412"/>
      <c r="S598" s="411"/>
      <c r="T598" s="411"/>
      <c r="U598" s="413" t="s">
        <v>539</v>
      </c>
      <c r="V598" s="413">
        <v>15.0</v>
      </c>
      <c r="W598" s="413">
        <v>5.0</v>
      </c>
      <c r="X598" s="408">
        <v>0.7</v>
      </c>
      <c r="Y598" s="408">
        <v>0.7</v>
      </c>
      <c r="Z598" s="408">
        <v>0.7</v>
      </c>
      <c r="AA598" s="408">
        <v>1700.0</v>
      </c>
      <c r="AB598" s="408" t="s">
        <v>612</v>
      </c>
      <c r="AC598" s="408">
        <v>0.85</v>
      </c>
      <c r="AD598" s="186"/>
      <c r="AE598" s="253"/>
    </row>
    <row r="599">
      <c r="A599" s="409"/>
      <c r="B599" s="409"/>
      <c r="C599" s="409"/>
      <c r="D599" s="409"/>
      <c r="E599" s="409"/>
      <c r="F599" s="410"/>
      <c r="G599" s="409"/>
      <c r="H599" s="409"/>
      <c r="I599" s="409"/>
      <c r="J599" s="409"/>
      <c r="K599" s="409"/>
      <c r="L599" s="409"/>
      <c r="M599" s="409"/>
      <c r="N599" s="409"/>
      <c r="O599" s="409"/>
      <c r="P599" s="411"/>
      <c r="Q599" s="412"/>
      <c r="R599" s="412"/>
      <c r="S599" s="411"/>
      <c r="T599" s="411"/>
      <c r="U599" s="413" t="s">
        <v>539</v>
      </c>
      <c r="V599" s="413">
        <v>15.0</v>
      </c>
      <c r="W599" s="413">
        <v>5.0</v>
      </c>
      <c r="X599" s="408">
        <v>0.7</v>
      </c>
      <c r="Y599" s="408">
        <v>0.7</v>
      </c>
      <c r="Z599" s="408">
        <v>0.7</v>
      </c>
      <c r="AA599" s="408">
        <v>1700.0</v>
      </c>
      <c r="AB599" s="408" t="s">
        <v>612</v>
      </c>
      <c r="AC599" s="408">
        <v>0.85</v>
      </c>
      <c r="AD599" s="186"/>
      <c r="AE599" s="253"/>
    </row>
    <row r="600">
      <c r="A600" s="409"/>
      <c r="B600" s="409"/>
      <c r="C600" s="409"/>
      <c r="D600" s="409"/>
      <c r="E600" s="409"/>
      <c r="F600" s="410"/>
      <c r="G600" s="409"/>
      <c r="H600" s="409"/>
      <c r="I600" s="409"/>
      <c r="J600" s="409"/>
      <c r="K600" s="409"/>
      <c r="L600" s="409"/>
      <c r="M600" s="409"/>
      <c r="N600" s="409"/>
      <c r="O600" s="409"/>
      <c r="P600" s="411"/>
      <c r="Q600" s="412"/>
      <c r="R600" s="412"/>
      <c r="S600" s="411"/>
      <c r="T600" s="411"/>
      <c r="U600" s="413" t="s">
        <v>539</v>
      </c>
      <c r="V600" s="413">
        <v>15.0</v>
      </c>
      <c r="W600" s="413">
        <v>5.0</v>
      </c>
      <c r="X600" s="408">
        <v>0.7</v>
      </c>
      <c r="Y600" s="408">
        <v>0.7</v>
      </c>
      <c r="Z600" s="408">
        <v>0.7</v>
      </c>
      <c r="AA600" s="408">
        <v>1700.0</v>
      </c>
      <c r="AB600" s="408" t="s">
        <v>612</v>
      </c>
      <c r="AC600" s="408">
        <v>0.85</v>
      </c>
      <c r="AD600" s="186"/>
      <c r="AE600" s="253"/>
    </row>
    <row r="601">
      <c r="A601" s="409"/>
      <c r="B601" s="409"/>
      <c r="C601" s="409"/>
      <c r="D601" s="409"/>
      <c r="E601" s="409"/>
      <c r="F601" s="410"/>
      <c r="G601" s="409"/>
      <c r="H601" s="409"/>
      <c r="I601" s="409"/>
      <c r="J601" s="409"/>
      <c r="K601" s="409"/>
      <c r="L601" s="409"/>
      <c r="M601" s="409"/>
      <c r="N601" s="409"/>
      <c r="O601" s="409"/>
      <c r="P601" s="411"/>
      <c r="Q601" s="412"/>
      <c r="R601" s="412"/>
      <c r="S601" s="411"/>
      <c r="T601" s="411"/>
      <c r="U601" s="413" t="s">
        <v>553</v>
      </c>
      <c r="V601" s="413">
        <v>15.0</v>
      </c>
      <c r="W601" s="413">
        <v>5.0</v>
      </c>
      <c r="X601" s="408">
        <v>0.7</v>
      </c>
      <c r="Y601" s="408">
        <v>0.7</v>
      </c>
      <c r="Z601" s="408">
        <v>0.7</v>
      </c>
      <c r="AA601" s="408">
        <v>1700.0</v>
      </c>
      <c r="AB601" s="408" t="s">
        <v>612</v>
      </c>
      <c r="AC601" s="408">
        <v>0.85</v>
      </c>
      <c r="AD601" s="186"/>
      <c r="AE601" s="253"/>
    </row>
    <row r="602">
      <c r="A602" s="409"/>
      <c r="B602" s="409"/>
      <c r="C602" s="409"/>
      <c r="D602" s="409"/>
      <c r="E602" s="409"/>
      <c r="F602" s="410"/>
      <c r="G602" s="409"/>
      <c r="H602" s="409"/>
      <c r="I602" s="409"/>
      <c r="J602" s="409"/>
      <c r="K602" s="409"/>
      <c r="L602" s="409"/>
      <c r="M602" s="409"/>
      <c r="N602" s="409"/>
      <c r="O602" s="409"/>
      <c r="P602" s="411"/>
      <c r="Q602" s="412"/>
      <c r="R602" s="412"/>
      <c r="S602" s="411"/>
      <c r="T602" s="411"/>
      <c r="U602" s="413" t="s">
        <v>553</v>
      </c>
      <c r="V602" s="413">
        <v>15.0</v>
      </c>
      <c r="W602" s="413">
        <v>5.0</v>
      </c>
      <c r="X602" s="408">
        <v>0.7</v>
      </c>
      <c r="Y602" s="408">
        <v>0.7</v>
      </c>
      <c r="Z602" s="408">
        <v>0.7</v>
      </c>
      <c r="AA602" s="408">
        <v>1700.0</v>
      </c>
      <c r="AB602" s="408" t="s">
        <v>612</v>
      </c>
      <c r="AC602" s="408">
        <v>0.85</v>
      </c>
      <c r="AD602" s="186"/>
      <c r="AE602" s="253"/>
    </row>
    <row r="603">
      <c r="A603" s="409"/>
      <c r="B603" s="409"/>
      <c r="C603" s="409"/>
      <c r="D603" s="409"/>
      <c r="E603" s="409"/>
      <c r="F603" s="410"/>
      <c r="G603" s="409"/>
      <c r="H603" s="409"/>
      <c r="I603" s="409"/>
      <c r="J603" s="409"/>
      <c r="K603" s="409"/>
      <c r="L603" s="409"/>
      <c r="M603" s="409"/>
      <c r="N603" s="409"/>
      <c r="O603" s="409"/>
      <c r="P603" s="411"/>
      <c r="Q603" s="412"/>
      <c r="R603" s="412"/>
      <c r="S603" s="411"/>
      <c r="T603" s="411"/>
      <c r="U603" s="413" t="s">
        <v>539</v>
      </c>
      <c r="V603" s="413">
        <v>15.0</v>
      </c>
      <c r="W603" s="413">
        <v>5.0</v>
      </c>
      <c r="X603" s="408">
        <v>0.7</v>
      </c>
      <c r="Y603" s="408">
        <v>0.7</v>
      </c>
      <c r="Z603" s="408">
        <v>0.7</v>
      </c>
      <c r="AA603" s="408">
        <v>1700.0</v>
      </c>
      <c r="AB603" s="408" t="s">
        <v>612</v>
      </c>
      <c r="AC603" s="408">
        <v>0.85</v>
      </c>
      <c r="AD603" s="186"/>
      <c r="AE603" s="253"/>
    </row>
    <row r="604">
      <c r="A604" s="409"/>
      <c r="B604" s="409"/>
      <c r="C604" s="409"/>
      <c r="D604" s="409"/>
      <c r="E604" s="409"/>
      <c r="F604" s="410"/>
      <c r="G604" s="409"/>
      <c r="H604" s="409"/>
      <c r="I604" s="409"/>
      <c r="J604" s="409"/>
      <c r="K604" s="409"/>
      <c r="L604" s="409"/>
      <c r="M604" s="409"/>
      <c r="N604" s="409"/>
      <c r="O604" s="409"/>
      <c r="P604" s="411"/>
      <c r="Q604" s="412"/>
      <c r="R604" s="412"/>
      <c r="S604" s="411"/>
      <c r="T604" s="411"/>
      <c r="U604" s="413" t="s">
        <v>539</v>
      </c>
      <c r="V604" s="413">
        <v>15.0</v>
      </c>
      <c r="W604" s="413">
        <v>5.0</v>
      </c>
      <c r="X604" s="408">
        <v>0.7</v>
      </c>
      <c r="Y604" s="408">
        <v>0.7</v>
      </c>
      <c r="Z604" s="408">
        <v>0.7</v>
      </c>
      <c r="AA604" s="408">
        <v>1700.0</v>
      </c>
      <c r="AB604" s="408" t="s">
        <v>612</v>
      </c>
      <c r="AC604" s="408">
        <v>0.85</v>
      </c>
      <c r="AD604" s="186"/>
      <c r="AE604" s="253"/>
    </row>
    <row r="605">
      <c r="A605" s="409"/>
      <c r="B605" s="409"/>
      <c r="C605" s="409"/>
      <c r="D605" s="409"/>
      <c r="E605" s="409"/>
      <c r="F605" s="410"/>
      <c r="G605" s="409"/>
      <c r="H605" s="409"/>
      <c r="I605" s="409"/>
      <c r="J605" s="409"/>
      <c r="K605" s="409"/>
      <c r="L605" s="409"/>
      <c r="M605" s="409"/>
      <c r="N605" s="409"/>
      <c r="O605" s="409"/>
      <c r="P605" s="411"/>
      <c r="Q605" s="412"/>
      <c r="R605" s="412"/>
      <c r="S605" s="411"/>
      <c r="T605" s="411"/>
      <c r="U605" s="413" t="s">
        <v>539</v>
      </c>
      <c r="V605" s="413">
        <v>15.0</v>
      </c>
      <c r="W605" s="413">
        <v>5.0</v>
      </c>
      <c r="X605" s="408">
        <v>0.7</v>
      </c>
      <c r="Y605" s="408">
        <v>0.7</v>
      </c>
      <c r="Z605" s="408">
        <v>0.7</v>
      </c>
      <c r="AA605" s="408">
        <v>1700.0</v>
      </c>
      <c r="AB605" s="408" t="s">
        <v>612</v>
      </c>
      <c r="AC605" s="408">
        <v>0.85</v>
      </c>
      <c r="AD605" s="186"/>
      <c r="AE605" s="253"/>
    </row>
    <row r="606">
      <c r="A606" s="409"/>
      <c r="B606" s="409"/>
      <c r="C606" s="409"/>
      <c r="D606" s="409"/>
      <c r="E606" s="409"/>
      <c r="F606" s="410"/>
      <c r="G606" s="409"/>
      <c r="H606" s="409"/>
      <c r="I606" s="409"/>
      <c r="J606" s="409"/>
      <c r="K606" s="409"/>
      <c r="L606" s="409"/>
      <c r="M606" s="409"/>
      <c r="N606" s="409"/>
      <c r="O606" s="409"/>
      <c r="P606" s="411"/>
      <c r="Q606" s="412"/>
      <c r="R606" s="412"/>
      <c r="S606" s="411"/>
      <c r="T606" s="411"/>
      <c r="U606" s="413" t="s">
        <v>539</v>
      </c>
      <c r="V606" s="413">
        <v>15.0</v>
      </c>
      <c r="W606" s="413">
        <v>5.0</v>
      </c>
      <c r="X606" s="408">
        <v>0.7</v>
      </c>
      <c r="Y606" s="408">
        <v>0.7</v>
      </c>
      <c r="Z606" s="408">
        <v>0.7</v>
      </c>
      <c r="AA606" s="408">
        <v>1700.0</v>
      </c>
      <c r="AB606" s="408" t="s">
        <v>612</v>
      </c>
      <c r="AC606" s="408">
        <v>0.85</v>
      </c>
      <c r="AD606" s="186"/>
      <c r="AE606" s="253"/>
    </row>
    <row r="607" ht="15.0" customHeight="1">
      <c r="A607" s="409"/>
      <c r="B607" s="409"/>
      <c r="C607" s="409"/>
      <c r="D607" s="409"/>
      <c r="E607" s="409"/>
      <c r="F607" s="410"/>
      <c r="G607" s="409"/>
      <c r="H607" s="409"/>
      <c r="I607" s="409"/>
      <c r="J607" s="409"/>
      <c r="K607" s="409"/>
      <c r="L607" s="409"/>
      <c r="M607" s="409"/>
      <c r="N607" s="409"/>
      <c r="O607" s="409"/>
      <c r="P607" s="411"/>
      <c r="Q607" s="412"/>
      <c r="R607" s="412"/>
      <c r="S607" s="411"/>
      <c r="T607" s="411"/>
      <c r="U607" s="413" t="s">
        <v>539</v>
      </c>
      <c r="V607" s="413">
        <v>15.0</v>
      </c>
      <c r="W607" s="413">
        <v>5.0</v>
      </c>
      <c r="X607" s="408">
        <v>0.7</v>
      </c>
      <c r="Y607" s="408">
        <v>0.7</v>
      </c>
      <c r="Z607" s="408">
        <v>0.7</v>
      </c>
      <c r="AA607" s="408">
        <v>1700.0</v>
      </c>
      <c r="AB607" s="408" t="s">
        <v>612</v>
      </c>
      <c r="AC607" s="408">
        <v>0.85</v>
      </c>
      <c r="AD607" s="191"/>
      <c r="AE607" s="414"/>
    </row>
    <row r="608" ht="15.0" customHeight="1">
      <c r="A608" s="409"/>
      <c r="B608" s="409"/>
      <c r="C608" s="409"/>
      <c r="D608" s="409"/>
      <c r="E608" s="409"/>
      <c r="F608" s="410"/>
      <c r="G608" s="409"/>
      <c r="H608" s="409"/>
      <c r="I608" s="409"/>
      <c r="J608" s="409"/>
      <c r="K608" s="409"/>
      <c r="L608" s="409"/>
      <c r="M608" s="409"/>
      <c r="N608" s="409"/>
      <c r="O608" s="409"/>
      <c r="P608" s="411"/>
      <c r="Q608" s="412"/>
      <c r="R608" s="412"/>
      <c r="S608" s="411"/>
      <c r="T608" s="411"/>
      <c r="U608" s="413" t="s">
        <v>539</v>
      </c>
      <c r="V608" s="413">
        <v>15.0</v>
      </c>
      <c r="W608" s="413">
        <v>5.0</v>
      </c>
      <c r="X608" s="408">
        <v>0.7</v>
      </c>
      <c r="Y608" s="408">
        <v>0.7</v>
      </c>
      <c r="Z608" s="408">
        <v>0.7</v>
      </c>
      <c r="AA608" s="408">
        <v>1700.0</v>
      </c>
      <c r="AB608" s="408" t="s">
        <v>612</v>
      </c>
      <c r="AC608" s="408">
        <v>0.85</v>
      </c>
      <c r="AD608" s="191"/>
      <c r="AE608" s="414"/>
    </row>
    <row r="609" ht="15.0" customHeight="1">
      <c r="A609" s="409"/>
      <c r="B609" s="409"/>
      <c r="C609" s="409"/>
      <c r="D609" s="409"/>
      <c r="E609" s="409"/>
      <c r="F609" s="410"/>
      <c r="G609" s="409"/>
      <c r="H609" s="409"/>
      <c r="I609" s="409"/>
      <c r="J609" s="409"/>
      <c r="K609" s="409"/>
      <c r="L609" s="409"/>
      <c r="M609" s="409"/>
      <c r="N609" s="409"/>
      <c r="O609" s="409"/>
      <c r="P609" s="411"/>
      <c r="Q609" s="412"/>
      <c r="R609" s="412"/>
      <c r="S609" s="411"/>
      <c r="T609" s="411"/>
      <c r="U609" s="413" t="s">
        <v>553</v>
      </c>
      <c r="V609" s="413">
        <v>15.0</v>
      </c>
      <c r="W609" s="413">
        <v>5.0</v>
      </c>
      <c r="X609" s="408">
        <v>0.7</v>
      </c>
      <c r="Y609" s="408">
        <v>0.7</v>
      </c>
      <c r="Z609" s="408">
        <v>0.7</v>
      </c>
      <c r="AA609" s="408">
        <v>1700.0</v>
      </c>
      <c r="AB609" s="408" t="s">
        <v>612</v>
      </c>
      <c r="AC609" s="408">
        <v>0.85</v>
      </c>
      <c r="AD609" s="191"/>
      <c r="AE609" s="414"/>
    </row>
    <row r="610" ht="15.0" customHeight="1">
      <c r="A610" s="409"/>
      <c r="B610" s="409"/>
      <c r="C610" s="409"/>
      <c r="D610" s="409"/>
      <c r="E610" s="409"/>
      <c r="F610" s="410"/>
      <c r="G610" s="409"/>
      <c r="H610" s="409"/>
      <c r="I610" s="409"/>
      <c r="J610" s="409"/>
      <c r="K610" s="409"/>
      <c r="L610" s="409"/>
      <c r="M610" s="409"/>
      <c r="N610" s="409"/>
      <c r="O610" s="409"/>
      <c r="P610" s="411"/>
      <c r="Q610" s="412"/>
      <c r="R610" s="412"/>
      <c r="S610" s="411"/>
      <c r="T610" s="411"/>
      <c r="U610" s="413" t="s">
        <v>553</v>
      </c>
      <c r="V610" s="413">
        <v>15.0</v>
      </c>
      <c r="W610" s="413">
        <v>5.0</v>
      </c>
      <c r="X610" s="408">
        <v>0.7</v>
      </c>
      <c r="Y610" s="408">
        <v>0.7</v>
      </c>
      <c r="Z610" s="408">
        <v>0.7</v>
      </c>
      <c r="AA610" s="408">
        <v>1700.0</v>
      </c>
      <c r="AB610" s="408" t="s">
        <v>612</v>
      </c>
      <c r="AC610" s="408">
        <v>0.85</v>
      </c>
      <c r="AD610" s="191"/>
      <c r="AE610" s="414"/>
    </row>
    <row r="611" ht="15.0" customHeight="1">
      <c r="A611" s="409"/>
      <c r="B611" s="409"/>
      <c r="C611" s="409"/>
      <c r="D611" s="409"/>
      <c r="E611" s="409"/>
      <c r="F611" s="410"/>
      <c r="G611" s="409"/>
      <c r="H611" s="409"/>
      <c r="I611" s="409"/>
      <c r="J611" s="409"/>
      <c r="K611" s="409"/>
      <c r="L611" s="409"/>
      <c r="M611" s="409"/>
      <c r="N611" s="409"/>
      <c r="O611" s="409"/>
      <c r="P611" s="411"/>
      <c r="Q611" s="412"/>
      <c r="R611" s="412"/>
      <c r="S611" s="411"/>
      <c r="T611" s="411"/>
      <c r="U611" s="413" t="s">
        <v>539</v>
      </c>
      <c r="V611" s="413">
        <v>15.0</v>
      </c>
      <c r="W611" s="413">
        <v>5.0</v>
      </c>
      <c r="X611" s="408">
        <v>0.7</v>
      </c>
      <c r="Y611" s="408">
        <v>0.7</v>
      </c>
      <c r="Z611" s="408">
        <v>0.7</v>
      </c>
      <c r="AA611" s="408">
        <v>1700.0</v>
      </c>
      <c r="AB611" s="408" t="s">
        <v>612</v>
      </c>
      <c r="AC611" s="408">
        <v>0.85</v>
      </c>
      <c r="AD611" s="191"/>
      <c r="AE611" s="414"/>
    </row>
    <row r="612" ht="15.0" customHeight="1">
      <c r="A612" s="409"/>
      <c r="B612" s="409"/>
      <c r="C612" s="409"/>
      <c r="D612" s="409"/>
      <c r="E612" s="409"/>
      <c r="F612" s="410"/>
      <c r="G612" s="409"/>
      <c r="H612" s="409"/>
      <c r="I612" s="409"/>
      <c r="J612" s="409"/>
      <c r="K612" s="409"/>
      <c r="L612" s="409"/>
      <c r="M612" s="409"/>
      <c r="N612" s="409"/>
      <c r="O612" s="409"/>
      <c r="P612" s="411"/>
      <c r="Q612" s="412"/>
      <c r="R612" s="412"/>
      <c r="S612" s="411"/>
      <c r="T612" s="411"/>
      <c r="U612" s="413" t="s">
        <v>539</v>
      </c>
      <c r="V612" s="413">
        <v>15.0</v>
      </c>
      <c r="W612" s="413">
        <v>5.0</v>
      </c>
      <c r="X612" s="408">
        <v>0.7</v>
      </c>
      <c r="Y612" s="408">
        <v>0.7</v>
      </c>
      <c r="Z612" s="408">
        <v>0.7</v>
      </c>
      <c r="AA612" s="408">
        <v>1700.0</v>
      </c>
      <c r="AB612" s="408" t="s">
        <v>612</v>
      </c>
      <c r="AC612" s="408">
        <v>0.85</v>
      </c>
      <c r="AD612" s="191"/>
      <c r="AE612" s="414"/>
    </row>
    <row r="613" ht="15.0" customHeight="1">
      <c r="A613" s="409"/>
      <c r="B613" s="409"/>
      <c r="C613" s="409"/>
      <c r="D613" s="409"/>
      <c r="E613" s="409"/>
      <c r="F613" s="410"/>
      <c r="G613" s="409"/>
      <c r="H613" s="409"/>
      <c r="I613" s="409"/>
      <c r="J613" s="409"/>
      <c r="K613" s="409"/>
      <c r="L613" s="409"/>
      <c r="M613" s="409"/>
      <c r="N613" s="409"/>
      <c r="O613" s="409"/>
      <c r="P613" s="411"/>
      <c r="Q613" s="412"/>
      <c r="R613" s="412"/>
      <c r="S613" s="411"/>
      <c r="T613" s="411"/>
      <c r="U613" s="413" t="s">
        <v>539</v>
      </c>
      <c r="V613" s="413">
        <v>15.0</v>
      </c>
      <c r="W613" s="413">
        <v>5.0</v>
      </c>
      <c r="X613" s="408">
        <v>0.7</v>
      </c>
      <c r="Y613" s="408">
        <v>0.7</v>
      </c>
      <c r="Z613" s="408">
        <v>0.7</v>
      </c>
      <c r="AA613" s="408">
        <v>1700.0</v>
      </c>
      <c r="AB613" s="408" t="s">
        <v>612</v>
      </c>
      <c r="AC613" s="408">
        <v>0.85</v>
      </c>
      <c r="AD613" s="191"/>
      <c r="AE613" s="414"/>
    </row>
    <row r="614" ht="15.0" customHeight="1">
      <c r="A614" s="409"/>
      <c r="B614" s="409"/>
      <c r="C614" s="409"/>
      <c r="D614" s="409"/>
      <c r="E614" s="409"/>
      <c r="F614" s="410"/>
      <c r="G614" s="409"/>
      <c r="H614" s="409"/>
      <c r="I614" s="409"/>
      <c r="J614" s="409"/>
      <c r="K614" s="409"/>
      <c r="L614" s="409"/>
      <c r="M614" s="409"/>
      <c r="N614" s="409"/>
      <c r="O614" s="409"/>
      <c r="P614" s="411"/>
      <c r="Q614" s="412"/>
      <c r="R614" s="412"/>
      <c r="S614" s="411"/>
      <c r="T614" s="411"/>
      <c r="U614" s="413" t="s">
        <v>539</v>
      </c>
      <c r="V614" s="413">
        <v>15.0</v>
      </c>
      <c r="W614" s="413">
        <v>5.0</v>
      </c>
      <c r="X614" s="408">
        <v>0.7</v>
      </c>
      <c r="Y614" s="408">
        <v>0.7</v>
      </c>
      <c r="Z614" s="408">
        <v>0.7</v>
      </c>
      <c r="AA614" s="408">
        <v>1700.0</v>
      </c>
      <c r="AB614" s="408" t="s">
        <v>612</v>
      </c>
      <c r="AC614" s="408">
        <v>0.85</v>
      </c>
      <c r="AD614" s="191"/>
      <c r="AE614" s="414"/>
    </row>
    <row r="615" ht="15.0" customHeight="1">
      <c r="A615" s="409"/>
      <c r="B615" s="409"/>
      <c r="C615" s="409"/>
      <c r="D615" s="409"/>
      <c r="E615" s="409"/>
      <c r="F615" s="410"/>
      <c r="G615" s="409"/>
      <c r="H615" s="409"/>
      <c r="I615" s="409"/>
      <c r="J615" s="409"/>
      <c r="K615" s="409"/>
      <c r="L615" s="409"/>
      <c r="M615" s="409"/>
      <c r="N615" s="409"/>
      <c r="O615" s="409"/>
      <c r="P615" s="411"/>
      <c r="Q615" s="412"/>
      <c r="R615" s="412"/>
      <c r="S615" s="411"/>
      <c r="T615" s="411"/>
      <c r="U615" s="413" t="s">
        <v>539</v>
      </c>
      <c r="V615" s="413">
        <v>15.0</v>
      </c>
      <c r="W615" s="413">
        <v>5.0</v>
      </c>
      <c r="X615" s="408">
        <v>0.7</v>
      </c>
      <c r="Y615" s="408">
        <v>0.7</v>
      </c>
      <c r="Z615" s="408">
        <v>0.7</v>
      </c>
      <c r="AA615" s="408">
        <v>1700.0</v>
      </c>
      <c r="AB615" s="408" t="s">
        <v>612</v>
      </c>
      <c r="AC615" s="408">
        <v>0.85</v>
      </c>
      <c r="AD615" s="191"/>
      <c r="AE615" s="414"/>
    </row>
    <row r="616" ht="15.0" customHeight="1">
      <c r="A616" s="409"/>
      <c r="B616" s="409"/>
      <c r="C616" s="409"/>
      <c r="D616" s="409"/>
      <c r="E616" s="409"/>
      <c r="F616" s="410"/>
      <c r="G616" s="409"/>
      <c r="H616" s="409"/>
      <c r="I616" s="409"/>
      <c r="J616" s="409"/>
      <c r="K616" s="409"/>
      <c r="L616" s="409"/>
      <c r="M616" s="409"/>
      <c r="N616" s="409"/>
      <c r="O616" s="409"/>
      <c r="P616" s="411"/>
      <c r="Q616" s="412"/>
      <c r="R616" s="412"/>
      <c r="S616" s="411"/>
      <c r="T616" s="411"/>
      <c r="U616" s="413" t="s">
        <v>539</v>
      </c>
      <c r="V616" s="413">
        <v>15.0</v>
      </c>
      <c r="W616" s="413">
        <v>5.0</v>
      </c>
      <c r="X616" s="408">
        <v>0.7</v>
      </c>
      <c r="Y616" s="408">
        <v>0.7</v>
      </c>
      <c r="Z616" s="408">
        <v>0.7</v>
      </c>
      <c r="AA616" s="408">
        <v>1700.0</v>
      </c>
      <c r="AB616" s="408" t="s">
        <v>612</v>
      </c>
      <c r="AC616" s="408">
        <v>0.85</v>
      </c>
      <c r="AD616" s="191"/>
      <c r="AE616" s="414"/>
    </row>
    <row r="617" ht="15.0" customHeight="1">
      <c r="A617" s="409"/>
      <c r="B617" s="409"/>
      <c r="C617" s="409"/>
      <c r="D617" s="409"/>
      <c r="E617" s="409"/>
      <c r="F617" s="410"/>
      <c r="G617" s="409"/>
      <c r="H617" s="409"/>
      <c r="I617" s="409"/>
      <c r="J617" s="409"/>
      <c r="K617" s="409"/>
      <c r="L617" s="409"/>
      <c r="M617" s="409"/>
      <c r="N617" s="409"/>
      <c r="O617" s="409"/>
      <c r="P617" s="411"/>
      <c r="Q617" s="412"/>
      <c r="R617" s="412"/>
      <c r="S617" s="411"/>
      <c r="T617" s="411"/>
      <c r="U617" s="413" t="s">
        <v>539</v>
      </c>
      <c r="V617" s="413">
        <v>15.0</v>
      </c>
      <c r="W617" s="413">
        <v>5.0</v>
      </c>
      <c r="X617" s="408">
        <v>0.7</v>
      </c>
      <c r="Y617" s="408">
        <v>0.7</v>
      </c>
      <c r="Z617" s="408">
        <v>0.7</v>
      </c>
      <c r="AA617" s="408">
        <v>1700.0</v>
      </c>
      <c r="AB617" s="408" t="s">
        <v>612</v>
      </c>
      <c r="AC617" s="408">
        <v>0.85</v>
      </c>
      <c r="AD617" s="191"/>
      <c r="AE617" s="414"/>
    </row>
    <row r="618" ht="15.0" customHeight="1">
      <c r="A618" s="409"/>
      <c r="B618" s="409"/>
      <c r="C618" s="409"/>
      <c r="D618" s="409"/>
      <c r="E618" s="409"/>
      <c r="F618" s="410"/>
      <c r="G618" s="409"/>
      <c r="H618" s="409"/>
      <c r="I618" s="409"/>
      <c r="J618" s="409"/>
      <c r="K618" s="409"/>
      <c r="L618" s="409"/>
      <c r="M618" s="409"/>
      <c r="N618" s="409"/>
      <c r="O618" s="409"/>
      <c r="P618" s="411"/>
      <c r="Q618" s="412"/>
      <c r="R618" s="412"/>
      <c r="S618" s="411"/>
      <c r="T618" s="411"/>
      <c r="U618" s="413" t="s">
        <v>539</v>
      </c>
      <c r="V618" s="413">
        <v>15.0</v>
      </c>
      <c r="W618" s="413">
        <v>5.0</v>
      </c>
      <c r="X618" s="408">
        <v>0.7</v>
      </c>
      <c r="Y618" s="408">
        <v>0.7</v>
      </c>
      <c r="Z618" s="408">
        <v>0.7</v>
      </c>
      <c r="AA618" s="408">
        <v>1700.0</v>
      </c>
      <c r="AB618" s="408" t="s">
        <v>612</v>
      </c>
      <c r="AC618" s="408">
        <v>0.85</v>
      </c>
      <c r="AD618" s="191"/>
      <c r="AE618" s="414"/>
    </row>
    <row r="619" ht="15.0" customHeight="1">
      <c r="A619" s="409"/>
      <c r="B619" s="409"/>
      <c r="C619" s="409"/>
      <c r="D619" s="409"/>
      <c r="E619" s="409"/>
      <c r="F619" s="410"/>
      <c r="G619" s="409"/>
      <c r="H619" s="409"/>
      <c r="I619" s="409"/>
      <c r="J619" s="409"/>
      <c r="K619" s="409"/>
      <c r="L619" s="409"/>
      <c r="M619" s="409"/>
      <c r="N619" s="409"/>
      <c r="O619" s="409"/>
      <c r="P619" s="411"/>
      <c r="Q619" s="412"/>
      <c r="R619" s="412"/>
      <c r="S619" s="411"/>
      <c r="T619" s="411"/>
      <c r="U619" s="413" t="s">
        <v>539</v>
      </c>
      <c r="V619" s="413">
        <v>15.0</v>
      </c>
      <c r="W619" s="413">
        <v>5.0</v>
      </c>
      <c r="X619" s="408">
        <v>0.7</v>
      </c>
      <c r="Y619" s="408">
        <v>0.7</v>
      </c>
      <c r="Z619" s="408">
        <v>0.7</v>
      </c>
      <c r="AA619" s="408">
        <v>1700.0</v>
      </c>
      <c r="AB619" s="408" t="s">
        <v>612</v>
      </c>
      <c r="AC619" s="408">
        <v>0.85</v>
      </c>
      <c r="AD619" s="191"/>
      <c r="AE619" s="414"/>
    </row>
    <row r="620" ht="15.0" customHeight="1">
      <c r="A620" s="409"/>
      <c r="B620" s="409"/>
      <c r="C620" s="409"/>
      <c r="D620" s="409"/>
      <c r="E620" s="409"/>
      <c r="F620" s="410"/>
      <c r="G620" s="409"/>
      <c r="H620" s="409"/>
      <c r="I620" s="409"/>
      <c r="J620" s="409"/>
      <c r="K620" s="409"/>
      <c r="L620" s="409"/>
      <c r="M620" s="409"/>
      <c r="N620" s="409"/>
      <c r="O620" s="409"/>
      <c r="P620" s="411"/>
      <c r="Q620" s="412"/>
      <c r="R620" s="412"/>
      <c r="S620" s="411"/>
      <c r="T620" s="411"/>
      <c r="U620" s="413" t="s">
        <v>607</v>
      </c>
      <c r="V620" s="413">
        <v>15.0</v>
      </c>
      <c r="W620" s="413">
        <v>5.0</v>
      </c>
      <c r="X620" s="408">
        <v>0.7</v>
      </c>
      <c r="Y620" s="408">
        <v>0.7</v>
      </c>
      <c r="Z620" s="408">
        <v>0.7</v>
      </c>
      <c r="AA620" s="408">
        <v>1700.0</v>
      </c>
      <c r="AB620" s="408" t="s">
        <v>612</v>
      </c>
      <c r="AC620" s="408">
        <v>0.85</v>
      </c>
      <c r="AD620" s="191"/>
      <c r="AE620" s="414"/>
    </row>
    <row r="621" ht="15.0" customHeight="1">
      <c r="A621" s="409"/>
      <c r="B621" s="409"/>
      <c r="C621" s="409"/>
      <c r="D621" s="409"/>
      <c r="E621" s="409"/>
      <c r="F621" s="410"/>
      <c r="G621" s="409"/>
      <c r="H621" s="409"/>
      <c r="I621" s="409"/>
      <c r="J621" s="409"/>
      <c r="K621" s="409"/>
      <c r="L621" s="409"/>
      <c r="M621" s="409"/>
      <c r="N621" s="409"/>
      <c r="O621" s="409"/>
      <c r="P621" s="411"/>
      <c r="Q621" s="412"/>
      <c r="R621" s="412"/>
      <c r="S621" s="411"/>
      <c r="T621" s="411"/>
      <c r="U621" s="413" t="s">
        <v>607</v>
      </c>
      <c r="V621" s="413">
        <v>15.0</v>
      </c>
      <c r="W621" s="413">
        <v>5.0</v>
      </c>
      <c r="X621" s="408">
        <v>0.7</v>
      </c>
      <c r="Y621" s="408">
        <v>0.7</v>
      </c>
      <c r="Z621" s="408">
        <v>0.7</v>
      </c>
      <c r="AA621" s="408">
        <v>1700.0</v>
      </c>
      <c r="AB621" s="408" t="s">
        <v>612</v>
      </c>
      <c r="AC621" s="408">
        <v>0.85</v>
      </c>
      <c r="AD621" s="191"/>
      <c r="AE621" s="414"/>
    </row>
    <row r="622" ht="15.0" customHeight="1">
      <c r="A622" s="409"/>
      <c r="B622" s="409"/>
      <c r="C622" s="409"/>
      <c r="D622" s="409"/>
      <c r="E622" s="409"/>
      <c r="F622" s="410"/>
      <c r="G622" s="409"/>
      <c r="H622" s="409"/>
      <c r="I622" s="409"/>
      <c r="J622" s="409"/>
      <c r="K622" s="409"/>
      <c r="L622" s="409"/>
      <c r="M622" s="409"/>
      <c r="N622" s="409"/>
      <c r="O622" s="409"/>
      <c r="P622" s="411"/>
      <c r="Q622" s="412"/>
      <c r="R622" s="412"/>
      <c r="S622" s="411"/>
      <c r="T622" s="411"/>
      <c r="U622" s="413" t="s">
        <v>607</v>
      </c>
      <c r="V622" s="413">
        <v>15.0</v>
      </c>
      <c r="W622" s="413">
        <v>5.0</v>
      </c>
      <c r="X622" s="408">
        <v>0.7</v>
      </c>
      <c r="Y622" s="408">
        <v>0.7</v>
      </c>
      <c r="Z622" s="408">
        <v>0.7</v>
      </c>
      <c r="AA622" s="408">
        <v>1700.0</v>
      </c>
      <c r="AB622" s="408" t="s">
        <v>612</v>
      </c>
      <c r="AC622" s="408">
        <v>0.85</v>
      </c>
      <c r="AD622" s="191"/>
      <c r="AE622" s="414"/>
    </row>
    <row r="623" ht="15.0" customHeight="1">
      <c r="A623" s="409"/>
      <c r="B623" s="409"/>
      <c r="C623" s="409"/>
      <c r="D623" s="409"/>
      <c r="E623" s="409"/>
      <c r="F623" s="410"/>
      <c r="G623" s="409"/>
      <c r="H623" s="409"/>
      <c r="I623" s="409"/>
      <c r="J623" s="409"/>
      <c r="K623" s="409"/>
      <c r="L623" s="409"/>
      <c r="M623" s="409"/>
      <c r="N623" s="409"/>
      <c r="O623" s="409"/>
      <c r="P623" s="411"/>
      <c r="Q623" s="412"/>
      <c r="R623" s="412"/>
      <c r="S623" s="411"/>
      <c r="T623" s="411"/>
      <c r="U623" s="413" t="s">
        <v>607</v>
      </c>
      <c r="V623" s="413">
        <v>15.0</v>
      </c>
      <c r="W623" s="413">
        <v>5.0</v>
      </c>
      <c r="X623" s="408">
        <v>0.7</v>
      </c>
      <c r="Y623" s="408">
        <v>0.7</v>
      </c>
      <c r="Z623" s="408">
        <v>0.7</v>
      </c>
      <c r="AA623" s="408">
        <v>1700.0</v>
      </c>
      <c r="AB623" s="408" t="s">
        <v>612</v>
      </c>
      <c r="AC623" s="408">
        <v>0.85</v>
      </c>
      <c r="AD623" s="191"/>
      <c r="AE623" s="414"/>
    </row>
    <row r="624" ht="15.0" customHeight="1">
      <c r="A624" s="409"/>
      <c r="B624" s="409"/>
      <c r="C624" s="409"/>
      <c r="D624" s="409"/>
      <c r="E624" s="409"/>
      <c r="F624" s="410"/>
      <c r="G624" s="409"/>
      <c r="H624" s="409"/>
      <c r="I624" s="409"/>
      <c r="J624" s="409"/>
      <c r="K624" s="409"/>
      <c r="L624" s="409"/>
      <c r="M624" s="409"/>
      <c r="N624" s="409"/>
      <c r="O624" s="409"/>
      <c r="P624" s="411"/>
      <c r="Q624" s="412"/>
      <c r="R624" s="412"/>
      <c r="S624" s="411"/>
      <c r="T624" s="411"/>
      <c r="U624" s="413" t="s">
        <v>607</v>
      </c>
      <c r="V624" s="413">
        <v>15.0</v>
      </c>
      <c r="W624" s="413">
        <v>5.0</v>
      </c>
      <c r="X624" s="408">
        <v>0.7</v>
      </c>
      <c r="Y624" s="408">
        <v>0.7</v>
      </c>
      <c r="Z624" s="408">
        <v>0.7</v>
      </c>
      <c r="AA624" s="408">
        <v>1700.0</v>
      </c>
      <c r="AB624" s="408" t="s">
        <v>612</v>
      </c>
      <c r="AC624" s="408">
        <v>0.85</v>
      </c>
      <c r="AD624" s="191"/>
      <c r="AE624" s="414"/>
    </row>
    <row r="625" ht="15.0" customHeight="1">
      <c r="A625" s="409"/>
      <c r="B625" s="409"/>
      <c r="C625" s="409"/>
      <c r="D625" s="409"/>
      <c r="E625" s="409"/>
      <c r="F625" s="410"/>
      <c r="G625" s="409"/>
      <c r="H625" s="409"/>
      <c r="I625" s="409"/>
      <c r="J625" s="409"/>
      <c r="K625" s="409"/>
      <c r="L625" s="409"/>
      <c r="M625" s="409"/>
      <c r="N625" s="409"/>
      <c r="O625" s="409"/>
      <c r="P625" s="411"/>
      <c r="Q625" s="412"/>
      <c r="R625" s="412"/>
      <c r="S625" s="411"/>
      <c r="T625" s="411"/>
      <c r="U625" s="413" t="s">
        <v>539</v>
      </c>
      <c r="V625" s="413">
        <v>15.0</v>
      </c>
      <c r="W625" s="413">
        <v>5.0</v>
      </c>
      <c r="X625" s="408">
        <v>0.7</v>
      </c>
      <c r="Y625" s="408">
        <v>0.7</v>
      </c>
      <c r="Z625" s="408">
        <v>0.7</v>
      </c>
      <c r="AA625" s="408">
        <v>1700.0</v>
      </c>
      <c r="AB625" s="408" t="s">
        <v>612</v>
      </c>
      <c r="AC625" s="408">
        <v>0.85</v>
      </c>
      <c r="AD625" s="191"/>
      <c r="AE625" s="414"/>
    </row>
    <row r="626" ht="15.0" customHeight="1">
      <c r="A626" s="409"/>
      <c r="B626" s="409"/>
      <c r="C626" s="409"/>
      <c r="D626" s="409"/>
      <c r="E626" s="409"/>
      <c r="F626" s="410"/>
      <c r="G626" s="409"/>
      <c r="H626" s="409"/>
      <c r="I626" s="409"/>
      <c r="J626" s="409"/>
      <c r="K626" s="409"/>
      <c r="L626" s="409"/>
      <c r="M626" s="409"/>
      <c r="N626" s="409"/>
      <c r="O626" s="409"/>
      <c r="P626" s="411"/>
      <c r="Q626" s="412"/>
      <c r="R626" s="412"/>
      <c r="S626" s="411"/>
      <c r="T626" s="411"/>
      <c r="U626" s="413" t="s">
        <v>539</v>
      </c>
      <c r="V626" s="413">
        <v>15.0</v>
      </c>
      <c r="W626" s="413">
        <v>5.0</v>
      </c>
      <c r="X626" s="408">
        <v>0.7</v>
      </c>
      <c r="Y626" s="408">
        <v>0.7</v>
      </c>
      <c r="Z626" s="408">
        <v>0.7</v>
      </c>
      <c r="AA626" s="408">
        <v>1700.0</v>
      </c>
      <c r="AB626" s="408" t="s">
        <v>612</v>
      </c>
      <c r="AC626" s="408">
        <v>0.85</v>
      </c>
      <c r="AD626" s="191"/>
      <c r="AE626" s="414"/>
    </row>
    <row r="627" ht="15.0" customHeight="1">
      <c r="A627" s="409"/>
      <c r="B627" s="409"/>
      <c r="C627" s="409"/>
      <c r="D627" s="409"/>
      <c r="E627" s="409"/>
      <c r="F627" s="410"/>
      <c r="G627" s="409"/>
      <c r="H627" s="409"/>
      <c r="I627" s="409"/>
      <c r="J627" s="409"/>
      <c r="K627" s="409"/>
      <c r="L627" s="409"/>
      <c r="M627" s="409"/>
      <c r="N627" s="409"/>
      <c r="O627" s="409"/>
      <c r="P627" s="411"/>
      <c r="Q627" s="412"/>
      <c r="R627" s="412"/>
      <c r="S627" s="411"/>
      <c r="T627" s="411"/>
      <c r="U627" s="413" t="s">
        <v>539</v>
      </c>
      <c r="V627" s="413">
        <v>15.0</v>
      </c>
      <c r="W627" s="413">
        <v>5.0</v>
      </c>
      <c r="X627" s="408">
        <v>0.7</v>
      </c>
      <c r="Y627" s="408">
        <v>0.7</v>
      </c>
      <c r="Z627" s="408">
        <v>0.7</v>
      </c>
      <c r="AA627" s="408">
        <v>1700.0</v>
      </c>
      <c r="AB627" s="408" t="s">
        <v>612</v>
      </c>
      <c r="AC627" s="408">
        <v>0.85</v>
      </c>
      <c r="AD627" s="191"/>
      <c r="AE627" s="414"/>
    </row>
    <row r="628" ht="15.0" customHeight="1">
      <c r="A628" s="409"/>
      <c r="B628" s="409"/>
      <c r="C628" s="409"/>
      <c r="D628" s="409"/>
      <c r="E628" s="409"/>
      <c r="F628" s="410"/>
      <c r="G628" s="409"/>
      <c r="H628" s="409"/>
      <c r="I628" s="409"/>
      <c r="J628" s="409"/>
      <c r="K628" s="409"/>
      <c r="L628" s="409"/>
      <c r="M628" s="409"/>
      <c r="N628" s="409"/>
      <c r="O628" s="409"/>
      <c r="P628" s="411"/>
      <c r="Q628" s="412"/>
      <c r="R628" s="412"/>
      <c r="S628" s="411"/>
      <c r="T628" s="411"/>
      <c r="U628" s="413" t="s">
        <v>539</v>
      </c>
      <c r="V628" s="413">
        <v>15.0</v>
      </c>
      <c r="W628" s="413">
        <v>5.0</v>
      </c>
      <c r="X628" s="408">
        <v>0.7</v>
      </c>
      <c r="Y628" s="408">
        <v>0.7</v>
      </c>
      <c r="Z628" s="408">
        <v>0.7</v>
      </c>
      <c r="AA628" s="408">
        <v>1700.0</v>
      </c>
      <c r="AB628" s="408" t="s">
        <v>612</v>
      </c>
      <c r="AC628" s="408">
        <v>0.85</v>
      </c>
      <c r="AD628" s="191"/>
      <c r="AE628" s="414"/>
    </row>
    <row r="629" ht="15.0" customHeight="1">
      <c r="A629" s="409"/>
      <c r="B629" s="409"/>
      <c r="C629" s="409"/>
      <c r="D629" s="409"/>
      <c r="E629" s="409"/>
      <c r="F629" s="410"/>
      <c r="G629" s="409"/>
      <c r="H629" s="409"/>
      <c r="I629" s="409"/>
      <c r="J629" s="409"/>
      <c r="K629" s="409"/>
      <c r="L629" s="409"/>
      <c r="M629" s="409"/>
      <c r="N629" s="409"/>
      <c r="O629" s="409"/>
      <c r="P629" s="411"/>
      <c r="Q629" s="412"/>
      <c r="R629" s="412"/>
      <c r="S629" s="411"/>
      <c r="T629" s="411"/>
      <c r="U629" s="413" t="s">
        <v>539</v>
      </c>
      <c r="V629" s="413">
        <v>15.0</v>
      </c>
      <c r="W629" s="413">
        <v>5.0</v>
      </c>
      <c r="X629" s="408">
        <v>0.7</v>
      </c>
      <c r="Y629" s="408">
        <v>0.7</v>
      </c>
      <c r="Z629" s="408">
        <v>0.7</v>
      </c>
      <c r="AA629" s="408">
        <v>1700.0</v>
      </c>
      <c r="AB629" s="408" t="s">
        <v>612</v>
      </c>
      <c r="AC629" s="408">
        <v>0.85</v>
      </c>
      <c r="AD629" s="191"/>
      <c r="AE629" s="414"/>
    </row>
    <row r="630" ht="15.0" customHeight="1">
      <c r="A630" s="409"/>
      <c r="B630" s="409"/>
      <c r="C630" s="409"/>
      <c r="D630" s="409"/>
      <c r="E630" s="409"/>
      <c r="F630" s="410"/>
      <c r="G630" s="409"/>
      <c r="H630" s="409"/>
      <c r="I630" s="409"/>
      <c r="J630" s="409"/>
      <c r="K630" s="409"/>
      <c r="L630" s="409"/>
      <c r="M630" s="409"/>
      <c r="N630" s="409"/>
      <c r="O630" s="409"/>
      <c r="P630" s="411"/>
      <c r="Q630" s="412"/>
      <c r="R630" s="412"/>
      <c r="S630" s="411"/>
      <c r="T630" s="411"/>
      <c r="U630" s="413" t="s">
        <v>553</v>
      </c>
      <c r="V630" s="413">
        <v>15.0</v>
      </c>
      <c r="W630" s="413">
        <v>5.0</v>
      </c>
      <c r="X630" s="408">
        <v>0.7</v>
      </c>
      <c r="Y630" s="408">
        <v>0.7</v>
      </c>
      <c r="Z630" s="408">
        <v>0.7</v>
      </c>
      <c r="AA630" s="408">
        <v>1700.0</v>
      </c>
      <c r="AB630" s="408" t="s">
        <v>612</v>
      </c>
      <c r="AC630" s="408">
        <v>0.85</v>
      </c>
      <c r="AD630" s="191"/>
      <c r="AE630" s="414"/>
    </row>
    <row r="631" ht="15.0" customHeight="1">
      <c r="A631" s="409"/>
      <c r="B631" s="409"/>
      <c r="C631" s="409"/>
      <c r="D631" s="409"/>
      <c r="E631" s="409"/>
      <c r="F631" s="410"/>
      <c r="G631" s="409"/>
      <c r="H631" s="409"/>
      <c r="I631" s="409"/>
      <c r="J631" s="409"/>
      <c r="K631" s="409"/>
      <c r="L631" s="409"/>
      <c r="M631" s="409"/>
      <c r="N631" s="409"/>
      <c r="O631" s="409"/>
      <c r="P631" s="411"/>
      <c r="Q631" s="412"/>
      <c r="R631" s="412"/>
      <c r="S631" s="411"/>
      <c r="T631" s="411"/>
      <c r="U631" s="413" t="s">
        <v>553</v>
      </c>
      <c r="V631" s="413">
        <v>15.0</v>
      </c>
      <c r="W631" s="413">
        <v>5.0</v>
      </c>
      <c r="X631" s="408">
        <v>0.7</v>
      </c>
      <c r="Y631" s="408">
        <v>0.7</v>
      </c>
      <c r="Z631" s="408">
        <v>0.7</v>
      </c>
      <c r="AA631" s="408">
        <v>1700.0</v>
      </c>
      <c r="AB631" s="408" t="s">
        <v>612</v>
      </c>
      <c r="AC631" s="408">
        <v>0.85</v>
      </c>
      <c r="AD631" s="191"/>
      <c r="AE631" s="414"/>
    </row>
    <row r="632" ht="15.0" customHeight="1">
      <c r="A632" s="409"/>
      <c r="B632" s="409"/>
      <c r="C632" s="409"/>
      <c r="D632" s="409"/>
      <c r="E632" s="409"/>
      <c r="F632" s="410"/>
      <c r="G632" s="409"/>
      <c r="H632" s="409"/>
      <c r="I632" s="409"/>
      <c r="J632" s="409"/>
      <c r="K632" s="409"/>
      <c r="L632" s="409"/>
      <c r="M632" s="409"/>
      <c r="N632" s="409"/>
      <c r="O632" s="409"/>
      <c r="P632" s="411"/>
      <c r="Q632" s="412"/>
      <c r="R632" s="412"/>
      <c r="S632" s="411"/>
      <c r="T632" s="411"/>
      <c r="U632" s="413" t="s">
        <v>539</v>
      </c>
      <c r="V632" s="413">
        <v>15.0</v>
      </c>
      <c r="W632" s="413">
        <v>5.0</v>
      </c>
      <c r="X632" s="408">
        <v>0.7</v>
      </c>
      <c r="Y632" s="408">
        <v>0.7</v>
      </c>
      <c r="Z632" s="408">
        <v>0.7</v>
      </c>
      <c r="AA632" s="408">
        <v>1700.0</v>
      </c>
      <c r="AB632" s="408" t="s">
        <v>612</v>
      </c>
      <c r="AC632" s="408">
        <v>0.85</v>
      </c>
      <c r="AD632" s="191"/>
      <c r="AE632" s="414"/>
    </row>
    <row r="633" ht="15.0" customHeight="1">
      <c r="A633" s="409"/>
      <c r="B633" s="409"/>
      <c r="C633" s="409"/>
      <c r="D633" s="409"/>
      <c r="E633" s="409"/>
      <c r="F633" s="410"/>
      <c r="G633" s="409"/>
      <c r="H633" s="409"/>
      <c r="I633" s="409"/>
      <c r="J633" s="409"/>
      <c r="K633" s="409"/>
      <c r="L633" s="409"/>
      <c r="M633" s="409"/>
      <c r="N633" s="409"/>
      <c r="O633" s="409"/>
      <c r="P633" s="411"/>
      <c r="Q633" s="412"/>
      <c r="R633" s="412"/>
      <c r="S633" s="411"/>
      <c r="T633" s="411"/>
      <c r="U633" s="413" t="s">
        <v>539</v>
      </c>
      <c r="V633" s="413">
        <v>15.0</v>
      </c>
      <c r="W633" s="413">
        <v>5.0</v>
      </c>
      <c r="X633" s="408">
        <v>0.7</v>
      </c>
      <c r="Y633" s="408">
        <v>0.7</v>
      </c>
      <c r="Z633" s="408">
        <v>0.7</v>
      </c>
      <c r="AA633" s="408">
        <v>1700.0</v>
      </c>
      <c r="AB633" s="408" t="s">
        <v>612</v>
      </c>
      <c r="AC633" s="408">
        <v>0.85</v>
      </c>
      <c r="AD633" s="191"/>
      <c r="AE633" s="414"/>
    </row>
    <row r="634" ht="15.0" customHeight="1">
      <c r="A634" s="409"/>
      <c r="B634" s="409"/>
      <c r="C634" s="409"/>
      <c r="D634" s="409"/>
      <c r="E634" s="409"/>
      <c r="F634" s="410"/>
      <c r="G634" s="409"/>
      <c r="H634" s="409"/>
      <c r="I634" s="409"/>
      <c r="J634" s="409"/>
      <c r="K634" s="409"/>
      <c r="L634" s="409"/>
      <c r="M634" s="409"/>
      <c r="N634" s="409"/>
      <c r="O634" s="409"/>
      <c r="P634" s="411"/>
      <c r="Q634" s="412"/>
      <c r="R634" s="412"/>
      <c r="S634" s="411"/>
      <c r="T634" s="411"/>
      <c r="U634" s="413" t="s">
        <v>539</v>
      </c>
      <c r="V634" s="413">
        <v>15.0</v>
      </c>
      <c r="W634" s="413">
        <v>5.0</v>
      </c>
      <c r="X634" s="408">
        <v>0.7</v>
      </c>
      <c r="Y634" s="408">
        <v>0.7</v>
      </c>
      <c r="Z634" s="408">
        <v>0.7</v>
      </c>
      <c r="AA634" s="408">
        <v>1700.0</v>
      </c>
      <c r="AB634" s="408" t="s">
        <v>612</v>
      </c>
      <c r="AC634" s="408">
        <v>0.85</v>
      </c>
      <c r="AD634" s="191"/>
      <c r="AE634" s="414"/>
    </row>
    <row r="635" ht="15.0" customHeight="1">
      <c r="A635" s="409"/>
      <c r="B635" s="409"/>
      <c r="C635" s="409"/>
      <c r="D635" s="409"/>
      <c r="E635" s="409"/>
      <c r="F635" s="410"/>
      <c r="G635" s="409"/>
      <c r="H635" s="409"/>
      <c r="I635" s="409"/>
      <c r="J635" s="409"/>
      <c r="K635" s="409"/>
      <c r="L635" s="409"/>
      <c r="M635" s="409"/>
      <c r="N635" s="409"/>
      <c r="O635" s="409"/>
      <c r="P635" s="411"/>
      <c r="Q635" s="412"/>
      <c r="R635" s="412"/>
      <c r="S635" s="411"/>
      <c r="T635" s="411"/>
      <c r="U635" s="413" t="s">
        <v>539</v>
      </c>
      <c r="V635" s="413">
        <v>15.0</v>
      </c>
      <c r="W635" s="413">
        <v>5.0</v>
      </c>
      <c r="X635" s="408">
        <v>0.7</v>
      </c>
      <c r="Y635" s="408">
        <v>0.7</v>
      </c>
      <c r="Z635" s="408">
        <v>0.7</v>
      </c>
      <c r="AA635" s="408">
        <v>1700.0</v>
      </c>
      <c r="AB635" s="408" t="s">
        <v>612</v>
      </c>
      <c r="AC635" s="408">
        <v>0.85</v>
      </c>
      <c r="AD635" s="191"/>
      <c r="AE635" s="414"/>
    </row>
    <row r="636" ht="15.0" customHeight="1">
      <c r="A636" s="409"/>
      <c r="B636" s="409"/>
      <c r="C636" s="409"/>
      <c r="D636" s="409"/>
      <c r="E636" s="409"/>
      <c r="F636" s="410"/>
      <c r="G636" s="409"/>
      <c r="H636" s="409"/>
      <c r="I636" s="409"/>
      <c r="J636" s="409"/>
      <c r="K636" s="409"/>
      <c r="L636" s="409"/>
      <c r="M636" s="409"/>
      <c r="N636" s="409"/>
      <c r="O636" s="409"/>
      <c r="P636" s="411"/>
      <c r="Q636" s="412"/>
      <c r="R636" s="412"/>
      <c r="S636" s="411"/>
      <c r="T636" s="411"/>
      <c r="U636" s="413" t="s">
        <v>539</v>
      </c>
      <c r="V636" s="413">
        <v>15.0</v>
      </c>
      <c r="W636" s="413">
        <v>5.0</v>
      </c>
      <c r="X636" s="408">
        <v>0.7</v>
      </c>
      <c r="Y636" s="408">
        <v>0.7</v>
      </c>
      <c r="Z636" s="408">
        <v>0.7</v>
      </c>
      <c r="AA636" s="408">
        <v>1700.0</v>
      </c>
      <c r="AB636" s="408" t="s">
        <v>612</v>
      </c>
      <c r="AC636" s="408">
        <v>0.85</v>
      </c>
      <c r="AD636" s="191"/>
      <c r="AE636" s="414"/>
    </row>
    <row r="637" ht="15.0" customHeight="1">
      <c r="A637" s="409"/>
      <c r="B637" s="409"/>
      <c r="C637" s="409"/>
      <c r="D637" s="409"/>
      <c r="E637" s="409"/>
      <c r="F637" s="410"/>
      <c r="G637" s="409"/>
      <c r="H637" s="409"/>
      <c r="I637" s="409"/>
      <c r="J637" s="409"/>
      <c r="K637" s="409"/>
      <c r="L637" s="409"/>
      <c r="M637" s="409"/>
      <c r="N637" s="409"/>
      <c r="O637" s="409"/>
      <c r="P637" s="411"/>
      <c r="Q637" s="412"/>
      <c r="R637" s="412"/>
      <c r="S637" s="411"/>
      <c r="T637" s="411"/>
      <c r="U637" s="413" t="s">
        <v>553</v>
      </c>
      <c r="V637" s="413">
        <v>15.0</v>
      </c>
      <c r="W637" s="413">
        <v>5.0</v>
      </c>
      <c r="X637" s="408">
        <v>0.7</v>
      </c>
      <c r="Y637" s="408">
        <v>0.7</v>
      </c>
      <c r="Z637" s="408">
        <v>0.7</v>
      </c>
      <c r="AA637" s="408">
        <v>1700.0</v>
      </c>
      <c r="AB637" s="408" t="s">
        <v>612</v>
      </c>
      <c r="AC637" s="408">
        <v>0.85</v>
      </c>
      <c r="AD637" s="191"/>
      <c r="AE637" s="414"/>
    </row>
    <row r="638" ht="15.0" customHeight="1">
      <c r="A638" s="409"/>
      <c r="B638" s="409"/>
      <c r="C638" s="409"/>
      <c r="D638" s="409"/>
      <c r="E638" s="409"/>
      <c r="F638" s="410"/>
      <c r="G638" s="409"/>
      <c r="H638" s="409"/>
      <c r="I638" s="409"/>
      <c r="J638" s="409"/>
      <c r="K638" s="409"/>
      <c r="L638" s="409"/>
      <c r="M638" s="409"/>
      <c r="N638" s="409"/>
      <c r="O638" s="409"/>
      <c r="P638" s="411"/>
      <c r="Q638" s="412"/>
      <c r="R638" s="412"/>
      <c r="S638" s="411"/>
      <c r="T638" s="411"/>
      <c r="U638" s="413" t="s">
        <v>539</v>
      </c>
      <c r="V638" s="413">
        <v>15.0</v>
      </c>
      <c r="W638" s="413">
        <v>5.0</v>
      </c>
      <c r="X638" s="408">
        <v>0.7</v>
      </c>
      <c r="Y638" s="408">
        <v>0.7</v>
      </c>
      <c r="Z638" s="408">
        <v>0.7</v>
      </c>
      <c r="AA638" s="408">
        <v>1700.0</v>
      </c>
      <c r="AB638" s="408" t="s">
        <v>612</v>
      </c>
      <c r="AC638" s="408">
        <v>0.85</v>
      </c>
      <c r="AD638" s="191"/>
      <c r="AE638" s="414"/>
    </row>
    <row r="639" ht="15.0" customHeight="1">
      <c r="A639" s="409"/>
      <c r="B639" s="409"/>
      <c r="C639" s="409"/>
      <c r="D639" s="409"/>
      <c r="E639" s="409"/>
      <c r="F639" s="410"/>
      <c r="G639" s="409"/>
      <c r="H639" s="409"/>
      <c r="I639" s="409"/>
      <c r="J639" s="409"/>
      <c r="K639" s="409"/>
      <c r="L639" s="409"/>
      <c r="M639" s="409"/>
      <c r="N639" s="409"/>
      <c r="O639" s="409"/>
      <c r="P639" s="411"/>
      <c r="Q639" s="412"/>
      <c r="R639" s="412"/>
      <c r="S639" s="411"/>
      <c r="T639" s="411"/>
      <c r="U639" s="413" t="s">
        <v>553</v>
      </c>
      <c r="V639" s="413">
        <v>15.0</v>
      </c>
      <c r="W639" s="413">
        <v>5.0</v>
      </c>
      <c r="X639" s="408">
        <v>0.7</v>
      </c>
      <c r="Y639" s="408">
        <v>0.7</v>
      </c>
      <c r="Z639" s="408">
        <v>0.7</v>
      </c>
      <c r="AA639" s="408">
        <v>1700.0</v>
      </c>
      <c r="AB639" s="408" t="s">
        <v>612</v>
      </c>
      <c r="AC639" s="408">
        <v>0.85</v>
      </c>
      <c r="AD639" s="191"/>
      <c r="AE639" s="414"/>
    </row>
    <row r="640" ht="15.0" customHeight="1">
      <c r="A640" s="409"/>
      <c r="B640" s="409"/>
      <c r="C640" s="409"/>
      <c r="D640" s="409"/>
      <c r="E640" s="409"/>
      <c r="F640" s="410"/>
      <c r="G640" s="409"/>
      <c r="H640" s="409"/>
      <c r="I640" s="409"/>
      <c r="J640" s="409"/>
      <c r="K640" s="409"/>
      <c r="L640" s="409"/>
      <c r="M640" s="409"/>
      <c r="N640" s="409"/>
      <c r="O640" s="409"/>
      <c r="P640" s="411"/>
      <c r="Q640" s="412"/>
      <c r="R640" s="412"/>
      <c r="S640" s="411"/>
      <c r="T640" s="411"/>
      <c r="U640" s="413" t="s">
        <v>539</v>
      </c>
      <c r="V640" s="413">
        <v>15.0</v>
      </c>
      <c r="W640" s="413">
        <v>5.0</v>
      </c>
      <c r="X640" s="408">
        <v>0.7</v>
      </c>
      <c r="Y640" s="408">
        <v>0.7</v>
      </c>
      <c r="Z640" s="408">
        <v>0.7</v>
      </c>
      <c r="AA640" s="408">
        <v>1700.0</v>
      </c>
      <c r="AB640" s="408" t="s">
        <v>612</v>
      </c>
      <c r="AC640" s="408">
        <v>0.85</v>
      </c>
      <c r="AD640" s="191"/>
      <c r="AE640" s="414"/>
    </row>
    <row r="641" ht="15.0" customHeight="1">
      <c r="A641" s="409"/>
      <c r="B641" s="409"/>
      <c r="C641" s="409"/>
      <c r="D641" s="409"/>
      <c r="E641" s="409"/>
      <c r="F641" s="410"/>
      <c r="G641" s="409"/>
      <c r="H641" s="409"/>
      <c r="I641" s="409"/>
      <c r="J641" s="409"/>
      <c r="K641" s="409"/>
      <c r="L641" s="409"/>
      <c r="M641" s="409"/>
      <c r="N641" s="409"/>
      <c r="O641" s="409"/>
      <c r="P641" s="411"/>
      <c r="Q641" s="412"/>
      <c r="R641" s="412"/>
      <c r="S641" s="411"/>
      <c r="T641" s="411"/>
      <c r="U641" s="413" t="s">
        <v>553</v>
      </c>
      <c r="V641" s="413">
        <v>15.0</v>
      </c>
      <c r="W641" s="413">
        <v>5.0</v>
      </c>
      <c r="X641" s="408">
        <v>0.7</v>
      </c>
      <c r="Y641" s="408">
        <v>0.7</v>
      </c>
      <c r="Z641" s="408">
        <v>0.7</v>
      </c>
      <c r="AA641" s="408">
        <v>1700.0</v>
      </c>
      <c r="AB641" s="408" t="s">
        <v>612</v>
      </c>
      <c r="AC641" s="408">
        <v>0.85</v>
      </c>
      <c r="AD641" s="191"/>
      <c r="AE641" s="414"/>
    </row>
    <row r="642" ht="15.0" customHeight="1">
      <c r="A642" s="409"/>
      <c r="B642" s="409"/>
      <c r="C642" s="409"/>
      <c r="D642" s="409"/>
      <c r="E642" s="409"/>
      <c r="F642" s="410"/>
      <c r="G642" s="409"/>
      <c r="H642" s="409"/>
      <c r="I642" s="409"/>
      <c r="J642" s="409"/>
      <c r="K642" s="409"/>
      <c r="L642" s="409"/>
      <c r="M642" s="409"/>
      <c r="N642" s="409"/>
      <c r="O642" s="409"/>
      <c r="P642" s="411"/>
      <c r="Q642" s="412"/>
      <c r="R642" s="412"/>
      <c r="S642" s="411"/>
      <c r="T642" s="411"/>
      <c r="U642" s="413" t="s">
        <v>539</v>
      </c>
      <c r="V642" s="413">
        <v>15.0</v>
      </c>
      <c r="W642" s="413">
        <v>5.0</v>
      </c>
      <c r="X642" s="408">
        <v>0.7</v>
      </c>
      <c r="Y642" s="408">
        <v>0.7</v>
      </c>
      <c r="Z642" s="408">
        <v>0.7</v>
      </c>
      <c r="AA642" s="408">
        <v>1700.0</v>
      </c>
      <c r="AB642" s="408" t="s">
        <v>612</v>
      </c>
      <c r="AC642" s="408">
        <v>0.85</v>
      </c>
      <c r="AD642" s="191"/>
      <c r="AE642" s="414"/>
    </row>
    <row r="643" ht="15.0" customHeight="1">
      <c r="A643" s="409"/>
      <c r="B643" s="409"/>
      <c r="C643" s="409"/>
      <c r="D643" s="409"/>
      <c r="E643" s="409"/>
      <c r="F643" s="410"/>
      <c r="G643" s="409"/>
      <c r="H643" s="409"/>
      <c r="I643" s="409"/>
      <c r="J643" s="409"/>
      <c r="K643" s="409"/>
      <c r="L643" s="409"/>
      <c r="M643" s="409"/>
      <c r="N643" s="409"/>
      <c r="O643" s="409"/>
      <c r="P643" s="411"/>
      <c r="Q643" s="412"/>
      <c r="R643" s="412"/>
      <c r="S643" s="411"/>
      <c r="T643" s="411"/>
      <c r="U643" s="413" t="s">
        <v>539</v>
      </c>
      <c r="V643" s="413">
        <v>15.0</v>
      </c>
      <c r="W643" s="413">
        <v>5.0</v>
      </c>
      <c r="X643" s="408">
        <v>0.7</v>
      </c>
      <c r="Y643" s="408">
        <v>0.7</v>
      </c>
      <c r="Z643" s="408">
        <v>0.7</v>
      </c>
      <c r="AA643" s="408">
        <v>1700.0</v>
      </c>
      <c r="AB643" s="408" t="s">
        <v>612</v>
      </c>
      <c r="AC643" s="408">
        <v>0.85</v>
      </c>
      <c r="AD643" s="191"/>
      <c r="AE643" s="414"/>
    </row>
    <row r="644" ht="15.0" customHeight="1">
      <c r="A644" s="409"/>
      <c r="B644" s="409"/>
      <c r="C644" s="409"/>
      <c r="D644" s="409"/>
      <c r="E644" s="409"/>
      <c r="F644" s="410"/>
      <c r="G644" s="409"/>
      <c r="H644" s="409"/>
      <c r="I644" s="409"/>
      <c r="J644" s="409"/>
      <c r="K644" s="409"/>
      <c r="L644" s="409"/>
      <c r="M644" s="409"/>
      <c r="N644" s="409"/>
      <c r="O644" s="409"/>
      <c r="P644" s="411"/>
      <c r="Q644" s="412"/>
      <c r="R644" s="412"/>
      <c r="S644" s="411"/>
      <c r="T644" s="411"/>
      <c r="U644" s="413" t="s">
        <v>539</v>
      </c>
      <c r="V644" s="413">
        <v>15.0</v>
      </c>
      <c r="W644" s="413">
        <v>5.0</v>
      </c>
      <c r="X644" s="408">
        <v>0.7</v>
      </c>
      <c r="Y644" s="408">
        <v>0.7</v>
      </c>
      <c r="Z644" s="408">
        <v>0.7</v>
      </c>
      <c r="AA644" s="408">
        <v>1700.0</v>
      </c>
      <c r="AB644" s="408" t="s">
        <v>612</v>
      </c>
      <c r="AC644" s="408">
        <v>0.85</v>
      </c>
      <c r="AD644" s="191"/>
      <c r="AE644" s="414"/>
    </row>
    <row r="645" ht="15.0" customHeight="1">
      <c r="A645" s="409"/>
      <c r="B645" s="409"/>
      <c r="C645" s="409"/>
      <c r="D645" s="409"/>
      <c r="E645" s="409"/>
      <c r="F645" s="410"/>
      <c r="G645" s="409"/>
      <c r="H645" s="409"/>
      <c r="I645" s="409"/>
      <c r="J645" s="409"/>
      <c r="K645" s="409"/>
      <c r="L645" s="409"/>
      <c r="M645" s="409"/>
      <c r="N645" s="409"/>
      <c r="O645" s="409"/>
      <c r="P645" s="411"/>
      <c r="Q645" s="412"/>
      <c r="R645" s="412"/>
      <c r="S645" s="411"/>
      <c r="T645" s="411"/>
      <c r="U645" s="413" t="s">
        <v>553</v>
      </c>
      <c r="V645" s="413">
        <v>15.0</v>
      </c>
      <c r="W645" s="413">
        <v>5.0</v>
      </c>
      <c r="X645" s="408">
        <v>0.7</v>
      </c>
      <c r="Y645" s="408">
        <v>0.7</v>
      </c>
      <c r="Z645" s="408">
        <v>0.7</v>
      </c>
      <c r="AA645" s="408">
        <v>1700.0</v>
      </c>
      <c r="AB645" s="408" t="s">
        <v>612</v>
      </c>
      <c r="AC645" s="408">
        <v>0.85</v>
      </c>
      <c r="AD645" s="191"/>
      <c r="AE645" s="414"/>
    </row>
    <row r="646" ht="15.0" customHeight="1">
      <c r="A646" s="409"/>
      <c r="B646" s="409"/>
      <c r="C646" s="409"/>
      <c r="D646" s="409"/>
      <c r="E646" s="409"/>
      <c r="F646" s="410"/>
      <c r="G646" s="409"/>
      <c r="H646" s="409"/>
      <c r="I646" s="409"/>
      <c r="J646" s="409"/>
      <c r="K646" s="409"/>
      <c r="L646" s="409"/>
      <c r="M646" s="409"/>
      <c r="N646" s="409"/>
      <c r="O646" s="409"/>
      <c r="P646" s="411"/>
      <c r="Q646" s="412"/>
      <c r="R646" s="412"/>
      <c r="S646" s="411"/>
      <c r="T646" s="411"/>
      <c r="U646" s="413" t="s">
        <v>539</v>
      </c>
      <c r="V646" s="413">
        <v>15.0</v>
      </c>
      <c r="W646" s="413">
        <v>5.0</v>
      </c>
      <c r="X646" s="408">
        <v>0.7</v>
      </c>
      <c r="Y646" s="408">
        <v>0.7</v>
      </c>
      <c r="Z646" s="408">
        <v>0.7</v>
      </c>
      <c r="AA646" s="408">
        <v>1700.0</v>
      </c>
      <c r="AB646" s="408" t="s">
        <v>612</v>
      </c>
      <c r="AC646" s="408">
        <v>0.85</v>
      </c>
      <c r="AD646" s="191"/>
      <c r="AE646" s="414"/>
    </row>
    <row r="647" ht="15.0" customHeight="1">
      <c r="A647" s="409"/>
      <c r="B647" s="409"/>
      <c r="C647" s="409"/>
      <c r="D647" s="409"/>
      <c r="E647" s="409"/>
      <c r="F647" s="410"/>
      <c r="G647" s="409"/>
      <c r="H647" s="409"/>
      <c r="I647" s="409"/>
      <c r="J647" s="409"/>
      <c r="K647" s="409"/>
      <c r="L647" s="409"/>
      <c r="M647" s="409"/>
      <c r="N647" s="409"/>
      <c r="O647" s="409"/>
      <c r="P647" s="411"/>
      <c r="Q647" s="412"/>
      <c r="R647" s="412"/>
      <c r="S647" s="411"/>
      <c r="T647" s="411"/>
      <c r="U647" s="413" t="s">
        <v>539</v>
      </c>
      <c r="V647" s="413">
        <v>15.0</v>
      </c>
      <c r="W647" s="413">
        <v>5.0</v>
      </c>
      <c r="X647" s="408">
        <v>0.7</v>
      </c>
      <c r="Y647" s="408">
        <v>0.7</v>
      </c>
      <c r="Z647" s="408">
        <v>0.7</v>
      </c>
      <c r="AA647" s="408">
        <v>1700.0</v>
      </c>
      <c r="AB647" s="408" t="s">
        <v>612</v>
      </c>
      <c r="AC647" s="408">
        <v>0.85</v>
      </c>
      <c r="AD647" s="191"/>
      <c r="AE647" s="414"/>
    </row>
    <row r="648" ht="15.0" customHeight="1">
      <c r="A648" s="409"/>
      <c r="B648" s="409"/>
      <c r="C648" s="409"/>
      <c r="D648" s="409"/>
      <c r="E648" s="409"/>
      <c r="F648" s="410"/>
      <c r="G648" s="409"/>
      <c r="H648" s="409"/>
      <c r="I648" s="409"/>
      <c r="J648" s="409"/>
      <c r="K648" s="409"/>
      <c r="L648" s="409"/>
      <c r="M648" s="409"/>
      <c r="N648" s="409"/>
      <c r="O648" s="409"/>
      <c r="P648" s="411"/>
      <c r="Q648" s="412"/>
      <c r="R648" s="412"/>
      <c r="S648" s="411"/>
      <c r="T648" s="411"/>
      <c r="U648" s="413" t="s">
        <v>539</v>
      </c>
      <c r="V648" s="413">
        <v>15.0</v>
      </c>
      <c r="W648" s="413">
        <v>5.0</v>
      </c>
      <c r="X648" s="408">
        <v>0.7</v>
      </c>
      <c r="Y648" s="408">
        <v>0.7</v>
      </c>
      <c r="Z648" s="408">
        <v>0.7</v>
      </c>
      <c r="AA648" s="408">
        <v>1700.0</v>
      </c>
      <c r="AB648" s="408" t="s">
        <v>612</v>
      </c>
      <c r="AC648" s="408">
        <v>0.85</v>
      </c>
      <c r="AD648" s="191"/>
      <c r="AE648" s="414"/>
    </row>
    <row r="649" ht="15.0" customHeight="1">
      <c r="A649" s="409"/>
      <c r="B649" s="409"/>
      <c r="C649" s="409"/>
      <c r="D649" s="409"/>
      <c r="E649" s="409"/>
      <c r="F649" s="410"/>
      <c r="G649" s="409"/>
      <c r="H649" s="409"/>
      <c r="I649" s="409"/>
      <c r="J649" s="409"/>
      <c r="K649" s="409"/>
      <c r="L649" s="409"/>
      <c r="M649" s="409"/>
      <c r="N649" s="409"/>
      <c r="O649" s="409"/>
      <c r="P649" s="411"/>
      <c r="Q649" s="412"/>
      <c r="R649" s="412"/>
      <c r="S649" s="411"/>
      <c r="T649" s="411"/>
      <c r="U649" s="413" t="s">
        <v>607</v>
      </c>
      <c r="V649" s="413">
        <v>15.0</v>
      </c>
      <c r="W649" s="413">
        <v>5.0</v>
      </c>
      <c r="X649" s="408">
        <v>0.7</v>
      </c>
      <c r="Y649" s="408">
        <v>0.7</v>
      </c>
      <c r="Z649" s="408">
        <v>0.7</v>
      </c>
      <c r="AA649" s="408">
        <v>1700.0</v>
      </c>
      <c r="AB649" s="408" t="s">
        <v>612</v>
      </c>
      <c r="AC649" s="408">
        <v>0.85</v>
      </c>
      <c r="AD649" s="191"/>
      <c r="AE649" s="414"/>
    </row>
    <row r="650" ht="15.0" customHeight="1">
      <c r="A650" s="409"/>
      <c r="B650" s="409"/>
      <c r="C650" s="409"/>
      <c r="D650" s="409"/>
      <c r="E650" s="409"/>
      <c r="F650" s="410"/>
      <c r="G650" s="409"/>
      <c r="H650" s="409"/>
      <c r="I650" s="409"/>
      <c r="J650" s="409"/>
      <c r="K650" s="409"/>
      <c r="L650" s="409"/>
      <c r="M650" s="409"/>
      <c r="N650" s="409"/>
      <c r="O650" s="409"/>
      <c r="P650" s="411"/>
      <c r="Q650" s="412"/>
      <c r="R650" s="412"/>
      <c r="S650" s="411"/>
      <c r="T650" s="411"/>
      <c r="U650" s="413" t="s">
        <v>607</v>
      </c>
      <c r="V650" s="413">
        <v>15.0</v>
      </c>
      <c r="W650" s="413">
        <v>5.0</v>
      </c>
      <c r="X650" s="408">
        <v>0.7</v>
      </c>
      <c r="Y650" s="408">
        <v>0.7</v>
      </c>
      <c r="Z650" s="408">
        <v>0.7</v>
      </c>
      <c r="AA650" s="408">
        <v>1700.0</v>
      </c>
      <c r="AB650" s="408" t="s">
        <v>612</v>
      </c>
      <c r="AC650" s="408">
        <v>0.85</v>
      </c>
      <c r="AD650" s="191"/>
      <c r="AE650" s="414"/>
    </row>
    <row r="651" ht="15.0" customHeight="1">
      <c r="A651" s="409"/>
      <c r="B651" s="409"/>
      <c r="C651" s="409"/>
      <c r="D651" s="409"/>
      <c r="E651" s="409"/>
      <c r="F651" s="410"/>
      <c r="G651" s="409"/>
      <c r="H651" s="409"/>
      <c r="I651" s="409"/>
      <c r="J651" s="409"/>
      <c r="K651" s="409"/>
      <c r="L651" s="409"/>
      <c r="M651" s="409"/>
      <c r="N651" s="409"/>
      <c r="O651" s="409"/>
      <c r="P651" s="411"/>
      <c r="Q651" s="412"/>
      <c r="R651" s="412"/>
      <c r="S651" s="411"/>
      <c r="T651" s="411"/>
      <c r="U651" s="413" t="s">
        <v>607</v>
      </c>
      <c r="V651" s="413">
        <v>15.0</v>
      </c>
      <c r="W651" s="413">
        <v>5.0</v>
      </c>
      <c r="X651" s="408">
        <v>0.7</v>
      </c>
      <c r="Y651" s="408">
        <v>0.7</v>
      </c>
      <c r="Z651" s="408">
        <v>0.7</v>
      </c>
      <c r="AA651" s="408">
        <v>1700.0</v>
      </c>
      <c r="AB651" s="408" t="s">
        <v>612</v>
      </c>
      <c r="AC651" s="408">
        <v>0.85</v>
      </c>
      <c r="AD651" s="191"/>
      <c r="AE651" s="414"/>
    </row>
    <row r="652" ht="15.0" customHeight="1">
      <c r="A652" s="409"/>
      <c r="B652" s="409"/>
      <c r="C652" s="409"/>
      <c r="D652" s="409"/>
      <c r="E652" s="409"/>
      <c r="F652" s="410"/>
      <c r="G652" s="409"/>
      <c r="H652" s="409"/>
      <c r="I652" s="409"/>
      <c r="J652" s="409"/>
      <c r="K652" s="409"/>
      <c r="L652" s="409"/>
      <c r="M652" s="409"/>
      <c r="N652" s="409"/>
      <c r="O652" s="409"/>
      <c r="P652" s="411"/>
      <c r="Q652" s="412"/>
      <c r="R652" s="412"/>
      <c r="S652" s="411"/>
      <c r="T652" s="411"/>
      <c r="U652" s="413" t="s">
        <v>607</v>
      </c>
      <c r="V652" s="413">
        <v>15.0</v>
      </c>
      <c r="W652" s="413">
        <v>5.0</v>
      </c>
      <c r="X652" s="408">
        <v>0.7</v>
      </c>
      <c r="Y652" s="408">
        <v>0.7</v>
      </c>
      <c r="Z652" s="408">
        <v>0.7</v>
      </c>
      <c r="AA652" s="408">
        <v>1700.0</v>
      </c>
      <c r="AB652" s="408" t="s">
        <v>612</v>
      </c>
      <c r="AC652" s="408">
        <v>0.85</v>
      </c>
      <c r="AD652" s="191"/>
      <c r="AE652" s="414"/>
    </row>
    <row r="653" ht="15.0" customHeight="1">
      <c r="A653" s="409"/>
      <c r="B653" s="409"/>
      <c r="C653" s="409"/>
      <c r="D653" s="409"/>
      <c r="E653" s="409"/>
      <c r="F653" s="410"/>
      <c r="G653" s="409"/>
      <c r="H653" s="409"/>
      <c r="I653" s="409"/>
      <c r="J653" s="409"/>
      <c r="K653" s="409"/>
      <c r="L653" s="409"/>
      <c r="M653" s="409"/>
      <c r="N653" s="409"/>
      <c r="O653" s="409"/>
      <c r="P653" s="411"/>
      <c r="Q653" s="412"/>
      <c r="R653" s="412"/>
      <c r="S653" s="411"/>
      <c r="T653" s="411"/>
      <c r="U653" s="413" t="s">
        <v>607</v>
      </c>
      <c r="V653" s="413">
        <v>15.0</v>
      </c>
      <c r="W653" s="413">
        <v>5.0</v>
      </c>
      <c r="X653" s="408">
        <v>0.7</v>
      </c>
      <c r="Y653" s="408">
        <v>0.7</v>
      </c>
      <c r="Z653" s="408">
        <v>0.7</v>
      </c>
      <c r="AA653" s="408">
        <v>1700.0</v>
      </c>
      <c r="AB653" s="408" t="s">
        <v>612</v>
      </c>
      <c r="AC653" s="408">
        <v>0.85</v>
      </c>
      <c r="AD653" s="191"/>
      <c r="AE653" s="414"/>
    </row>
    <row r="654" ht="15.0" customHeight="1">
      <c r="A654" s="409"/>
      <c r="B654" s="409"/>
      <c r="C654" s="409"/>
      <c r="D654" s="409"/>
      <c r="E654" s="409"/>
      <c r="F654" s="410"/>
      <c r="G654" s="409"/>
      <c r="H654" s="409"/>
      <c r="I654" s="409"/>
      <c r="J654" s="409"/>
      <c r="K654" s="409"/>
      <c r="L654" s="409"/>
      <c r="M654" s="409"/>
      <c r="N654" s="409"/>
      <c r="O654" s="409"/>
      <c r="P654" s="411"/>
      <c r="Q654" s="412"/>
      <c r="R654" s="412"/>
      <c r="S654" s="411"/>
      <c r="T654" s="411"/>
      <c r="U654" s="413" t="s">
        <v>539</v>
      </c>
      <c r="V654" s="413">
        <v>15.0</v>
      </c>
      <c r="W654" s="413">
        <v>5.0</v>
      </c>
      <c r="X654" s="408">
        <v>0.7</v>
      </c>
      <c r="Y654" s="408">
        <v>0.7</v>
      </c>
      <c r="Z654" s="408">
        <v>0.7</v>
      </c>
      <c r="AA654" s="408">
        <v>1700.0</v>
      </c>
      <c r="AB654" s="408" t="s">
        <v>612</v>
      </c>
      <c r="AC654" s="408">
        <v>0.85</v>
      </c>
      <c r="AD654" s="191"/>
      <c r="AE654" s="414"/>
    </row>
    <row r="655" ht="15.0" customHeight="1">
      <c r="A655" s="409"/>
      <c r="B655" s="409"/>
      <c r="C655" s="409"/>
      <c r="D655" s="409"/>
      <c r="E655" s="409"/>
      <c r="F655" s="410"/>
      <c r="G655" s="409"/>
      <c r="H655" s="409"/>
      <c r="I655" s="409"/>
      <c r="J655" s="409"/>
      <c r="K655" s="409"/>
      <c r="L655" s="409"/>
      <c r="M655" s="409"/>
      <c r="N655" s="409"/>
      <c r="O655" s="409"/>
      <c r="P655" s="411"/>
      <c r="Q655" s="412"/>
      <c r="R655" s="412"/>
      <c r="S655" s="411"/>
      <c r="T655" s="411"/>
      <c r="U655" s="413" t="s">
        <v>553</v>
      </c>
      <c r="V655" s="413">
        <v>15.0</v>
      </c>
      <c r="W655" s="413">
        <v>5.0</v>
      </c>
      <c r="X655" s="408">
        <v>0.7</v>
      </c>
      <c r="Y655" s="408">
        <v>0.7</v>
      </c>
      <c r="Z655" s="408">
        <v>0.7</v>
      </c>
      <c r="AA655" s="408">
        <v>1700.0</v>
      </c>
      <c r="AB655" s="408" t="s">
        <v>612</v>
      </c>
      <c r="AC655" s="408">
        <v>0.85</v>
      </c>
      <c r="AD655" s="191"/>
      <c r="AE655" s="414"/>
    </row>
    <row r="656" ht="15.0" customHeight="1">
      <c r="A656" s="409"/>
      <c r="B656" s="409"/>
      <c r="C656" s="409"/>
      <c r="D656" s="409"/>
      <c r="E656" s="409"/>
      <c r="F656" s="410"/>
      <c r="G656" s="409"/>
      <c r="H656" s="409"/>
      <c r="I656" s="409"/>
      <c r="J656" s="409"/>
      <c r="K656" s="409"/>
      <c r="L656" s="409"/>
      <c r="M656" s="409"/>
      <c r="N656" s="409"/>
      <c r="O656" s="409"/>
      <c r="P656" s="411"/>
      <c r="Q656" s="412"/>
      <c r="R656" s="412"/>
      <c r="S656" s="411"/>
      <c r="T656" s="411"/>
      <c r="U656" s="413" t="s">
        <v>539</v>
      </c>
      <c r="V656" s="413">
        <v>15.0</v>
      </c>
      <c r="W656" s="413">
        <v>5.0</v>
      </c>
      <c r="X656" s="408">
        <v>0.7</v>
      </c>
      <c r="Y656" s="408">
        <v>0.7</v>
      </c>
      <c r="Z656" s="408">
        <v>0.7</v>
      </c>
      <c r="AA656" s="408">
        <v>1700.0</v>
      </c>
      <c r="AB656" s="408" t="s">
        <v>612</v>
      </c>
      <c r="AC656" s="408">
        <v>0.85</v>
      </c>
      <c r="AD656" s="191"/>
      <c r="AE656" s="414"/>
    </row>
    <row r="657" ht="15.0" customHeight="1">
      <c r="A657" s="409"/>
      <c r="B657" s="409"/>
      <c r="C657" s="409"/>
      <c r="D657" s="409"/>
      <c r="E657" s="409"/>
      <c r="F657" s="410"/>
      <c r="G657" s="409"/>
      <c r="H657" s="409"/>
      <c r="I657" s="409"/>
      <c r="J657" s="409"/>
      <c r="K657" s="409"/>
      <c r="L657" s="409"/>
      <c r="M657" s="409"/>
      <c r="N657" s="409"/>
      <c r="O657" s="409"/>
      <c r="P657" s="411"/>
      <c r="Q657" s="412"/>
      <c r="R657" s="412"/>
      <c r="S657" s="411"/>
      <c r="T657" s="411"/>
      <c r="U657" s="413" t="s">
        <v>553</v>
      </c>
      <c r="V657" s="413">
        <v>15.0</v>
      </c>
      <c r="W657" s="413">
        <v>5.0</v>
      </c>
      <c r="X657" s="408">
        <v>0.7</v>
      </c>
      <c r="Y657" s="408">
        <v>0.7</v>
      </c>
      <c r="Z657" s="408">
        <v>0.7</v>
      </c>
      <c r="AA657" s="408">
        <v>1700.0</v>
      </c>
      <c r="AB657" s="408" t="s">
        <v>612</v>
      </c>
      <c r="AC657" s="408">
        <v>0.85</v>
      </c>
      <c r="AD657" s="191"/>
      <c r="AE657" s="414"/>
    </row>
    <row r="658" ht="15.0" customHeight="1">
      <c r="A658" s="409"/>
      <c r="B658" s="409"/>
      <c r="C658" s="409"/>
      <c r="D658" s="409"/>
      <c r="E658" s="409"/>
      <c r="F658" s="410"/>
      <c r="G658" s="409"/>
      <c r="H658" s="409"/>
      <c r="I658" s="409"/>
      <c r="J658" s="409"/>
      <c r="K658" s="409"/>
      <c r="L658" s="409"/>
      <c r="M658" s="409"/>
      <c r="N658" s="409"/>
      <c r="O658" s="409"/>
      <c r="P658" s="411"/>
      <c r="Q658" s="412"/>
      <c r="R658" s="412"/>
      <c r="S658" s="411"/>
      <c r="T658" s="411"/>
      <c r="U658" s="413" t="s">
        <v>539</v>
      </c>
      <c r="V658" s="413">
        <v>15.0</v>
      </c>
      <c r="W658" s="413">
        <v>5.0</v>
      </c>
      <c r="X658" s="408">
        <v>0.7</v>
      </c>
      <c r="Y658" s="408">
        <v>0.7</v>
      </c>
      <c r="Z658" s="408">
        <v>0.7</v>
      </c>
      <c r="AA658" s="408">
        <v>1700.0</v>
      </c>
      <c r="AB658" s="408" t="s">
        <v>612</v>
      </c>
      <c r="AC658" s="408">
        <v>0.85</v>
      </c>
      <c r="AD658" s="191"/>
      <c r="AE658" s="414"/>
    </row>
    <row r="659" ht="15.0" customHeight="1">
      <c r="A659" s="409"/>
      <c r="B659" s="409"/>
      <c r="C659" s="409"/>
      <c r="D659" s="409"/>
      <c r="E659" s="409"/>
      <c r="F659" s="410"/>
      <c r="G659" s="409"/>
      <c r="H659" s="409"/>
      <c r="I659" s="409"/>
      <c r="J659" s="409"/>
      <c r="K659" s="409"/>
      <c r="L659" s="409"/>
      <c r="M659" s="409"/>
      <c r="N659" s="409"/>
      <c r="O659" s="409"/>
      <c r="P659" s="411"/>
      <c r="Q659" s="412"/>
      <c r="R659" s="412"/>
      <c r="S659" s="411"/>
      <c r="T659" s="411"/>
      <c r="U659" s="413" t="s">
        <v>539</v>
      </c>
      <c r="V659" s="413">
        <v>15.0</v>
      </c>
      <c r="W659" s="413">
        <v>5.0</v>
      </c>
      <c r="X659" s="408">
        <v>0.7</v>
      </c>
      <c r="Y659" s="408">
        <v>0.7</v>
      </c>
      <c r="Z659" s="408">
        <v>0.7</v>
      </c>
      <c r="AA659" s="408">
        <v>1700.0</v>
      </c>
      <c r="AB659" s="408" t="s">
        <v>612</v>
      </c>
      <c r="AC659" s="408">
        <v>0.85</v>
      </c>
      <c r="AD659" s="191"/>
      <c r="AE659" s="414"/>
    </row>
    <row r="660" ht="15.0" customHeight="1">
      <c r="A660" s="409"/>
      <c r="B660" s="409"/>
      <c r="C660" s="409"/>
      <c r="D660" s="409"/>
      <c r="E660" s="409"/>
      <c r="F660" s="410"/>
      <c r="G660" s="409"/>
      <c r="H660" s="409"/>
      <c r="I660" s="409"/>
      <c r="J660" s="409"/>
      <c r="K660" s="409"/>
      <c r="L660" s="409"/>
      <c r="M660" s="409"/>
      <c r="N660" s="409"/>
      <c r="O660" s="409"/>
      <c r="P660" s="411"/>
      <c r="Q660" s="412"/>
      <c r="R660" s="412"/>
      <c r="S660" s="411"/>
      <c r="T660" s="411"/>
      <c r="U660" s="413" t="s">
        <v>539</v>
      </c>
      <c r="V660" s="413">
        <v>15.0</v>
      </c>
      <c r="W660" s="413">
        <v>5.0</v>
      </c>
      <c r="X660" s="408">
        <v>0.7</v>
      </c>
      <c r="Y660" s="408">
        <v>0.7</v>
      </c>
      <c r="Z660" s="408">
        <v>0.7</v>
      </c>
      <c r="AA660" s="408">
        <v>1700.0</v>
      </c>
      <c r="AB660" s="408" t="s">
        <v>612</v>
      </c>
      <c r="AC660" s="408">
        <v>0.85</v>
      </c>
      <c r="AD660" s="191"/>
      <c r="AE660" s="414"/>
    </row>
    <row r="661" ht="15.0" customHeight="1">
      <c r="A661" s="409"/>
      <c r="B661" s="409"/>
      <c r="C661" s="409"/>
      <c r="D661" s="409"/>
      <c r="E661" s="409"/>
      <c r="F661" s="410"/>
      <c r="G661" s="409"/>
      <c r="H661" s="409"/>
      <c r="I661" s="409"/>
      <c r="J661" s="409"/>
      <c r="K661" s="409"/>
      <c r="L661" s="409"/>
      <c r="M661" s="409"/>
      <c r="N661" s="409"/>
      <c r="O661" s="409"/>
      <c r="P661" s="411"/>
      <c r="Q661" s="412"/>
      <c r="R661" s="412"/>
      <c r="S661" s="411"/>
      <c r="T661" s="411"/>
      <c r="U661" s="413" t="s">
        <v>553</v>
      </c>
      <c r="V661" s="413">
        <v>15.0</v>
      </c>
      <c r="W661" s="413">
        <v>5.0</v>
      </c>
      <c r="X661" s="408">
        <v>0.7</v>
      </c>
      <c r="Y661" s="408">
        <v>0.7</v>
      </c>
      <c r="Z661" s="408">
        <v>0.7</v>
      </c>
      <c r="AA661" s="408">
        <v>1700.0</v>
      </c>
      <c r="AB661" s="408" t="s">
        <v>612</v>
      </c>
      <c r="AC661" s="408">
        <v>0.85</v>
      </c>
      <c r="AD661" s="191"/>
      <c r="AE661" s="414"/>
    </row>
    <row r="662" ht="15.0" customHeight="1">
      <c r="A662" s="409"/>
      <c r="B662" s="409"/>
      <c r="C662" s="409"/>
      <c r="D662" s="409"/>
      <c r="E662" s="409"/>
      <c r="F662" s="410"/>
      <c r="G662" s="409"/>
      <c r="H662" s="409"/>
      <c r="I662" s="409"/>
      <c r="J662" s="409"/>
      <c r="K662" s="409"/>
      <c r="L662" s="409"/>
      <c r="M662" s="409"/>
      <c r="N662" s="409"/>
      <c r="O662" s="409"/>
      <c r="P662" s="411"/>
      <c r="Q662" s="412"/>
      <c r="R662" s="412"/>
      <c r="S662" s="411"/>
      <c r="T662" s="411"/>
      <c r="U662" s="413" t="s">
        <v>553</v>
      </c>
      <c r="V662" s="413">
        <v>15.0</v>
      </c>
      <c r="W662" s="413">
        <v>5.0</v>
      </c>
      <c r="X662" s="408">
        <v>0.7</v>
      </c>
      <c r="Y662" s="408">
        <v>0.7</v>
      </c>
      <c r="Z662" s="408">
        <v>0.7</v>
      </c>
      <c r="AA662" s="408">
        <v>1700.0</v>
      </c>
      <c r="AB662" s="408" t="s">
        <v>612</v>
      </c>
      <c r="AC662" s="408">
        <v>0.85</v>
      </c>
      <c r="AD662" s="191"/>
      <c r="AE662" s="414"/>
    </row>
    <row r="663" ht="15.0" customHeight="1">
      <c r="A663" s="409"/>
      <c r="B663" s="409"/>
      <c r="C663" s="409"/>
      <c r="D663" s="409"/>
      <c r="E663" s="409"/>
      <c r="F663" s="410"/>
      <c r="G663" s="409"/>
      <c r="H663" s="409"/>
      <c r="I663" s="409"/>
      <c r="J663" s="409"/>
      <c r="K663" s="409"/>
      <c r="L663" s="409"/>
      <c r="M663" s="409"/>
      <c r="N663" s="409"/>
      <c r="O663" s="409"/>
      <c r="P663" s="411"/>
      <c r="Q663" s="412"/>
      <c r="R663" s="412"/>
      <c r="S663" s="411"/>
      <c r="T663" s="411"/>
      <c r="U663" s="413" t="s">
        <v>539</v>
      </c>
      <c r="V663" s="413">
        <v>15.0</v>
      </c>
      <c r="W663" s="413">
        <v>5.0</v>
      </c>
      <c r="X663" s="408">
        <v>0.7</v>
      </c>
      <c r="Y663" s="408">
        <v>0.7</v>
      </c>
      <c r="Z663" s="408">
        <v>0.7</v>
      </c>
      <c r="AA663" s="408">
        <v>1700.0</v>
      </c>
      <c r="AB663" s="408" t="s">
        <v>612</v>
      </c>
      <c r="AC663" s="408">
        <v>0.85</v>
      </c>
      <c r="AD663" s="191"/>
      <c r="AE663" s="414"/>
    </row>
    <row r="664" ht="15.0" customHeight="1">
      <c r="A664" s="409"/>
      <c r="B664" s="409"/>
      <c r="C664" s="409"/>
      <c r="D664" s="409"/>
      <c r="E664" s="409"/>
      <c r="F664" s="410"/>
      <c r="G664" s="409"/>
      <c r="H664" s="409"/>
      <c r="I664" s="409"/>
      <c r="J664" s="409"/>
      <c r="K664" s="409"/>
      <c r="L664" s="409"/>
      <c r="M664" s="409"/>
      <c r="N664" s="409"/>
      <c r="O664" s="409"/>
      <c r="P664" s="411"/>
      <c r="Q664" s="412"/>
      <c r="R664" s="412"/>
      <c r="S664" s="411"/>
      <c r="T664" s="411"/>
      <c r="U664" s="413" t="s">
        <v>539</v>
      </c>
      <c r="V664" s="413">
        <v>15.0</v>
      </c>
      <c r="W664" s="413">
        <v>5.0</v>
      </c>
      <c r="X664" s="408">
        <v>0.7</v>
      </c>
      <c r="Y664" s="408">
        <v>0.7</v>
      </c>
      <c r="Z664" s="408">
        <v>0.7</v>
      </c>
      <c r="AA664" s="408">
        <v>1700.0</v>
      </c>
      <c r="AB664" s="408" t="s">
        <v>612</v>
      </c>
      <c r="AC664" s="408">
        <v>0.85</v>
      </c>
      <c r="AD664" s="191"/>
      <c r="AE664" s="414"/>
    </row>
    <row r="665" ht="15.0" customHeight="1">
      <c r="A665" s="409"/>
      <c r="B665" s="409"/>
      <c r="C665" s="409"/>
      <c r="D665" s="409"/>
      <c r="E665" s="409"/>
      <c r="F665" s="410"/>
      <c r="G665" s="409"/>
      <c r="H665" s="409"/>
      <c r="I665" s="409"/>
      <c r="J665" s="409"/>
      <c r="K665" s="409"/>
      <c r="L665" s="409"/>
      <c r="M665" s="409"/>
      <c r="N665" s="409"/>
      <c r="O665" s="409"/>
      <c r="P665" s="411"/>
      <c r="Q665" s="412"/>
      <c r="R665" s="412"/>
      <c r="S665" s="411"/>
      <c r="T665" s="411"/>
      <c r="U665" s="413" t="s">
        <v>539</v>
      </c>
      <c r="V665" s="413">
        <v>15.0</v>
      </c>
      <c r="W665" s="413">
        <v>5.0</v>
      </c>
      <c r="X665" s="408">
        <v>0.7</v>
      </c>
      <c r="Y665" s="408">
        <v>0.7</v>
      </c>
      <c r="Z665" s="408">
        <v>0.7</v>
      </c>
      <c r="AA665" s="408">
        <v>1700.0</v>
      </c>
      <c r="AB665" s="408" t="s">
        <v>612</v>
      </c>
      <c r="AC665" s="408">
        <v>0.85</v>
      </c>
      <c r="AD665" s="191"/>
      <c r="AE665" s="414"/>
    </row>
    <row r="666" ht="15.0" customHeight="1">
      <c r="A666" s="409"/>
      <c r="B666" s="409"/>
      <c r="C666" s="409"/>
      <c r="D666" s="409"/>
      <c r="E666" s="409"/>
      <c r="F666" s="410"/>
      <c r="G666" s="409"/>
      <c r="H666" s="409"/>
      <c r="I666" s="409"/>
      <c r="J666" s="409"/>
      <c r="K666" s="409"/>
      <c r="L666" s="409"/>
      <c r="M666" s="409"/>
      <c r="N666" s="409"/>
      <c r="O666" s="409"/>
      <c r="P666" s="411"/>
      <c r="Q666" s="412"/>
      <c r="R666" s="412"/>
      <c r="S666" s="411"/>
      <c r="T666" s="411"/>
      <c r="U666" s="413" t="s">
        <v>539</v>
      </c>
      <c r="V666" s="413">
        <v>15.0</v>
      </c>
      <c r="W666" s="413">
        <v>5.0</v>
      </c>
      <c r="X666" s="408">
        <v>0.7</v>
      </c>
      <c r="Y666" s="408">
        <v>0.7</v>
      </c>
      <c r="Z666" s="408">
        <v>0.7</v>
      </c>
      <c r="AA666" s="408">
        <v>1700.0</v>
      </c>
      <c r="AB666" s="408" t="s">
        <v>612</v>
      </c>
      <c r="AC666" s="408">
        <v>0.85</v>
      </c>
      <c r="AD666" s="191"/>
      <c r="AE666" s="414"/>
    </row>
    <row r="667" ht="15.0" customHeight="1">
      <c r="A667" s="409"/>
      <c r="B667" s="409"/>
      <c r="C667" s="409"/>
      <c r="D667" s="409"/>
      <c r="E667" s="409"/>
      <c r="F667" s="410"/>
      <c r="G667" s="409"/>
      <c r="H667" s="409"/>
      <c r="I667" s="409"/>
      <c r="J667" s="409"/>
      <c r="K667" s="409"/>
      <c r="L667" s="409"/>
      <c r="M667" s="409"/>
      <c r="N667" s="409"/>
      <c r="O667" s="409"/>
      <c r="P667" s="411"/>
      <c r="Q667" s="412"/>
      <c r="R667" s="412"/>
      <c r="S667" s="411"/>
      <c r="T667" s="411"/>
      <c r="U667" s="413" t="s">
        <v>539</v>
      </c>
      <c r="V667" s="413">
        <v>15.0</v>
      </c>
      <c r="W667" s="413">
        <v>5.0</v>
      </c>
      <c r="X667" s="408">
        <v>0.7</v>
      </c>
      <c r="Y667" s="408">
        <v>0.7</v>
      </c>
      <c r="Z667" s="408">
        <v>0.7</v>
      </c>
      <c r="AA667" s="408">
        <v>1700.0</v>
      </c>
      <c r="AB667" s="408" t="s">
        <v>612</v>
      </c>
      <c r="AC667" s="408">
        <v>0.85</v>
      </c>
      <c r="AD667" s="191"/>
      <c r="AE667" s="414"/>
    </row>
    <row r="668" ht="15.0" customHeight="1">
      <c r="A668" s="409"/>
      <c r="B668" s="409"/>
      <c r="C668" s="409"/>
      <c r="D668" s="409"/>
      <c r="E668" s="409"/>
      <c r="F668" s="410"/>
      <c r="G668" s="409"/>
      <c r="H668" s="409"/>
      <c r="I668" s="409"/>
      <c r="J668" s="409"/>
      <c r="K668" s="409"/>
      <c r="L668" s="409"/>
      <c r="M668" s="409"/>
      <c r="N668" s="409"/>
      <c r="O668" s="409"/>
      <c r="P668" s="411"/>
      <c r="Q668" s="412"/>
      <c r="R668" s="412"/>
      <c r="S668" s="411"/>
      <c r="T668" s="411"/>
      <c r="U668" s="413" t="s">
        <v>539</v>
      </c>
      <c r="V668" s="413">
        <v>15.0</v>
      </c>
      <c r="W668" s="413">
        <v>5.0</v>
      </c>
      <c r="X668" s="408">
        <v>0.7</v>
      </c>
      <c r="Y668" s="408">
        <v>0.7</v>
      </c>
      <c r="Z668" s="408">
        <v>0.7</v>
      </c>
      <c r="AA668" s="408">
        <v>1700.0</v>
      </c>
      <c r="AB668" s="408" t="s">
        <v>612</v>
      </c>
      <c r="AC668" s="408">
        <v>0.85</v>
      </c>
      <c r="AD668" s="191"/>
      <c r="AE668" s="414"/>
    </row>
    <row r="669" ht="15.0" customHeight="1">
      <c r="A669" s="409"/>
      <c r="B669" s="409"/>
      <c r="C669" s="409"/>
      <c r="D669" s="409"/>
      <c r="E669" s="409"/>
      <c r="F669" s="410"/>
      <c r="G669" s="409"/>
      <c r="H669" s="409"/>
      <c r="I669" s="409"/>
      <c r="J669" s="409"/>
      <c r="K669" s="409"/>
      <c r="L669" s="409"/>
      <c r="M669" s="409"/>
      <c r="N669" s="409"/>
      <c r="O669" s="409"/>
      <c r="P669" s="411"/>
      <c r="Q669" s="412"/>
      <c r="R669" s="412"/>
      <c r="S669" s="411"/>
      <c r="T669" s="411"/>
      <c r="U669" s="413" t="s">
        <v>553</v>
      </c>
      <c r="V669" s="413">
        <v>15.0</v>
      </c>
      <c r="W669" s="413">
        <v>5.0</v>
      </c>
      <c r="X669" s="408">
        <v>0.7</v>
      </c>
      <c r="Y669" s="408">
        <v>0.7</v>
      </c>
      <c r="Z669" s="408">
        <v>0.7</v>
      </c>
      <c r="AA669" s="408">
        <v>1700.0</v>
      </c>
      <c r="AB669" s="408" t="s">
        <v>612</v>
      </c>
      <c r="AC669" s="408">
        <v>0.85</v>
      </c>
      <c r="AD669" s="191"/>
      <c r="AE669" s="414"/>
    </row>
    <row r="670" ht="15.0" customHeight="1">
      <c r="A670" s="409"/>
      <c r="B670" s="409"/>
      <c r="C670" s="409"/>
      <c r="D670" s="409"/>
      <c r="E670" s="409"/>
      <c r="F670" s="410"/>
      <c r="G670" s="409"/>
      <c r="H670" s="409"/>
      <c r="I670" s="409"/>
      <c r="J670" s="409"/>
      <c r="K670" s="409"/>
      <c r="L670" s="409"/>
      <c r="M670" s="409"/>
      <c r="N670" s="409"/>
      <c r="O670" s="409"/>
      <c r="P670" s="411"/>
      <c r="Q670" s="412"/>
      <c r="R670" s="412"/>
      <c r="S670" s="411"/>
      <c r="T670" s="411"/>
      <c r="U670" s="413" t="s">
        <v>539</v>
      </c>
      <c r="V670" s="413">
        <v>15.0</v>
      </c>
      <c r="W670" s="413">
        <v>5.0</v>
      </c>
      <c r="X670" s="408">
        <v>0.7</v>
      </c>
      <c r="Y670" s="408">
        <v>0.7</v>
      </c>
      <c r="Z670" s="408">
        <v>0.7</v>
      </c>
      <c r="AA670" s="408">
        <v>1700.0</v>
      </c>
      <c r="AB670" s="408" t="s">
        <v>612</v>
      </c>
      <c r="AC670" s="408">
        <v>0.85</v>
      </c>
      <c r="AD670" s="191"/>
      <c r="AE670" s="414"/>
    </row>
    <row r="671" ht="15.0" customHeight="1">
      <c r="A671" s="409"/>
      <c r="B671" s="409"/>
      <c r="C671" s="409"/>
      <c r="D671" s="409"/>
      <c r="E671" s="409"/>
      <c r="F671" s="410"/>
      <c r="G671" s="409"/>
      <c r="H671" s="409"/>
      <c r="I671" s="409"/>
      <c r="J671" s="409"/>
      <c r="K671" s="409"/>
      <c r="L671" s="409"/>
      <c r="M671" s="409"/>
      <c r="N671" s="409"/>
      <c r="O671" s="409"/>
      <c r="P671" s="411"/>
      <c r="Q671" s="412"/>
      <c r="R671" s="412"/>
      <c r="S671" s="411"/>
      <c r="T671" s="411"/>
      <c r="U671" s="413" t="s">
        <v>539</v>
      </c>
      <c r="V671" s="413">
        <v>15.0</v>
      </c>
      <c r="W671" s="413">
        <v>5.0</v>
      </c>
      <c r="X671" s="408">
        <v>0.7</v>
      </c>
      <c r="Y671" s="408">
        <v>0.7</v>
      </c>
      <c r="Z671" s="408">
        <v>0.7</v>
      </c>
      <c r="AA671" s="408">
        <v>1700.0</v>
      </c>
      <c r="AB671" s="408" t="s">
        <v>612</v>
      </c>
      <c r="AC671" s="408">
        <v>0.85</v>
      </c>
      <c r="AD671" s="191"/>
      <c r="AE671" s="414"/>
    </row>
    <row r="672" ht="15.0" customHeight="1">
      <c r="A672" s="409"/>
      <c r="B672" s="409"/>
      <c r="C672" s="409"/>
      <c r="D672" s="409"/>
      <c r="E672" s="409"/>
      <c r="F672" s="410"/>
      <c r="G672" s="409"/>
      <c r="H672" s="409"/>
      <c r="I672" s="409"/>
      <c r="J672" s="409"/>
      <c r="K672" s="409"/>
      <c r="L672" s="409"/>
      <c r="M672" s="409"/>
      <c r="N672" s="409"/>
      <c r="O672" s="409"/>
      <c r="P672" s="411"/>
      <c r="Q672" s="412"/>
      <c r="R672" s="412"/>
      <c r="S672" s="411"/>
      <c r="T672" s="411"/>
      <c r="U672" s="413" t="s">
        <v>539</v>
      </c>
      <c r="V672" s="413">
        <v>15.0</v>
      </c>
      <c r="W672" s="413">
        <v>5.0</v>
      </c>
      <c r="X672" s="408">
        <v>0.7</v>
      </c>
      <c r="Y672" s="408">
        <v>0.7</v>
      </c>
      <c r="Z672" s="408">
        <v>0.7</v>
      </c>
      <c r="AA672" s="408">
        <v>1700.0</v>
      </c>
      <c r="AB672" s="408" t="s">
        <v>612</v>
      </c>
      <c r="AC672" s="408">
        <v>0.85</v>
      </c>
      <c r="AD672" s="191"/>
      <c r="AE672" s="414"/>
    </row>
    <row r="673" ht="15.0" customHeight="1">
      <c r="A673" s="409"/>
      <c r="B673" s="409"/>
      <c r="C673" s="409"/>
      <c r="D673" s="409"/>
      <c r="E673" s="409"/>
      <c r="F673" s="410"/>
      <c r="G673" s="409"/>
      <c r="H673" s="409"/>
      <c r="I673" s="409"/>
      <c r="J673" s="409"/>
      <c r="K673" s="409"/>
      <c r="L673" s="409"/>
      <c r="M673" s="409"/>
      <c r="N673" s="409"/>
      <c r="O673" s="409"/>
      <c r="P673" s="411"/>
      <c r="Q673" s="412"/>
      <c r="R673" s="412"/>
      <c r="S673" s="411"/>
      <c r="T673" s="411"/>
      <c r="U673" s="413" t="s">
        <v>539</v>
      </c>
      <c r="V673" s="413">
        <v>15.0</v>
      </c>
      <c r="W673" s="413">
        <v>5.0</v>
      </c>
      <c r="X673" s="408">
        <v>0.7</v>
      </c>
      <c r="Y673" s="408">
        <v>0.7</v>
      </c>
      <c r="Z673" s="408">
        <v>0.7</v>
      </c>
      <c r="AA673" s="408">
        <v>1700.0</v>
      </c>
      <c r="AB673" s="408" t="s">
        <v>612</v>
      </c>
      <c r="AC673" s="408">
        <v>0.85</v>
      </c>
      <c r="AD673" s="191"/>
      <c r="AE673" s="414"/>
    </row>
    <row r="674" ht="15.0" customHeight="1">
      <c r="A674" s="409"/>
      <c r="B674" s="409"/>
      <c r="C674" s="409"/>
      <c r="D674" s="409"/>
      <c r="E674" s="409"/>
      <c r="F674" s="410"/>
      <c r="G674" s="409"/>
      <c r="H674" s="409"/>
      <c r="I674" s="409"/>
      <c r="J674" s="409"/>
      <c r="K674" s="409"/>
      <c r="L674" s="409"/>
      <c r="M674" s="409"/>
      <c r="N674" s="409"/>
      <c r="O674" s="409"/>
      <c r="P674" s="411"/>
      <c r="Q674" s="412"/>
      <c r="R674" s="412"/>
      <c r="S674" s="411"/>
      <c r="T674" s="411"/>
      <c r="U674" s="413" t="s">
        <v>539</v>
      </c>
      <c r="V674" s="413">
        <v>15.0</v>
      </c>
      <c r="W674" s="413">
        <v>5.0</v>
      </c>
      <c r="X674" s="408">
        <v>0.7</v>
      </c>
      <c r="Y674" s="408">
        <v>0.7</v>
      </c>
      <c r="Z674" s="408">
        <v>0.7</v>
      </c>
      <c r="AA674" s="408">
        <v>1700.0</v>
      </c>
      <c r="AB674" s="408" t="s">
        <v>612</v>
      </c>
      <c r="AC674" s="408">
        <v>0.85</v>
      </c>
      <c r="AD674" s="191"/>
      <c r="AE674" s="414"/>
    </row>
    <row r="675" ht="15.0" customHeight="1">
      <c r="A675" s="409"/>
      <c r="B675" s="409"/>
      <c r="C675" s="409"/>
      <c r="D675" s="409"/>
      <c r="E675" s="409"/>
      <c r="F675" s="410"/>
      <c r="G675" s="409"/>
      <c r="H675" s="409"/>
      <c r="I675" s="409"/>
      <c r="J675" s="409"/>
      <c r="K675" s="409"/>
      <c r="L675" s="409"/>
      <c r="M675" s="409"/>
      <c r="N675" s="409"/>
      <c r="O675" s="409"/>
      <c r="P675" s="411"/>
      <c r="Q675" s="412"/>
      <c r="R675" s="412"/>
      <c r="S675" s="411"/>
      <c r="T675" s="411"/>
      <c r="U675" s="413" t="s">
        <v>539</v>
      </c>
      <c r="V675" s="413">
        <v>15.0</v>
      </c>
      <c r="W675" s="413">
        <v>5.0</v>
      </c>
      <c r="X675" s="408">
        <v>0.7</v>
      </c>
      <c r="Y675" s="408">
        <v>0.7</v>
      </c>
      <c r="Z675" s="408">
        <v>0.7</v>
      </c>
      <c r="AA675" s="408">
        <v>1700.0</v>
      </c>
      <c r="AB675" s="408" t="s">
        <v>612</v>
      </c>
      <c r="AC675" s="408">
        <v>0.85</v>
      </c>
      <c r="AD675" s="191"/>
      <c r="AE675" s="414"/>
    </row>
    <row r="676" ht="15.0" customHeight="1">
      <c r="A676" s="409"/>
      <c r="B676" s="409"/>
      <c r="C676" s="409"/>
      <c r="D676" s="409"/>
      <c r="E676" s="409"/>
      <c r="F676" s="410"/>
      <c r="G676" s="409"/>
      <c r="H676" s="409"/>
      <c r="I676" s="409"/>
      <c r="J676" s="409"/>
      <c r="K676" s="409"/>
      <c r="L676" s="409"/>
      <c r="M676" s="409"/>
      <c r="N676" s="409"/>
      <c r="O676" s="409"/>
      <c r="P676" s="411"/>
      <c r="Q676" s="412"/>
      <c r="R676" s="412"/>
      <c r="S676" s="411"/>
      <c r="T676" s="411"/>
      <c r="U676" s="413" t="s">
        <v>539</v>
      </c>
      <c r="V676" s="413">
        <v>15.0</v>
      </c>
      <c r="W676" s="413">
        <v>5.0</v>
      </c>
      <c r="X676" s="408">
        <v>0.7</v>
      </c>
      <c r="Y676" s="408">
        <v>0.7</v>
      </c>
      <c r="Z676" s="408">
        <v>0.7</v>
      </c>
      <c r="AA676" s="408">
        <v>1700.0</v>
      </c>
      <c r="AB676" s="408" t="s">
        <v>612</v>
      </c>
      <c r="AC676" s="408">
        <v>0.85</v>
      </c>
      <c r="AD676" s="191"/>
      <c r="AE676" s="414"/>
    </row>
    <row r="677" ht="15.0" customHeight="1">
      <c r="A677" s="409"/>
      <c r="B677" s="409"/>
      <c r="C677" s="409"/>
      <c r="D677" s="409"/>
      <c r="E677" s="409"/>
      <c r="F677" s="410"/>
      <c r="G677" s="409"/>
      <c r="H677" s="409"/>
      <c r="I677" s="409"/>
      <c r="J677" s="409"/>
      <c r="K677" s="409"/>
      <c r="L677" s="409"/>
      <c r="M677" s="409"/>
      <c r="N677" s="409"/>
      <c r="O677" s="409"/>
      <c r="P677" s="411"/>
      <c r="Q677" s="412"/>
      <c r="R677" s="412"/>
      <c r="S677" s="411"/>
      <c r="T677" s="411"/>
      <c r="U677" s="413" t="s">
        <v>539</v>
      </c>
      <c r="V677" s="413">
        <v>15.0</v>
      </c>
      <c r="W677" s="413">
        <v>5.0</v>
      </c>
      <c r="X677" s="408">
        <v>0.7</v>
      </c>
      <c r="Y677" s="408">
        <v>0.7</v>
      </c>
      <c r="Z677" s="408">
        <v>0.7</v>
      </c>
      <c r="AA677" s="408">
        <v>1700.0</v>
      </c>
      <c r="AB677" s="408" t="s">
        <v>612</v>
      </c>
      <c r="AC677" s="408">
        <v>0.85</v>
      </c>
      <c r="AD677" s="191"/>
      <c r="AE677" s="414"/>
    </row>
    <row r="678" ht="15.0" customHeight="1">
      <c r="A678" s="409"/>
      <c r="B678" s="409"/>
      <c r="C678" s="409"/>
      <c r="D678" s="409"/>
      <c r="E678" s="409"/>
      <c r="F678" s="410"/>
      <c r="G678" s="409"/>
      <c r="H678" s="409"/>
      <c r="I678" s="409"/>
      <c r="J678" s="409"/>
      <c r="K678" s="409"/>
      <c r="L678" s="409"/>
      <c r="M678" s="409"/>
      <c r="N678" s="409"/>
      <c r="O678" s="409"/>
      <c r="P678" s="411"/>
      <c r="Q678" s="412"/>
      <c r="R678" s="412"/>
      <c r="S678" s="411"/>
      <c r="T678" s="411"/>
      <c r="U678" s="413" t="s">
        <v>539</v>
      </c>
      <c r="V678" s="413">
        <v>15.0</v>
      </c>
      <c r="W678" s="413">
        <v>5.0</v>
      </c>
      <c r="X678" s="408">
        <v>0.7</v>
      </c>
      <c r="Y678" s="408">
        <v>0.7</v>
      </c>
      <c r="Z678" s="408">
        <v>0.7</v>
      </c>
      <c r="AA678" s="408">
        <v>1700.0</v>
      </c>
      <c r="AB678" s="408" t="s">
        <v>612</v>
      </c>
      <c r="AC678" s="408">
        <v>0.85</v>
      </c>
      <c r="AD678" s="191"/>
      <c r="AE678" s="414"/>
    </row>
    <row r="679" ht="15.0" customHeight="1">
      <c r="A679" s="409"/>
      <c r="B679" s="409"/>
      <c r="C679" s="409"/>
      <c r="D679" s="409"/>
      <c r="E679" s="409"/>
      <c r="F679" s="410"/>
      <c r="G679" s="409"/>
      <c r="H679" s="409"/>
      <c r="I679" s="409"/>
      <c r="J679" s="409"/>
      <c r="K679" s="409"/>
      <c r="L679" s="409"/>
      <c r="M679" s="409"/>
      <c r="N679" s="409"/>
      <c r="O679" s="409"/>
      <c r="P679" s="411"/>
      <c r="Q679" s="412"/>
      <c r="R679" s="412"/>
      <c r="S679" s="411"/>
      <c r="T679" s="411"/>
      <c r="U679" s="413" t="s">
        <v>539</v>
      </c>
      <c r="V679" s="413">
        <v>15.0</v>
      </c>
      <c r="W679" s="413">
        <v>5.0</v>
      </c>
      <c r="X679" s="408">
        <v>0.7</v>
      </c>
      <c r="Y679" s="408">
        <v>0.7</v>
      </c>
      <c r="Z679" s="408">
        <v>0.7</v>
      </c>
      <c r="AA679" s="408">
        <v>1700.0</v>
      </c>
      <c r="AB679" s="408" t="s">
        <v>612</v>
      </c>
      <c r="AC679" s="408">
        <v>0.85</v>
      </c>
      <c r="AD679" s="191"/>
      <c r="AE679" s="414"/>
    </row>
    <row r="680" ht="15.0" customHeight="1">
      <c r="A680" s="409"/>
      <c r="B680" s="409"/>
      <c r="C680" s="409"/>
      <c r="D680" s="409"/>
      <c r="E680" s="409"/>
      <c r="F680" s="410"/>
      <c r="G680" s="409"/>
      <c r="H680" s="409"/>
      <c r="I680" s="409"/>
      <c r="J680" s="409"/>
      <c r="K680" s="409"/>
      <c r="L680" s="409"/>
      <c r="M680" s="409"/>
      <c r="N680" s="409"/>
      <c r="O680" s="409"/>
      <c r="P680" s="411"/>
      <c r="Q680" s="412"/>
      <c r="R680" s="412"/>
      <c r="S680" s="411"/>
      <c r="T680" s="411"/>
      <c r="U680" s="413" t="s">
        <v>539</v>
      </c>
      <c r="V680" s="413">
        <v>15.0</v>
      </c>
      <c r="W680" s="413">
        <v>5.0</v>
      </c>
      <c r="X680" s="408">
        <v>0.7</v>
      </c>
      <c r="Y680" s="408">
        <v>0.7</v>
      </c>
      <c r="Z680" s="408">
        <v>0.7</v>
      </c>
      <c r="AA680" s="408">
        <v>1700.0</v>
      </c>
      <c r="AB680" s="408" t="s">
        <v>612</v>
      </c>
      <c r="AC680" s="408">
        <v>0.85</v>
      </c>
      <c r="AD680" s="191"/>
      <c r="AE680" s="414"/>
    </row>
    <row r="681" ht="15.0" customHeight="1">
      <c r="A681" s="409"/>
      <c r="B681" s="409"/>
      <c r="C681" s="409"/>
      <c r="D681" s="409"/>
      <c r="E681" s="409"/>
      <c r="F681" s="410"/>
      <c r="G681" s="409"/>
      <c r="H681" s="409"/>
      <c r="I681" s="409"/>
      <c r="J681" s="409"/>
      <c r="K681" s="409"/>
      <c r="L681" s="409"/>
      <c r="M681" s="409"/>
      <c r="N681" s="409"/>
      <c r="O681" s="409"/>
      <c r="P681" s="411"/>
      <c r="Q681" s="412"/>
      <c r="R681" s="412"/>
      <c r="S681" s="411"/>
      <c r="T681" s="411"/>
      <c r="U681" s="413" t="s">
        <v>539</v>
      </c>
      <c r="V681" s="413">
        <v>15.0</v>
      </c>
      <c r="W681" s="413">
        <v>5.0</v>
      </c>
      <c r="X681" s="408">
        <v>0.7</v>
      </c>
      <c r="Y681" s="408">
        <v>0.7</v>
      </c>
      <c r="Z681" s="408">
        <v>0.7</v>
      </c>
      <c r="AA681" s="408">
        <v>1700.0</v>
      </c>
      <c r="AB681" s="408" t="s">
        <v>612</v>
      </c>
      <c r="AC681" s="408">
        <v>0.85</v>
      </c>
      <c r="AD681" s="191"/>
      <c r="AE681" s="414"/>
    </row>
    <row r="682" ht="15.0" customHeight="1">
      <c r="A682" s="409"/>
      <c r="B682" s="409"/>
      <c r="C682" s="409"/>
      <c r="D682" s="409"/>
      <c r="E682" s="409"/>
      <c r="F682" s="410"/>
      <c r="G682" s="409"/>
      <c r="H682" s="409"/>
      <c r="I682" s="409"/>
      <c r="J682" s="409"/>
      <c r="K682" s="409"/>
      <c r="L682" s="409"/>
      <c r="M682" s="409"/>
      <c r="N682" s="409"/>
      <c r="O682" s="409"/>
      <c r="P682" s="411"/>
      <c r="Q682" s="412"/>
      <c r="R682" s="412"/>
      <c r="S682" s="411"/>
      <c r="T682" s="411"/>
      <c r="U682" s="413" t="s">
        <v>539</v>
      </c>
      <c r="V682" s="413">
        <v>15.0</v>
      </c>
      <c r="W682" s="413">
        <v>5.0</v>
      </c>
      <c r="X682" s="408">
        <v>0.7</v>
      </c>
      <c r="Y682" s="408">
        <v>0.7</v>
      </c>
      <c r="Z682" s="408">
        <v>0.7</v>
      </c>
      <c r="AA682" s="408">
        <v>1700.0</v>
      </c>
      <c r="AB682" s="408" t="s">
        <v>612</v>
      </c>
      <c r="AC682" s="408">
        <v>0.85</v>
      </c>
      <c r="AD682" s="191"/>
      <c r="AE682" s="414"/>
    </row>
    <row r="683" ht="15.0" customHeight="1">
      <c r="A683" s="409"/>
      <c r="B683" s="409"/>
      <c r="C683" s="409"/>
      <c r="D683" s="409"/>
      <c r="E683" s="409"/>
      <c r="F683" s="410"/>
      <c r="G683" s="409"/>
      <c r="H683" s="409"/>
      <c r="I683" s="409"/>
      <c r="J683" s="409"/>
      <c r="K683" s="409"/>
      <c r="L683" s="409"/>
      <c r="M683" s="409"/>
      <c r="N683" s="409"/>
      <c r="O683" s="409"/>
      <c r="P683" s="411"/>
      <c r="Q683" s="412"/>
      <c r="R683" s="412"/>
      <c r="S683" s="411"/>
      <c r="T683" s="411"/>
      <c r="U683" s="413" t="s">
        <v>539</v>
      </c>
      <c r="V683" s="413">
        <v>15.0</v>
      </c>
      <c r="W683" s="413">
        <v>5.0</v>
      </c>
      <c r="X683" s="408">
        <v>0.7</v>
      </c>
      <c r="Y683" s="408">
        <v>0.7</v>
      </c>
      <c r="Z683" s="408">
        <v>0.7</v>
      </c>
      <c r="AA683" s="408">
        <v>1700.0</v>
      </c>
      <c r="AB683" s="408" t="s">
        <v>612</v>
      </c>
      <c r="AC683" s="408">
        <v>0.85</v>
      </c>
      <c r="AD683" s="191"/>
      <c r="AE683" s="414"/>
    </row>
    <row r="684" ht="15.0" customHeight="1">
      <c r="A684" s="409"/>
      <c r="B684" s="409"/>
      <c r="C684" s="409"/>
      <c r="D684" s="409"/>
      <c r="E684" s="409"/>
      <c r="F684" s="410"/>
      <c r="G684" s="409"/>
      <c r="H684" s="409"/>
      <c r="I684" s="409"/>
      <c r="J684" s="409"/>
      <c r="K684" s="409"/>
      <c r="L684" s="409"/>
      <c r="M684" s="409"/>
      <c r="N684" s="409"/>
      <c r="O684" s="409"/>
      <c r="P684" s="411"/>
      <c r="Q684" s="412"/>
      <c r="R684" s="412"/>
      <c r="S684" s="411"/>
      <c r="T684" s="411"/>
      <c r="U684" s="413" t="s">
        <v>539</v>
      </c>
      <c r="V684" s="413">
        <v>15.0</v>
      </c>
      <c r="W684" s="413">
        <v>5.0</v>
      </c>
      <c r="X684" s="408">
        <v>0.7</v>
      </c>
      <c r="Y684" s="408">
        <v>0.7</v>
      </c>
      <c r="Z684" s="408">
        <v>0.7</v>
      </c>
      <c r="AA684" s="408">
        <v>1700.0</v>
      </c>
      <c r="AB684" s="408" t="s">
        <v>612</v>
      </c>
      <c r="AC684" s="408">
        <v>0.85</v>
      </c>
      <c r="AD684" s="191"/>
      <c r="AE684" s="414"/>
    </row>
    <row r="685" ht="15.0" customHeight="1">
      <c r="A685" s="409"/>
      <c r="B685" s="409"/>
      <c r="C685" s="409"/>
      <c r="D685" s="409"/>
      <c r="E685" s="409"/>
      <c r="F685" s="410"/>
      <c r="G685" s="409"/>
      <c r="H685" s="409"/>
      <c r="I685" s="409"/>
      <c r="J685" s="409"/>
      <c r="K685" s="409"/>
      <c r="L685" s="409"/>
      <c r="M685" s="409"/>
      <c r="N685" s="409"/>
      <c r="O685" s="409"/>
      <c r="P685" s="411"/>
      <c r="Q685" s="412"/>
      <c r="R685" s="412"/>
      <c r="S685" s="411"/>
      <c r="T685" s="411"/>
      <c r="U685" s="413" t="s">
        <v>539</v>
      </c>
      <c r="V685" s="413">
        <v>15.0</v>
      </c>
      <c r="W685" s="413">
        <v>5.0</v>
      </c>
      <c r="X685" s="408">
        <v>0.7</v>
      </c>
      <c r="Y685" s="408">
        <v>0.7</v>
      </c>
      <c r="Z685" s="408">
        <v>0.7</v>
      </c>
      <c r="AA685" s="408">
        <v>1700.0</v>
      </c>
      <c r="AB685" s="408" t="s">
        <v>612</v>
      </c>
      <c r="AC685" s="408">
        <v>0.85</v>
      </c>
      <c r="AD685" s="191"/>
      <c r="AE685" s="414"/>
    </row>
    <row r="686" ht="15.0" customHeight="1">
      <c r="A686" s="409"/>
      <c r="B686" s="409"/>
      <c r="C686" s="409"/>
      <c r="D686" s="409"/>
      <c r="E686" s="409"/>
      <c r="F686" s="410"/>
      <c r="G686" s="409"/>
      <c r="H686" s="409"/>
      <c r="I686" s="409"/>
      <c r="J686" s="409"/>
      <c r="K686" s="409"/>
      <c r="L686" s="409"/>
      <c r="M686" s="409"/>
      <c r="N686" s="409"/>
      <c r="O686" s="409"/>
      <c r="P686" s="411"/>
      <c r="Q686" s="415"/>
      <c r="R686" s="415"/>
      <c r="S686" s="411"/>
      <c r="T686" s="411"/>
      <c r="U686" s="413" t="s">
        <v>553</v>
      </c>
      <c r="V686" s="413">
        <v>15.0</v>
      </c>
      <c r="W686" s="413">
        <v>5.0</v>
      </c>
      <c r="X686" s="408">
        <v>0.7</v>
      </c>
      <c r="Y686" s="408">
        <v>0.7</v>
      </c>
      <c r="Z686" s="408">
        <v>0.7</v>
      </c>
      <c r="AA686" s="408">
        <v>1700.0</v>
      </c>
      <c r="AB686" s="408" t="s">
        <v>612</v>
      </c>
      <c r="AC686" s="408">
        <v>0.85</v>
      </c>
      <c r="AD686" s="191"/>
      <c r="AE686" s="414"/>
    </row>
    <row r="687" ht="15.0" customHeight="1">
      <c r="A687" s="409"/>
      <c r="B687" s="409"/>
      <c r="C687" s="409"/>
      <c r="D687" s="409"/>
      <c r="E687" s="409"/>
      <c r="F687" s="410"/>
      <c r="G687" s="409"/>
      <c r="H687" s="409"/>
      <c r="I687" s="409"/>
      <c r="J687" s="409"/>
      <c r="K687" s="409"/>
      <c r="L687" s="409"/>
      <c r="M687" s="409"/>
      <c r="N687" s="409"/>
      <c r="O687" s="409"/>
      <c r="P687" s="411"/>
      <c r="Q687" s="415"/>
      <c r="R687" s="415"/>
      <c r="S687" s="411"/>
      <c r="T687" s="411"/>
      <c r="U687" s="413" t="s">
        <v>539</v>
      </c>
      <c r="V687" s="413">
        <v>15.0</v>
      </c>
      <c r="W687" s="413">
        <v>5.0</v>
      </c>
      <c r="X687" s="408">
        <v>0.7</v>
      </c>
      <c r="Y687" s="408">
        <v>0.7</v>
      </c>
      <c r="Z687" s="408">
        <v>0.7</v>
      </c>
      <c r="AA687" s="408">
        <v>1700.0</v>
      </c>
      <c r="AB687" s="408" t="s">
        <v>612</v>
      </c>
      <c r="AC687" s="408">
        <v>0.85</v>
      </c>
      <c r="AD687" s="191"/>
      <c r="AE687" s="414"/>
    </row>
    <row r="688" ht="15.0" customHeight="1">
      <c r="A688" s="409"/>
      <c r="B688" s="409"/>
      <c r="C688" s="409"/>
      <c r="D688" s="409"/>
      <c r="E688" s="409"/>
      <c r="F688" s="410"/>
      <c r="G688" s="409"/>
      <c r="H688" s="409"/>
      <c r="I688" s="409"/>
      <c r="J688" s="409"/>
      <c r="K688" s="409"/>
      <c r="L688" s="409"/>
      <c r="M688" s="409"/>
      <c r="N688" s="409"/>
      <c r="O688" s="409"/>
      <c r="P688" s="411"/>
      <c r="Q688" s="415"/>
      <c r="R688" s="415"/>
      <c r="S688" s="411"/>
      <c r="T688" s="411"/>
      <c r="U688" s="413" t="s">
        <v>539</v>
      </c>
      <c r="V688" s="413">
        <v>15.0</v>
      </c>
      <c r="W688" s="413">
        <v>5.0</v>
      </c>
      <c r="X688" s="408">
        <v>0.7</v>
      </c>
      <c r="Y688" s="408">
        <v>0.7</v>
      </c>
      <c r="Z688" s="408">
        <v>0.7</v>
      </c>
      <c r="AA688" s="408">
        <v>1700.0</v>
      </c>
      <c r="AB688" s="408" t="s">
        <v>612</v>
      </c>
      <c r="AC688" s="408">
        <v>0.85</v>
      </c>
      <c r="AD688" s="191"/>
      <c r="AE688" s="414"/>
    </row>
    <row r="689" ht="15.0" customHeight="1">
      <c r="A689" s="409"/>
      <c r="B689" s="409"/>
      <c r="C689" s="409"/>
      <c r="D689" s="409"/>
      <c r="E689" s="409"/>
      <c r="F689" s="410"/>
      <c r="G689" s="409"/>
      <c r="H689" s="409"/>
      <c r="I689" s="409"/>
      <c r="J689" s="409"/>
      <c r="K689" s="409"/>
      <c r="L689" s="409"/>
      <c r="M689" s="409"/>
      <c r="N689" s="409"/>
      <c r="O689" s="409"/>
      <c r="P689" s="411"/>
      <c r="Q689" s="415"/>
      <c r="R689" s="415"/>
      <c r="S689" s="411"/>
      <c r="T689" s="411"/>
      <c r="U689" s="413" t="s">
        <v>539</v>
      </c>
      <c r="V689" s="413">
        <v>15.0</v>
      </c>
      <c r="W689" s="413">
        <v>5.0</v>
      </c>
      <c r="X689" s="408">
        <v>0.7</v>
      </c>
      <c r="Y689" s="408">
        <v>0.7</v>
      </c>
      <c r="Z689" s="408">
        <v>0.7</v>
      </c>
      <c r="AA689" s="408">
        <v>1700.0</v>
      </c>
      <c r="AB689" s="408" t="s">
        <v>612</v>
      </c>
      <c r="AC689" s="408">
        <v>0.85</v>
      </c>
      <c r="AD689" s="191"/>
      <c r="AE689" s="414"/>
    </row>
    <row r="690" ht="15.0" customHeight="1">
      <c r="A690" s="409"/>
      <c r="B690" s="409"/>
      <c r="C690" s="409"/>
      <c r="D690" s="409"/>
      <c r="E690" s="409"/>
      <c r="F690" s="410"/>
      <c r="G690" s="409"/>
      <c r="H690" s="409"/>
      <c r="I690" s="409"/>
      <c r="J690" s="409"/>
      <c r="K690" s="409"/>
      <c r="L690" s="409"/>
      <c r="M690" s="409"/>
      <c r="N690" s="409"/>
      <c r="O690" s="409"/>
      <c r="P690" s="411"/>
      <c r="Q690" s="415"/>
      <c r="R690" s="415"/>
      <c r="S690" s="411"/>
      <c r="T690" s="411"/>
      <c r="U690" s="413" t="s">
        <v>539</v>
      </c>
      <c r="V690" s="413">
        <v>15.0</v>
      </c>
      <c r="W690" s="413">
        <v>5.0</v>
      </c>
      <c r="X690" s="408">
        <v>0.7</v>
      </c>
      <c r="Y690" s="408">
        <v>0.7</v>
      </c>
      <c r="Z690" s="408">
        <v>0.7</v>
      </c>
      <c r="AA690" s="408">
        <v>1700.0</v>
      </c>
      <c r="AB690" s="408" t="s">
        <v>612</v>
      </c>
      <c r="AC690" s="408">
        <v>0.85</v>
      </c>
      <c r="AD690" s="191"/>
      <c r="AE690" s="414"/>
    </row>
    <row r="691" ht="15.0" customHeight="1">
      <c r="A691" s="409"/>
      <c r="B691" s="409"/>
      <c r="C691" s="409"/>
      <c r="D691" s="409"/>
      <c r="E691" s="409"/>
      <c r="F691" s="410"/>
      <c r="G691" s="409"/>
      <c r="H691" s="409"/>
      <c r="I691" s="409"/>
      <c r="J691" s="409"/>
      <c r="K691" s="409"/>
      <c r="L691" s="409"/>
      <c r="M691" s="409"/>
      <c r="N691" s="409"/>
      <c r="O691" s="409"/>
      <c r="P691" s="411"/>
      <c r="Q691" s="415"/>
      <c r="R691" s="415"/>
      <c r="S691" s="411"/>
      <c r="T691" s="411"/>
      <c r="U691" s="413" t="s">
        <v>539</v>
      </c>
      <c r="V691" s="413">
        <v>15.0</v>
      </c>
      <c r="W691" s="413">
        <v>5.0</v>
      </c>
      <c r="X691" s="408">
        <v>0.7</v>
      </c>
      <c r="Y691" s="408">
        <v>0.7</v>
      </c>
      <c r="Z691" s="408">
        <v>0.7</v>
      </c>
      <c r="AA691" s="408">
        <v>1700.0</v>
      </c>
      <c r="AB691" s="408" t="s">
        <v>612</v>
      </c>
      <c r="AC691" s="408">
        <v>0.85</v>
      </c>
      <c r="AD691" s="191"/>
      <c r="AE691" s="414"/>
    </row>
    <row r="692" ht="15.0" customHeight="1">
      <c r="A692" s="409"/>
      <c r="B692" s="409"/>
      <c r="C692" s="409"/>
      <c r="D692" s="409"/>
      <c r="E692" s="409"/>
      <c r="F692" s="410"/>
      <c r="G692" s="409"/>
      <c r="H692" s="409"/>
      <c r="I692" s="409"/>
      <c r="J692" s="409"/>
      <c r="K692" s="409"/>
      <c r="L692" s="409"/>
      <c r="M692" s="409"/>
      <c r="N692" s="409"/>
      <c r="O692" s="409"/>
      <c r="P692" s="411"/>
      <c r="Q692" s="415"/>
      <c r="R692" s="415"/>
      <c r="S692" s="411"/>
      <c r="T692" s="411"/>
      <c r="U692" s="413" t="s">
        <v>539</v>
      </c>
      <c r="V692" s="413">
        <v>15.0</v>
      </c>
      <c r="W692" s="413">
        <v>5.0</v>
      </c>
      <c r="X692" s="408">
        <v>0.7</v>
      </c>
      <c r="Y692" s="408">
        <v>0.7</v>
      </c>
      <c r="Z692" s="408">
        <v>0.7</v>
      </c>
      <c r="AA692" s="408">
        <v>1700.0</v>
      </c>
      <c r="AB692" s="408" t="s">
        <v>612</v>
      </c>
      <c r="AC692" s="408">
        <v>0.85</v>
      </c>
      <c r="AD692" s="191"/>
      <c r="AE692" s="414"/>
    </row>
    <row r="693" ht="15.0" customHeight="1">
      <c r="A693" s="409"/>
      <c r="B693" s="409"/>
      <c r="C693" s="409"/>
      <c r="D693" s="409"/>
      <c r="E693" s="409"/>
      <c r="F693" s="410"/>
      <c r="G693" s="409"/>
      <c r="H693" s="409"/>
      <c r="I693" s="409"/>
      <c r="J693" s="409"/>
      <c r="K693" s="409"/>
      <c r="L693" s="409"/>
      <c r="M693" s="409"/>
      <c r="N693" s="409"/>
      <c r="O693" s="409"/>
      <c r="P693" s="411"/>
      <c r="Q693" s="415"/>
      <c r="R693" s="415"/>
      <c r="S693" s="411"/>
      <c r="T693" s="411"/>
      <c r="U693" s="413" t="s">
        <v>539</v>
      </c>
      <c r="V693" s="413">
        <v>15.0</v>
      </c>
      <c r="W693" s="413">
        <v>5.0</v>
      </c>
      <c r="X693" s="408">
        <v>0.7</v>
      </c>
      <c r="Y693" s="408">
        <v>0.7</v>
      </c>
      <c r="Z693" s="408">
        <v>0.7</v>
      </c>
      <c r="AA693" s="408">
        <v>1700.0</v>
      </c>
      <c r="AB693" s="408" t="s">
        <v>612</v>
      </c>
      <c r="AC693" s="408">
        <v>0.85</v>
      </c>
      <c r="AD693" s="191"/>
      <c r="AE693" s="414"/>
    </row>
    <row r="694" ht="15.0" customHeight="1">
      <c r="A694" s="409"/>
      <c r="B694" s="409"/>
      <c r="C694" s="409"/>
      <c r="D694" s="409"/>
      <c r="E694" s="409"/>
      <c r="F694" s="410"/>
      <c r="G694" s="409"/>
      <c r="H694" s="409"/>
      <c r="I694" s="409"/>
      <c r="J694" s="409"/>
      <c r="K694" s="409"/>
      <c r="L694" s="409"/>
      <c r="M694" s="409"/>
      <c r="N694" s="409"/>
      <c r="O694" s="409"/>
      <c r="P694" s="411"/>
      <c r="Q694" s="415"/>
      <c r="R694" s="415"/>
      <c r="S694" s="411"/>
      <c r="T694" s="411"/>
      <c r="U694" s="413" t="s">
        <v>539</v>
      </c>
      <c r="V694" s="413">
        <v>15.0</v>
      </c>
      <c r="W694" s="413">
        <v>5.0</v>
      </c>
      <c r="X694" s="408">
        <v>0.7</v>
      </c>
      <c r="Y694" s="408">
        <v>0.7</v>
      </c>
      <c r="Z694" s="408">
        <v>0.7</v>
      </c>
      <c r="AA694" s="408">
        <v>1700.0</v>
      </c>
      <c r="AB694" s="408" t="s">
        <v>612</v>
      </c>
      <c r="AC694" s="408">
        <v>0.85</v>
      </c>
      <c r="AD694" s="191"/>
      <c r="AE694" s="414"/>
    </row>
    <row r="695" ht="15.0" customHeight="1">
      <c r="A695" s="409"/>
      <c r="B695" s="409"/>
      <c r="C695" s="409"/>
      <c r="D695" s="409"/>
      <c r="E695" s="409"/>
      <c r="F695" s="410"/>
      <c r="G695" s="409"/>
      <c r="H695" s="409"/>
      <c r="I695" s="409"/>
      <c r="J695" s="409"/>
      <c r="K695" s="409"/>
      <c r="L695" s="409"/>
      <c r="M695" s="409"/>
      <c r="N695" s="409"/>
      <c r="O695" s="409"/>
      <c r="P695" s="411"/>
      <c r="Q695" s="415"/>
      <c r="R695" s="415"/>
      <c r="S695" s="411"/>
      <c r="T695" s="411"/>
      <c r="U695" s="413" t="s">
        <v>539</v>
      </c>
      <c r="V695" s="413">
        <v>15.0</v>
      </c>
      <c r="W695" s="413">
        <v>5.0</v>
      </c>
      <c r="X695" s="408">
        <v>0.7</v>
      </c>
      <c r="Y695" s="408">
        <v>0.7</v>
      </c>
      <c r="Z695" s="408">
        <v>0.7</v>
      </c>
      <c r="AA695" s="408">
        <v>1700.0</v>
      </c>
      <c r="AB695" s="408" t="s">
        <v>612</v>
      </c>
      <c r="AC695" s="408">
        <v>0.85</v>
      </c>
      <c r="AD695" s="191"/>
      <c r="AE695" s="414"/>
    </row>
    <row r="696" ht="15.0" customHeight="1">
      <c r="A696" s="409"/>
      <c r="B696" s="409"/>
      <c r="C696" s="409"/>
      <c r="D696" s="409"/>
      <c r="E696" s="409"/>
      <c r="F696" s="410"/>
      <c r="G696" s="409"/>
      <c r="H696" s="409"/>
      <c r="I696" s="409"/>
      <c r="J696" s="409"/>
      <c r="K696" s="409"/>
      <c r="L696" s="409"/>
      <c r="M696" s="409"/>
      <c r="N696" s="409"/>
      <c r="O696" s="409"/>
      <c r="P696" s="411"/>
      <c r="Q696" s="412"/>
      <c r="R696" s="412"/>
      <c r="S696" s="411"/>
      <c r="T696" s="411"/>
      <c r="U696" s="413" t="s">
        <v>539</v>
      </c>
      <c r="V696" s="413">
        <v>15.0</v>
      </c>
      <c r="W696" s="413">
        <v>5.0</v>
      </c>
      <c r="X696" s="408">
        <v>0.7</v>
      </c>
      <c r="Y696" s="408">
        <v>0.7</v>
      </c>
      <c r="Z696" s="408">
        <v>0.7</v>
      </c>
      <c r="AA696" s="408">
        <v>1700.0</v>
      </c>
      <c r="AB696" s="408" t="s">
        <v>612</v>
      </c>
      <c r="AC696" s="408">
        <v>0.85</v>
      </c>
      <c r="AD696" s="191"/>
      <c r="AE696" s="414"/>
    </row>
    <row r="697" ht="15.0" customHeight="1">
      <c r="A697" s="409"/>
      <c r="B697" s="409"/>
      <c r="C697" s="409"/>
      <c r="D697" s="409"/>
      <c r="E697" s="409"/>
      <c r="F697" s="410"/>
      <c r="G697" s="409"/>
      <c r="H697" s="409"/>
      <c r="I697" s="409"/>
      <c r="J697" s="409"/>
      <c r="K697" s="409"/>
      <c r="L697" s="409"/>
      <c r="M697" s="409"/>
      <c r="N697" s="409"/>
      <c r="O697" s="409"/>
      <c r="P697" s="411"/>
      <c r="Q697" s="412"/>
      <c r="R697" s="412"/>
      <c r="S697" s="411"/>
      <c r="T697" s="411"/>
      <c r="U697" s="413" t="s">
        <v>539</v>
      </c>
      <c r="V697" s="413">
        <v>15.0</v>
      </c>
      <c r="W697" s="413">
        <v>5.0</v>
      </c>
      <c r="X697" s="408">
        <v>0.7</v>
      </c>
      <c r="Y697" s="408">
        <v>0.7</v>
      </c>
      <c r="Z697" s="408">
        <v>0.7</v>
      </c>
      <c r="AA697" s="408">
        <v>1700.0</v>
      </c>
      <c r="AB697" s="408" t="s">
        <v>612</v>
      </c>
      <c r="AC697" s="408">
        <v>0.85</v>
      </c>
      <c r="AD697" s="191"/>
      <c r="AE697" s="414"/>
    </row>
    <row r="698" ht="15.0" customHeight="1">
      <c r="A698" s="409"/>
      <c r="B698" s="409"/>
      <c r="C698" s="409"/>
      <c r="D698" s="409"/>
      <c r="E698" s="409"/>
      <c r="F698" s="410"/>
      <c r="G698" s="409"/>
      <c r="H698" s="409"/>
      <c r="I698" s="409"/>
      <c r="J698" s="409"/>
      <c r="K698" s="409"/>
      <c r="L698" s="409"/>
      <c r="M698" s="409"/>
      <c r="N698" s="409"/>
      <c r="O698" s="409"/>
      <c r="P698" s="411"/>
      <c r="Q698" s="412"/>
      <c r="R698" s="412"/>
      <c r="S698" s="411"/>
      <c r="T698" s="411"/>
      <c r="U698" s="413" t="s">
        <v>553</v>
      </c>
      <c r="V698" s="413">
        <v>15.0</v>
      </c>
      <c r="W698" s="413">
        <v>5.0</v>
      </c>
      <c r="X698" s="408">
        <v>0.7</v>
      </c>
      <c r="Y698" s="408">
        <v>0.7</v>
      </c>
      <c r="Z698" s="408">
        <v>0.7</v>
      </c>
      <c r="AA698" s="408">
        <v>1700.0</v>
      </c>
      <c r="AB698" s="408" t="s">
        <v>612</v>
      </c>
      <c r="AC698" s="408">
        <v>0.85</v>
      </c>
      <c r="AD698" s="191"/>
      <c r="AE698" s="414"/>
    </row>
    <row r="699" ht="15.0" customHeight="1">
      <c r="A699" s="409"/>
      <c r="B699" s="409"/>
      <c r="C699" s="409"/>
      <c r="D699" s="409"/>
      <c r="E699" s="409"/>
      <c r="F699" s="410"/>
      <c r="G699" s="409"/>
      <c r="H699" s="409"/>
      <c r="I699" s="409"/>
      <c r="J699" s="409"/>
      <c r="K699" s="409"/>
      <c r="L699" s="409"/>
      <c r="M699" s="409"/>
      <c r="N699" s="409"/>
      <c r="O699" s="409"/>
      <c r="P699" s="411"/>
      <c r="Q699" s="412"/>
      <c r="R699" s="412"/>
      <c r="S699" s="411"/>
      <c r="T699" s="411"/>
      <c r="U699" s="413" t="s">
        <v>539</v>
      </c>
      <c r="V699" s="413">
        <v>15.0</v>
      </c>
      <c r="W699" s="413">
        <v>5.0</v>
      </c>
      <c r="X699" s="408">
        <v>0.7</v>
      </c>
      <c r="Y699" s="408">
        <v>0.7</v>
      </c>
      <c r="Z699" s="408">
        <v>0.7</v>
      </c>
      <c r="AA699" s="408">
        <v>1700.0</v>
      </c>
      <c r="AB699" s="408" t="s">
        <v>612</v>
      </c>
      <c r="AC699" s="408">
        <v>0.85</v>
      </c>
      <c r="AD699" s="191"/>
      <c r="AE699" s="414"/>
    </row>
    <row r="700" ht="15.0" customHeight="1">
      <c r="A700" s="409"/>
      <c r="B700" s="409"/>
      <c r="C700" s="409"/>
      <c r="D700" s="409"/>
      <c r="E700" s="409"/>
      <c r="F700" s="410"/>
      <c r="G700" s="409"/>
      <c r="H700" s="409"/>
      <c r="I700" s="409"/>
      <c r="J700" s="409"/>
      <c r="K700" s="409"/>
      <c r="L700" s="409"/>
      <c r="M700" s="409"/>
      <c r="N700" s="409"/>
      <c r="O700" s="409"/>
      <c r="P700" s="411"/>
      <c r="Q700" s="412"/>
      <c r="R700" s="412"/>
      <c r="S700" s="411"/>
      <c r="T700" s="411"/>
      <c r="U700" s="413" t="s">
        <v>539</v>
      </c>
      <c r="V700" s="413">
        <v>15.0</v>
      </c>
      <c r="W700" s="413">
        <v>5.0</v>
      </c>
      <c r="X700" s="408">
        <v>0.7</v>
      </c>
      <c r="Y700" s="408">
        <v>0.7</v>
      </c>
      <c r="Z700" s="408">
        <v>0.7</v>
      </c>
      <c r="AA700" s="408">
        <v>1700.0</v>
      </c>
      <c r="AB700" s="408" t="s">
        <v>612</v>
      </c>
      <c r="AC700" s="408">
        <v>0.85</v>
      </c>
      <c r="AD700" s="191"/>
      <c r="AE700" s="414"/>
    </row>
    <row r="701" ht="15.0" customHeight="1">
      <c r="A701" s="409"/>
      <c r="B701" s="409"/>
      <c r="C701" s="409"/>
      <c r="D701" s="409"/>
      <c r="E701" s="409"/>
      <c r="F701" s="410"/>
      <c r="G701" s="409"/>
      <c r="H701" s="409"/>
      <c r="I701" s="409"/>
      <c r="J701" s="409"/>
      <c r="K701" s="409"/>
      <c r="L701" s="409"/>
      <c r="M701" s="409"/>
      <c r="N701" s="409"/>
      <c r="O701" s="409"/>
      <c r="P701" s="411"/>
      <c r="Q701" s="412"/>
      <c r="R701" s="412"/>
      <c r="S701" s="411"/>
      <c r="T701" s="411"/>
      <c r="U701" s="413" t="s">
        <v>539</v>
      </c>
      <c r="V701" s="413">
        <v>15.0</v>
      </c>
      <c r="W701" s="413">
        <v>5.0</v>
      </c>
      <c r="X701" s="408">
        <v>0.7</v>
      </c>
      <c r="Y701" s="408">
        <v>0.7</v>
      </c>
      <c r="Z701" s="408">
        <v>0.7</v>
      </c>
      <c r="AA701" s="408">
        <v>1700.0</v>
      </c>
      <c r="AB701" s="408" t="s">
        <v>612</v>
      </c>
      <c r="AC701" s="408">
        <v>0.85</v>
      </c>
      <c r="AD701" s="191"/>
      <c r="AE701" s="414"/>
    </row>
    <row r="702" ht="15.0" customHeight="1">
      <c r="A702" s="409"/>
      <c r="B702" s="409"/>
      <c r="C702" s="409"/>
      <c r="D702" s="409"/>
      <c r="E702" s="409"/>
      <c r="F702" s="410"/>
      <c r="G702" s="409"/>
      <c r="H702" s="409"/>
      <c r="I702" s="409"/>
      <c r="J702" s="409"/>
      <c r="K702" s="409"/>
      <c r="L702" s="409"/>
      <c r="M702" s="409"/>
      <c r="N702" s="409"/>
      <c r="O702" s="409"/>
      <c r="P702" s="411"/>
      <c r="Q702" s="412"/>
      <c r="R702" s="412"/>
      <c r="S702" s="411"/>
      <c r="T702" s="411"/>
      <c r="U702" s="413" t="s">
        <v>539</v>
      </c>
      <c r="V702" s="413">
        <v>15.0</v>
      </c>
      <c r="W702" s="413">
        <v>5.0</v>
      </c>
      <c r="X702" s="408">
        <v>0.7</v>
      </c>
      <c r="Y702" s="408">
        <v>0.7</v>
      </c>
      <c r="Z702" s="408">
        <v>0.7</v>
      </c>
      <c r="AA702" s="408">
        <v>1700.0</v>
      </c>
      <c r="AB702" s="408" t="s">
        <v>612</v>
      </c>
      <c r="AC702" s="408">
        <v>0.85</v>
      </c>
      <c r="AD702" s="191"/>
      <c r="AE702" s="414"/>
    </row>
    <row r="703" ht="15.0" customHeight="1">
      <c r="A703" s="409"/>
      <c r="B703" s="409"/>
      <c r="C703" s="409"/>
      <c r="D703" s="409"/>
      <c r="E703" s="409"/>
      <c r="F703" s="410"/>
      <c r="G703" s="409"/>
      <c r="H703" s="409"/>
      <c r="I703" s="409"/>
      <c r="J703" s="409"/>
      <c r="K703" s="409"/>
      <c r="L703" s="409"/>
      <c r="M703" s="409"/>
      <c r="N703" s="409"/>
      <c r="O703" s="409"/>
      <c r="P703" s="411"/>
      <c r="Q703" s="412"/>
      <c r="R703" s="412"/>
      <c r="S703" s="411"/>
      <c r="T703" s="411"/>
      <c r="U703" s="413" t="s">
        <v>539</v>
      </c>
      <c r="V703" s="413">
        <v>15.0</v>
      </c>
      <c r="W703" s="413">
        <v>5.0</v>
      </c>
      <c r="X703" s="408">
        <v>0.7</v>
      </c>
      <c r="Y703" s="408">
        <v>0.7</v>
      </c>
      <c r="Z703" s="408">
        <v>0.7</v>
      </c>
      <c r="AA703" s="408">
        <v>1700.0</v>
      </c>
      <c r="AB703" s="408" t="s">
        <v>612</v>
      </c>
      <c r="AC703" s="408">
        <v>0.85</v>
      </c>
      <c r="AD703" s="191"/>
      <c r="AE703" s="414"/>
    </row>
    <row r="704" ht="15.0" customHeight="1">
      <c r="A704" s="409"/>
      <c r="B704" s="409"/>
      <c r="C704" s="409"/>
      <c r="D704" s="409"/>
      <c r="E704" s="409"/>
      <c r="F704" s="410"/>
      <c r="G704" s="409"/>
      <c r="H704" s="409"/>
      <c r="I704" s="409"/>
      <c r="J704" s="409"/>
      <c r="K704" s="409"/>
      <c r="L704" s="409"/>
      <c r="M704" s="409"/>
      <c r="N704" s="409"/>
      <c r="O704" s="409"/>
      <c r="P704" s="411"/>
      <c r="Q704" s="412"/>
      <c r="R704" s="412"/>
      <c r="S704" s="411"/>
      <c r="T704" s="411"/>
      <c r="U704" s="413" t="s">
        <v>539</v>
      </c>
      <c r="V704" s="413">
        <v>15.0</v>
      </c>
      <c r="W704" s="413">
        <v>5.0</v>
      </c>
      <c r="X704" s="408">
        <v>0.7</v>
      </c>
      <c r="Y704" s="408">
        <v>0.7</v>
      </c>
      <c r="Z704" s="408">
        <v>0.7</v>
      </c>
      <c r="AA704" s="408">
        <v>1700.0</v>
      </c>
      <c r="AB704" s="408" t="s">
        <v>612</v>
      </c>
      <c r="AC704" s="408">
        <v>0.85</v>
      </c>
      <c r="AD704" s="191"/>
      <c r="AE704" s="414"/>
    </row>
    <row r="705" ht="15.0" customHeight="1">
      <c r="A705" s="409"/>
      <c r="B705" s="409"/>
      <c r="C705" s="409"/>
      <c r="D705" s="409"/>
      <c r="E705" s="409"/>
      <c r="F705" s="410"/>
      <c r="G705" s="409"/>
      <c r="H705" s="409"/>
      <c r="I705" s="409"/>
      <c r="J705" s="409"/>
      <c r="K705" s="409"/>
      <c r="L705" s="409"/>
      <c r="M705" s="409"/>
      <c r="N705" s="409"/>
      <c r="O705" s="409"/>
      <c r="P705" s="411"/>
      <c r="Q705" s="412"/>
      <c r="R705" s="412"/>
      <c r="S705" s="411"/>
      <c r="T705" s="411"/>
      <c r="U705" s="413" t="s">
        <v>539</v>
      </c>
      <c r="V705" s="413">
        <v>15.0</v>
      </c>
      <c r="W705" s="413">
        <v>5.0</v>
      </c>
      <c r="X705" s="408">
        <v>0.7</v>
      </c>
      <c r="Y705" s="408">
        <v>0.7</v>
      </c>
      <c r="Z705" s="408">
        <v>0.7</v>
      </c>
      <c r="AA705" s="408">
        <v>1700.0</v>
      </c>
      <c r="AB705" s="408" t="s">
        <v>612</v>
      </c>
      <c r="AC705" s="408">
        <v>0.85</v>
      </c>
      <c r="AD705" s="191"/>
      <c r="AE705" s="414"/>
    </row>
    <row r="706" ht="15.0" customHeight="1">
      <c r="A706" s="409"/>
      <c r="B706" s="409"/>
      <c r="C706" s="409"/>
      <c r="D706" s="409"/>
      <c r="E706" s="409"/>
      <c r="F706" s="410"/>
      <c r="G706" s="409"/>
      <c r="H706" s="409"/>
      <c r="I706" s="409"/>
      <c r="J706" s="409"/>
      <c r="K706" s="409"/>
      <c r="L706" s="409"/>
      <c r="M706" s="409"/>
      <c r="N706" s="409"/>
      <c r="O706" s="409"/>
      <c r="P706" s="411"/>
      <c r="Q706" s="412"/>
      <c r="R706" s="412"/>
      <c r="S706" s="411"/>
      <c r="T706" s="411"/>
      <c r="U706" s="413" t="s">
        <v>539</v>
      </c>
      <c r="V706" s="413">
        <v>15.0</v>
      </c>
      <c r="W706" s="413">
        <v>5.0</v>
      </c>
      <c r="X706" s="408">
        <v>0.7</v>
      </c>
      <c r="Y706" s="408">
        <v>0.7</v>
      </c>
      <c r="Z706" s="408">
        <v>0.7</v>
      </c>
      <c r="AA706" s="408">
        <v>1700.0</v>
      </c>
      <c r="AB706" s="408" t="s">
        <v>612</v>
      </c>
      <c r="AC706" s="408">
        <v>0.85</v>
      </c>
      <c r="AD706" s="191"/>
      <c r="AE706" s="414"/>
    </row>
    <row r="707" ht="15.0" customHeight="1">
      <c r="A707" s="409"/>
      <c r="B707" s="409"/>
      <c r="C707" s="409"/>
      <c r="D707" s="409"/>
      <c r="E707" s="409"/>
      <c r="F707" s="410"/>
      <c r="G707" s="409"/>
      <c r="H707" s="409"/>
      <c r="I707" s="409"/>
      <c r="J707" s="409"/>
      <c r="K707" s="409"/>
      <c r="L707" s="409"/>
      <c r="M707" s="409"/>
      <c r="N707" s="409"/>
      <c r="O707" s="409"/>
      <c r="P707" s="411"/>
      <c r="Q707" s="412"/>
      <c r="R707" s="412"/>
      <c r="S707" s="411"/>
      <c r="T707" s="411"/>
      <c r="U707" s="413" t="s">
        <v>553</v>
      </c>
      <c r="V707" s="413">
        <v>15.0</v>
      </c>
      <c r="W707" s="413">
        <v>5.0</v>
      </c>
      <c r="X707" s="408">
        <v>0.7</v>
      </c>
      <c r="Y707" s="408">
        <v>0.7</v>
      </c>
      <c r="Z707" s="408">
        <v>0.7</v>
      </c>
      <c r="AA707" s="408">
        <v>1700.0</v>
      </c>
      <c r="AB707" s="408" t="s">
        <v>612</v>
      </c>
      <c r="AC707" s="408">
        <v>0.85</v>
      </c>
      <c r="AD707" s="191"/>
      <c r="AE707" s="414"/>
    </row>
    <row r="708" ht="15.0" customHeight="1">
      <c r="A708" s="409"/>
      <c r="B708" s="409"/>
      <c r="C708" s="409"/>
      <c r="D708" s="409"/>
      <c r="E708" s="409"/>
      <c r="F708" s="410"/>
      <c r="G708" s="409"/>
      <c r="H708" s="409"/>
      <c r="I708" s="409"/>
      <c r="J708" s="409"/>
      <c r="K708" s="409"/>
      <c r="L708" s="409"/>
      <c r="M708" s="409"/>
      <c r="N708" s="409"/>
      <c r="O708" s="409"/>
      <c r="P708" s="411"/>
      <c r="Q708" s="412"/>
      <c r="R708" s="412"/>
      <c r="S708" s="411"/>
      <c r="T708" s="411"/>
      <c r="U708" s="413" t="s">
        <v>539</v>
      </c>
      <c r="V708" s="413">
        <v>15.0</v>
      </c>
      <c r="W708" s="413">
        <v>5.0</v>
      </c>
      <c r="X708" s="408">
        <v>0.7</v>
      </c>
      <c r="Y708" s="408">
        <v>0.7</v>
      </c>
      <c r="Z708" s="408">
        <v>0.7</v>
      </c>
      <c r="AA708" s="408">
        <v>1700.0</v>
      </c>
      <c r="AB708" s="408" t="s">
        <v>612</v>
      </c>
      <c r="AC708" s="408">
        <v>0.85</v>
      </c>
      <c r="AD708" s="191"/>
      <c r="AE708" s="414"/>
    </row>
    <row r="709" ht="15.0" customHeight="1">
      <c r="A709" s="409"/>
      <c r="B709" s="409"/>
      <c r="C709" s="409"/>
      <c r="D709" s="409"/>
      <c r="E709" s="409"/>
      <c r="F709" s="410"/>
      <c r="G709" s="409"/>
      <c r="H709" s="409"/>
      <c r="I709" s="409"/>
      <c r="J709" s="409"/>
      <c r="K709" s="409"/>
      <c r="L709" s="409"/>
      <c r="M709" s="409"/>
      <c r="N709" s="409"/>
      <c r="O709" s="409"/>
      <c r="P709" s="411"/>
      <c r="Q709" s="412"/>
      <c r="R709" s="412"/>
      <c r="S709" s="411"/>
      <c r="T709" s="411"/>
      <c r="U709" s="413" t="s">
        <v>539</v>
      </c>
      <c r="V709" s="413">
        <v>15.0</v>
      </c>
      <c r="W709" s="413">
        <v>5.0</v>
      </c>
      <c r="X709" s="408">
        <v>0.7</v>
      </c>
      <c r="Y709" s="408">
        <v>0.7</v>
      </c>
      <c r="Z709" s="408">
        <v>0.7</v>
      </c>
      <c r="AA709" s="408">
        <v>1700.0</v>
      </c>
      <c r="AB709" s="408" t="s">
        <v>612</v>
      </c>
      <c r="AC709" s="408">
        <v>0.85</v>
      </c>
      <c r="AD709" s="191"/>
      <c r="AE709" s="414"/>
    </row>
    <row r="710" ht="15.0" customHeight="1">
      <c r="A710" s="409"/>
      <c r="B710" s="409"/>
      <c r="C710" s="409"/>
      <c r="D710" s="409"/>
      <c r="E710" s="409"/>
      <c r="F710" s="410"/>
      <c r="G710" s="409"/>
      <c r="H710" s="409"/>
      <c r="I710" s="409"/>
      <c r="J710" s="409"/>
      <c r="K710" s="409"/>
      <c r="L710" s="409"/>
      <c r="M710" s="409"/>
      <c r="N710" s="409"/>
      <c r="O710" s="409"/>
      <c r="P710" s="411"/>
      <c r="Q710" s="412"/>
      <c r="R710" s="412"/>
      <c r="S710" s="411"/>
      <c r="T710" s="411"/>
      <c r="U710" s="413" t="s">
        <v>553</v>
      </c>
      <c r="V710" s="413">
        <v>15.0</v>
      </c>
      <c r="W710" s="413">
        <v>5.0</v>
      </c>
      <c r="X710" s="408">
        <v>0.7</v>
      </c>
      <c r="Y710" s="408">
        <v>0.7</v>
      </c>
      <c r="Z710" s="408">
        <v>0.7</v>
      </c>
      <c r="AA710" s="408">
        <v>1700.0</v>
      </c>
      <c r="AB710" s="408" t="s">
        <v>612</v>
      </c>
      <c r="AC710" s="408">
        <v>0.85</v>
      </c>
      <c r="AD710" s="191"/>
      <c r="AE710" s="414"/>
    </row>
    <row r="711" ht="15.0" customHeight="1">
      <c r="A711" s="409"/>
      <c r="B711" s="409"/>
      <c r="C711" s="409"/>
      <c r="D711" s="409"/>
      <c r="E711" s="409"/>
      <c r="F711" s="410"/>
      <c r="G711" s="409"/>
      <c r="H711" s="409"/>
      <c r="I711" s="409"/>
      <c r="J711" s="409"/>
      <c r="K711" s="409"/>
      <c r="L711" s="409"/>
      <c r="M711" s="409"/>
      <c r="N711" s="409"/>
      <c r="O711" s="409"/>
      <c r="P711" s="411"/>
      <c r="Q711" s="412"/>
      <c r="R711" s="412"/>
      <c r="S711" s="411"/>
      <c r="T711" s="411"/>
      <c r="U711" s="413" t="s">
        <v>539</v>
      </c>
      <c r="V711" s="413">
        <v>15.0</v>
      </c>
      <c r="W711" s="413">
        <v>5.0</v>
      </c>
      <c r="X711" s="408">
        <v>0.7</v>
      </c>
      <c r="Y711" s="408">
        <v>0.7</v>
      </c>
      <c r="Z711" s="408">
        <v>0.7</v>
      </c>
      <c r="AA711" s="408">
        <v>1700.0</v>
      </c>
      <c r="AB711" s="408" t="s">
        <v>612</v>
      </c>
      <c r="AC711" s="408">
        <v>0.85</v>
      </c>
      <c r="AD711" s="191"/>
      <c r="AE711" s="414"/>
    </row>
    <row r="712" ht="15.0" customHeight="1">
      <c r="A712" s="409"/>
      <c r="B712" s="409"/>
      <c r="C712" s="409"/>
      <c r="D712" s="409"/>
      <c r="E712" s="409"/>
      <c r="F712" s="410"/>
      <c r="G712" s="409"/>
      <c r="H712" s="409"/>
      <c r="I712" s="409"/>
      <c r="J712" s="409"/>
      <c r="K712" s="409"/>
      <c r="L712" s="409"/>
      <c r="M712" s="409"/>
      <c r="N712" s="409"/>
      <c r="O712" s="409"/>
      <c r="P712" s="411"/>
      <c r="Q712" s="412"/>
      <c r="R712" s="412"/>
      <c r="S712" s="411"/>
      <c r="T712" s="411"/>
      <c r="U712" s="413" t="s">
        <v>539</v>
      </c>
      <c r="V712" s="413">
        <v>15.0</v>
      </c>
      <c r="W712" s="413">
        <v>5.0</v>
      </c>
      <c r="X712" s="408">
        <v>0.7</v>
      </c>
      <c r="Y712" s="408">
        <v>0.7</v>
      </c>
      <c r="Z712" s="408">
        <v>0.7</v>
      </c>
      <c r="AA712" s="408">
        <v>1700.0</v>
      </c>
      <c r="AB712" s="408" t="s">
        <v>612</v>
      </c>
      <c r="AC712" s="408">
        <v>0.85</v>
      </c>
      <c r="AD712" s="191"/>
      <c r="AE712" s="414"/>
    </row>
    <row r="713" ht="15.0" customHeight="1">
      <c r="A713" s="409"/>
      <c r="B713" s="409"/>
      <c r="C713" s="409"/>
      <c r="D713" s="409"/>
      <c r="E713" s="409"/>
      <c r="F713" s="410"/>
      <c r="G713" s="409"/>
      <c r="H713" s="409"/>
      <c r="I713" s="409"/>
      <c r="J713" s="409"/>
      <c r="K713" s="409"/>
      <c r="L713" s="409"/>
      <c r="M713" s="409"/>
      <c r="N713" s="409"/>
      <c r="O713" s="409"/>
      <c r="P713" s="411"/>
      <c r="Q713" s="412"/>
      <c r="R713" s="412"/>
      <c r="S713" s="411"/>
      <c r="T713" s="411"/>
      <c r="U713" s="413" t="s">
        <v>539</v>
      </c>
      <c r="V713" s="413">
        <v>15.0</v>
      </c>
      <c r="W713" s="413">
        <v>5.0</v>
      </c>
      <c r="X713" s="408">
        <v>0.7</v>
      </c>
      <c r="Y713" s="408">
        <v>0.7</v>
      </c>
      <c r="Z713" s="408">
        <v>0.7</v>
      </c>
      <c r="AA713" s="408">
        <v>1700.0</v>
      </c>
      <c r="AB713" s="408" t="s">
        <v>612</v>
      </c>
      <c r="AC713" s="408">
        <v>0.85</v>
      </c>
      <c r="AD713" s="191"/>
      <c r="AE713" s="414"/>
    </row>
    <row r="714" ht="15.0" customHeight="1">
      <c r="A714" s="409"/>
      <c r="B714" s="409"/>
      <c r="C714" s="409"/>
      <c r="D714" s="409"/>
      <c r="E714" s="409"/>
      <c r="F714" s="410"/>
      <c r="G714" s="409"/>
      <c r="H714" s="409"/>
      <c r="I714" s="409"/>
      <c r="J714" s="409"/>
      <c r="K714" s="409"/>
      <c r="L714" s="409"/>
      <c r="M714" s="409"/>
      <c r="N714" s="409"/>
      <c r="O714" s="409"/>
      <c r="P714" s="411"/>
      <c r="Q714" s="412"/>
      <c r="R714" s="412"/>
      <c r="S714" s="411"/>
      <c r="T714" s="411"/>
      <c r="U714" s="413" t="s">
        <v>553</v>
      </c>
      <c r="V714" s="413">
        <v>15.0</v>
      </c>
      <c r="W714" s="413">
        <v>5.0</v>
      </c>
      <c r="X714" s="408">
        <v>0.7</v>
      </c>
      <c r="Y714" s="408">
        <v>0.7</v>
      </c>
      <c r="Z714" s="408">
        <v>0.7</v>
      </c>
      <c r="AA714" s="408">
        <v>1700.0</v>
      </c>
      <c r="AB714" s="408" t="s">
        <v>612</v>
      </c>
      <c r="AC714" s="408">
        <v>0.85</v>
      </c>
      <c r="AD714" s="191"/>
      <c r="AE714" s="414"/>
    </row>
    <row r="715" ht="15.0" customHeight="1">
      <c r="A715" s="409"/>
      <c r="B715" s="409"/>
      <c r="C715" s="409"/>
      <c r="D715" s="409"/>
      <c r="E715" s="409"/>
      <c r="F715" s="410"/>
      <c r="G715" s="409"/>
      <c r="H715" s="409"/>
      <c r="I715" s="409"/>
      <c r="J715" s="409"/>
      <c r="K715" s="409"/>
      <c r="L715" s="409"/>
      <c r="M715" s="409"/>
      <c r="N715" s="409"/>
      <c r="O715" s="409"/>
      <c r="P715" s="411"/>
      <c r="Q715" s="412"/>
      <c r="R715" s="412"/>
      <c r="S715" s="411"/>
      <c r="T715" s="411"/>
      <c r="U715" s="413" t="s">
        <v>539</v>
      </c>
      <c r="V715" s="413">
        <v>15.0</v>
      </c>
      <c r="W715" s="413">
        <v>5.0</v>
      </c>
      <c r="X715" s="408">
        <v>0.7</v>
      </c>
      <c r="Y715" s="408">
        <v>0.7</v>
      </c>
      <c r="Z715" s="408">
        <v>0.7</v>
      </c>
      <c r="AA715" s="408">
        <v>1700.0</v>
      </c>
      <c r="AB715" s="408" t="s">
        <v>612</v>
      </c>
      <c r="AC715" s="408">
        <v>0.85</v>
      </c>
      <c r="AD715" s="191"/>
      <c r="AE715" s="414"/>
    </row>
    <row r="716" ht="15.0" customHeight="1">
      <c r="A716" s="409"/>
      <c r="B716" s="409"/>
      <c r="C716" s="409"/>
      <c r="D716" s="409"/>
      <c r="E716" s="409"/>
      <c r="F716" s="410"/>
      <c r="G716" s="409"/>
      <c r="H716" s="409"/>
      <c r="I716" s="409"/>
      <c r="J716" s="409"/>
      <c r="K716" s="409"/>
      <c r="L716" s="409"/>
      <c r="M716" s="409"/>
      <c r="N716" s="409"/>
      <c r="O716" s="409"/>
      <c r="P716" s="411"/>
      <c r="Q716" s="412"/>
      <c r="R716" s="412"/>
      <c r="S716" s="411"/>
      <c r="T716" s="411"/>
      <c r="U716" s="413" t="s">
        <v>553</v>
      </c>
      <c r="V716" s="413">
        <v>15.0</v>
      </c>
      <c r="W716" s="413">
        <v>5.0</v>
      </c>
      <c r="X716" s="408">
        <v>0.7</v>
      </c>
      <c r="Y716" s="408">
        <v>0.7</v>
      </c>
      <c r="Z716" s="408">
        <v>0.7</v>
      </c>
      <c r="AA716" s="408">
        <v>1700.0</v>
      </c>
      <c r="AB716" s="408" t="s">
        <v>612</v>
      </c>
      <c r="AC716" s="408">
        <v>0.85</v>
      </c>
      <c r="AD716" s="191"/>
      <c r="AE716" s="414"/>
    </row>
    <row r="717" ht="15.0" customHeight="1">
      <c r="A717" s="409"/>
      <c r="B717" s="409"/>
      <c r="C717" s="409"/>
      <c r="D717" s="409"/>
      <c r="E717" s="409"/>
      <c r="F717" s="410"/>
      <c r="G717" s="409"/>
      <c r="H717" s="409"/>
      <c r="I717" s="409"/>
      <c r="J717" s="409"/>
      <c r="K717" s="409"/>
      <c r="L717" s="409"/>
      <c r="M717" s="409"/>
      <c r="N717" s="409"/>
      <c r="O717" s="409"/>
      <c r="P717" s="411"/>
      <c r="Q717" s="412"/>
      <c r="R717" s="412"/>
      <c r="S717" s="411"/>
      <c r="T717" s="411"/>
      <c r="U717" s="413" t="s">
        <v>539</v>
      </c>
      <c r="V717" s="413">
        <v>15.0</v>
      </c>
      <c r="W717" s="413">
        <v>5.0</v>
      </c>
      <c r="X717" s="408">
        <v>0.7</v>
      </c>
      <c r="Y717" s="408">
        <v>0.7</v>
      </c>
      <c r="Z717" s="408">
        <v>0.7</v>
      </c>
      <c r="AA717" s="408">
        <v>1700.0</v>
      </c>
      <c r="AB717" s="408" t="s">
        <v>612</v>
      </c>
      <c r="AC717" s="408">
        <v>0.85</v>
      </c>
      <c r="AD717" s="191"/>
      <c r="AE717" s="414"/>
    </row>
    <row r="718" ht="15.0" customHeight="1">
      <c r="A718" s="409"/>
      <c r="B718" s="409"/>
      <c r="C718" s="409"/>
      <c r="D718" s="409"/>
      <c r="E718" s="409"/>
      <c r="F718" s="410"/>
      <c r="G718" s="409"/>
      <c r="H718" s="409"/>
      <c r="I718" s="409"/>
      <c r="J718" s="409"/>
      <c r="K718" s="409"/>
      <c r="L718" s="409"/>
      <c r="M718" s="409"/>
      <c r="N718" s="409"/>
      <c r="O718" s="409"/>
      <c r="P718" s="411"/>
      <c r="Q718" s="412"/>
      <c r="R718" s="412"/>
      <c r="S718" s="411"/>
      <c r="T718" s="411"/>
      <c r="U718" s="413" t="s">
        <v>539</v>
      </c>
      <c r="V718" s="413">
        <v>15.0</v>
      </c>
      <c r="W718" s="413">
        <v>5.0</v>
      </c>
      <c r="X718" s="408">
        <v>0.7</v>
      </c>
      <c r="Y718" s="408">
        <v>0.7</v>
      </c>
      <c r="Z718" s="408">
        <v>0.7</v>
      </c>
      <c r="AA718" s="408">
        <v>1700.0</v>
      </c>
      <c r="AB718" s="408" t="s">
        <v>612</v>
      </c>
      <c r="AC718" s="408">
        <v>0.85</v>
      </c>
      <c r="AD718" s="191"/>
      <c r="AE718" s="414"/>
    </row>
    <row r="719" ht="15.0" customHeight="1">
      <c r="A719" s="409"/>
      <c r="B719" s="409"/>
      <c r="C719" s="409"/>
      <c r="D719" s="409"/>
      <c r="E719" s="409"/>
      <c r="F719" s="410"/>
      <c r="G719" s="409"/>
      <c r="H719" s="409"/>
      <c r="I719" s="409"/>
      <c r="J719" s="409"/>
      <c r="K719" s="409"/>
      <c r="L719" s="409"/>
      <c r="M719" s="409"/>
      <c r="N719" s="409"/>
      <c r="O719" s="409"/>
      <c r="P719" s="411"/>
      <c r="Q719" s="412"/>
      <c r="R719" s="412"/>
      <c r="S719" s="411"/>
      <c r="T719" s="411"/>
      <c r="U719" s="413" t="s">
        <v>539</v>
      </c>
      <c r="V719" s="413">
        <v>15.0</v>
      </c>
      <c r="W719" s="413">
        <v>5.0</v>
      </c>
      <c r="X719" s="408">
        <v>0.7</v>
      </c>
      <c r="Y719" s="408">
        <v>0.7</v>
      </c>
      <c r="Z719" s="408">
        <v>0.7</v>
      </c>
      <c r="AA719" s="408">
        <v>1700.0</v>
      </c>
      <c r="AB719" s="408" t="s">
        <v>612</v>
      </c>
      <c r="AC719" s="408">
        <v>0.85</v>
      </c>
      <c r="AD719" s="191"/>
      <c r="AE719" s="414"/>
    </row>
    <row r="720" ht="15.0" customHeight="1">
      <c r="A720" s="409"/>
      <c r="B720" s="409"/>
      <c r="C720" s="409"/>
      <c r="D720" s="409"/>
      <c r="E720" s="409"/>
      <c r="F720" s="410"/>
      <c r="G720" s="409"/>
      <c r="H720" s="409"/>
      <c r="I720" s="409"/>
      <c r="J720" s="409"/>
      <c r="K720" s="409"/>
      <c r="L720" s="409"/>
      <c r="M720" s="409"/>
      <c r="N720" s="409"/>
      <c r="O720" s="409"/>
      <c r="P720" s="411"/>
      <c r="Q720" s="412"/>
      <c r="R720" s="412"/>
      <c r="S720" s="411"/>
      <c r="T720" s="411"/>
      <c r="U720" s="413" t="s">
        <v>539</v>
      </c>
      <c r="V720" s="413">
        <v>15.0</v>
      </c>
      <c r="W720" s="413">
        <v>5.0</v>
      </c>
      <c r="X720" s="408">
        <v>0.7</v>
      </c>
      <c r="Y720" s="408">
        <v>0.7</v>
      </c>
      <c r="Z720" s="408">
        <v>0.7</v>
      </c>
      <c r="AA720" s="408">
        <v>1700.0</v>
      </c>
      <c r="AB720" s="408" t="s">
        <v>612</v>
      </c>
      <c r="AC720" s="408">
        <v>0.85</v>
      </c>
      <c r="AD720" s="191"/>
      <c r="AE720" s="414"/>
    </row>
    <row r="721" ht="15.0" customHeight="1">
      <c r="A721" s="409"/>
      <c r="B721" s="409"/>
      <c r="C721" s="409"/>
      <c r="D721" s="409"/>
      <c r="E721" s="409"/>
      <c r="F721" s="410"/>
      <c r="G721" s="409"/>
      <c r="H721" s="409"/>
      <c r="I721" s="409"/>
      <c r="J721" s="409"/>
      <c r="K721" s="409"/>
      <c r="L721" s="409"/>
      <c r="M721" s="409"/>
      <c r="N721" s="409"/>
      <c r="O721" s="409"/>
      <c r="P721" s="411"/>
      <c r="Q721" s="412"/>
      <c r="R721" s="412"/>
      <c r="S721" s="411"/>
      <c r="T721" s="411"/>
      <c r="U721" s="413" t="s">
        <v>539</v>
      </c>
      <c r="V721" s="413">
        <v>15.0</v>
      </c>
      <c r="W721" s="413">
        <v>5.0</v>
      </c>
      <c r="X721" s="408">
        <v>0.7</v>
      </c>
      <c r="Y721" s="408">
        <v>0.7</v>
      </c>
      <c r="Z721" s="408">
        <v>0.7</v>
      </c>
      <c r="AA721" s="408">
        <v>1700.0</v>
      </c>
      <c r="AB721" s="408" t="s">
        <v>612</v>
      </c>
      <c r="AC721" s="408">
        <v>0.85</v>
      </c>
      <c r="AD721" s="191"/>
      <c r="AE721" s="414"/>
    </row>
    <row r="722" ht="15.0" customHeight="1">
      <c r="A722" s="409"/>
      <c r="B722" s="409"/>
      <c r="C722" s="409"/>
      <c r="D722" s="409"/>
      <c r="E722" s="409"/>
      <c r="F722" s="410"/>
      <c r="G722" s="409"/>
      <c r="H722" s="409"/>
      <c r="I722" s="409"/>
      <c r="J722" s="409"/>
      <c r="K722" s="409"/>
      <c r="L722" s="409"/>
      <c r="M722" s="409"/>
      <c r="N722" s="409"/>
      <c r="O722" s="409"/>
      <c r="P722" s="411"/>
      <c r="Q722" s="412"/>
      <c r="R722" s="412"/>
      <c r="S722" s="411"/>
      <c r="T722" s="411"/>
      <c r="U722" s="413" t="s">
        <v>539</v>
      </c>
      <c r="V722" s="413">
        <v>15.0</v>
      </c>
      <c r="W722" s="413">
        <v>5.0</v>
      </c>
      <c r="X722" s="408">
        <v>0.7</v>
      </c>
      <c r="Y722" s="408">
        <v>0.7</v>
      </c>
      <c r="Z722" s="408">
        <v>0.7</v>
      </c>
      <c r="AA722" s="408">
        <v>1700.0</v>
      </c>
      <c r="AB722" s="408" t="s">
        <v>612</v>
      </c>
      <c r="AC722" s="408">
        <v>0.85</v>
      </c>
      <c r="AD722" s="191"/>
      <c r="AE722" s="414"/>
    </row>
    <row r="723" ht="15.0" customHeight="1">
      <c r="A723" s="409"/>
      <c r="B723" s="409"/>
      <c r="C723" s="409"/>
      <c r="D723" s="409"/>
      <c r="E723" s="409"/>
      <c r="F723" s="410"/>
      <c r="G723" s="409"/>
      <c r="H723" s="409"/>
      <c r="I723" s="409"/>
      <c r="J723" s="409"/>
      <c r="K723" s="409"/>
      <c r="L723" s="409"/>
      <c r="M723" s="409"/>
      <c r="N723" s="409"/>
      <c r="O723" s="409"/>
      <c r="P723" s="411"/>
      <c r="Q723" s="412"/>
      <c r="R723" s="412"/>
      <c r="S723" s="411"/>
      <c r="T723" s="411"/>
      <c r="U723" s="413" t="s">
        <v>539</v>
      </c>
      <c r="V723" s="413">
        <v>15.0</v>
      </c>
      <c r="W723" s="413">
        <v>5.0</v>
      </c>
      <c r="X723" s="408">
        <v>0.7</v>
      </c>
      <c r="Y723" s="408">
        <v>0.7</v>
      </c>
      <c r="Z723" s="408">
        <v>0.7</v>
      </c>
      <c r="AA723" s="408">
        <v>1700.0</v>
      </c>
      <c r="AB723" s="408" t="s">
        <v>612</v>
      </c>
      <c r="AC723" s="408">
        <v>0.85</v>
      </c>
      <c r="AD723" s="191"/>
      <c r="AE723" s="414"/>
    </row>
    <row r="724" ht="15.0" customHeight="1">
      <c r="A724" s="409"/>
      <c r="B724" s="409"/>
      <c r="C724" s="409"/>
      <c r="D724" s="409"/>
      <c r="E724" s="409"/>
      <c r="F724" s="410"/>
      <c r="G724" s="409"/>
      <c r="H724" s="409"/>
      <c r="I724" s="409"/>
      <c r="J724" s="409"/>
      <c r="K724" s="409"/>
      <c r="L724" s="409"/>
      <c r="M724" s="409"/>
      <c r="N724" s="409"/>
      <c r="O724" s="409"/>
      <c r="P724" s="411"/>
      <c r="Q724" s="412"/>
      <c r="R724" s="412"/>
      <c r="S724" s="411"/>
      <c r="T724" s="411"/>
      <c r="U724" s="413" t="s">
        <v>553</v>
      </c>
      <c r="V724" s="413">
        <v>15.0</v>
      </c>
      <c r="W724" s="413">
        <v>5.0</v>
      </c>
      <c r="X724" s="408">
        <v>0.7</v>
      </c>
      <c r="Y724" s="408">
        <v>0.7</v>
      </c>
      <c r="Z724" s="408">
        <v>0.7</v>
      </c>
      <c r="AA724" s="408">
        <v>1700.0</v>
      </c>
      <c r="AB724" s="408" t="s">
        <v>612</v>
      </c>
      <c r="AC724" s="408">
        <v>0.85</v>
      </c>
      <c r="AD724" s="191"/>
      <c r="AE724" s="414"/>
    </row>
    <row r="725" ht="15.0" customHeight="1">
      <c r="A725" s="409"/>
      <c r="B725" s="409"/>
      <c r="C725" s="409"/>
      <c r="D725" s="409"/>
      <c r="E725" s="409"/>
      <c r="F725" s="410"/>
      <c r="G725" s="409"/>
      <c r="H725" s="409"/>
      <c r="I725" s="409"/>
      <c r="J725" s="409"/>
      <c r="K725" s="409"/>
      <c r="L725" s="409"/>
      <c r="M725" s="409"/>
      <c r="N725" s="409"/>
      <c r="O725" s="409"/>
      <c r="P725" s="411"/>
      <c r="Q725" s="412"/>
      <c r="R725" s="412"/>
      <c r="S725" s="411"/>
      <c r="T725" s="411"/>
      <c r="U725" s="413" t="s">
        <v>539</v>
      </c>
      <c r="V725" s="413">
        <v>15.0</v>
      </c>
      <c r="W725" s="413">
        <v>5.0</v>
      </c>
      <c r="X725" s="408">
        <v>0.7</v>
      </c>
      <c r="Y725" s="408">
        <v>0.7</v>
      </c>
      <c r="Z725" s="408">
        <v>0.7</v>
      </c>
      <c r="AA725" s="408">
        <v>1700.0</v>
      </c>
      <c r="AB725" s="408" t="s">
        <v>612</v>
      </c>
      <c r="AC725" s="408">
        <v>0.85</v>
      </c>
      <c r="AD725" s="191"/>
      <c r="AE725" s="414"/>
    </row>
    <row r="726" ht="15.0" customHeight="1">
      <c r="A726" s="409"/>
      <c r="B726" s="409"/>
      <c r="C726" s="409"/>
      <c r="D726" s="409"/>
      <c r="E726" s="409"/>
      <c r="F726" s="410"/>
      <c r="G726" s="409"/>
      <c r="H726" s="409"/>
      <c r="I726" s="409"/>
      <c r="J726" s="409"/>
      <c r="K726" s="409"/>
      <c r="L726" s="409"/>
      <c r="M726" s="409"/>
      <c r="N726" s="409"/>
      <c r="O726" s="409"/>
      <c r="P726" s="411"/>
      <c r="Q726" s="412"/>
      <c r="R726" s="412"/>
      <c r="S726" s="411"/>
      <c r="T726" s="411"/>
      <c r="U726" s="413" t="s">
        <v>553</v>
      </c>
      <c r="V726" s="413">
        <v>15.0</v>
      </c>
      <c r="W726" s="413">
        <v>5.0</v>
      </c>
      <c r="X726" s="408">
        <v>0.7</v>
      </c>
      <c r="Y726" s="408">
        <v>0.7</v>
      </c>
      <c r="Z726" s="408">
        <v>0.7</v>
      </c>
      <c r="AA726" s="408">
        <v>1700.0</v>
      </c>
      <c r="AB726" s="408" t="s">
        <v>612</v>
      </c>
      <c r="AC726" s="408">
        <v>0.85</v>
      </c>
      <c r="AD726" s="191"/>
      <c r="AE726" s="414"/>
    </row>
    <row r="727" ht="15.0" customHeight="1">
      <c r="A727" s="409"/>
      <c r="B727" s="409"/>
      <c r="C727" s="409"/>
      <c r="D727" s="409"/>
      <c r="E727" s="409"/>
      <c r="F727" s="410"/>
      <c r="G727" s="409"/>
      <c r="H727" s="409"/>
      <c r="I727" s="409"/>
      <c r="J727" s="409"/>
      <c r="K727" s="409"/>
      <c r="L727" s="409"/>
      <c r="M727" s="409"/>
      <c r="N727" s="409"/>
      <c r="O727" s="409"/>
      <c r="P727" s="411"/>
      <c r="Q727" s="412"/>
      <c r="R727" s="412"/>
      <c r="S727" s="411"/>
      <c r="T727" s="411"/>
      <c r="U727" s="413" t="s">
        <v>539</v>
      </c>
      <c r="V727" s="413">
        <v>15.0</v>
      </c>
      <c r="W727" s="413">
        <v>5.0</v>
      </c>
      <c r="X727" s="408">
        <v>0.7</v>
      </c>
      <c r="Y727" s="408">
        <v>0.7</v>
      </c>
      <c r="Z727" s="408">
        <v>0.7</v>
      </c>
      <c r="AA727" s="408">
        <v>1700.0</v>
      </c>
      <c r="AB727" s="408" t="s">
        <v>612</v>
      </c>
      <c r="AC727" s="408">
        <v>0.85</v>
      </c>
      <c r="AD727" s="191"/>
      <c r="AE727" s="414"/>
    </row>
    <row r="728" ht="15.0" customHeight="1">
      <c r="A728" s="409"/>
      <c r="B728" s="409"/>
      <c r="C728" s="409"/>
      <c r="D728" s="409"/>
      <c r="E728" s="409"/>
      <c r="F728" s="410"/>
      <c r="G728" s="409"/>
      <c r="H728" s="409"/>
      <c r="I728" s="409"/>
      <c r="J728" s="409"/>
      <c r="K728" s="409"/>
      <c r="L728" s="409"/>
      <c r="M728" s="409"/>
      <c r="N728" s="409"/>
      <c r="O728" s="409"/>
      <c r="P728" s="411"/>
      <c r="Q728" s="412"/>
      <c r="R728" s="412"/>
      <c r="S728" s="411"/>
      <c r="T728" s="411"/>
      <c r="U728" s="413" t="s">
        <v>539</v>
      </c>
      <c r="V728" s="413">
        <v>15.0</v>
      </c>
      <c r="W728" s="413">
        <v>5.0</v>
      </c>
      <c r="X728" s="408">
        <v>0.7</v>
      </c>
      <c r="Y728" s="408">
        <v>0.7</v>
      </c>
      <c r="Z728" s="408">
        <v>0.7</v>
      </c>
      <c r="AA728" s="408">
        <v>1700.0</v>
      </c>
      <c r="AB728" s="408" t="s">
        <v>612</v>
      </c>
      <c r="AC728" s="408">
        <v>0.85</v>
      </c>
      <c r="AD728" s="191"/>
      <c r="AE728" s="414"/>
    </row>
    <row r="729" ht="15.0" customHeight="1">
      <c r="A729" s="409"/>
      <c r="B729" s="409"/>
      <c r="C729" s="409"/>
      <c r="D729" s="409"/>
      <c r="E729" s="409"/>
      <c r="F729" s="410"/>
      <c r="G729" s="409"/>
      <c r="H729" s="409"/>
      <c r="I729" s="409"/>
      <c r="J729" s="409"/>
      <c r="K729" s="409"/>
      <c r="L729" s="409"/>
      <c r="M729" s="409"/>
      <c r="N729" s="409"/>
      <c r="O729" s="409"/>
      <c r="P729" s="411"/>
      <c r="Q729" s="412"/>
      <c r="R729" s="412"/>
      <c r="S729" s="411"/>
      <c r="T729" s="411"/>
      <c r="U729" s="413" t="s">
        <v>553</v>
      </c>
      <c r="V729" s="413">
        <v>15.0</v>
      </c>
      <c r="W729" s="413">
        <v>5.0</v>
      </c>
      <c r="X729" s="408">
        <v>0.7</v>
      </c>
      <c r="Y729" s="408">
        <v>0.7</v>
      </c>
      <c r="Z729" s="408">
        <v>0.7</v>
      </c>
      <c r="AA729" s="408">
        <v>1700.0</v>
      </c>
      <c r="AB729" s="408" t="s">
        <v>612</v>
      </c>
      <c r="AC729" s="408">
        <v>0.85</v>
      </c>
      <c r="AD729" s="191"/>
      <c r="AE729" s="414"/>
    </row>
    <row r="730" ht="15.0" customHeight="1">
      <c r="A730" s="409"/>
      <c r="B730" s="409"/>
      <c r="C730" s="409"/>
      <c r="D730" s="409"/>
      <c r="E730" s="409"/>
      <c r="F730" s="410"/>
      <c r="G730" s="409"/>
      <c r="H730" s="409"/>
      <c r="I730" s="409"/>
      <c r="J730" s="409"/>
      <c r="K730" s="409"/>
      <c r="L730" s="409"/>
      <c r="M730" s="409"/>
      <c r="N730" s="409"/>
      <c r="O730" s="409"/>
      <c r="P730" s="411"/>
      <c r="Q730" s="412"/>
      <c r="R730" s="412"/>
      <c r="S730" s="411"/>
      <c r="T730" s="411"/>
      <c r="U730" s="413" t="s">
        <v>539</v>
      </c>
      <c r="V730" s="413">
        <v>15.0</v>
      </c>
      <c r="W730" s="413">
        <v>5.0</v>
      </c>
      <c r="X730" s="408">
        <v>0.7</v>
      </c>
      <c r="Y730" s="408">
        <v>0.7</v>
      </c>
      <c r="Z730" s="408">
        <v>0.7</v>
      </c>
      <c r="AA730" s="408">
        <v>1700.0</v>
      </c>
      <c r="AB730" s="408" t="s">
        <v>612</v>
      </c>
      <c r="AC730" s="408">
        <v>0.85</v>
      </c>
      <c r="AD730" s="191"/>
      <c r="AE730" s="414"/>
    </row>
    <row r="731" ht="15.0" customHeight="1">
      <c r="A731" s="409"/>
      <c r="B731" s="409"/>
      <c r="C731" s="409"/>
      <c r="D731" s="409"/>
      <c r="E731" s="409"/>
      <c r="F731" s="410"/>
      <c r="G731" s="409"/>
      <c r="H731" s="409"/>
      <c r="I731" s="409"/>
      <c r="J731" s="409"/>
      <c r="K731" s="409"/>
      <c r="L731" s="409"/>
      <c r="M731" s="409"/>
      <c r="N731" s="409"/>
      <c r="O731" s="409"/>
      <c r="P731" s="411"/>
      <c r="Q731" s="412"/>
      <c r="R731" s="412"/>
      <c r="S731" s="411"/>
      <c r="T731" s="411"/>
      <c r="U731" s="413" t="s">
        <v>539</v>
      </c>
      <c r="V731" s="413">
        <v>15.0</v>
      </c>
      <c r="W731" s="413">
        <v>5.0</v>
      </c>
      <c r="X731" s="408">
        <v>0.7</v>
      </c>
      <c r="Y731" s="408">
        <v>0.7</v>
      </c>
      <c r="Z731" s="408">
        <v>0.7</v>
      </c>
      <c r="AA731" s="408">
        <v>1700.0</v>
      </c>
      <c r="AB731" s="408" t="s">
        <v>612</v>
      </c>
      <c r="AC731" s="408">
        <v>0.85</v>
      </c>
      <c r="AD731" s="191"/>
      <c r="AE731" s="414"/>
    </row>
    <row r="732" ht="15.0" customHeight="1">
      <c r="A732" s="409"/>
      <c r="B732" s="409"/>
      <c r="C732" s="409"/>
      <c r="D732" s="409"/>
      <c r="E732" s="409"/>
      <c r="F732" s="410"/>
      <c r="G732" s="409"/>
      <c r="H732" s="409"/>
      <c r="I732" s="409"/>
      <c r="J732" s="409"/>
      <c r="K732" s="409"/>
      <c r="L732" s="409"/>
      <c r="M732" s="409"/>
      <c r="N732" s="409"/>
      <c r="O732" s="409"/>
      <c r="P732" s="411"/>
      <c r="Q732" s="412"/>
      <c r="R732" s="412"/>
      <c r="S732" s="411"/>
      <c r="T732" s="411"/>
      <c r="U732" s="413" t="s">
        <v>539</v>
      </c>
      <c r="V732" s="413">
        <v>15.0</v>
      </c>
      <c r="W732" s="413">
        <v>5.0</v>
      </c>
      <c r="X732" s="408">
        <v>0.7</v>
      </c>
      <c r="Y732" s="408">
        <v>0.7</v>
      </c>
      <c r="Z732" s="408">
        <v>0.7</v>
      </c>
      <c r="AA732" s="408">
        <v>1700.0</v>
      </c>
      <c r="AB732" s="408" t="s">
        <v>612</v>
      </c>
      <c r="AC732" s="408">
        <v>0.85</v>
      </c>
      <c r="AD732" s="191"/>
      <c r="AE732" s="414"/>
    </row>
    <row r="733" ht="15.0" customHeight="1">
      <c r="A733" s="409"/>
      <c r="B733" s="409"/>
      <c r="C733" s="409"/>
      <c r="D733" s="409"/>
      <c r="E733" s="409"/>
      <c r="F733" s="410"/>
      <c r="G733" s="409"/>
      <c r="H733" s="409"/>
      <c r="I733" s="409"/>
      <c r="J733" s="409"/>
      <c r="K733" s="409"/>
      <c r="L733" s="409"/>
      <c r="M733" s="409"/>
      <c r="N733" s="409"/>
      <c r="O733" s="409"/>
      <c r="P733" s="411"/>
      <c r="Q733" s="412"/>
      <c r="R733" s="412"/>
      <c r="S733" s="411"/>
      <c r="T733" s="411"/>
      <c r="U733" s="413" t="s">
        <v>553</v>
      </c>
      <c r="V733" s="413">
        <v>15.0</v>
      </c>
      <c r="W733" s="413">
        <v>5.0</v>
      </c>
      <c r="X733" s="408">
        <v>0.7</v>
      </c>
      <c r="Y733" s="408">
        <v>0.7</v>
      </c>
      <c r="Z733" s="408">
        <v>0.7</v>
      </c>
      <c r="AA733" s="408">
        <v>1700.0</v>
      </c>
      <c r="AB733" s="408" t="s">
        <v>612</v>
      </c>
      <c r="AC733" s="408">
        <v>0.85</v>
      </c>
      <c r="AD733" s="191"/>
      <c r="AE733" s="414"/>
    </row>
    <row r="734" ht="15.0" customHeight="1">
      <c r="A734" s="409"/>
      <c r="B734" s="409"/>
      <c r="C734" s="409"/>
      <c r="D734" s="409"/>
      <c r="E734" s="409"/>
      <c r="F734" s="410"/>
      <c r="G734" s="409"/>
      <c r="H734" s="409"/>
      <c r="I734" s="409"/>
      <c r="J734" s="409"/>
      <c r="K734" s="409"/>
      <c r="L734" s="409"/>
      <c r="M734" s="409"/>
      <c r="N734" s="409"/>
      <c r="O734" s="409"/>
      <c r="P734" s="411"/>
      <c r="Q734" s="412"/>
      <c r="R734" s="412"/>
      <c r="S734" s="411"/>
      <c r="T734" s="411"/>
      <c r="U734" s="413" t="s">
        <v>539</v>
      </c>
      <c r="V734" s="413">
        <v>15.0</v>
      </c>
      <c r="W734" s="413">
        <v>5.0</v>
      </c>
      <c r="X734" s="408">
        <v>0.7</v>
      </c>
      <c r="Y734" s="408">
        <v>0.7</v>
      </c>
      <c r="Z734" s="408">
        <v>0.7</v>
      </c>
      <c r="AA734" s="408">
        <v>1700.0</v>
      </c>
      <c r="AB734" s="408" t="s">
        <v>612</v>
      </c>
      <c r="AC734" s="408">
        <v>0.85</v>
      </c>
      <c r="AD734" s="191"/>
      <c r="AE734" s="414"/>
    </row>
    <row r="735" ht="15.0" customHeight="1">
      <c r="A735" s="409"/>
      <c r="B735" s="409"/>
      <c r="C735" s="409"/>
      <c r="D735" s="409"/>
      <c r="E735" s="409"/>
      <c r="F735" s="410"/>
      <c r="G735" s="409"/>
      <c r="H735" s="409"/>
      <c r="I735" s="409"/>
      <c r="J735" s="409"/>
      <c r="K735" s="409"/>
      <c r="L735" s="409"/>
      <c r="M735" s="409"/>
      <c r="N735" s="409"/>
      <c r="O735" s="409"/>
      <c r="P735" s="411"/>
      <c r="Q735" s="412"/>
      <c r="R735" s="412"/>
      <c r="S735" s="411"/>
      <c r="T735" s="411"/>
      <c r="U735" s="413" t="s">
        <v>539</v>
      </c>
      <c r="V735" s="413">
        <v>15.0</v>
      </c>
      <c r="W735" s="413">
        <v>5.0</v>
      </c>
      <c r="X735" s="408">
        <v>0.7</v>
      </c>
      <c r="Y735" s="408">
        <v>0.7</v>
      </c>
      <c r="Z735" s="408">
        <v>0.7</v>
      </c>
      <c r="AA735" s="408">
        <v>1700.0</v>
      </c>
      <c r="AB735" s="408" t="s">
        <v>612</v>
      </c>
      <c r="AC735" s="408">
        <v>0.85</v>
      </c>
      <c r="AD735" s="191"/>
      <c r="AE735" s="414"/>
    </row>
    <row r="736" ht="15.0" customHeight="1">
      <c r="A736" s="409"/>
      <c r="B736" s="409"/>
      <c r="C736" s="409"/>
      <c r="D736" s="409"/>
      <c r="E736" s="409"/>
      <c r="F736" s="410"/>
      <c r="G736" s="409"/>
      <c r="H736" s="409"/>
      <c r="I736" s="409"/>
      <c r="J736" s="409"/>
      <c r="K736" s="409"/>
      <c r="L736" s="409"/>
      <c r="M736" s="409"/>
      <c r="N736" s="409"/>
      <c r="O736" s="409"/>
      <c r="P736" s="411"/>
      <c r="Q736" s="412"/>
      <c r="R736" s="412"/>
      <c r="S736" s="411"/>
      <c r="T736" s="411"/>
      <c r="U736" s="413" t="s">
        <v>539</v>
      </c>
      <c r="V736" s="413">
        <v>15.0</v>
      </c>
      <c r="W736" s="413">
        <v>5.0</v>
      </c>
      <c r="X736" s="408">
        <v>0.7</v>
      </c>
      <c r="Y736" s="408">
        <v>0.7</v>
      </c>
      <c r="Z736" s="408">
        <v>0.7</v>
      </c>
      <c r="AA736" s="408">
        <v>1700.0</v>
      </c>
      <c r="AB736" s="408" t="s">
        <v>612</v>
      </c>
      <c r="AC736" s="408">
        <v>0.85</v>
      </c>
      <c r="AD736" s="191"/>
      <c r="AE736" s="414"/>
    </row>
    <row r="737" ht="15.0" customHeight="1">
      <c r="A737" s="409"/>
      <c r="B737" s="409"/>
      <c r="C737" s="409"/>
      <c r="D737" s="409"/>
      <c r="E737" s="409"/>
      <c r="F737" s="410"/>
      <c r="G737" s="409"/>
      <c r="H737" s="409"/>
      <c r="I737" s="409"/>
      <c r="J737" s="409"/>
      <c r="K737" s="409"/>
      <c r="L737" s="409"/>
      <c r="M737" s="409"/>
      <c r="N737" s="409"/>
      <c r="O737" s="409"/>
      <c r="P737" s="411"/>
      <c r="Q737" s="412"/>
      <c r="R737" s="412"/>
      <c r="S737" s="411"/>
      <c r="T737" s="411"/>
      <c r="U737" s="413" t="s">
        <v>539</v>
      </c>
      <c r="V737" s="413">
        <v>15.0</v>
      </c>
      <c r="W737" s="413">
        <v>5.0</v>
      </c>
      <c r="X737" s="408">
        <v>0.7</v>
      </c>
      <c r="Y737" s="408">
        <v>0.7</v>
      </c>
      <c r="Z737" s="408">
        <v>0.7</v>
      </c>
      <c r="AA737" s="408">
        <v>1700.0</v>
      </c>
      <c r="AB737" s="408" t="s">
        <v>612</v>
      </c>
      <c r="AC737" s="408">
        <v>0.85</v>
      </c>
      <c r="AD737" s="191"/>
      <c r="AE737" s="414"/>
    </row>
    <row r="738" ht="15.0" customHeight="1">
      <c r="A738" s="409"/>
      <c r="B738" s="409"/>
      <c r="C738" s="409"/>
      <c r="D738" s="409"/>
      <c r="E738" s="409"/>
      <c r="F738" s="410"/>
      <c r="G738" s="409"/>
      <c r="H738" s="409"/>
      <c r="I738" s="409"/>
      <c r="J738" s="409"/>
      <c r="K738" s="409"/>
      <c r="L738" s="409"/>
      <c r="M738" s="409"/>
      <c r="N738" s="409"/>
      <c r="O738" s="409"/>
      <c r="P738" s="411"/>
      <c r="Q738" s="412"/>
      <c r="R738" s="412"/>
      <c r="S738" s="411"/>
      <c r="T738" s="411"/>
      <c r="U738" s="413" t="s">
        <v>539</v>
      </c>
      <c r="V738" s="413">
        <v>15.0</v>
      </c>
      <c r="W738" s="413">
        <v>5.0</v>
      </c>
      <c r="X738" s="408">
        <v>0.7</v>
      </c>
      <c r="Y738" s="408">
        <v>0.7</v>
      </c>
      <c r="Z738" s="408">
        <v>0.7</v>
      </c>
      <c r="AA738" s="408">
        <v>1700.0</v>
      </c>
      <c r="AB738" s="408" t="s">
        <v>612</v>
      </c>
      <c r="AC738" s="408">
        <v>0.85</v>
      </c>
      <c r="AD738" s="191"/>
      <c r="AE738" s="414"/>
    </row>
    <row r="739" ht="15.0" customHeight="1">
      <c r="A739" s="409"/>
      <c r="B739" s="409"/>
      <c r="C739" s="409"/>
      <c r="D739" s="409"/>
      <c r="E739" s="409"/>
      <c r="F739" s="410"/>
      <c r="G739" s="409"/>
      <c r="H739" s="409"/>
      <c r="I739" s="409"/>
      <c r="J739" s="409"/>
      <c r="K739" s="409"/>
      <c r="L739" s="409"/>
      <c r="M739" s="409"/>
      <c r="N739" s="409"/>
      <c r="O739" s="409"/>
      <c r="P739" s="411"/>
      <c r="Q739" s="412"/>
      <c r="R739" s="412"/>
      <c r="S739" s="411"/>
      <c r="T739" s="411"/>
      <c r="U739" s="413" t="s">
        <v>539</v>
      </c>
      <c r="V739" s="413">
        <v>15.0</v>
      </c>
      <c r="W739" s="413">
        <v>5.0</v>
      </c>
      <c r="X739" s="408">
        <v>0.7</v>
      </c>
      <c r="Y739" s="408">
        <v>0.7</v>
      </c>
      <c r="Z739" s="408">
        <v>0.7</v>
      </c>
      <c r="AA739" s="408">
        <v>1700.0</v>
      </c>
      <c r="AB739" s="408" t="s">
        <v>612</v>
      </c>
      <c r="AC739" s="408">
        <v>0.85</v>
      </c>
      <c r="AD739" s="191"/>
      <c r="AE739" s="414"/>
    </row>
    <row r="740" ht="15.0" customHeight="1">
      <c r="A740" s="409"/>
      <c r="B740" s="409"/>
      <c r="C740" s="409"/>
      <c r="D740" s="409"/>
      <c r="E740" s="409"/>
      <c r="F740" s="410"/>
      <c r="G740" s="409"/>
      <c r="H740" s="409"/>
      <c r="I740" s="409"/>
      <c r="J740" s="409"/>
      <c r="K740" s="409"/>
      <c r="L740" s="409"/>
      <c r="M740" s="409"/>
      <c r="N740" s="409"/>
      <c r="O740" s="409"/>
      <c r="P740" s="411"/>
      <c r="Q740" s="412"/>
      <c r="R740" s="412"/>
      <c r="S740" s="411"/>
      <c r="T740" s="411"/>
      <c r="U740" s="413" t="s">
        <v>539</v>
      </c>
      <c r="V740" s="413">
        <v>15.0</v>
      </c>
      <c r="W740" s="413">
        <v>5.0</v>
      </c>
      <c r="X740" s="408">
        <v>0.7</v>
      </c>
      <c r="Y740" s="408">
        <v>0.7</v>
      </c>
      <c r="Z740" s="408">
        <v>0.7</v>
      </c>
      <c r="AA740" s="408">
        <v>1700.0</v>
      </c>
      <c r="AB740" s="408" t="s">
        <v>612</v>
      </c>
      <c r="AC740" s="408">
        <v>0.85</v>
      </c>
      <c r="AD740" s="191"/>
      <c r="AE740" s="414"/>
    </row>
    <row r="741" ht="15.0" customHeight="1">
      <c r="A741" s="409"/>
      <c r="B741" s="409"/>
      <c r="C741" s="409"/>
      <c r="D741" s="409"/>
      <c r="E741" s="409"/>
      <c r="F741" s="410"/>
      <c r="G741" s="409"/>
      <c r="H741" s="409"/>
      <c r="I741" s="409"/>
      <c r="J741" s="409"/>
      <c r="K741" s="409"/>
      <c r="L741" s="409"/>
      <c r="M741" s="409"/>
      <c r="N741" s="409"/>
      <c r="O741" s="409"/>
      <c r="P741" s="411"/>
      <c r="Q741" s="412"/>
      <c r="R741" s="412"/>
      <c r="S741" s="411"/>
      <c r="T741" s="411"/>
      <c r="U741" s="413" t="s">
        <v>539</v>
      </c>
      <c r="V741" s="413">
        <v>15.0</v>
      </c>
      <c r="W741" s="413">
        <v>5.0</v>
      </c>
      <c r="X741" s="408">
        <v>0.7</v>
      </c>
      <c r="Y741" s="408">
        <v>0.7</v>
      </c>
      <c r="Z741" s="408">
        <v>0.7</v>
      </c>
      <c r="AA741" s="408">
        <v>1700.0</v>
      </c>
      <c r="AB741" s="408" t="s">
        <v>612</v>
      </c>
      <c r="AC741" s="408">
        <v>0.85</v>
      </c>
      <c r="AD741" s="191"/>
      <c r="AE741" s="414"/>
    </row>
    <row r="742" ht="15.0" customHeight="1">
      <c r="A742" s="409"/>
      <c r="B742" s="409"/>
      <c r="C742" s="409"/>
      <c r="D742" s="409"/>
      <c r="E742" s="409"/>
      <c r="F742" s="410"/>
      <c r="G742" s="409"/>
      <c r="H742" s="409"/>
      <c r="I742" s="409"/>
      <c r="J742" s="409"/>
      <c r="K742" s="409"/>
      <c r="L742" s="409"/>
      <c r="M742" s="409"/>
      <c r="N742" s="409"/>
      <c r="O742" s="409"/>
      <c r="P742" s="411"/>
      <c r="Q742" s="412"/>
      <c r="R742" s="412"/>
      <c r="S742" s="411"/>
      <c r="T742" s="411"/>
      <c r="U742" s="413" t="s">
        <v>539</v>
      </c>
      <c r="V742" s="413">
        <v>15.0</v>
      </c>
      <c r="W742" s="413">
        <v>5.0</v>
      </c>
      <c r="X742" s="408">
        <v>0.7</v>
      </c>
      <c r="Y742" s="408">
        <v>0.7</v>
      </c>
      <c r="Z742" s="408">
        <v>0.7</v>
      </c>
      <c r="AA742" s="408">
        <v>1700.0</v>
      </c>
      <c r="AB742" s="408" t="s">
        <v>612</v>
      </c>
      <c r="AC742" s="408">
        <v>0.85</v>
      </c>
      <c r="AD742" s="191"/>
      <c r="AE742" s="414"/>
    </row>
    <row r="743" ht="15.0" customHeight="1">
      <c r="A743" s="409"/>
      <c r="B743" s="409"/>
      <c r="C743" s="409"/>
      <c r="D743" s="409"/>
      <c r="E743" s="409"/>
      <c r="F743" s="410"/>
      <c r="G743" s="409"/>
      <c r="H743" s="409"/>
      <c r="I743" s="409"/>
      <c r="J743" s="409"/>
      <c r="K743" s="409"/>
      <c r="L743" s="409"/>
      <c r="M743" s="409"/>
      <c r="N743" s="409"/>
      <c r="O743" s="409"/>
      <c r="P743" s="411"/>
      <c r="Q743" s="412"/>
      <c r="R743" s="412"/>
      <c r="S743" s="411"/>
      <c r="T743" s="411"/>
      <c r="U743" s="413" t="s">
        <v>539</v>
      </c>
      <c r="V743" s="413">
        <v>15.0</v>
      </c>
      <c r="W743" s="413">
        <v>5.0</v>
      </c>
      <c r="X743" s="408">
        <v>0.7</v>
      </c>
      <c r="Y743" s="408">
        <v>0.7</v>
      </c>
      <c r="Z743" s="408">
        <v>0.7</v>
      </c>
      <c r="AA743" s="408">
        <v>1700.0</v>
      </c>
      <c r="AB743" s="408" t="s">
        <v>612</v>
      </c>
      <c r="AC743" s="408">
        <v>0.85</v>
      </c>
      <c r="AD743" s="191"/>
      <c r="AE743" s="414"/>
    </row>
    <row r="744" ht="15.0" customHeight="1">
      <c r="A744" s="409"/>
      <c r="B744" s="409"/>
      <c r="C744" s="409"/>
      <c r="D744" s="409"/>
      <c r="E744" s="409"/>
      <c r="F744" s="410"/>
      <c r="G744" s="409"/>
      <c r="H744" s="409"/>
      <c r="I744" s="409"/>
      <c r="J744" s="409"/>
      <c r="K744" s="409"/>
      <c r="L744" s="409"/>
      <c r="M744" s="409"/>
      <c r="N744" s="409"/>
      <c r="O744" s="409"/>
      <c r="P744" s="411"/>
      <c r="Q744" s="412"/>
      <c r="R744" s="412"/>
      <c r="S744" s="411"/>
      <c r="T744" s="411"/>
      <c r="U744" s="413" t="s">
        <v>553</v>
      </c>
      <c r="V744" s="413">
        <v>15.0</v>
      </c>
      <c r="W744" s="413">
        <v>5.0</v>
      </c>
      <c r="X744" s="408">
        <v>0.7</v>
      </c>
      <c r="Y744" s="408">
        <v>0.7</v>
      </c>
      <c r="Z744" s="408">
        <v>0.7</v>
      </c>
      <c r="AA744" s="408">
        <v>1700.0</v>
      </c>
      <c r="AB744" s="408" t="s">
        <v>612</v>
      </c>
      <c r="AC744" s="408">
        <v>0.85</v>
      </c>
      <c r="AD744" s="191"/>
      <c r="AE744" s="414"/>
    </row>
    <row r="745" ht="15.0" customHeight="1">
      <c r="A745" s="409"/>
      <c r="B745" s="409"/>
      <c r="C745" s="409"/>
      <c r="D745" s="409"/>
      <c r="E745" s="409"/>
      <c r="F745" s="410"/>
      <c r="G745" s="409"/>
      <c r="H745" s="409"/>
      <c r="I745" s="409"/>
      <c r="J745" s="409"/>
      <c r="K745" s="409"/>
      <c r="L745" s="409"/>
      <c r="M745" s="409"/>
      <c r="N745" s="409"/>
      <c r="O745" s="409"/>
      <c r="P745" s="411"/>
      <c r="Q745" s="412"/>
      <c r="R745" s="412"/>
      <c r="S745" s="411"/>
      <c r="T745" s="411"/>
      <c r="U745" s="413" t="s">
        <v>539</v>
      </c>
      <c r="V745" s="413">
        <v>15.0</v>
      </c>
      <c r="W745" s="413">
        <v>5.0</v>
      </c>
      <c r="X745" s="408">
        <v>0.7</v>
      </c>
      <c r="Y745" s="408">
        <v>0.7</v>
      </c>
      <c r="Z745" s="408">
        <v>0.7</v>
      </c>
      <c r="AA745" s="408">
        <v>1700.0</v>
      </c>
      <c r="AB745" s="408" t="s">
        <v>612</v>
      </c>
      <c r="AC745" s="408">
        <v>0.85</v>
      </c>
      <c r="AD745" s="191"/>
      <c r="AE745" s="414"/>
    </row>
    <row r="746" ht="15.0" customHeight="1">
      <c r="A746" s="409"/>
      <c r="B746" s="409"/>
      <c r="C746" s="409"/>
      <c r="D746" s="409"/>
      <c r="E746" s="409"/>
      <c r="F746" s="410"/>
      <c r="G746" s="409"/>
      <c r="H746" s="409"/>
      <c r="I746" s="409"/>
      <c r="J746" s="409"/>
      <c r="K746" s="409"/>
      <c r="L746" s="409"/>
      <c r="M746" s="409"/>
      <c r="N746" s="409"/>
      <c r="O746" s="409"/>
      <c r="P746" s="411"/>
      <c r="Q746" s="412"/>
      <c r="R746" s="412"/>
      <c r="S746" s="411"/>
      <c r="T746" s="411"/>
      <c r="U746" s="413" t="s">
        <v>539</v>
      </c>
      <c r="V746" s="413">
        <v>15.0</v>
      </c>
      <c r="W746" s="413">
        <v>5.0</v>
      </c>
      <c r="X746" s="408">
        <v>0.7</v>
      </c>
      <c r="Y746" s="408">
        <v>0.7</v>
      </c>
      <c r="Z746" s="408">
        <v>0.7</v>
      </c>
      <c r="AA746" s="408">
        <v>1700.0</v>
      </c>
      <c r="AB746" s="408" t="s">
        <v>612</v>
      </c>
      <c r="AC746" s="408">
        <v>0.85</v>
      </c>
      <c r="AD746" s="191"/>
      <c r="AE746" s="414"/>
    </row>
    <row r="747" ht="15.0" customHeight="1">
      <c r="A747" s="409"/>
      <c r="B747" s="409"/>
      <c r="C747" s="409"/>
      <c r="D747" s="409"/>
      <c r="E747" s="409"/>
      <c r="F747" s="410"/>
      <c r="G747" s="409"/>
      <c r="H747" s="409"/>
      <c r="I747" s="409"/>
      <c r="J747" s="409"/>
      <c r="K747" s="409"/>
      <c r="L747" s="409"/>
      <c r="M747" s="409"/>
      <c r="N747" s="409"/>
      <c r="O747" s="409"/>
      <c r="P747" s="411"/>
      <c r="Q747" s="412"/>
      <c r="R747" s="412"/>
      <c r="S747" s="411"/>
      <c r="T747" s="411"/>
      <c r="U747" s="413" t="s">
        <v>539</v>
      </c>
      <c r="V747" s="413">
        <v>15.0</v>
      </c>
      <c r="W747" s="413">
        <v>5.0</v>
      </c>
      <c r="X747" s="408">
        <v>0.7</v>
      </c>
      <c r="Y747" s="408">
        <v>0.7</v>
      </c>
      <c r="Z747" s="408">
        <v>0.7</v>
      </c>
      <c r="AA747" s="408">
        <v>1700.0</v>
      </c>
      <c r="AB747" s="408" t="s">
        <v>612</v>
      </c>
      <c r="AC747" s="408">
        <v>0.85</v>
      </c>
      <c r="AD747" s="191"/>
      <c r="AE747" s="414"/>
    </row>
    <row r="748" ht="15.0" customHeight="1">
      <c r="A748" s="409"/>
      <c r="B748" s="409"/>
      <c r="C748" s="409"/>
      <c r="D748" s="409"/>
      <c r="E748" s="409"/>
      <c r="F748" s="410"/>
      <c r="G748" s="409"/>
      <c r="H748" s="409"/>
      <c r="I748" s="409"/>
      <c r="J748" s="409"/>
      <c r="K748" s="409"/>
      <c r="L748" s="409"/>
      <c r="M748" s="409"/>
      <c r="N748" s="409"/>
      <c r="O748" s="409"/>
      <c r="P748" s="411"/>
      <c r="Q748" s="412"/>
      <c r="R748" s="412"/>
      <c r="S748" s="411"/>
      <c r="T748" s="411"/>
      <c r="U748" s="413" t="s">
        <v>539</v>
      </c>
      <c r="V748" s="413">
        <v>15.0</v>
      </c>
      <c r="W748" s="413">
        <v>5.0</v>
      </c>
      <c r="X748" s="408">
        <v>0.7</v>
      </c>
      <c r="Y748" s="408">
        <v>0.7</v>
      </c>
      <c r="Z748" s="408">
        <v>0.7</v>
      </c>
      <c r="AA748" s="408">
        <v>1700.0</v>
      </c>
      <c r="AB748" s="408" t="s">
        <v>612</v>
      </c>
      <c r="AC748" s="408">
        <v>0.85</v>
      </c>
      <c r="AD748" s="191"/>
      <c r="AE748" s="414"/>
    </row>
    <row r="749" ht="15.0" customHeight="1">
      <c r="A749" s="409"/>
      <c r="B749" s="409"/>
      <c r="C749" s="409"/>
      <c r="D749" s="409"/>
      <c r="E749" s="409"/>
      <c r="F749" s="410"/>
      <c r="G749" s="409"/>
      <c r="H749" s="409"/>
      <c r="I749" s="409"/>
      <c r="J749" s="409"/>
      <c r="K749" s="409"/>
      <c r="L749" s="409"/>
      <c r="M749" s="409"/>
      <c r="N749" s="409"/>
      <c r="O749" s="409"/>
      <c r="P749" s="411"/>
      <c r="Q749" s="412"/>
      <c r="R749" s="412"/>
      <c r="S749" s="411"/>
      <c r="T749" s="411"/>
      <c r="U749" s="413" t="s">
        <v>539</v>
      </c>
      <c r="V749" s="413">
        <v>15.0</v>
      </c>
      <c r="W749" s="413">
        <v>5.0</v>
      </c>
      <c r="X749" s="408">
        <v>0.7</v>
      </c>
      <c r="Y749" s="408">
        <v>0.7</v>
      </c>
      <c r="Z749" s="408">
        <v>0.7</v>
      </c>
      <c r="AA749" s="408">
        <v>1700.0</v>
      </c>
      <c r="AB749" s="408" t="s">
        <v>612</v>
      </c>
      <c r="AC749" s="408">
        <v>0.85</v>
      </c>
      <c r="AD749" s="191"/>
      <c r="AE749" s="414"/>
    </row>
    <row r="750" ht="15.0" customHeight="1">
      <c r="A750" s="409"/>
      <c r="B750" s="409"/>
      <c r="C750" s="409"/>
      <c r="D750" s="409"/>
      <c r="E750" s="409"/>
      <c r="F750" s="410"/>
      <c r="G750" s="409"/>
      <c r="H750" s="409"/>
      <c r="I750" s="409"/>
      <c r="J750" s="409"/>
      <c r="K750" s="409"/>
      <c r="L750" s="409"/>
      <c r="M750" s="409"/>
      <c r="N750" s="409"/>
      <c r="O750" s="409"/>
      <c r="P750" s="411"/>
      <c r="Q750" s="412"/>
      <c r="R750" s="412"/>
      <c r="S750" s="411"/>
      <c r="T750" s="411"/>
      <c r="U750" s="413" t="s">
        <v>539</v>
      </c>
      <c r="V750" s="413">
        <v>15.0</v>
      </c>
      <c r="W750" s="413">
        <v>5.0</v>
      </c>
      <c r="X750" s="408">
        <v>0.7</v>
      </c>
      <c r="Y750" s="408">
        <v>0.7</v>
      </c>
      <c r="Z750" s="408">
        <v>0.7</v>
      </c>
      <c r="AA750" s="408">
        <v>1700.0</v>
      </c>
      <c r="AB750" s="408" t="s">
        <v>612</v>
      </c>
      <c r="AC750" s="408">
        <v>0.85</v>
      </c>
      <c r="AD750" s="191"/>
      <c r="AE750" s="414"/>
    </row>
    <row r="751" ht="15.0" customHeight="1">
      <c r="A751" s="409"/>
      <c r="B751" s="409"/>
      <c r="C751" s="409"/>
      <c r="D751" s="409"/>
      <c r="E751" s="409"/>
      <c r="F751" s="410"/>
      <c r="G751" s="409"/>
      <c r="H751" s="409"/>
      <c r="I751" s="409"/>
      <c r="J751" s="409"/>
      <c r="K751" s="409"/>
      <c r="L751" s="409"/>
      <c r="M751" s="409"/>
      <c r="N751" s="409"/>
      <c r="O751" s="409"/>
      <c r="P751" s="411"/>
      <c r="Q751" s="412"/>
      <c r="R751" s="412"/>
      <c r="S751" s="411"/>
      <c r="T751" s="411"/>
      <c r="U751" s="413" t="s">
        <v>553</v>
      </c>
      <c r="V751" s="413">
        <v>15.0</v>
      </c>
      <c r="W751" s="413">
        <v>5.0</v>
      </c>
      <c r="X751" s="408">
        <v>0.7</v>
      </c>
      <c r="Y751" s="408">
        <v>0.7</v>
      </c>
      <c r="Z751" s="408">
        <v>0.7</v>
      </c>
      <c r="AA751" s="408">
        <v>1700.0</v>
      </c>
      <c r="AB751" s="408" t="s">
        <v>612</v>
      </c>
      <c r="AC751" s="408">
        <v>0.85</v>
      </c>
      <c r="AD751" s="191"/>
      <c r="AE751" s="414"/>
    </row>
    <row r="752" ht="15.0" customHeight="1">
      <c r="A752" s="409"/>
      <c r="B752" s="409"/>
      <c r="C752" s="409"/>
      <c r="D752" s="409"/>
      <c r="E752" s="409"/>
      <c r="F752" s="410"/>
      <c r="G752" s="409"/>
      <c r="H752" s="409"/>
      <c r="I752" s="409"/>
      <c r="J752" s="409"/>
      <c r="K752" s="409"/>
      <c r="L752" s="409"/>
      <c r="M752" s="409"/>
      <c r="N752" s="409"/>
      <c r="O752" s="409"/>
      <c r="P752" s="411"/>
      <c r="Q752" s="412"/>
      <c r="R752" s="412"/>
      <c r="S752" s="411"/>
      <c r="T752" s="411"/>
      <c r="U752" s="413" t="s">
        <v>539</v>
      </c>
      <c r="V752" s="413">
        <v>15.0</v>
      </c>
      <c r="W752" s="413">
        <v>5.0</v>
      </c>
      <c r="X752" s="408">
        <v>0.7</v>
      </c>
      <c r="Y752" s="408">
        <v>0.7</v>
      </c>
      <c r="Z752" s="408">
        <v>0.7</v>
      </c>
      <c r="AA752" s="408">
        <v>1700.0</v>
      </c>
      <c r="AB752" s="408" t="s">
        <v>612</v>
      </c>
      <c r="AC752" s="408">
        <v>0.85</v>
      </c>
      <c r="AD752" s="191"/>
      <c r="AE752" s="414"/>
    </row>
    <row r="753" ht="15.0" customHeight="1">
      <c r="A753" s="409"/>
      <c r="B753" s="409"/>
      <c r="C753" s="409"/>
      <c r="D753" s="409"/>
      <c r="E753" s="409"/>
      <c r="F753" s="410"/>
      <c r="G753" s="409"/>
      <c r="H753" s="409"/>
      <c r="I753" s="409"/>
      <c r="J753" s="409"/>
      <c r="K753" s="409"/>
      <c r="L753" s="409"/>
      <c r="M753" s="409"/>
      <c r="N753" s="409"/>
      <c r="O753" s="409"/>
      <c r="P753" s="411"/>
      <c r="Q753" s="412"/>
      <c r="R753" s="412"/>
      <c r="S753" s="411"/>
      <c r="T753" s="411"/>
      <c r="U753" s="413" t="s">
        <v>539</v>
      </c>
      <c r="V753" s="413">
        <v>15.0</v>
      </c>
      <c r="W753" s="413">
        <v>5.0</v>
      </c>
      <c r="X753" s="408">
        <v>0.7</v>
      </c>
      <c r="Y753" s="408">
        <v>0.7</v>
      </c>
      <c r="Z753" s="408">
        <v>0.7</v>
      </c>
      <c r="AA753" s="408">
        <v>1700.0</v>
      </c>
      <c r="AB753" s="408" t="s">
        <v>612</v>
      </c>
      <c r="AC753" s="408">
        <v>0.85</v>
      </c>
      <c r="AD753" s="191"/>
      <c r="AE753" s="414"/>
    </row>
    <row r="754" ht="15.0" customHeight="1">
      <c r="A754" s="409"/>
      <c r="B754" s="409"/>
      <c r="C754" s="409"/>
      <c r="D754" s="409"/>
      <c r="E754" s="409"/>
      <c r="F754" s="410"/>
      <c r="G754" s="409"/>
      <c r="H754" s="409"/>
      <c r="I754" s="409"/>
      <c r="J754" s="409"/>
      <c r="K754" s="409"/>
      <c r="L754" s="409"/>
      <c r="M754" s="409"/>
      <c r="N754" s="409"/>
      <c r="O754" s="409"/>
      <c r="P754" s="411"/>
      <c r="Q754" s="412"/>
      <c r="R754" s="412"/>
      <c r="S754" s="411"/>
      <c r="T754" s="411"/>
      <c r="U754" s="413" t="s">
        <v>539</v>
      </c>
      <c r="V754" s="413">
        <v>15.0</v>
      </c>
      <c r="W754" s="413">
        <v>5.0</v>
      </c>
      <c r="X754" s="408">
        <v>0.7</v>
      </c>
      <c r="Y754" s="408">
        <v>0.7</v>
      </c>
      <c r="Z754" s="408">
        <v>0.7</v>
      </c>
      <c r="AA754" s="408">
        <v>1700.0</v>
      </c>
      <c r="AB754" s="408" t="s">
        <v>612</v>
      </c>
      <c r="AC754" s="408">
        <v>0.85</v>
      </c>
      <c r="AD754" s="191"/>
      <c r="AE754" s="414"/>
    </row>
    <row r="755" ht="15.0" customHeight="1">
      <c r="A755" s="409"/>
      <c r="B755" s="409"/>
      <c r="C755" s="409"/>
      <c r="D755" s="409"/>
      <c r="E755" s="409"/>
      <c r="F755" s="410"/>
      <c r="G755" s="409"/>
      <c r="H755" s="409"/>
      <c r="I755" s="409"/>
      <c r="J755" s="409"/>
      <c r="K755" s="409"/>
      <c r="L755" s="409"/>
      <c r="M755" s="409"/>
      <c r="N755" s="409"/>
      <c r="O755" s="409"/>
      <c r="P755" s="411"/>
      <c r="Q755" s="412"/>
      <c r="R755" s="412"/>
      <c r="S755" s="411"/>
      <c r="T755" s="411"/>
      <c r="U755" s="413" t="s">
        <v>539</v>
      </c>
      <c r="V755" s="413">
        <v>15.0</v>
      </c>
      <c r="W755" s="413">
        <v>5.0</v>
      </c>
      <c r="X755" s="408">
        <v>0.7</v>
      </c>
      <c r="Y755" s="408">
        <v>0.7</v>
      </c>
      <c r="Z755" s="408">
        <v>0.7</v>
      </c>
      <c r="AA755" s="408">
        <v>1700.0</v>
      </c>
      <c r="AB755" s="408" t="s">
        <v>612</v>
      </c>
      <c r="AC755" s="408">
        <v>0.85</v>
      </c>
      <c r="AD755" s="191"/>
      <c r="AE755" s="414"/>
    </row>
    <row r="756" ht="15.0" customHeight="1">
      <c r="A756" s="409"/>
      <c r="B756" s="409"/>
      <c r="C756" s="409"/>
      <c r="D756" s="409"/>
      <c r="E756" s="409"/>
      <c r="F756" s="410"/>
      <c r="G756" s="409"/>
      <c r="H756" s="409"/>
      <c r="I756" s="409"/>
      <c r="J756" s="409"/>
      <c r="K756" s="409"/>
      <c r="L756" s="409"/>
      <c r="M756" s="409"/>
      <c r="N756" s="409"/>
      <c r="O756" s="409"/>
      <c r="P756" s="411"/>
      <c r="Q756" s="412"/>
      <c r="R756" s="412"/>
      <c r="S756" s="411"/>
      <c r="T756" s="411"/>
      <c r="U756" s="413" t="s">
        <v>539</v>
      </c>
      <c r="V756" s="413">
        <v>15.0</v>
      </c>
      <c r="W756" s="413">
        <v>5.0</v>
      </c>
      <c r="X756" s="408">
        <v>0.7</v>
      </c>
      <c r="Y756" s="408">
        <v>0.7</v>
      </c>
      <c r="Z756" s="408">
        <v>0.7</v>
      </c>
      <c r="AA756" s="408">
        <v>1700.0</v>
      </c>
      <c r="AB756" s="408" t="s">
        <v>612</v>
      </c>
      <c r="AC756" s="408">
        <v>0.85</v>
      </c>
      <c r="AD756" s="191"/>
      <c r="AE756" s="414"/>
    </row>
    <row r="757" ht="15.0" customHeight="1">
      <c r="A757" s="409"/>
      <c r="B757" s="409"/>
      <c r="C757" s="409"/>
      <c r="D757" s="409"/>
      <c r="E757" s="409"/>
      <c r="F757" s="410"/>
      <c r="G757" s="409"/>
      <c r="H757" s="409"/>
      <c r="I757" s="409"/>
      <c r="J757" s="409"/>
      <c r="K757" s="409"/>
      <c r="L757" s="409"/>
      <c r="M757" s="409"/>
      <c r="N757" s="409"/>
      <c r="O757" s="409"/>
      <c r="P757" s="411"/>
      <c r="Q757" s="412"/>
      <c r="R757" s="412"/>
      <c r="S757" s="411"/>
      <c r="T757" s="411"/>
      <c r="U757" s="413" t="s">
        <v>539</v>
      </c>
      <c r="V757" s="413">
        <v>15.0</v>
      </c>
      <c r="W757" s="413">
        <v>5.0</v>
      </c>
      <c r="X757" s="408">
        <v>0.7</v>
      </c>
      <c r="Y757" s="408">
        <v>0.7</v>
      </c>
      <c r="Z757" s="408">
        <v>0.7</v>
      </c>
      <c r="AA757" s="408">
        <v>1700.0</v>
      </c>
      <c r="AB757" s="408" t="s">
        <v>612</v>
      </c>
      <c r="AC757" s="408">
        <v>0.85</v>
      </c>
      <c r="AD757" s="191"/>
      <c r="AE757" s="414"/>
    </row>
    <row r="758" ht="15.0" customHeight="1">
      <c r="A758" s="409"/>
      <c r="B758" s="409"/>
      <c r="C758" s="409"/>
      <c r="D758" s="409"/>
      <c r="E758" s="409"/>
      <c r="F758" s="410"/>
      <c r="G758" s="409"/>
      <c r="H758" s="409"/>
      <c r="I758" s="409"/>
      <c r="J758" s="409"/>
      <c r="K758" s="409"/>
      <c r="L758" s="409"/>
      <c r="M758" s="409"/>
      <c r="N758" s="409"/>
      <c r="O758" s="409"/>
      <c r="P758" s="411"/>
      <c r="Q758" s="412"/>
      <c r="R758" s="412"/>
      <c r="S758" s="411"/>
      <c r="T758" s="411"/>
      <c r="U758" s="413" t="s">
        <v>539</v>
      </c>
      <c r="V758" s="413">
        <v>15.0</v>
      </c>
      <c r="W758" s="413">
        <v>5.0</v>
      </c>
      <c r="X758" s="408">
        <v>0.7</v>
      </c>
      <c r="Y758" s="408">
        <v>0.7</v>
      </c>
      <c r="Z758" s="408">
        <v>0.7</v>
      </c>
      <c r="AA758" s="408">
        <v>1700.0</v>
      </c>
      <c r="AB758" s="408" t="s">
        <v>612</v>
      </c>
      <c r="AC758" s="408">
        <v>0.85</v>
      </c>
      <c r="AD758" s="191"/>
      <c r="AE758" s="414"/>
    </row>
    <row r="759" ht="15.0" customHeight="1">
      <c r="A759" s="409"/>
      <c r="B759" s="409"/>
      <c r="C759" s="409"/>
      <c r="D759" s="409"/>
      <c r="E759" s="409"/>
      <c r="F759" s="410"/>
      <c r="G759" s="409"/>
      <c r="H759" s="409"/>
      <c r="I759" s="409"/>
      <c r="J759" s="409"/>
      <c r="K759" s="409"/>
      <c r="L759" s="409"/>
      <c r="M759" s="409"/>
      <c r="N759" s="409"/>
      <c r="O759" s="409"/>
      <c r="P759" s="411"/>
      <c r="Q759" s="412"/>
      <c r="R759" s="412"/>
      <c r="S759" s="411"/>
      <c r="T759" s="411"/>
      <c r="U759" s="413" t="s">
        <v>539</v>
      </c>
      <c r="V759" s="413">
        <v>15.0</v>
      </c>
      <c r="W759" s="413">
        <v>5.0</v>
      </c>
      <c r="X759" s="408">
        <v>0.7</v>
      </c>
      <c r="Y759" s="408">
        <v>0.7</v>
      </c>
      <c r="Z759" s="408">
        <v>0.7</v>
      </c>
      <c r="AA759" s="408">
        <v>1700.0</v>
      </c>
      <c r="AB759" s="408" t="s">
        <v>612</v>
      </c>
      <c r="AC759" s="408">
        <v>0.85</v>
      </c>
      <c r="AD759" s="191"/>
      <c r="AE759" s="414"/>
    </row>
    <row r="760" ht="15.0" customHeight="1">
      <c r="A760" s="409"/>
      <c r="B760" s="409"/>
      <c r="C760" s="409"/>
      <c r="D760" s="409"/>
      <c r="E760" s="409"/>
      <c r="F760" s="410"/>
      <c r="G760" s="409"/>
      <c r="H760" s="409"/>
      <c r="I760" s="409"/>
      <c r="J760" s="409"/>
      <c r="K760" s="409"/>
      <c r="L760" s="409"/>
      <c r="M760" s="409"/>
      <c r="N760" s="409"/>
      <c r="O760" s="409"/>
      <c r="P760" s="411"/>
      <c r="Q760" s="412"/>
      <c r="R760" s="412"/>
      <c r="S760" s="411"/>
      <c r="T760" s="411"/>
      <c r="U760" s="413" t="s">
        <v>539</v>
      </c>
      <c r="V760" s="413">
        <v>15.0</v>
      </c>
      <c r="W760" s="413">
        <v>5.0</v>
      </c>
      <c r="X760" s="408">
        <v>0.7</v>
      </c>
      <c r="Y760" s="408">
        <v>0.7</v>
      </c>
      <c r="Z760" s="408">
        <v>0.7</v>
      </c>
      <c r="AA760" s="408">
        <v>1700.0</v>
      </c>
      <c r="AB760" s="408" t="s">
        <v>612</v>
      </c>
      <c r="AC760" s="408">
        <v>0.85</v>
      </c>
      <c r="AD760" s="191"/>
      <c r="AE760" s="414"/>
    </row>
    <row r="761" ht="15.0" customHeight="1">
      <c r="A761" s="409"/>
      <c r="B761" s="409"/>
      <c r="C761" s="409"/>
      <c r="D761" s="409"/>
      <c r="E761" s="409"/>
      <c r="F761" s="410"/>
      <c r="G761" s="409"/>
      <c r="H761" s="409"/>
      <c r="I761" s="409"/>
      <c r="J761" s="409"/>
      <c r="K761" s="409"/>
      <c r="L761" s="409"/>
      <c r="M761" s="409"/>
      <c r="N761" s="409"/>
      <c r="O761" s="409"/>
      <c r="P761" s="411"/>
      <c r="Q761" s="412"/>
      <c r="R761" s="412"/>
      <c r="S761" s="411"/>
      <c r="T761" s="411"/>
      <c r="U761" s="413" t="s">
        <v>539</v>
      </c>
      <c r="V761" s="413">
        <v>15.0</v>
      </c>
      <c r="W761" s="413">
        <v>5.0</v>
      </c>
      <c r="X761" s="408">
        <v>0.7</v>
      </c>
      <c r="Y761" s="408">
        <v>0.7</v>
      </c>
      <c r="Z761" s="408">
        <v>0.7</v>
      </c>
      <c r="AA761" s="408">
        <v>1700.0</v>
      </c>
      <c r="AB761" s="408" t="s">
        <v>612</v>
      </c>
      <c r="AC761" s="408">
        <v>0.85</v>
      </c>
      <c r="AD761" s="191"/>
      <c r="AE761" s="414"/>
    </row>
    <row r="762" ht="15.0" customHeight="1">
      <c r="A762" s="409"/>
      <c r="B762" s="409"/>
      <c r="C762" s="409"/>
      <c r="D762" s="409"/>
      <c r="E762" s="409"/>
      <c r="F762" s="410"/>
      <c r="G762" s="409"/>
      <c r="H762" s="409"/>
      <c r="I762" s="409"/>
      <c r="J762" s="409"/>
      <c r="K762" s="409"/>
      <c r="L762" s="409"/>
      <c r="M762" s="409"/>
      <c r="N762" s="409"/>
      <c r="O762" s="409"/>
      <c r="P762" s="411"/>
      <c r="Q762" s="412"/>
      <c r="R762" s="412"/>
      <c r="S762" s="411"/>
      <c r="T762" s="411"/>
      <c r="U762" s="413" t="s">
        <v>539</v>
      </c>
      <c r="V762" s="413">
        <v>15.0</v>
      </c>
      <c r="W762" s="413">
        <v>5.0</v>
      </c>
      <c r="X762" s="408">
        <v>0.7</v>
      </c>
      <c r="Y762" s="408">
        <v>0.7</v>
      </c>
      <c r="Z762" s="408">
        <v>0.7</v>
      </c>
      <c r="AA762" s="408">
        <v>1700.0</v>
      </c>
      <c r="AB762" s="408" t="s">
        <v>612</v>
      </c>
      <c r="AC762" s="408">
        <v>0.85</v>
      </c>
      <c r="AD762" s="191"/>
      <c r="AE762" s="414"/>
    </row>
    <row r="763" ht="15.0" customHeight="1">
      <c r="A763" s="409"/>
      <c r="B763" s="409"/>
      <c r="C763" s="409"/>
      <c r="D763" s="409"/>
      <c r="E763" s="409"/>
      <c r="F763" s="410"/>
      <c r="G763" s="409"/>
      <c r="H763" s="409"/>
      <c r="I763" s="409"/>
      <c r="J763" s="409"/>
      <c r="K763" s="409"/>
      <c r="L763" s="409"/>
      <c r="M763" s="409"/>
      <c r="N763" s="409"/>
      <c r="O763" s="409"/>
      <c r="P763" s="411"/>
      <c r="Q763" s="412"/>
      <c r="R763" s="412"/>
      <c r="S763" s="411"/>
      <c r="T763" s="411"/>
      <c r="U763" s="413" t="s">
        <v>539</v>
      </c>
      <c r="V763" s="413">
        <v>15.0</v>
      </c>
      <c r="W763" s="413">
        <v>5.0</v>
      </c>
      <c r="X763" s="408">
        <v>0.7</v>
      </c>
      <c r="Y763" s="408">
        <v>0.7</v>
      </c>
      <c r="Z763" s="408">
        <v>0.7</v>
      </c>
      <c r="AA763" s="408">
        <v>1700.0</v>
      </c>
      <c r="AB763" s="408" t="s">
        <v>612</v>
      </c>
      <c r="AC763" s="408">
        <v>0.85</v>
      </c>
      <c r="AD763" s="191"/>
      <c r="AE763" s="414"/>
    </row>
    <row r="764" ht="15.0" customHeight="1">
      <c r="A764" s="409"/>
      <c r="B764" s="409"/>
      <c r="C764" s="409"/>
      <c r="D764" s="409"/>
      <c r="E764" s="409"/>
      <c r="F764" s="410"/>
      <c r="G764" s="409"/>
      <c r="H764" s="409"/>
      <c r="I764" s="409"/>
      <c r="J764" s="409"/>
      <c r="K764" s="409"/>
      <c r="L764" s="409"/>
      <c r="M764" s="409"/>
      <c r="N764" s="409"/>
      <c r="O764" s="409"/>
      <c r="P764" s="411"/>
      <c r="Q764" s="412"/>
      <c r="R764" s="412"/>
      <c r="S764" s="411"/>
      <c r="T764" s="411"/>
      <c r="U764" s="413" t="s">
        <v>539</v>
      </c>
      <c r="V764" s="413">
        <v>15.0</v>
      </c>
      <c r="W764" s="413">
        <v>5.0</v>
      </c>
      <c r="X764" s="408">
        <v>0.7</v>
      </c>
      <c r="Y764" s="408">
        <v>0.7</v>
      </c>
      <c r="Z764" s="408">
        <v>0.7</v>
      </c>
      <c r="AA764" s="408">
        <v>1700.0</v>
      </c>
      <c r="AB764" s="408" t="s">
        <v>612</v>
      </c>
      <c r="AC764" s="408">
        <v>0.85</v>
      </c>
      <c r="AD764" s="298"/>
      <c r="AE764" s="414"/>
    </row>
    <row r="765" ht="15.0" customHeight="1">
      <c r="A765" s="409"/>
      <c r="B765" s="409"/>
      <c r="C765" s="409"/>
      <c r="D765" s="409"/>
      <c r="E765" s="409"/>
      <c r="F765" s="410"/>
      <c r="G765" s="409"/>
      <c r="H765" s="409"/>
      <c r="I765" s="409"/>
      <c r="J765" s="409"/>
      <c r="K765" s="409"/>
      <c r="L765" s="409"/>
      <c r="M765" s="409"/>
      <c r="N765" s="409"/>
      <c r="O765" s="409"/>
      <c r="P765" s="411"/>
      <c r="Q765" s="412"/>
      <c r="R765" s="412"/>
      <c r="S765" s="411"/>
      <c r="T765" s="411"/>
      <c r="U765" s="413" t="s">
        <v>539</v>
      </c>
      <c r="V765" s="413">
        <v>15.0</v>
      </c>
      <c r="W765" s="413">
        <v>5.0</v>
      </c>
      <c r="X765" s="408">
        <v>0.7</v>
      </c>
      <c r="Y765" s="408">
        <v>0.7</v>
      </c>
      <c r="Z765" s="408">
        <v>0.7</v>
      </c>
      <c r="AA765" s="408">
        <v>1700.0</v>
      </c>
      <c r="AB765" s="408" t="s">
        <v>612</v>
      </c>
      <c r="AC765" s="408">
        <v>0.85</v>
      </c>
      <c r="AD765" s="298"/>
      <c r="AE765" s="414"/>
    </row>
    <row r="766" ht="15.0" customHeight="1">
      <c r="A766" s="409"/>
      <c r="B766" s="409"/>
      <c r="C766" s="409"/>
      <c r="D766" s="409"/>
      <c r="E766" s="409"/>
      <c r="F766" s="410"/>
      <c r="G766" s="409"/>
      <c r="H766" s="409"/>
      <c r="I766" s="409"/>
      <c r="J766" s="409"/>
      <c r="K766" s="409"/>
      <c r="L766" s="409"/>
      <c r="M766" s="409"/>
      <c r="N766" s="409"/>
      <c r="O766" s="409"/>
      <c r="P766" s="411"/>
      <c r="Q766" s="412"/>
      <c r="R766" s="412"/>
      <c r="S766" s="411"/>
      <c r="T766" s="411"/>
      <c r="U766" s="413" t="s">
        <v>539</v>
      </c>
      <c r="V766" s="413">
        <v>15.0</v>
      </c>
      <c r="W766" s="413">
        <v>5.0</v>
      </c>
      <c r="X766" s="408">
        <v>0.7</v>
      </c>
      <c r="Y766" s="408">
        <v>0.7</v>
      </c>
      <c r="Z766" s="408">
        <v>0.7</v>
      </c>
      <c r="AA766" s="408">
        <v>1700.0</v>
      </c>
      <c r="AB766" s="408" t="s">
        <v>612</v>
      </c>
      <c r="AC766" s="408">
        <v>0.85</v>
      </c>
      <c r="AD766" s="298"/>
      <c r="AE766" s="414"/>
    </row>
    <row r="767" ht="15.0" customHeight="1">
      <c r="A767" s="409"/>
      <c r="B767" s="409"/>
      <c r="C767" s="409"/>
      <c r="D767" s="409"/>
      <c r="E767" s="409"/>
      <c r="F767" s="410"/>
      <c r="G767" s="409"/>
      <c r="H767" s="409"/>
      <c r="I767" s="409"/>
      <c r="J767" s="409"/>
      <c r="K767" s="409"/>
      <c r="L767" s="409"/>
      <c r="M767" s="409"/>
      <c r="N767" s="409"/>
      <c r="O767" s="409"/>
      <c r="P767" s="411"/>
      <c r="Q767" s="412"/>
      <c r="R767" s="412"/>
      <c r="S767" s="411"/>
      <c r="T767" s="411"/>
      <c r="U767" s="413" t="s">
        <v>539</v>
      </c>
      <c r="V767" s="413">
        <v>15.0</v>
      </c>
      <c r="W767" s="413">
        <v>5.0</v>
      </c>
      <c r="X767" s="408">
        <v>0.7</v>
      </c>
      <c r="Y767" s="408">
        <v>0.7</v>
      </c>
      <c r="Z767" s="408">
        <v>0.7</v>
      </c>
      <c r="AA767" s="408">
        <v>1700.0</v>
      </c>
      <c r="AB767" s="408" t="s">
        <v>612</v>
      </c>
      <c r="AC767" s="408">
        <v>0.85</v>
      </c>
      <c r="AD767" s="298"/>
      <c r="AE767" s="414"/>
    </row>
    <row r="768" ht="15.0" customHeight="1">
      <c r="A768" s="409"/>
      <c r="B768" s="409"/>
      <c r="C768" s="409"/>
      <c r="D768" s="409"/>
      <c r="E768" s="409"/>
      <c r="F768" s="410"/>
      <c r="G768" s="409"/>
      <c r="H768" s="409"/>
      <c r="I768" s="409"/>
      <c r="J768" s="409"/>
      <c r="K768" s="409"/>
      <c r="L768" s="409"/>
      <c r="M768" s="409"/>
      <c r="N768" s="409"/>
      <c r="O768" s="409"/>
      <c r="P768" s="411"/>
      <c r="Q768" s="412"/>
      <c r="R768" s="412"/>
      <c r="S768" s="411"/>
      <c r="T768" s="411"/>
      <c r="U768" s="413" t="s">
        <v>553</v>
      </c>
      <c r="V768" s="413">
        <v>15.0</v>
      </c>
      <c r="W768" s="413">
        <v>5.0</v>
      </c>
      <c r="X768" s="408">
        <v>0.7</v>
      </c>
      <c r="Y768" s="408">
        <v>0.7</v>
      </c>
      <c r="Z768" s="408">
        <v>0.7</v>
      </c>
      <c r="AA768" s="408">
        <v>1700.0</v>
      </c>
      <c r="AB768" s="408" t="s">
        <v>612</v>
      </c>
      <c r="AC768" s="408">
        <v>0.85</v>
      </c>
      <c r="AD768" s="298"/>
      <c r="AE768" s="414"/>
    </row>
    <row r="769" ht="15.0" customHeight="1">
      <c r="A769" s="409"/>
      <c r="B769" s="409"/>
      <c r="C769" s="409"/>
      <c r="D769" s="409"/>
      <c r="E769" s="409"/>
      <c r="F769" s="410"/>
      <c r="G769" s="409"/>
      <c r="H769" s="409"/>
      <c r="I769" s="409"/>
      <c r="J769" s="409"/>
      <c r="K769" s="409"/>
      <c r="L769" s="409"/>
      <c r="M769" s="409"/>
      <c r="N769" s="409"/>
      <c r="O769" s="409"/>
      <c r="P769" s="411"/>
      <c r="Q769" s="412"/>
      <c r="R769" s="412"/>
      <c r="S769" s="411"/>
      <c r="T769" s="411"/>
      <c r="U769" s="413" t="s">
        <v>539</v>
      </c>
      <c r="V769" s="413">
        <v>15.0</v>
      </c>
      <c r="W769" s="413">
        <v>5.0</v>
      </c>
      <c r="X769" s="408">
        <v>0.7</v>
      </c>
      <c r="Y769" s="408">
        <v>0.7</v>
      </c>
      <c r="Z769" s="408">
        <v>0.7</v>
      </c>
      <c r="AA769" s="408">
        <v>1700.0</v>
      </c>
      <c r="AB769" s="408" t="s">
        <v>612</v>
      </c>
      <c r="AC769" s="408">
        <v>0.85</v>
      </c>
      <c r="AD769" s="298"/>
      <c r="AE769" s="414"/>
    </row>
    <row r="770" ht="15.0" customHeight="1">
      <c r="A770" s="409"/>
      <c r="B770" s="409"/>
      <c r="C770" s="409"/>
      <c r="D770" s="409"/>
      <c r="E770" s="409"/>
      <c r="F770" s="410"/>
      <c r="G770" s="409"/>
      <c r="H770" s="409"/>
      <c r="I770" s="409"/>
      <c r="J770" s="409"/>
      <c r="K770" s="409"/>
      <c r="L770" s="409"/>
      <c r="M770" s="409"/>
      <c r="N770" s="409"/>
      <c r="O770" s="409"/>
      <c r="P770" s="411"/>
      <c r="Q770" s="412"/>
      <c r="R770" s="412"/>
      <c r="S770" s="411"/>
      <c r="T770" s="411"/>
      <c r="U770" s="413" t="s">
        <v>539</v>
      </c>
      <c r="V770" s="413">
        <v>15.0</v>
      </c>
      <c r="W770" s="413">
        <v>5.0</v>
      </c>
      <c r="X770" s="408">
        <v>0.7</v>
      </c>
      <c r="Y770" s="408">
        <v>0.7</v>
      </c>
      <c r="Z770" s="408">
        <v>0.7</v>
      </c>
      <c r="AA770" s="408">
        <v>1700.0</v>
      </c>
      <c r="AB770" s="408" t="s">
        <v>612</v>
      </c>
      <c r="AC770" s="408">
        <v>0.85</v>
      </c>
      <c r="AD770" s="298"/>
      <c r="AE770" s="414"/>
    </row>
    <row r="771" ht="15.0" customHeight="1">
      <c r="A771" s="409"/>
      <c r="B771" s="409"/>
      <c r="C771" s="409"/>
      <c r="D771" s="409"/>
      <c r="E771" s="409"/>
      <c r="F771" s="410"/>
      <c r="G771" s="409"/>
      <c r="H771" s="409"/>
      <c r="I771" s="409"/>
      <c r="J771" s="409"/>
      <c r="K771" s="409"/>
      <c r="L771" s="409"/>
      <c r="M771" s="409"/>
      <c r="N771" s="409"/>
      <c r="O771" s="409"/>
      <c r="P771" s="411"/>
      <c r="Q771" s="412"/>
      <c r="R771" s="412"/>
      <c r="S771" s="411"/>
      <c r="T771" s="411"/>
      <c r="U771" s="413" t="s">
        <v>539</v>
      </c>
      <c r="V771" s="413">
        <v>15.0</v>
      </c>
      <c r="W771" s="413">
        <v>5.0</v>
      </c>
      <c r="X771" s="408">
        <v>0.7</v>
      </c>
      <c r="Y771" s="408">
        <v>0.7</v>
      </c>
      <c r="Z771" s="408">
        <v>0.7</v>
      </c>
      <c r="AA771" s="408">
        <v>1700.0</v>
      </c>
      <c r="AB771" s="408" t="s">
        <v>612</v>
      </c>
      <c r="AC771" s="408">
        <v>0.85</v>
      </c>
      <c r="AD771" s="298"/>
      <c r="AE771" s="414"/>
    </row>
    <row r="772" ht="15.0" customHeight="1">
      <c r="A772" s="409"/>
      <c r="B772" s="409"/>
      <c r="C772" s="409"/>
      <c r="D772" s="409"/>
      <c r="E772" s="409"/>
      <c r="F772" s="410"/>
      <c r="G772" s="409"/>
      <c r="H772" s="409"/>
      <c r="I772" s="409"/>
      <c r="J772" s="409"/>
      <c r="K772" s="409"/>
      <c r="L772" s="409"/>
      <c r="M772" s="409"/>
      <c r="N772" s="409"/>
      <c r="O772" s="409"/>
      <c r="P772" s="411"/>
      <c r="Q772" s="412"/>
      <c r="R772" s="412"/>
      <c r="S772" s="411"/>
      <c r="T772" s="411"/>
      <c r="U772" s="413" t="s">
        <v>539</v>
      </c>
      <c r="V772" s="413">
        <v>15.0</v>
      </c>
      <c r="W772" s="413">
        <v>5.0</v>
      </c>
      <c r="X772" s="408">
        <v>0.7</v>
      </c>
      <c r="Y772" s="408">
        <v>0.7</v>
      </c>
      <c r="Z772" s="408">
        <v>0.7</v>
      </c>
      <c r="AA772" s="408">
        <v>1700.0</v>
      </c>
      <c r="AB772" s="408" t="s">
        <v>612</v>
      </c>
      <c r="AC772" s="408">
        <v>0.85</v>
      </c>
      <c r="AD772" s="298"/>
      <c r="AE772" s="414"/>
    </row>
    <row r="773" ht="15.0" customHeight="1">
      <c r="A773" s="409"/>
      <c r="B773" s="409"/>
      <c r="C773" s="409"/>
      <c r="D773" s="409"/>
      <c r="E773" s="409"/>
      <c r="F773" s="410"/>
      <c r="G773" s="409"/>
      <c r="H773" s="409"/>
      <c r="I773" s="409"/>
      <c r="J773" s="409"/>
      <c r="K773" s="409"/>
      <c r="L773" s="409"/>
      <c r="M773" s="409"/>
      <c r="N773" s="409"/>
      <c r="O773" s="409"/>
      <c r="P773" s="411"/>
      <c r="Q773" s="412"/>
      <c r="R773" s="412"/>
      <c r="S773" s="411"/>
      <c r="T773" s="411"/>
      <c r="U773" s="413" t="s">
        <v>539</v>
      </c>
      <c r="V773" s="413">
        <v>15.0</v>
      </c>
      <c r="W773" s="413">
        <v>5.0</v>
      </c>
      <c r="X773" s="408">
        <v>0.7</v>
      </c>
      <c r="Y773" s="408">
        <v>0.7</v>
      </c>
      <c r="Z773" s="408">
        <v>0.7</v>
      </c>
      <c r="AA773" s="408">
        <v>1700.0</v>
      </c>
      <c r="AB773" s="408" t="s">
        <v>612</v>
      </c>
      <c r="AC773" s="408">
        <v>0.85</v>
      </c>
      <c r="AD773" s="298"/>
      <c r="AE773" s="414"/>
    </row>
    <row r="774" ht="15.0" customHeight="1">
      <c r="A774" s="409"/>
      <c r="B774" s="409"/>
      <c r="C774" s="409"/>
      <c r="D774" s="409"/>
      <c r="E774" s="409"/>
      <c r="F774" s="410"/>
      <c r="G774" s="409"/>
      <c r="H774" s="409"/>
      <c r="I774" s="409"/>
      <c r="J774" s="409"/>
      <c r="K774" s="409"/>
      <c r="L774" s="409"/>
      <c r="M774" s="409"/>
      <c r="N774" s="409"/>
      <c r="O774" s="409"/>
      <c r="P774" s="411"/>
      <c r="Q774" s="412"/>
      <c r="R774" s="412"/>
      <c r="S774" s="411"/>
      <c r="T774" s="411"/>
      <c r="U774" s="413" t="s">
        <v>539</v>
      </c>
      <c r="V774" s="413">
        <v>15.0</v>
      </c>
      <c r="W774" s="413">
        <v>5.0</v>
      </c>
      <c r="X774" s="408">
        <v>0.7</v>
      </c>
      <c r="Y774" s="408">
        <v>0.7</v>
      </c>
      <c r="Z774" s="408">
        <v>0.7</v>
      </c>
      <c r="AA774" s="408">
        <v>1700.0</v>
      </c>
      <c r="AB774" s="408" t="s">
        <v>612</v>
      </c>
      <c r="AC774" s="408">
        <v>0.85</v>
      </c>
      <c r="AD774" s="298"/>
      <c r="AE774" s="414"/>
    </row>
    <row r="775" ht="15.0" customHeight="1">
      <c r="A775" s="409"/>
      <c r="B775" s="409"/>
      <c r="C775" s="409"/>
      <c r="D775" s="409"/>
      <c r="E775" s="409"/>
      <c r="F775" s="410"/>
      <c r="G775" s="409"/>
      <c r="H775" s="409"/>
      <c r="I775" s="409"/>
      <c r="J775" s="409"/>
      <c r="K775" s="409"/>
      <c r="L775" s="409"/>
      <c r="M775" s="409"/>
      <c r="N775" s="409"/>
      <c r="O775" s="409"/>
      <c r="P775" s="411"/>
      <c r="Q775" s="412"/>
      <c r="R775" s="412"/>
      <c r="S775" s="411"/>
      <c r="T775" s="411"/>
      <c r="U775" s="413" t="s">
        <v>539</v>
      </c>
      <c r="V775" s="413">
        <v>15.0</v>
      </c>
      <c r="W775" s="413">
        <v>5.0</v>
      </c>
      <c r="X775" s="408">
        <v>0.7</v>
      </c>
      <c r="Y775" s="408">
        <v>0.7</v>
      </c>
      <c r="Z775" s="408">
        <v>0.7</v>
      </c>
      <c r="AA775" s="408">
        <v>1700.0</v>
      </c>
      <c r="AB775" s="408" t="s">
        <v>612</v>
      </c>
      <c r="AC775" s="408">
        <v>0.85</v>
      </c>
      <c r="AD775" s="298"/>
      <c r="AE775" s="414"/>
    </row>
    <row r="776" ht="15.0" customHeight="1">
      <c r="A776" s="409"/>
      <c r="B776" s="409"/>
      <c r="C776" s="409"/>
      <c r="D776" s="409"/>
      <c r="E776" s="409"/>
      <c r="F776" s="410"/>
      <c r="G776" s="409"/>
      <c r="H776" s="409"/>
      <c r="I776" s="409"/>
      <c r="J776" s="409"/>
      <c r="K776" s="409"/>
      <c r="L776" s="409"/>
      <c r="M776" s="409"/>
      <c r="N776" s="409"/>
      <c r="O776" s="409"/>
      <c r="P776" s="411"/>
      <c r="Q776" s="412"/>
      <c r="R776" s="412"/>
      <c r="S776" s="411"/>
      <c r="T776" s="411"/>
      <c r="U776" s="413" t="s">
        <v>539</v>
      </c>
      <c r="V776" s="413">
        <v>15.0</v>
      </c>
      <c r="W776" s="413">
        <v>5.0</v>
      </c>
      <c r="X776" s="408">
        <v>0.7</v>
      </c>
      <c r="Y776" s="408">
        <v>0.7</v>
      </c>
      <c r="Z776" s="408">
        <v>0.7</v>
      </c>
      <c r="AA776" s="408">
        <v>1700.0</v>
      </c>
      <c r="AB776" s="408" t="s">
        <v>612</v>
      </c>
      <c r="AC776" s="408">
        <v>0.85</v>
      </c>
      <c r="AD776" s="298"/>
      <c r="AE776" s="414"/>
    </row>
    <row r="777" ht="15.0" customHeight="1">
      <c r="A777" s="409"/>
      <c r="B777" s="409"/>
      <c r="C777" s="409"/>
      <c r="D777" s="409"/>
      <c r="E777" s="409"/>
      <c r="F777" s="410"/>
      <c r="G777" s="409"/>
      <c r="H777" s="409"/>
      <c r="I777" s="409"/>
      <c r="J777" s="409"/>
      <c r="K777" s="409"/>
      <c r="L777" s="409"/>
      <c r="M777" s="409"/>
      <c r="N777" s="409"/>
      <c r="O777" s="409"/>
      <c r="P777" s="411"/>
      <c r="Q777" s="412"/>
      <c r="R777" s="412"/>
      <c r="S777" s="411"/>
      <c r="T777" s="411"/>
      <c r="U777" s="413" t="s">
        <v>539</v>
      </c>
      <c r="V777" s="413">
        <v>15.0</v>
      </c>
      <c r="W777" s="413">
        <v>5.0</v>
      </c>
      <c r="X777" s="408">
        <v>0.7</v>
      </c>
      <c r="Y777" s="408">
        <v>0.7</v>
      </c>
      <c r="Z777" s="408">
        <v>0.7</v>
      </c>
      <c r="AA777" s="408">
        <v>1700.0</v>
      </c>
      <c r="AB777" s="408" t="s">
        <v>612</v>
      </c>
      <c r="AC777" s="408">
        <v>0.85</v>
      </c>
      <c r="AD777" s="298"/>
      <c r="AE777" s="414"/>
    </row>
    <row r="778" ht="15.0" customHeight="1">
      <c r="A778" s="409"/>
      <c r="B778" s="409"/>
      <c r="C778" s="409"/>
      <c r="D778" s="409"/>
      <c r="E778" s="409"/>
      <c r="F778" s="410"/>
      <c r="G778" s="409"/>
      <c r="H778" s="409"/>
      <c r="I778" s="409"/>
      <c r="J778" s="409"/>
      <c r="K778" s="409"/>
      <c r="L778" s="409"/>
      <c r="M778" s="409"/>
      <c r="N778" s="409"/>
      <c r="O778" s="409"/>
      <c r="P778" s="411"/>
      <c r="Q778" s="412"/>
      <c r="R778" s="412"/>
      <c r="S778" s="411"/>
      <c r="T778" s="411"/>
      <c r="U778" s="413" t="s">
        <v>539</v>
      </c>
      <c r="V778" s="413">
        <v>15.0</v>
      </c>
      <c r="W778" s="413">
        <v>5.0</v>
      </c>
      <c r="X778" s="408">
        <v>0.7</v>
      </c>
      <c r="Y778" s="408">
        <v>0.7</v>
      </c>
      <c r="Z778" s="408">
        <v>0.7</v>
      </c>
      <c r="AA778" s="408">
        <v>1700.0</v>
      </c>
      <c r="AB778" s="408" t="s">
        <v>612</v>
      </c>
      <c r="AC778" s="408">
        <v>0.85</v>
      </c>
      <c r="AD778" s="298"/>
      <c r="AE778" s="414"/>
    </row>
    <row r="779" ht="15.0" customHeight="1">
      <c r="A779" s="409"/>
      <c r="B779" s="409"/>
      <c r="C779" s="409"/>
      <c r="D779" s="409"/>
      <c r="E779" s="409"/>
      <c r="F779" s="410"/>
      <c r="G779" s="409"/>
      <c r="H779" s="409"/>
      <c r="I779" s="409"/>
      <c r="J779" s="409"/>
      <c r="K779" s="409"/>
      <c r="L779" s="409"/>
      <c r="M779" s="409"/>
      <c r="N779" s="409"/>
      <c r="O779" s="409"/>
      <c r="P779" s="411"/>
      <c r="Q779" s="412"/>
      <c r="R779" s="412"/>
      <c r="S779" s="411"/>
      <c r="T779" s="411"/>
      <c r="U779" s="413" t="s">
        <v>539</v>
      </c>
      <c r="V779" s="413">
        <v>15.0</v>
      </c>
      <c r="W779" s="413">
        <v>5.0</v>
      </c>
      <c r="X779" s="408">
        <v>0.7</v>
      </c>
      <c r="Y779" s="408">
        <v>0.7</v>
      </c>
      <c r="Z779" s="408">
        <v>0.7</v>
      </c>
      <c r="AA779" s="408">
        <v>1700.0</v>
      </c>
      <c r="AB779" s="408" t="s">
        <v>612</v>
      </c>
      <c r="AC779" s="408">
        <v>0.85</v>
      </c>
      <c r="AD779" s="298"/>
      <c r="AE779" s="414"/>
    </row>
    <row r="780" ht="15.0" customHeight="1">
      <c r="A780" s="409"/>
      <c r="B780" s="409"/>
      <c r="C780" s="409"/>
      <c r="D780" s="409"/>
      <c r="E780" s="409"/>
      <c r="F780" s="410"/>
      <c r="G780" s="409"/>
      <c r="H780" s="409"/>
      <c r="I780" s="409"/>
      <c r="J780" s="409"/>
      <c r="K780" s="409"/>
      <c r="L780" s="409"/>
      <c r="M780" s="409"/>
      <c r="N780" s="409"/>
      <c r="O780" s="409"/>
      <c r="P780" s="411"/>
      <c r="Q780" s="412"/>
      <c r="R780" s="412"/>
      <c r="S780" s="411"/>
      <c r="T780" s="411"/>
      <c r="U780" s="413" t="s">
        <v>539</v>
      </c>
      <c r="V780" s="413">
        <v>15.0</v>
      </c>
      <c r="W780" s="413">
        <v>5.0</v>
      </c>
      <c r="X780" s="408">
        <v>0.7</v>
      </c>
      <c r="Y780" s="408">
        <v>0.7</v>
      </c>
      <c r="Z780" s="408">
        <v>0.7</v>
      </c>
      <c r="AA780" s="408">
        <v>1700.0</v>
      </c>
      <c r="AB780" s="408" t="s">
        <v>612</v>
      </c>
      <c r="AC780" s="408">
        <v>0.85</v>
      </c>
      <c r="AD780" s="298"/>
      <c r="AE780" s="414"/>
    </row>
    <row r="781" ht="15.0" customHeight="1">
      <c r="A781" s="409"/>
      <c r="B781" s="409"/>
      <c r="C781" s="409"/>
      <c r="D781" s="409"/>
      <c r="E781" s="409"/>
      <c r="F781" s="410"/>
      <c r="G781" s="409"/>
      <c r="H781" s="409"/>
      <c r="I781" s="409"/>
      <c r="J781" s="409"/>
      <c r="K781" s="409"/>
      <c r="L781" s="409"/>
      <c r="M781" s="409"/>
      <c r="N781" s="409"/>
      <c r="O781" s="409"/>
      <c r="P781" s="411"/>
      <c r="Q781" s="412"/>
      <c r="R781" s="412"/>
      <c r="S781" s="411"/>
      <c r="T781" s="411"/>
      <c r="U781" s="413" t="s">
        <v>539</v>
      </c>
      <c r="V781" s="413">
        <v>15.0</v>
      </c>
      <c r="W781" s="413">
        <v>5.0</v>
      </c>
      <c r="X781" s="408">
        <v>0.7</v>
      </c>
      <c r="Y781" s="408">
        <v>0.7</v>
      </c>
      <c r="Z781" s="408">
        <v>0.7</v>
      </c>
      <c r="AA781" s="408">
        <v>1700.0</v>
      </c>
      <c r="AB781" s="408" t="s">
        <v>612</v>
      </c>
      <c r="AC781" s="408">
        <v>0.85</v>
      </c>
      <c r="AD781" s="298"/>
      <c r="AE781" s="414"/>
    </row>
    <row r="782" ht="15.0" customHeight="1">
      <c r="A782" s="409"/>
      <c r="B782" s="409"/>
      <c r="C782" s="409"/>
      <c r="D782" s="409"/>
      <c r="E782" s="409"/>
      <c r="F782" s="410"/>
      <c r="G782" s="409"/>
      <c r="H782" s="409"/>
      <c r="I782" s="409"/>
      <c r="J782" s="409"/>
      <c r="K782" s="409"/>
      <c r="L782" s="409"/>
      <c r="M782" s="409"/>
      <c r="N782" s="409"/>
      <c r="O782" s="409"/>
      <c r="P782" s="411"/>
      <c r="Q782" s="412"/>
      <c r="R782" s="412"/>
      <c r="S782" s="411"/>
      <c r="T782" s="411"/>
      <c r="U782" s="413" t="s">
        <v>553</v>
      </c>
      <c r="V782" s="413">
        <v>15.0</v>
      </c>
      <c r="W782" s="413">
        <v>5.0</v>
      </c>
      <c r="X782" s="408">
        <v>0.7</v>
      </c>
      <c r="Y782" s="408">
        <v>0.7</v>
      </c>
      <c r="Z782" s="408">
        <v>0.7</v>
      </c>
      <c r="AA782" s="408">
        <v>1700.0</v>
      </c>
      <c r="AB782" s="408" t="s">
        <v>612</v>
      </c>
      <c r="AC782" s="408">
        <v>0.85</v>
      </c>
      <c r="AD782" s="298"/>
      <c r="AE782" s="414"/>
    </row>
    <row r="783" ht="15.0" customHeight="1">
      <c r="A783" s="409"/>
      <c r="B783" s="409"/>
      <c r="C783" s="409"/>
      <c r="D783" s="409"/>
      <c r="E783" s="409"/>
      <c r="F783" s="410"/>
      <c r="G783" s="409"/>
      <c r="H783" s="409"/>
      <c r="I783" s="409"/>
      <c r="J783" s="409"/>
      <c r="K783" s="409"/>
      <c r="L783" s="409"/>
      <c r="M783" s="409"/>
      <c r="N783" s="409"/>
      <c r="O783" s="409"/>
      <c r="P783" s="411"/>
      <c r="Q783" s="412"/>
      <c r="R783" s="412"/>
      <c r="S783" s="411"/>
      <c r="T783" s="411"/>
      <c r="U783" s="413" t="s">
        <v>539</v>
      </c>
      <c r="V783" s="413">
        <v>15.0</v>
      </c>
      <c r="W783" s="413">
        <v>5.0</v>
      </c>
      <c r="X783" s="408">
        <v>0.7</v>
      </c>
      <c r="Y783" s="408">
        <v>0.7</v>
      </c>
      <c r="Z783" s="408">
        <v>0.7</v>
      </c>
      <c r="AA783" s="408">
        <v>1700.0</v>
      </c>
      <c r="AB783" s="408" t="s">
        <v>612</v>
      </c>
      <c r="AC783" s="408">
        <v>0.85</v>
      </c>
      <c r="AD783" s="298"/>
      <c r="AE783" s="414"/>
    </row>
    <row r="784" ht="15.0" customHeight="1">
      <c r="A784" s="409"/>
      <c r="B784" s="409"/>
      <c r="C784" s="409"/>
      <c r="D784" s="409"/>
      <c r="E784" s="409"/>
      <c r="F784" s="410"/>
      <c r="G784" s="409"/>
      <c r="H784" s="409"/>
      <c r="I784" s="409"/>
      <c r="J784" s="409"/>
      <c r="K784" s="409"/>
      <c r="L784" s="409"/>
      <c r="M784" s="409"/>
      <c r="N784" s="409"/>
      <c r="O784" s="409"/>
      <c r="P784" s="411"/>
      <c r="Q784" s="412"/>
      <c r="R784" s="412"/>
      <c r="S784" s="411"/>
      <c r="T784" s="411"/>
      <c r="U784" s="413" t="s">
        <v>539</v>
      </c>
      <c r="V784" s="413">
        <v>15.0</v>
      </c>
      <c r="W784" s="413">
        <v>5.0</v>
      </c>
      <c r="X784" s="408">
        <v>0.7</v>
      </c>
      <c r="Y784" s="408">
        <v>0.7</v>
      </c>
      <c r="Z784" s="408">
        <v>0.7</v>
      </c>
      <c r="AA784" s="408">
        <v>1700.0</v>
      </c>
      <c r="AB784" s="408" t="s">
        <v>612</v>
      </c>
      <c r="AC784" s="408">
        <v>0.85</v>
      </c>
      <c r="AD784" s="298"/>
      <c r="AE784" s="414"/>
    </row>
    <row r="785" ht="15.0" customHeight="1">
      <c r="A785" s="409"/>
      <c r="B785" s="409"/>
      <c r="C785" s="409"/>
      <c r="D785" s="409"/>
      <c r="E785" s="409"/>
      <c r="F785" s="410"/>
      <c r="G785" s="409"/>
      <c r="H785" s="409"/>
      <c r="I785" s="409"/>
      <c r="J785" s="409"/>
      <c r="K785" s="409"/>
      <c r="L785" s="409"/>
      <c r="M785" s="409"/>
      <c r="N785" s="409"/>
      <c r="O785" s="409"/>
      <c r="P785" s="411"/>
      <c r="Q785" s="412"/>
      <c r="R785" s="412"/>
      <c r="S785" s="411"/>
      <c r="T785" s="411"/>
      <c r="U785" s="413" t="s">
        <v>539</v>
      </c>
      <c r="V785" s="413">
        <v>15.0</v>
      </c>
      <c r="W785" s="413">
        <v>5.0</v>
      </c>
      <c r="X785" s="408">
        <v>0.7</v>
      </c>
      <c r="Y785" s="408">
        <v>0.7</v>
      </c>
      <c r="Z785" s="408">
        <v>0.7</v>
      </c>
      <c r="AA785" s="408">
        <v>1700.0</v>
      </c>
      <c r="AB785" s="408" t="s">
        <v>612</v>
      </c>
      <c r="AC785" s="408">
        <v>0.85</v>
      </c>
      <c r="AD785" s="298"/>
      <c r="AE785" s="414"/>
    </row>
    <row r="786" ht="15.0" customHeight="1">
      <c r="A786" s="409"/>
      <c r="B786" s="409"/>
      <c r="C786" s="409"/>
      <c r="D786" s="409"/>
      <c r="E786" s="409"/>
      <c r="F786" s="410"/>
      <c r="G786" s="409"/>
      <c r="H786" s="409"/>
      <c r="I786" s="409"/>
      <c r="J786" s="409"/>
      <c r="K786" s="409"/>
      <c r="L786" s="409"/>
      <c r="M786" s="409"/>
      <c r="N786" s="409"/>
      <c r="O786" s="409"/>
      <c r="P786" s="411"/>
      <c r="Q786" s="412"/>
      <c r="R786" s="412"/>
      <c r="S786" s="411"/>
      <c r="T786" s="411"/>
      <c r="U786" s="413" t="s">
        <v>539</v>
      </c>
      <c r="V786" s="413">
        <v>15.0</v>
      </c>
      <c r="W786" s="413">
        <v>5.0</v>
      </c>
      <c r="X786" s="408">
        <v>0.7</v>
      </c>
      <c r="Y786" s="408">
        <v>0.7</v>
      </c>
      <c r="Z786" s="408">
        <v>0.7</v>
      </c>
      <c r="AA786" s="408">
        <v>1700.0</v>
      </c>
      <c r="AB786" s="408" t="s">
        <v>612</v>
      </c>
      <c r="AC786" s="408">
        <v>0.85</v>
      </c>
      <c r="AD786" s="298"/>
      <c r="AE786" s="414"/>
    </row>
    <row r="787" ht="15.0" customHeight="1">
      <c r="A787" s="409"/>
      <c r="B787" s="409"/>
      <c r="C787" s="409"/>
      <c r="D787" s="409"/>
      <c r="E787" s="409"/>
      <c r="F787" s="410"/>
      <c r="G787" s="409"/>
      <c r="H787" s="409"/>
      <c r="I787" s="409"/>
      <c r="J787" s="409"/>
      <c r="K787" s="409"/>
      <c r="L787" s="409"/>
      <c r="M787" s="409"/>
      <c r="N787" s="409"/>
      <c r="O787" s="409"/>
      <c r="P787" s="411"/>
      <c r="Q787" s="412"/>
      <c r="R787" s="412"/>
      <c r="S787" s="411"/>
      <c r="T787" s="411"/>
      <c r="U787" s="413" t="s">
        <v>539</v>
      </c>
      <c r="V787" s="413">
        <v>15.0</v>
      </c>
      <c r="W787" s="413">
        <v>5.0</v>
      </c>
      <c r="X787" s="408">
        <v>0.7</v>
      </c>
      <c r="Y787" s="408">
        <v>0.7</v>
      </c>
      <c r="Z787" s="408">
        <v>0.7</v>
      </c>
      <c r="AA787" s="408">
        <v>1700.0</v>
      </c>
      <c r="AB787" s="408" t="s">
        <v>612</v>
      </c>
      <c r="AC787" s="408">
        <v>0.85</v>
      </c>
      <c r="AD787" s="298"/>
      <c r="AE787" s="414"/>
    </row>
    <row r="788" ht="15.0" customHeight="1">
      <c r="A788" s="409"/>
      <c r="B788" s="409"/>
      <c r="C788" s="409"/>
      <c r="D788" s="409"/>
      <c r="E788" s="409"/>
      <c r="F788" s="410"/>
      <c r="G788" s="409"/>
      <c r="H788" s="409"/>
      <c r="I788" s="409"/>
      <c r="J788" s="409"/>
      <c r="K788" s="409"/>
      <c r="L788" s="409"/>
      <c r="M788" s="409"/>
      <c r="N788" s="409"/>
      <c r="O788" s="409"/>
      <c r="P788" s="411"/>
      <c r="Q788" s="412"/>
      <c r="R788" s="412"/>
      <c r="S788" s="411"/>
      <c r="T788" s="411"/>
      <c r="U788" s="413" t="s">
        <v>539</v>
      </c>
      <c r="V788" s="413">
        <v>15.0</v>
      </c>
      <c r="W788" s="413">
        <v>5.0</v>
      </c>
      <c r="X788" s="408">
        <v>0.7</v>
      </c>
      <c r="Y788" s="408">
        <v>0.7</v>
      </c>
      <c r="Z788" s="408">
        <v>0.7</v>
      </c>
      <c r="AA788" s="408">
        <v>1700.0</v>
      </c>
      <c r="AB788" s="408" t="s">
        <v>612</v>
      </c>
      <c r="AC788" s="408">
        <v>0.85</v>
      </c>
      <c r="AD788" s="298"/>
      <c r="AE788" s="414"/>
    </row>
    <row r="789" ht="15.0" customHeight="1">
      <c r="A789" s="409"/>
      <c r="B789" s="409"/>
      <c r="C789" s="409"/>
      <c r="D789" s="409"/>
      <c r="E789" s="409"/>
      <c r="F789" s="410"/>
      <c r="G789" s="409"/>
      <c r="H789" s="409"/>
      <c r="I789" s="409"/>
      <c r="J789" s="409"/>
      <c r="K789" s="409"/>
      <c r="L789" s="409"/>
      <c r="M789" s="409"/>
      <c r="N789" s="409"/>
      <c r="O789" s="409"/>
      <c r="P789" s="411"/>
      <c r="Q789" s="412"/>
      <c r="R789" s="412"/>
      <c r="S789" s="411"/>
      <c r="T789" s="411"/>
      <c r="U789" s="413" t="s">
        <v>539</v>
      </c>
      <c r="V789" s="413">
        <v>15.0</v>
      </c>
      <c r="W789" s="413">
        <v>5.0</v>
      </c>
      <c r="X789" s="408">
        <v>0.7</v>
      </c>
      <c r="Y789" s="408">
        <v>0.7</v>
      </c>
      <c r="Z789" s="408">
        <v>0.7</v>
      </c>
      <c r="AA789" s="408">
        <v>1700.0</v>
      </c>
      <c r="AB789" s="408" t="s">
        <v>612</v>
      </c>
      <c r="AC789" s="408">
        <v>0.85</v>
      </c>
      <c r="AD789" s="298"/>
      <c r="AE789" s="414"/>
    </row>
    <row r="790" ht="15.0" customHeight="1">
      <c r="A790" s="409"/>
      <c r="B790" s="409"/>
      <c r="C790" s="409"/>
      <c r="D790" s="409"/>
      <c r="E790" s="409"/>
      <c r="F790" s="410"/>
      <c r="G790" s="409"/>
      <c r="H790" s="409"/>
      <c r="I790" s="409"/>
      <c r="J790" s="409"/>
      <c r="K790" s="409"/>
      <c r="L790" s="409"/>
      <c r="M790" s="409"/>
      <c r="N790" s="409"/>
      <c r="O790" s="409"/>
      <c r="P790" s="411"/>
      <c r="Q790" s="412"/>
      <c r="R790" s="412"/>
      <c r="S790" s="411"/>
      <c r="T790" s="411"/>
      <c r="U790" s="413" t="s">
        <v>553</v>
      </c>
      <c r="V790" s="413">
        <v>15.0</v>
      </c>
      <c r="W790" s="413">
        <v>5.0</v>
      </c>
      <c r="X790" s="408">
        <v>0.7</v>
      </c>
      <c r="Y790" s="408">
        <v>0.7</v>
      </c>
      <c r="Z790" s="408">
        <v>0.7</v>
      </c>
      <c r="AA790" s="408">
        <v>1700.0</v>
      </c>
      <c r="AB790" s="408" t="s">
        <v>612</v>
      </c>
      <c r="AC790" s="408">
        <v>0.85</v>
      </c>
      <c r="AD790" s="298"/>
      <c r="AE790" s="414"/>
    </row>
    <row r="791" ht="15.0" customHeight="1">
      <c r="A791" s="409"/>
      <c r="B791" s="409"/>
      <c r="C791" s="409"/>
      <c r="D791" s="409"/>
      <c r="E791" s="409"/>
      <c r="F791" s="410"/>
      <c r="G791" s="409"/>
      <c r="H791" s="409"/>
      <c r="I791" s="409"/>
      <c r="J791" s="409"/>
      <c r="K791" s="409"/>
      <c r="L791" s="409"/>
      <c r="M791" s="409"/>
      <c r="N791" s="409"/>
      <c r="O791" s="409"/>
      <c r="P791" s="411"/>
      <c r="Q791" s="412"/>
      <c r="R791" s="412"/>
      <c r="S791" s="411"/>
      <c r="T791" s="411"/>
      <c r="U791" s="413" t="s">
        <v>539</v>
      </c>
      <c r="V791" s="413">
        <v>15.0</v>
      </c>
      <c r="W791" s="413">
        <v>5.0</v>
      </c>
      <c r="X791" s="408">
        <v>0.7</v>
      </c>
      <c r="Y791" s="408">
        <v>0.7</v>
      </c>
      <c r="Z791" s="408">
        <v>0.7</v>
      </c>
      <c r="AA791" s="408">
        <v>1700.0</v>
      </c>
      <c r="AB791" s="408" t="s">
        <v>612</v>
      </c>
      <c r="AC791" s="408">
        <v>0.85</v>
      </c>
      <c r="AD791" s="298"/>
      <c r="AE791" s="414"/>
    </row>
    <row r="792" ht="15.0" customHeight="1">
      <c r="A792" s="409"/>
      <c r="B792" s="409"/>
      <c r="C792" s="409"/>
      <c r="D792" s="409"/>
      <c r="E792" s="409"/>
      <c r="F792" s="410"/>
      <c r="G792" s="409"/>
      <c r="H792" s="409"/>
      <c r="I792" s="409"/>
      <c r="J792" s="409"/>
      <c r="K792" s="409"/>
      <c r="L792" s="409"/>
      <c r="M792" s="409"/>
      <c r="N792" s="409"/>
      <c r="O792" s="409"/>
      <c r="P792" s="411"/>
      <c r="Q792" s="412"/>
      <c r="R792" s="412"/>
      <c r="S792" s="411"/>
      <c r="T792" s="411"/>
      <c r="U792" s="413" t="s">
        <v>553</v>
      </c>
      <c r="V792" s="413">
        <v>15.0</v>
      </c>
      <c r="W792" s="413">
        <v>5.0</v>
      </c>
      <c r="X792" s="408">
        <v>0.7</v>
      </c>
      <c r="Y792" s="408">
        <v>0.7</v>
      </c>
      <c r="Z792" s="408">
        <v>0.7</v>
      </c>
      <c r="AA792" s="408">
        <v>1700.0</v>
      </c>
      <c r="AB792" s="408" t="s">
        <v>612</v>
      </c>
      <c r="AC792" s="408">
        <v>0.85</v>
      </c>
      <c r="AD792" s="298"/>
      <c r="AE792" s="414"/>
    </row>
    <row r="793" ht="15.0" customHeight="1">
      <c r="A793" s="409"/>
      <c r="B793" s="409"/>
      <c r="C793" s="409"/>
      <c r="D793" s="409"/>
      <c r="E793" s="409"/>
      <c r="F793" s="410"/>
      <c r="G793" s="409"/>
      <c r="H793" s="409"/>
      <c r="I793" s="409"/>
      <c r="J793" s="409"/>
      <c r="K793" s="409"/>
      <c r="L793" s="409"/>
      <c r="M793" s="409"/>
      <c r="N793" s="409"/>
      <c r="O793" s="409"/>
      <c r="P793" s="411"/>
      <c r="Q793" s="412"/>
      <c r="R793" s="412"/>
      <c r="S793" s="411"/>
      <c r="T793" s="411"/>
      <c r="U793" s="413" t="s">
        <v>539</v>
      </c>
      <c r="V793" s="413">
        <v>15.0</v>
      </c>
      <c r="W793" s="413">
        <v>5.0</v>
      </c>
      <c r="X793" s="408">
        <v>0.7</v>
      </c>
      <c r="Y793" s="408">
        <v>0.7</v>
      </c>
      <c r="Z793" s="408">
        <v>0.7</v>
      </c>
      <c r="AA793" s="408">
        <v>1700.0</v>
      </c>
      <c r="AB793" s="408" t="s">
        <v>612</v>
      </c>
      <c r="AC793" s="408">
        <v>0.85</v>
      </c>
      <c r="AD793" s="298"/>
      <c r="AE793" s="414"/>
    </row>
    <row r="794" ht="15.0" customHeight="1">
      <c r="A794" s="409"/>
      <c r="B794" s="409"/>
      <c r="C794" s="409"/>
      <c r="D794" s="409"/>
      <c r="E794" s="409"/>
      <c r="F794" s="410"/>
      <c r="G794" s="409"/>
      <c r="H794" s="409"/>
      <c r="I794" s="409"/>
      <c r="J794" s="409"/>
      <c r="K794" s="409"/>
      <c r="L794" s="409"/>
      <c r="M794" s="409"/>
      <c r="N794" s="409"/>
      <c r="O794" s="409"/>
      <c r="P794" s="411"/>
      <c r="Q794" s="412"/>
      <c r="R794" s="412"/>
      <c r="S794" s="411"/>
      <c r="T794" s="411"/>
      <c r="U794" s="413" t="s">
        <v>539</v>
      </c>
      <c r="V794" s="413">
        <v>15.0</v>
      </c>
      <c r="W794" s="413">
        <v>5.0</v>
      </c>
      <c r="X794" s="408">
        <v>0.7</v>
      </c>
      <c r="Y794" s="408">
        <v>0.7</v>
      </c>
      <c r="Z794" s="408">
        <v>0.7</v>
      </c>
      <c r="AA794" s="408">
        <v>1700.0</v>
      </c>
      <c r="AB794" s="408" t="s">
        <v>612</v>
      </c>
      <c r="AC794" s="408">
        <v>0.85</v>
      </c>
      <c r="AD794" s="298"/>
      <c r="AE794" s="414"/>
    </row>
    <row r="795" ht="15.0" customHeight="1">
      <c r="A795" s="409"/>
      <c r="B795" s="409"/>
      <c r="C795" s="409"/>
      <c r="D795" s="409"/>
      <c r="E795" s="409"/>
      <c r="F795" s="410"/>
      <c r="G795" s="409"/>
      <c r="H795" s="409"/>
      <c r="I795" s="409"/>
      <c r="J795" s="409"/>
      <c r="K795" s="409"/>
      <c r="L795" s="409"/>
      <c r="M795" s="409"/>
      <c r="N795" s="409"/>
      <c r="O795" s="409"/>
      <c r="P795" s="411"/>
      <c r="Q795" s="412"/>
      <c r="R795" s="412"/>
      <c r="S795" s="411"/>
      <c r="T795" s="411"/>
      <c r="U795" s="413" t="s">
        <v>539</v>
      </c>
      <c r="V795" s="413">
        <v>15.0</v>
      </c>
      <c r="W795" s="413">
        <v>5.0</v>
      </c>
      <c r="X795" s="408">
        <v>0.7</v>
      </c>
      <c r="Y795" s="408">
        <v>0.7</v>
      </c>
      <c r="Z795" s="408">
        <v>0.7</v>
      </c>
      <c r="AA795" s="408">
        <v>1700.0</v>
      </c>
      <c r="AB795" s="408" t="s">
        <v>612</v>
      </c>
      <c r="AC795" s="408">
        <v>0.85</v>
      </c>
      <c r="AD795" s="298"/>
      <c r="AE795" s="414"/>
    </row>
    <row r="796" ht="15.0" customHeight="1">
      <c r="A796" s="409"/>
      <c r="B796" s="409"/>
      <c r="C796" s="409"/>
      <c r="D796" s="409"/>
      <c r="E796" s="409"/>
      <c r="F796" s="410"/>
      <c r="G796" s="409"/>
      <c r="H796" s="409"/>
      <c r="I796" s="409"/>
      <c r="J796" s="409"/>
      <c r="K796" s="409"/>
      <c r="L796" s="409"/>
      <c r="M796" s="409"/>
      <c r="N796" s="409"/>
      <c r="O796" s="409"/>
      <c r="P796" s="411"/>
      <c r="Q796" s="412"/>
      <c r="R796" s="412"/>
      <c r="S796" s="411"/>
      <c r="T796" s="411"/>
      <c r="U796" s="413" t="s">
        <v>539</v>
      </c>
      <c r="V796" s="413">
        <v>15.0</v>
      </c>
      <c r="W796" s="413">
        <v>5.0</v>
      </c>
      <c r="X796" s="408">
        <v>0.7</v>
      </c>
      <c r="Y796" s="408">
        <v>0.7</v>
      </c>
      <c r="Z796" s="408">
        <v>0.7</v>
      </c>
      <c r="AA796" s="408">
        <v>1700.0</v>
      </c>
      <c r="AB796" s="408" t="s">
        <v>612</v>
      </c>
      <c r="AC796" s="408">
        <v>0.85</v>
      </c>
      <c r="AD796" s="298"/>
      <c r="AE796" s="414"/>
    </row>
    <row r="797" ht="15.0" customHeight="1">
      <c r="A797" s="409"/>
      <c r="B797" s="409"/>
      <c r="C797" s="409"/>
      <c r="D797" s="409"/>
      <c r="E797" s="409"/>
      <c r="F797" s="410"/>
      <c r="G797" s="409"/>
      <c r="H797" s="409"/>
      <c r="I797" s="409"/>
      <c r="J797" s="409"/>
      <c r="K797" s="409"/>
      <c r="L797" s="409"/>
      <c r="M797" s="409"/>
      <c r="N797" s="409"/>
      <c r="O797" s="409"/>
      <c r="P797" s="411"/>
      <c r="Q797" s="412"/>
      <c r="R797" s="412"/>
      <c r="S797" s="411"/>
      <c r="T797" s="411"/>
      <c r="U797" s="413" t="s">
        <v>553</v>
      </c>
      <c r="V797" s="413">
        <v>15.0</v>
      </c>
      <c r="W797" s="413">
        <v>5.0</v>
      </c>
      <c r="X797" s="408">
        <v>0.7</v>
      </c>
      <c r="Y797" s="408">
        <v>0.7</v>
      </c>
      <c r="Z797" s="408">
        <v>0.7</v>
      </c>
      <c r="AA797" s="408">
        <v>1700.0</v>
      </c>
      <c r="AB797" s="408" t="s">
        <v>612</v>
      </c>
      <c r="AC797" s="408">
        <v>0.85</v>
      </c>
      <c r="AD797" s="298"/>
      <c r="AE797" s="414"/>
    </row>
    <row r="798" ht="15.0" customHeight="1">
      <c r="A798" s="409"/>
      <c r="B798" s="409"/>
      <c r="C798" s="409"/>
      <c r="D798" s="409"/>
      <c r="E798" s="409"/>
      <c r="F798" s="410"/>
      <c r="G798" s="409"/>
      <c r="H798" s="409"/>
      <c r="I798" s="409"/>
      <c r="J798" s="409"/>
      <c r="K798" s="409"/>
      <c r="L798" s="409"/>
      <c r="M798" s="409"/>
      <c r="N798" s="409"/>
      <c r="O798" s="409"/>
      <c r="P798" s="411"/>
      <c r="Q798" s="412"/>
      <c r="R798" s="412"/>
      <c r="S798" s="411"/>
      <c r="T798" s="411"/>
      <c r="U798" s="413" t="s">
        <v>539</v>
      </c>
      <c r="V798" s="413">
        <v>15.0</v>
      </c>
      <c r="W798" s="413">
        <v>5.0</v>
      </c>
      <c r="X798" s="408">
        <v>0.7</v>
      </c>
      <c r="Y798" s="408">
        <v>0.7</v>
      </c>
      <c r="Z798" s="408">
        <v>0.7</v>
      </c>
      <c r="AA798" s="408">
        <v>1700.0</v>
      </c>
      <c r="AB798" s="408" t="s">
        <v>612</v>
      </c>
      <c r="AC798" s="408">
        <v>0.85</v>
      </c>
      <c r="AD798" s="298"/>
      <c r="AE798" s="414"/>
    </row>
    <row r="799" ht="15.0" customHeight="1">
      <c r="A799" s="409"/>
      <c r="B799" s="409"/>
      <c r="C799" s="409"/>
      <c r="D799" s="409"/>
      <c r="E799" s="409"/>
      <c r="F799" s="410"/>
      <c r="G799" s="409"/>
      <c r="H799" s="409"/>
      <c r="I799" s="409"/>
      <c r="J799" s="409"/>
      <c r="K799" s="409"/>
      <c r="L799" s="409"/>
      <c r="M799" s="409"/>
      <c r="N799" s="409"/>
      <c r="O799" s="409"/>
      <c r="P799" s="411"/>
      <c r="Q799" s="412"/>
      <c r="R799" s="412"/>
      <c r="S799" s="411"/>
      <c r="T799" s="411"/>
      <c r="U799" s="413" t="s">
        <v>539</v>
      </c>
      <c r="V799" s="413">
        <v>15.0</v>
      </c>
      <c r="W799" s="413">
        <v>5.0</v>
      </c>
      <c r="X799" s="408">
        <v>0.7</v>
      </c>
      <c r="Y799" s="408">
        <v>0.7</v>
      </c>
      <c r="Z799" s="408">
        <v>0.7</v>
      </c>
      <c r="AA799" s="408">
        <v>1700.0</v>
      </c>
      <c r="AB799" s="408" t="s">
        <v>612</v>
      </c>
      <c r="AC799" s="408">
        <v>0.85</v>
      </c>
      <c r="AD799" s="298"/>
      <c r="AE799" s="414"/>
    </row>
    <row r="800" ht="15.0" customHeight="1">
      <c r="A800" s="409"/>
      <c r="B800" s="409"/>
      <c r="C800" s="409"/>
      <c r="D800" s="409"/>
      <c r="E800" s="409"/>
      <c r="F800" s="410"/>
      <c r="G800" s="409"/>
      <c r="H800" s="409"/>
      <c r="I800" s="409"/>
      <c r="J800" s="409"/>
      <c r="K800" s="409"/>
      <c r="L800" s="409"/>
      <c r="M800" s="409"/>
      <c r="N800" s="409"/>
      <c r="O800" s="409"/>
      <c r="P800" s="411"/>
      <c r="Q800" s="412"/>
      <c r="R800" s="412"/>
      <c r="S800" s="411"/>
      <c r="T800" s="411"/>
      <c r="U800" s="413" t="s">
        <v>539</v>
      </c>
      <c r="V800" s="413">
        <v>15.0</v>
      </c>
      <c r="W800" s="413">
        <v>5.0</v>
      </c>
      <c r="X800" s="408">
        <v>0.7</v>
      </c>
      <c r="Y800" s="408">
        <v>0.7</v>
      </c>
      <c r="Z800" s="408">
        <v>0.7</v>
      </c>
      <c r="AA800" s="408">
        <v>1700.0</v>
      </c>
      <c r="AB800" s="408" t="s">
        <v>612</v>
      </c>
      <c r="AC800" s="408">
        <v>0.85</v>
      </c>
      <c r="AD800" s="298"/>
      <c r="AE800" s="414"/>
    </row>
    <row r="801" ht="15.0" customHeight="1">
      <c r="A801" s="409"/>
      <c r="B801" s="409"/>
      <c r="C801" s="409"/>
      <c r="D801" s="409"/>
      <c r="E801" s="409"/>
      <c r="F801" s="410"/>
      <c r="G801" s="409"/>
      <c r="H801" s="409"/>
      <c r="I801" s="409"/>
      <c r="J801" s="409"/>
      <c r="K801" s="409"/>
      <c r="L801" s="409"/>
      <c r="M801" s="409"/>
      <c r="N801" s="409"/>
      <c r="O801" s="409"/>
      <c r="P801" s="411"/>
      <c r="Q801" s="412"/>
      <c r="R801" s="412"/>
      <c r="S801" s="411"/>
      <c r="T801" s="411"/>
      <c r="U801" s="413" t="s">
        <v>553</v>
      </c>
      <c r="V801" s="413">
        <v>15.0</v>
      </c>
      <c r="W801" s="413">
        <v>5.0</v>
      </c>
      <c r="X801" s="408">
        <v>0.7</v>
      </c>
      <c r="Y801" s="408">
        <v>0.7</v>
      </c>
      <c r="Z801" s="408">
        <v>0.7</v>
      </c>
      <c r="AA801" s="408">
        <v>1700.0</v>
      </c>
      <c r="AB801" s="408" t="s">
        <v>612</v>
      </c>
      <c r="AC801" s="408">
        <v>0.85</v>
      </c>
      <c r="AD801" s="298"/>
      <c r="AE801" s="414"/>
    </row>
    <row r="802" ht="15.0" customHeight="1">
      <c r="A802" s="409"/>
      <c r="B802" s="409"/>
      <c r="C802" s="409"/>
      <c r="D802" s="409"/>
      <c r="E802" s="409"/>
      <c r="F802" s="410"/>
      <c r="G802" s="409"/>
      <c r="H802" s="409"/>
      <c r="I802" s="409"/>
      <c r="J802" s="409"/>
      <c r="K802" s="409"/>
      <c r="L802" s="409"/>
      <c r="M802" s="409"/>
      <c r="N802" s="409"/>
      <c r="O802" s="409"/>
      <c r="P802" s="411"/>
      <c r="Q802" s="412"/>
      <c r="R802" s="412"/>
      <c r="S802" s="411"/>
      <c r="T802" s="411"/>
      <c r="U802" s="413" t="s">
        <v>539</v>
      </c>
      <c r="V802" s="413">
        <v>15.0</v>
      </c>
      <c r="W802" s="413">
        <v>5.0</v>
      </c>
      <c r="X802" s="408">
        <v>0.7</v>
      </c>
      <c r="Y802" s="408">
        <v>0.7</v>
      </c>
      <c r="Z802" s="408">
        <v>0.7</v>
      </c>
      <c r="AA802" s="408">
        <v>1700.0</v>
      </c>
      <c r="AB802" s="408" t="s">
        <v>612</v>
      </c>
      <c r="AC802" s="408">
        <v>0.85</v>
      </c>
      <c r="AD802" s="298"/>
      <c r="AE802" s="414"/>
    </row>
    <row r="803" ht="15.0" customHeight="1">
      <c r="A803" s="409"/>
      <c r="B803" s="409"/>
      <c r="C803" s="409"/>
      <c r="D803" s="409"/>
      <c r="E803" s="409"/>
      <c r="F803" s="410"/>
      <c r="G803" s="409"/>
      <c r="H803" s="409"/>
      <c r="I803" s="409"/>
      <c r="J803" s="409"/>
      <c r="K803" s="409"/>
      <c r="L803" s="409"/>
      <c r="M803" s="409"/>
      <c r="N803" s="409"/>
      <c r="O803" s="409"/>
      <c r="P803" s="411"/>
      <c r="Q803" s="412"/>
      <c r="R803" s="412"/>
      <c r="S803" s="411"/>
      <c r="T803" s="411"/>
      <c r="U803" s="413" t="s">
        <v>553</v>
      </c>
      <c r="V803" s="413">
        <v>15.0</v>
      </c>
      <c r="W803" s="413">
        <v>5.0</v>
      </c>
      <c r="X803" s="408">
        <v>0.7</v>
      </c>
      <c r="Y803" s="408">
        <v>0.7</v>
      </c>
      <c r="Z803" s="408">
        <v>0.7</v>
      </c>
      <c r="AA803" s="408">
        <v>1700.0</v>
      </c>
      <c r="AB803" s="408" t="s">
        <v>612</v>
      </c>
      <c r="AC803" s="408">
        <v>0.85</v>
      </c>
      <c r="AD803" s="298"/>
      <c r="AE803" s="414"/>
    </row>
    <row r="804" ht="15.0" customHeight="1">
      <c r="A804" s="409"/>
      <c r="B804" s="409"/>
      <c r="C804" s="409"/>
      <c r="D804" s="409"/>
      <c r="E804" s="409"/>
      <c r="F804" s="410"/>
      <c r="G804" s="409"/>
      <c r="H804" s="409"/>
      <c r="I804" s="409"/>
      <c r="J804" s="409"/>
      <c r="K804" s="409"/>
      <c r="L804" s="409"/>
      <c r="M804" s="409"/>
      <c r="N804" s="409"/>
      <c r="O804" s="409"/>
      <c r="P804" s="411"/>
      <c r="Q804" s="412"/>
      <c r="R804" s="412"/>
      <c r="S804" s="411"/>
      <c r="T804" s="411"/>
      <c r="U804" s="413" t="s">
        <v>539</v>
      </c>
      <c r="V804" s="413">
        <v>15.0</v>
      </c>
      <c r="W804" s="413">
        <v>5.0</v>
      </c>
      <c r="X804" s="408">
        <v>0.7</v>
      </c>
      <c r="Y804" s="408">
        <v>0.7</v>
      </c>
      <c r="Z804" s="408">
        <v>0.7</v>
      </c>
      <c r="AA804" s="408">
        <v>1700.0</v>
      </c>
      <c r="AB804" s="408" t="s">
        <v>612</v>
      </c>
      <c r="AC804" s="408">
        <v>0.85</v>
      </c>
      <c r="AD804" s="298"/>
      <c r="AE804" s="414"/>
    </row>
    <row r="805" ht="15.0" customHeight="1">
      <c r="A805" s="409"/>
      <c r="B805" s="409"/>
      <c r="C805" s="409"/>
      <c r="D805" s="409"/>
      <c r="E805" s="409"/>
      <c r="F805" s="410"/>
      <c r="G805" s="409"/>
      <c r="H805" s="409"/>
      <c r="I805" s="409"/>
      <c r="J805" s="409"/>
      <c r="K805" s="409"/>
      <c r="L805" s="409"/>
      <c r="M805" s="409"/>
      <c r="N805" s="409"/>
      <c r="O805" s="409"/>
      <c r="P805" s="411"/>
      <c r="Q805" s="412"/>
      <c r="R805" s="412"/>
      <c r="S805" s="411"/>
      <c r="T805" s="411"/>
      <c r="U805" s="413" t="s">
        <v>607</v>
      </c>
      <c r="V805" s="413">
        <v>15.0</v>
      </c>
      <c r="W805" s="413">
        <v>5.0</v>
      </c>
      <c r="X805" s="408">
        <v>0.7</v>
      </c>
      <c r="Y805" s="408">
        <v>0.7</v>
      </c>
      <c r="Z805" s="408">
        <v>0.7</v>
      </c>
      <c r="AA805" s="408">
        <v>1700.0</v>
      </c>
      <c r="AB805" s="408" t="s">
        <v>612</v>
      </c>
      <c r="AC805" s="408">
        <v>0.85</v>
      </c>
      <c r="AD805" s="298"/>
      <c r="AE805" s="414"/>
    </row>
    <row r="806" ht="15.0" customHeight="1">
      <c r="A806" s="409"/>
      <c r="B806" s="409"/>
      <c r="C806" s="409"/>
      <c r="D806" s="409"/>
      <c r="E806" s="409"/>
      <c r="F806" s="410"/>
      <c r="G806" s="409"/>
      <c r="H806" s="409"/>
      <c r="I806" s="409"/>
      <c r="J806" s="409"/>
      <c r="K806" s="409"/>
      <c r="L806" s="409"/>
      <c r="M806" s="409"/>
      <c r="N806" s="409"/>
      <c r="O806" s="409"/>
      <c r="P806" s="411"/>
      <c r="Q806" s="412"/>
      <c r="R806" s="412"/>
      <c r="S806" s="411"/>
      <c r="T806" s="411"/>
      <c r="U806" s="413" t="s">
        <v>607</v>
      </c>
      <c r="V806" s="413">
        <v>15.0</v>
      </c>
      <c r="W806" s="413">
        <v>5.0</v>
      </c>
      <c r="X806" s="408">
        <v>0.7</v>
      </c>
      <c r="Y806" s="408">
        <v>0.7</v>
      </c>
      <c r="Z806" s="408">
        <v>0.7</v>
      </c>
      <c r="AA806" s="408">
        <v>1700.0</v>
      </c>
      <c r="AB806" s="408" t="s">
        <v>612</v>
      </c>
      <c r="AC806" s="408">
        <v>0.85</v>
      </c>
      <c r="AD806" s="298"/>
      <c r="AE806" s="414"/>
    </row>
    <row r="807" ht="15.0" customHeight="1">
      <c r="A807" s="409"/>
      <c r="B807" s="409"/>
      <c r="C807" s="409"/>
      <c r="D807" s="409"/>
      <c r="E807" s="409"/>
      <c r="F807" s="410"/>
      <c r="G807" s="409"/>
      <c r="H807" s="409"/>
      <c r="I807" s="409"/>
      <c r="J807" s="409"/>
      <c r="K807" s="409"/>
      <c r="L807" s="409"/>
      <c r="M807" s="409"/>
      <c r="N807" s="409"/>
      <c r="O807" s="409"/>
      <c r="P807" s="411"/>
      <c r="Q807" s="412"/>
      <c r="R807" s="412"/>
      <c r="S807" s="411"/>
      <c r="T807" s="411"/>
      <c r="U807" s="413" t="s">
        <v>607</v>
      </c>
      <c r="V807" s="413">
        <v>15.0</v>
      </c>
      <c r="W807" s="413">
        <v>5.0</v>
      </c>
      <c r="X807" s="408">
        <v>0.7</v>
      </c>
      <c r="Y807" s="408">
        <v>0.7</v>
      </c>
      <c r="Z807" s="408">
        <v>0.7</v>
      </c>
      <c r="AA807" s="408">
        <v>1700.0</v>
      </c>
      <c r="AB807" s="408" t="s">
        <v>612</v>
      </c>
      <c r="AC807" s="408">
        <v>0.85</v>
      </c>
      <c r="AD807" s="298"/>
      <c r="AE807" s="414"/>
    </row>
    <row r="808" ht="15.0" customHeight="1">
      <c r="A808" s="409"/>
      <c r="B808" s="409"/>
      <c r="C808" s="409"/>
      <c r="D808" s="409"/>
      <c r="E808" s="409"/>
      <c r="F808" s="410"/>
      <c r="G808" s="409"/>
      <c r="H808" s="409"/>
      <c r="I808" s="409"/>
      <c r="J808" s="409"/>
      <c r="K808" s="409"/>
      <c r="L808" s="409"/>
      <c r="M808" s="409"/>
      <c r="N808" s="409"/>
      <c r="O808" s="409"/>
      <c r="P808" s="411"/>
      <c r="Q808" s="412"/>
      <c r="R808" s="412"/>
      <c r="S808" s="411"/>
      <c r="T808" s="411"/>
      <c r="U808" s="413" t="s">
        <v>607</v>
      </c>
      <c r="V808" s="413">
        <v>15.0</v>
      </c>
      <c r="W808" s="413">
        <v>5.0</v>
      </c>
      <c r="X808" s="408">
        <v>0.7</v>
      </c>
      <c r="Y808" s="408">
        <v>0.7</v>
      </c>
      <c r="Z808" s="408">
        <v>0.7</v>
      </c>
      <c r="AA808" s="408">
        <v>1700.0</v>
      </c>
      <c r="AB808" s="408" t="s">
        <v>612</v>
      </c>
      <c r="AC808" s="408">
        <v>0.85</v>
      </c>
      <c r="AD808" s="298"/>
      <c r="AE808" s="414"/>
    </row>
    <row r="809" ht="15.0" customHeight="1">
      <c r="A809" s="409"/>
      <c r="B809" s="409"/>
      <c r="C809" s="409"/>
      <c r="D809" s="409"/>
      <c r="E809" s="409"/>
      <c r="F809" s="410"/>
      <c r="G809" s="409"/>
      <c r="H809" s="409"/>
      <c r="I809" s="409"/>
      <c r="J809" s="409"/>
      <c r="K809" s="409"/>
      <c r="L809" s="409"/>
      <c r="M809" s="409"/>
      <c r="N809" s="409"/>
      <c r="O809" s="409"/>
      <c r="P809" s="411"/>
      <c r="Q809" s="412"/>
      <c r="R809" s="412"/>
      <c r="S809" s="411"/>
      <c r="T809" s="411"/>
      <c r="U809" s="413" t="s">
        <v>607</v>
      </c>
      <c r="V809" s="413">
        <v>15.0</v>
      </c>
      <c r="W809" s="413">
        <v>5.0</v>
      </c>
      <c r="X809" s="408">
        <v>0.7</v>
      </c>
      <c r="Y809" s="408">
        <v>0.7</v>
      </c>
      <c r="Z809" s="408">
        <v>0.7</v>
      </c>
      <c r="AA809" s="408">
        <v>1700.0</v>
      </c>
      <c r="AB809" s="408" t="s">
        <v>612</v>
      </c>
      <c r="AC809" s="408">
        <v>0.85</v>
      </c>
      <c r="AD809" s="298"/>
      <c r="AE809" s="414"/>
    </row>
    <row r="810" ht="15.0" customHeight="1">
      <c r="A810" s="409"/>
      <c r="B810" s="409"/>
      <c r="C810" s="409"/>
      <c r="D810" s="409"/>
      <c r="E810" s="409"/>
      <c r="F810" s="410"/>
      <c r="G810" s="409"/>
      <c r="H810" s="409"/>
      <c r="I810" s="409"/>
      <c r="J810" s="409"/>
      <c r="K810" s="409"/>
      <c r="L810" s="409"/>
      <c r="M810" s="409"/>
      <c r="N810" s="409"/>
      <c r="O810" s="409"/>
      <c r="P810" s="411"/>
      <c r="Q810" s="412"/>
      <c r="R810" s="412"/>
      <c r="S810" s="411"/>
      <c r="T810" s="411"/>
      <c r="U810" s="413" t="s">
        <v>539</v>
      </c>
      <c r="V810" s="413">
        <v>15.0</v>
      </c>
      <c r="W810" s="413">
        <v>5.0</v>
      </c>
      <c r="X810" s="408">
        <v>0.7</v>
      </c>
      <c r="Y810" s="408">
        <v>0.7</v>
      </c>
      <c r="Z810" s="408">
        <v>0.7</v>
      </c>
      <c r="AA810" s="408">
        <v>1700.0</v>
      </c>
      <c r="AB810" s="408" t="s">
        <v>612</v>
      </c>
      <c r="AC810" s="408">
        <v>0.85</v>
      </c>
      <c r="AD810" s="298"/>
      <c r="AE810" s="414"/>
    </row>
    <row r="811" ht="15.0" customHeight="1">
      <c r="A811" s="409"/>
      <c r="B811" s="409"/>
      <c r="C811" s="409"/>
      <c r="D811" s="409"/>
      <c r="E811" s="409"/>
      <c r="F811" s="410"/>
      <c r="G811" s="409"/>
      <c r="H811" s="409"/>
      <c r="I811" s="409"/>
      <c r="J811" s="409"/>
      <c r="K811" s="409"/>
      <c r="L811" s="409"/>
      <c r="M811" s="409"/>
      <c r="N811" s="409"/>
      <c r="O811" s="409"/>
      <c r="P811" s="411"/>
      <c r="Q811" s="412"/>
      <c r="R811" s="412"/>
      <c r="S811" s="411"/>
      <c r="T811" s="411"/>
      <c r="U811" s="413" t="s">
        <v>539</v>
      </c>
      <c r="V811" s="413">
        <v>15.0</v>
      </c>
      <c r="W811" s="413">
        <v>5.0</v>
      </c>
      <c r="X811" s="408">
        <v>0.7</v>
      </c>
      <c r="Y811" s="408">
        <v>0.7</v>
      </c>
      <c r="Z811" s="408">
        <v>0.7</v>
      </c>
      <c r="AA811" s="408">
        <v>1700.0</v>
      </c>
      <c r="AB811" s="408" t="s">
        <v>612</v>
      </c>
      <c r="AC811" s="408">
        <v>0.85</v>
      </c>
      <c r="AD811" s="298"/>
      <c r="AE811" s="414"/>
    </row>
    <row r="812" ht="15.0" customHeight="1">
      <c r="A812" s="409"/>
      <c r="B812" s="409"/>
      <c r="C812" s="409"/>
      <c r="D812" s="409"/>
      <c r="E812" s="409"/>
      <c r="F812" s="410"/>
      <c r="G812" s="409"/>
      <c r="H812" s="409"/>
      <c r="I812" s="409"/>
      <c r="J812" s="409"/>
      <c r="K812" s="409"/>
      <c r="L812" s="409"/>
      <c r="M812" s="409"/>
      <c r="N812" s="409"/>
      <c r="O812" s="409"/>
      <c r="P812" s="411"/>
      <c r="Q812" s="412"/>
      <c r="R812" s="412"/>
      <c r="S812" s="411"/>
      <c r="T812" s="411"/>
      <c r="U812" s="413" t="s">
        <v>539</v>
      </c>
      <c r="V812" s="413">
        <v>15.0</v>
      </c>
      <c r="W812" s="413">
        <v>5.0</v>
      </c>
      <c r="X812" s="408">
        <v>0.7</v>
      </c>
      <c r="Y812" s="408">
        <v>0.7</v>
      </c>
      <c r="Z812" s="408">
        <v>0.7</v>
      </c>
      <c r="AA812" s="408">
        <v>1700.0</v>
      </c>
      <c r="AB812" s="408" t="s">
        <v>612</v>
      </c>
      <c r="AC812" s="408">
        <v>0.85</v>
      </c>
      <c r="AD812" s="298"/>
      <c r="AE812" s="414"/>
    </row>
    <row r="813" ht="15.0" customHeight="1">
      <c r="A813" s="409"/>
      <c r="B813" s="409"/>
      <c r="C813" s="409"/>
      <c r="D813" s="409"/>
      <c r="E813" s="409"/>
      <c r="F813" s="410"/>
      <c r="G813" s="409"/>
      <c r="H813" s="409"/>
      <c r="I813" s="409"/>
      <c r="J813" s="409"/>
      <c r="K813" s="409"/>
      <c r="L813" s="409"/>
      <c r="M813" s="409"/>
      <c r="N813" s="409"/>
      <c r="O813" s="409"/>
      <c r="P813" s="411"/>
      <c r="Q813" s="412"/>
      <c r="R813" s="412"/>
      <c r="S813" s="411"/>
      <c r="T813" s="411"/>
      <c r="U813" s="413" t="s">
        <v>553</v>
      </c>
      <c r="V813" s="413">
        <v>15.0</v>
      </c>
      <c r="W813" s="413">
        <v>5.0</v>
      </c>
      <c r="X813" s="408">
        <v>0.7</v>
      </c>
      <c r="Y813" s="408">
        <v>0.7</v>
      </c>
      <c r="Z813" s="408">
        <v>0.7</v>
      </c>
      <c r="AA813" s="408">
        <v>1700.0</v>
      </c>
      <c r="AB813" s="408" t="s">
        <v>612</v>
      </c>
      <c r="AC813" s="408">
        <v>0.85</v>
      </c>
      <c r="AD813" s="298"/>
      <c r="AE813" s="414"/>
    </row>
    <row r="814" ht="15.0" customHeight="1">
      <c r="A814" s="409"/>
      <c r="B814" s="409"/>
      <c r="C814" s="409"/>
      <c r="D814" s="409"/>
      <c r="E814" s="409"/>
      <c r="F814" s="410"/>
      <c r="G814" s="409"/>
      <c r="H814" s="409"/>
      <c r="I814" s="409"/>
      <c r="J814" s="409"/>
      <c r="K814" s="409"/>
      <c r="L814" s="409"/>
      <c r="M814" s="409"/>
      <c r="N814" s="409"/>
      <c r="O814" s="409"/>
      <c r="P814" s="411"/>
      <c r="Q814" s="412"/>
      <c r="R814" s="412"/>
      <c r="S814" s="411"/>
      <c r="T814" s="411"/>
      <c r="U814" s="413" t="s">
        <v>539</v>
      </c>
      <c r="V814" s="413">
        <v>15.0</v>
      </c>
      <c r="W814" s="413">
        <v>5.0</v>
      </c>
      <c r="X814" s="408">
        <v>0.7</v>
      </c>
      <c r="Y814" s="408">
        <v>0.7</v>
      </c>
      <c r="Z814" s="408">
        <v>0.7</v>
      </c>
      <c r="AA814" s="408">
        <v>1700.0</v>
      </c>
      <c r="AB814" s="408" t="s">
        <v>612</v>
      </c>
      <c r="AC814" s="408">
        <v>0.85</v>
      </c>
      <c r="AD814" s="298"/>
      <c r="AE814" s="414"/>
    </row>
    <row r="815" ht="15.0" customHeight="1">
      <c r="A815" s="409"/>
      <c r="B815" s="409"/>
      <c r="C815" s="409"/>
      <c r="D815" s="409"/>
      <c r="E815" s="409"/>
      <c r="F815" s="410"/>
      <c r="G815" s="409"/>
      <c r="H815" s="409"/>
      <c r="I815" s="409"/>
      <c r="J815" s="409"/>
      <c r="K815" s="409"/>
      <c r="L815" s="409"/>
      <c r="M815" s="409"/>
      <c r="N815" s="409"/>
      <c r="O815" s="409"/>
      <c r="P815" s="411"/>
      <c r="Q815" s="412"/>
      <c r="R815" s="412"/>
      <c r="S815" s="411"/>
      <c r="T815" s="411"/>
      <c r="U815" s="413" t="s">
        <v>539</v>
      </c>
      <c r="V815" s="413">
        <v>15.0</v>
      </c>
      <c r="W815" s="413">
        <v>5.0</v>
      </c>
      <c r="X815" s="408">
        <v>0.7</v>
      </c>
      <c r="Y815" s="408">
        <v>0.7</v>
      </c>
      <c r="Z815" s="408">
        <v>0.7</v>
      </c>
      <c r="AA815" s="408">
        <v>1700.0</v>
      </c>
      <c r="AB815" s="408" t="s">
        <v>612</v>
      </c>
      <c r="AC815" s="408">
        <v>0.85</v>
      </c>
      <c r="AD815" s="298"/>
      <c r="AE815" s="414"/>
    </row>
    <row r="816" ht="15.0" customHeight="1">
      <c r="A816" s="409"/>
      <c r="B816" s="409"/>
      <c r="C816" s="409"/>
      <c r="D816" s="409"/>
      <c r="E816" s="409"/>
      <c r="F816" s="410"/>
      <c r="G816" s="409"/>
      <c r="H816" s="409"/>
      <c r="I816" s="409"/>
      <c r="J816" s="409"/>
      <c r="K816" s="409"/>
      <c r="L816" s="409"/>
      <c r="M816" s="409"/>
      <c r="N816" s="409"/>
      <c r="O816" s="409"/>
      <c r="P816" s="411"/>
      <c r="Q816" s="412"/>
      <c r="R816" s="412"/>
      <c r="S816" s="411"/>
      <c r="T816" s="411"/>
      <c r="U816" s="413" t="s">
        <v>539</v>
      </c>
      <c r="V816" s="413">
        <v>15.0</v>
      </c>
      <c r="W816" s="413">
        <v>5.0</v>
      </c>
      <c r="X816" s="408">
        <v>0.7</v>
      </c>
      <c r="Y816" s="408">
        <v>0.7</v>
      </c>
      <c r="Z816" s="408">
        <v>0.7</v>
      </c>
      <c r="AA816" s="408">
        <v>1700.0</v>
      </c>
      <c r="AB816" s="408" t="s">
        <v>612</v>
      </c>
      <c r="AC816" s="408">
        <v>0.85</v>
      </c>
      <c r="AD816" s="298"/>
      <c r="AE816" s="414"/>
    </row>
    <row r="817" ht="15.0" customHeight="1">
      <c r="A817" s="409"/>
      <c r="B817" s="409"/>
      <c r="C817" s="409"/>
      <c r="D817" s="409"/>
      <c r="E817" s="409"/>
      <c r="F817" s="410"/>
      <c r="G817" s="409"/>
      <c r="H817" s="409"/>
      <c r="I817" s="409"/>
      <c r="J817" s="409"/>
      <c r="K817" s="409"/>
      <c r="L817" s="409"/>
      <c r="M817" s="409"/>
      <c r="N817" s="409"/>
      <c r="O817" s="409"/>
      <c r="P817" s="411"/>
      <c r="Q817" s="412"/>
      <c r="R817" s="412"/>
      <c r="S817" s="411"/>
      <c r="T817" s="411"/>
      <c r="U817" s="413" t="s">
        <v>539</v>
      </c>
      <c r="V817" s="413">
        <v>15.0</v>
      </c>
      <c r="W817" s="413">
        <v>5.0</v>
      </c>
      <c r="X817" s="408">
        <v>0.7</v>
      </c>
      <c r="Y817" s="408">
        <v>0.7</v>
      </c>
      <c r="Z817" s="408">
        <v>0.7</v>
      </c>
      <c r="AA817" s="408">
        <v>1700.0</v>
      </c>
      <c r="AB817" s="408" t="s">
        <v>612</v>
      </c>
      <c r="AC817" s="408">
        <v>0.85</v>
      </c>
      <c r="AD817" s="298"/>
      <c r="AE817" s="414"/>
    </row>
    <row r="818" ht="15.0" customHeight="1">
      <c r="A818" s="409"/>
      <c r="B818" s="409"/>
      <c r="C818" s="409"/>
      <c r="D818" s="409"/>
      <c r="E818" s="409"/>
      <c r="F818" s="410"/>
      <c r="G818" s="409"/>
      <c r="H818" s="409"/>
      <c r="I818" s="409"/>
      <c r="J818" s="409"/>
      <c r="K818" s="409"/>
      <c r="L818" s="409"/>
      <c r="M818" s="409"/>
      <c r="N818" s="409"/>
      <c r="O818" s="409"/>
      <c r="P818" s="411"/>
      <c r="Q818" s="412"/>
      <c r="R818" s="412"/>
      <c r="S818" s="411"/>
      <c r="T818" s="411"/>
      <c r="U818" s="413" t="s">
        <v>539</v>
      </c>
      <c r="V818" s="413">
        <v>15.0</v>
      </c>
      <c r="W818" s="413">
        <v>5.0</v>
      </c>
      <c r="X818" s="408">
        <v>0.7</v>
      </c>
      <c r="Y818" s="408">
        <v>0.7</v>
      </c>
      <c r="Z818" s="408">
        <v>0.7</v>
      </c>
      <c r="AA818" s="408">
        <v>1700.0</v>
      </c>
      <c r="AB818" s="408" t="s">
        <v>612</v>
      </c>
      <c r="AC818" s="408">
        <v>0.85</v>
      </c>
      <c r="AD818" s="298"/>
      <c r="AE818" s="414"/>
    </row>
    <row r="819" ht="15.0" customHeight="1">
      <c r="A819" s="409"/>
      <c r="B819" s="409"/>
      <c r="C819" s="409"/>
      <c r="D819" s="409"/>
      <c r="E819" s="409"/>
      <c r="F819" s="410"/>
      <c r="G819" s="409"/>
      <c r="H819" s="409"/>
      <c r="I819" s="409"/>
      <c r="J819" s="409"/>
      <c r="K819" s="409"/>
      <c r="L819" s="409"/>
      <c r="M819" s="409"/>
      <c r="N819" s="409"/>
      <c r="O819" s="409"/>
      <c r="P819" s="411"/>
      <c r="Q819" s="412"/>
      <c r="R819" s="412"/>
      <c r="S819" s="411"/>
      <c r="T819" s="411"/>
      <c r="U819" s="413" t="s">
        <v>539</v>
      </c>
      <c r="V819" s="413">
        <v>15.0</v>
      </c>
      <c r="W819" s="413">
        <v>5.0</v>
      </c>
      <c r="X819" s="408">
        <v>0.7</v>
      </c>
      <c r="Y819" s="408">
        <v>0.7</v>
      </c>
      <c r="Z819" s="408">
        <v>0.7</v>
      </c>
      <c r="AA819" s="408">
        <v>1700.0</v>
      </c>
      <c r="AB819" s="408" t="s">
        <v>612</v>
      </c>
      <c r="AC819" s="408">
        <v>0.85</v>
      </c>
      <c r="AD819" s="298"/>
      <c r="AE819" s="414"/>
    </row>
    <row r="820" ht="15.0" customHeight="1">
      <c r="A820" s="409"/>
      <c r="B820" s="409"/>
      <c r="C820" s="409"/>
      <c r="D820" s="409"/>
      <c r="E820" s="409"/>
      <c r="F820" s="410"/>
      <c r="G820" s="409"/>
      <c r="H820" s="409"/>
      <c r="I820" s="409"/>
      <c r="J820" s="409"/>
      <c r="K820" s="409"/>
      <c r="L820" s="409"/>
      <c r="M820" s="409"/>
      <c r="N820" s="409"/>
      <c r="O820" s="409"/>
      <c r="P820" s="411"/>
      <c r="Q820" s="412"/>
      <c r="R820" s="412"/>
      <c r="S820" s="411"/>
      <c r="T820" s="411"/>
      <c r="U820" s="413" t="s">
        <v>539</v>
      </c>
      <c r="V820" s="413">
        <v>15.0</v>
      </c>
      <c r="W820" s="413">
        <v>5.0</v>
      </c>
      <c r="X820" s="408">
        <v>0.7</v>
      </c>
      <c r="Y820" s="408">
        <v>0.7</v>
      </c>
      <c r="Z820" s="408">
        <v>0.7</v>
      </c>
      <c r="AA820" s="408">
        <v>1700.0</v>
      </c>
      <c r="AB820" s="408" t="s">
        <v>612</v>
      </c>
      <c r="AC820" s="408">
        <v>0.85</v>
      </c>
      <c r="AD820" s="298"/>
      <c r="AE820" s="414"/>
    </row>
    <row r="821" ht="15.0" customHeight="1">
      <c r="A821" s="409"/>
      <c r="B821" s="409"/>
      <c r="C821" s="409"/>
      <c r="D821" s="409"/>
      <c r="E821" s="409"/>
      <c r="F821" s="410"/>
      <c r="G821" s="409"/>
      <c r="H821" s="409"/>
      <c r="I821" s="409"/>
      <c r="J821" s="409"/>
      <c r="K821" s="409"/>
      <c r="L821" s="409"/>
      <c r="M821" s="409"/>
      <c r="N821" s="409"/>
      <c r="O821" s="409"/>
      <c r="P821" s="411"/>
      <c r="Q821" s="412"/>
      <c r="R821" s="412"/>
      <c r="S821" s="411"/>
      <c r="T821" s="411"/>
      <c r="U821" s="413" t="s">
        <v>553</v>
      </c>
      <c r="V821" s="413">
        <v>15.0</v>
      </c>
      <c r="W821" s="413">
        <v>5.0</v>
      </c>
      <c r="X821" s="408">
        <v>0.7</v>
      </c>
      <c r="Y821" s="408">
        <v>0.7</v>
      </c>
      <c r="Z821" s="408">
        <v>0.7</v>
      </c>
      <c r="AA821" s="408">
        <v>1700.0</v>
      </c>
      <c r="AB821" s="408" t="s">
        <v>612</v>
      </c>
      <c r="AC821" s="408">
        <v>0.85</v>
      </c>
      <c r="AD821" s="298"/>
      <c r="AE821" s="414"/>
    </row>
    <row r="822" ht="15.0" customHeight="1">
      <c r="A822" s="409"/>
      <c r="B822" s="409"/>
      <c r="C822" s="409"/>
      <c r="D822" s="409"/>
      <c r="E822" s="409"/>
      <c r="F822" s="410"/>
      <c r="G822" s="409"/>
      <c r="H822" s="409"/>
      <c r="I822" s="409"/>
      <c r="J822" s="409"/>
      <c r="K822" s="409"/>
      <c r="L822" s="409"/>
      <c r="M822" s="409"/>
      <c r="N822" s="409"/>
      <c r="O822" s="409"/>
      <c r="P822" s="411"/>
      <c r="Q822" s="412"/>
      <c r="R822" s="412"/>
      <c r="S822" s="411"/>
      <c r="T822" s="411"/>
      <c r="U822" s="413" t="s">
        <v>539</v>
      </c>
      <c r="V822" s="413">
        <v>15.0</v>
      </c>
      <c r="W822" s="413">
        <v>5.0</v>
      </c>
      <c r="X822" s="408">
        <v>0.7</v>
      </c>
      <c r="Y822" s="408">
        <v>0.7</v>
      </c>
      <c r="Z822" s="408">
        <v>0.7</v>
      </c>
      <c r="AA822" s="408">
        <v>1700.0</v>
      </c>
      <c r="AB822" s="408" t="s">
        <v>612</v>
      </c>
      <c r="AC822" s="408">
        <v>0.85</v>
      </c>
      <c r="AD822" s="298"/>
      <c r="AE822" s="414"/>
    </row>
    <row r="823" ht="15.0" customHeight="1">
      <c r="A823" s="409"/>
      <c r="B823" s="409"/>
      <c r="C823" s="409"/>
      <c r="D823" s="409"/>
      <c r="E823" s="409"/>
      <c r="F823" s="410"/>
      <c r="G823" s="409"/>
      <c r="H823" s="409"/>
      <c r="I823" s="409"/>
      <c r="J823" s="409"/>
      <c r="K823" s="409"/>
      <c r="L823" s="409"/>
      <c r="M823" s="409"/>
      <c r="N823" s="409"/>
      <c r="O823" s="409"/>
      <c r="P823" s="411"/>
      <c r="Q823" s="412"/>
      <c r="R823" s="412"/>
      <c r="S823" s="411"/>
      <c r="T823" s="411"/>
      <c r="U823" s="413" t="s">
        <v>539</v>
      </c>
      <c r="V823" s="413">
        <v>15.0</v>
      </c>
      <c r="W823" s="413">
        <v>5.0</v>
      </c>
      <c r="X823" s="408">
        <v>0.7</v>
      </c>
      <c r="Y823" s="408">
        <v>0.7</v>
      </c>
      <c r="Z823" s="408">
        <v>0.7</v>
      </c>
      <c r="AA823" s="408">
        <v>1700.0</v>
      </c>
      <c r="AB823" s="408" t="s">
        <v>612</v>
      </c>
      <c r="AC823" s="408">
        <v>0.85</v>
      </c>
      <c r="AD823" s="298"/>
      <c r="AE823" s="414"/>
    </row>
    <row r="824" ht="15.0" customHeight="1">
      <c r="A824" s="409"/>
      <c r="B824" s="409"/>
      <c r="C824" s="409"/>
      <c r="D824" s="409"/>
      <c r="E824" s="409"/>
      <c r="F824" s="410"/>
      <c r="G824" s="409"/>
      <c r="H824" s="409"/>
      <c r="I824" s="409"/>
      <c r="J824" s="409"/>
      <c r="K824" s="409"/>
      <c r="L824" s="409"/>
      <c r="M824" s="409"/>
      <c r="N824" s="409"/>
      <c r="O824" s="409"/>
      <c r="P824" s="411"/>
      <c r="Q824" s="412"/>
      <c r="R824" s="412"/>
      <c r="S824" s="411"/>
      <c r="T824" s="411"/>
      <c r="U824" s="413" t="s">
        <v>539</v>
      </c>
      <c r="V824" s="413">
        <v>15.0</v>
      </c>
      <c r="W824" s="413">
        <v>5.0</v>
      </c>
      <c r="X824" s="408">
        <v>0.7</v>
      </c>
      <c r="Y824" s="408">
        <v>0.7</v>
      </c>
      <c r="Z824" s="408">
        <v>0.7</v>
      </c>
      <c r="AA824" s="408">
        <v>1700.0</v>
      </c>
      <c r="AB824" s="408" t="s">
        <v>612</v>
      </c>
      <c r="AC824" s="408">
        <v>0.85</v>
      </c>
      <c r="AD824" s="298"/>
      <c r="AE824" s="414"/>
    </row>
    <row r="825" ht="15.0" customHeight="1">
      <c r="A825" s="409"/>
      <c r="B825" s="409"/>
      <c r="C825" s="409"/>
      <c r="D825" s="409"/>
      <c r="E825" s="409"/>
      <c r="F825" s="410"/>
      <c r="G825" s="409"/>
      <c r="H825" s="409"/>
      <c r="I825" s="409"/>
      <c r="J825" s="409"/>
      <c r="K825" s="409"/>
      <c r="L825" s="409"/>
      <c r="M825" s="409"/>
      <c r="N825" s="409"/>
      <c r="O825" s="409"/>
      <c r="P825" s="411"/>
      <c r="Q825" s="412"/>
      <c r="R825" s="412"/>
      <c r="S825" s="411"/>
      <c r="T825" s="411"/>
      <c r="U825" s="413" t="s">
        <v>539</v>
      </c>
      <c r="V825" s="413">
        <v>15.0</v>
      </c>
      <c r="W825" s="413">
        <v>5.0</v>
      </c>
      <c r="X825" s="408">
        <v>0.7</v>
      </c>
      <c r="Y825" s="408">
        <v>0.7</v>
      </c>
      <c r="Z825" s="408">
        <v>0.7</v>
      </c>
      <c r="AA825" s="408">
        <v>1700.0</v>
      </c>
      <c r="AB825" s="408" t="s">
        <v>612</v>
      </c>
      <c r="AC825" s="408">
        <v>0.85</v>
      </c>
      <c r="AD825" s="298"/>
      <c r="AE825" s="414"/>
    </row>
    <row r="826" ht="15.0" customHeight="1">
      <c r="A826" s="409"/>
      <c r="B826" s="409"/>
      <c r="C826" s="409"/>
      <c r="D826" s="409"/>
      <c r="E826" s="409"/>
      <c r="F826" s="410"/>
      <c r="G826" s="409"/>
      <c r="H826" s="409"/>
      <c r="I826" s="409"/>
      <c r="J826" s="409"/>
      <c r="K826" s="409"/>
      <c r="L826" s="409"/>
      <c r="M826" s="409"/>
      <c r="N826" s="409"/>
      <c r="O826" s="409"/>
      <c r="P826" s="411"/>
      <c r="Q826" s="412"/>
      <c r="R826" s="412"/>
      <c r="S826" s="411"/>
      <c r="T826" s="411"/>
      <c r="U826" s="413" t="s">
        <v>539</v>
      </c>
      <c r="V826" s="413">
        <v>15.0</v>
      </c>
      <c r="W826" s="413">
        <v>5.0</v>
      </c>
      <c r="X826" s="408">
        <v>0.7</v>
      </c>
      <c r="Y826" s="408">
        <v>0.7</v>
      </c>
      <c r="Z826" s="408">
        <v>0.7</v>
      </c>
      <c r="AA826" s="408">
        <v>1700.0</v>
      </c>
      <c r="AB826" s="408" t="s">
        <v>612</v>
      </c>
      <c r="AC826" s="408">
        <v>0.85</v>
      </c>
      <c r="AD826" s="298"/>
      <c r="AE826" s="414"/>
    </row>
    <row r="827" ht="15.0" customHeight="1">
      <c r="A827" s="409"/>
      <c r="B827" s="409"/>
      <c r="C827" s="409"/>
      <c r="D827" s="409"/>
      <c r="E827" s="409"/>
      <c r="F827" s="410"/>
      <c r="G827" s="409"/>
      <c r="H827" s="409"/>
      <c r="I827" s="409"/>
      <c r="J827" s="409"/>
      <c r="K827" s="409"/>
      <c r="L827" s="409"/>
      <c r="M827" s="409"/>
      <c r="N827" s="409"/>
      <c r="O827" s="409"/>
      <c r="P827" s="411"/>
      <c r="Q827" s="412"/>
      <c r="R827" s="412"/>
      <c r="S827" s="411"/>
      <c r="T827" s="411"/>
      <c r="U827" s="413" t="s">
        <v>607</v>
      </c>
      <c r="V827" s="413">
        <v>15.0</v>
      </c>
      <c r="W827" s="413">
        <v>5.0</v>
      </c>
      <c r="X827" s="408">
        <v>0.7</v>
      </c>
      <c r="Y827" s="408">
        <v>0.7</v>
      </c>
      <c r="Z827" s="408">
        <v>0.7</v>
      </c>
      <c r="AA827" s="408">
        <v>1700.0</v>
      </c>
      <c r="AB827" s="408" t="s">
        <v>612</v>
      </c>
      <c r="AC827" s="408">
        <v>0.85</v>
      </c>
      <c r="AD827" s="298"/>
      <c r="AE827" s="414"/>
    </row>
    <row r="828" ht="15.0" customHeight="1">
      <c r="A828" s="409"/>
      <c r="B828" s="409"/>
      <c r="C828" s="409"/>
      <c r="D828" s="409"/>
      <c r="E828" s="409"/>
      <c r="F828" s="410"/>
      <c r="G828" s="409"/>
      <c r="H828" s="409"/>
      <c r="I828" s="409"/>
      <c r="J828" s="409"/>
      <c r="K828" s="409"/>
      <c r="L828" s="409"/>
      <c r="M828" s="409"/>
      <c r="N828" s="409"/>
      <c r="O828" s="409"/>
      <c r="P828" s="411"/>
      <c r="Q828" s="412"/>
      <c r="R828" s="412"/>
      <c r="S828" s="411"/>
      <c r="T828" s="411"/>
      <c r="U828" s="413" t="s">
        <v>607</v>
      </c>
      <c r="V828" s="413">
        <v>15.0</v>
      </c>
      <c r="W828" s="413">
        <v>5.0</v>
      </c>
      <c r="X828" s="408">
        <v>0.7</v>
      </c>
      <c r="Y828" s="408">
        <v>0.7</v>
      </c>
      <c r="Z828" s="408">
        <v>0.7</v>
      </c>
      <c r="AA828" s="408">
        <v>1700.0</v>
      </c>
      <c r="AB828" s="408" t="s">
        <v>612</v>
      </c>
      <c r="AC828" s="408">
        <v>0.85</v>
      </c>
      <c r="AD828" s="298"/>
      <c r="AE828" s="414"/>
    </row>
    <row r="829" ht="15.0" customHeight="1">
      <c r="A829" s="409"/>
      <c r="B829" s="409"/>
      <c r="C829" s="409"/>
      <c r="D829" s="409"/>
      <c r="E829" s="409"/>
      <c r="F829" s="410"/>
      <c r="G829" s="409"/>
      <c r="H829" s="409"/>
      <c r="I829" s="409"/>
      <c r="J829" s="409"/>
      <c r="K829" s="409"/>
      <c r="L829" s="409"/>
      <c r="M829" s="409"/>
      <c r="N829" s="409"/>
      <c r="O829" s="409"/>
      <c r="P829" s="411"/>
      <c r="Q829" s="412"/>
      <c r="R829" s="412"/>
      <c r="S829" s="411"/>
      <c r="T829" s="411"/>
      <c r="U829" s="413" t="s">
        <v>607</v>
      </c>
      <c r="V829" s="413">
        <v>15.0</v>
      </c>
      <c r="W829" s="413">
        <v>5.0</v>
      </c>
      <c r="X829" s="408">
        <v>0.7</v>
      </c>
      <c r="Y829" s="408">
        <v>0.7</v>
      </c>
      <c r="Z829" s="408">
        <v>0.7</v>
      </c>
      <c r="AA829" s="408">
        <v>1700.0</v>
      </c>
      <c r="AB829" s="408" t="s">
        <v>612</v>
      </c>
      <c r="AC829" s="408">
        <v>0.85</v>
      </c>
      <c r="AD829" s="298"/>
      <c r="AE829" s="414"/>
    </row>
    <row r="830" ht="15.0" customHeight="1">
      <c r="A830" s="409"/>
      <c r="B830" s="409"/>
      <c r="C830" s="409"/>
      <c r="D830" s="409"/>
      <c r="E830" s="409"/>
      <c r="F830" s="410"/>
      <c r="G830" s="409"/>
      <c r="H830" s="409"/>
      <c r="I830" s="409"/>
      <c r="J830" s="409"/>
      <c r="K830" s="409"/>
      <c r="L830" s="409"/>
      <c r="M830" s="409"/>
      <c r="N830" s="409"/>
      <c r="O830" s="409"/>
      <c r="P830" s="411"/>
      <c r="Q830" s="412"/>
      <c r="R830" s="412"/>
      <c r="S830" s="411"/>
      <c r="T830" s="411"/>
      <c r="U830" s="413" t="s">
        <v>607</v>
      </c>
      <c r="V830" s="413">
        <v>15.0</v>
      </c>
      <c r="W830" s="413">
        <v>5.0</v>
      </c>
      <c r="X830" s="408">
        <v>0.7</v>
      </c>
      <c r="Y830" s="408">
        <v>0.7</v>
      </c>
      <c r="Z830" s="408">
        <v>0.7</v>
      </c>
      <c r="AA830" s="408">
        <v>1700.0</v>
      </c>
      <c r="AB830" s="408" t="s">
        <v>612</v>
      </c>
      <c r="AC830" s="408">
        <v>0.85</v>
      </c>
      <c r="AD830" s="298"/>
      <c r="AE830" s="414"/>
    </row>
    <row r="831" ht="15.0" customHeight="1">
      <c r="A831" s="409"/>
      <c r="B831" s="409"/>
      <c r="C831" s="409"/>
      <c r="D831" s="409"/>
      <c r="E831" s="409"/>
      <c r="F831" s="410"/>
      <c r="G831" s="409"/>
      <c r="H831" s="409"/>
      <c r="I831" s="409"/>
      <c r="J831" s="409"/>
      <c r="K831" s="409"/>
      <c r="L831" s="409"/>
      <c r="M831" s="409"/>
      <c r="N831" s="409"/>
      <c r="O831" s="409"/>
      <c r="P831" s="411"/>
      <c r="Q831" s="412"/>
      <c r="R831" s="412"/>
      <c r="S831" s="411"/>
      <c r="T831" s="411"/>
      <c r="U831" s="413" t="s">
        <v>607</v>
      </c>
      <c r="V831" s="413">
        <v>15.0</v>
      </c>
      <c r="W831" s="413">
        <v>5.0</v>
      </c>
      <c r="X831" s="408">
        <v>0.7</v>
      </c>
      <c r="Y831" s="408">
        <v>0.7</v>
      </c>
      <c r="Z831" s="408">
        <v>0.7</v>
      </c>
      <c r="AA831" s="408">
        <v>1700.0</v>
      </c>
      <c r="AB831" s="408" t="s">
        <v>612</v>
      </c>
      <c r="AC831" s="408">
        <v>0.85</v>
      </c>
      <c r="AD831" s="298"/>
      <c r="AE831" s="414"/>
    </row>
    <row r="832" ht="15.0" customHeight="1">
      <c r="A832" s="409"/>
      <c r="B832" s="409"/>
      <c r="C832" s="409"/>
      <c r="D832" s="409"/>
      <c r="E832" s="409"/>
      <c r="F832" s="410"/>
      <c r="G832" s="409"/>
      <c r="H832" s="409"/>
      <c r="I832" s="409"/>
      <c r="J832" s="409"/>
      <c r="K832" s="409"/>
      <c r="L832" s="409"/>
      <c r="M832" s="409"/>
      <c r="N832" s="409"/>
      <c r="O832" s="409"/>
      <c r="P832" s="411"/>
      <c r="Q832" s="412"/>
      <c r="R832" s="412"/>
      <c r="S832" s="411"/>
      <c r="T832" s="411"/>
      <c r="U832" s="413" t="s">
        <v>539</v>
      </c>
      <c r="V832" s="413">
        <v>15.0</v>
      </c>
      <c r="W832" s="413">
        <v>5.0</v>
      </c>
      <c r="X832" s="408">
        <v>0.7</v>
      </c>
      <c r="Y832" s="408">
        <v>0.7</v>
      </c>
      <c r="Z832" s="408">
        <v>0.7</v>
      </c>
      <c r="AA832" s="408">
        <v>1700.0</v>
      </c>
      <c r="AB832" s="408" t="s">
        <v>612</v>
      </c>
      <c r="AC832" s="408">
        <v>0.85</v>
      </c>
      <c r="AD832" s="298"/>
      <c r="AE832" s="414"/>
    </row>
    <row r="833" ht="15.0" customHeight="1">
      <c r="A833" s="409"/>
      <c r="B833" s="409"/>
      <c r="C833" s="409"/>
      <c r="D833" s="409"/>
      <c r="E833" s="409"/>
      <c r="F833" s="410"/>
      <c r="G833" s="409"/>
      <c r="H833" s="409"/>
      <c r="I833" s="409"/>
      <c r="J833" s="409"/>
      <c r="K833" s="409"/>
      <c r="L833" s="409"/>
      <c r="M833" s="409"/>
      <c r="N833" s="409"/>
      <c r="O833" s="409"/>
      <c r="P833" s="411"/>
      <c r="Q833" s="412"/>
      <c r="R833" s="412"/>
      <c r="S833" s="411"/>
      <c r="T833" s="411"/>
      <c r="U833" s="413" t="s">
        <v>539</v>
      </c>
      <c r="V833" s="413">
        <v>15.0</v>
      </c>
      <c r="W833" s="413">
        <v>5.0</v>
      </c>
      <c r="X833" s="408">
        <v>0.7</v>
      </c>
      <c r="Y833" s="408">
        <v>0.7</v>
      </c>
      <c r="Z833" s="408">
        <v>0.7</v>
      </c>
      <c r="AA833" s="408">
        <v>1700.0</v>
      </c>
      <c r="AB833" s="408" t="s">
        <v>612</v>
      </c>
      <c r="AC833" s="408">
        <v>0.85</v>
      </c>
      <c r="AD833" s="298"/>
      <c r="AE833" s="414"/>
    </row>
    <row r="834" ht="15.0" customHeight="1">
      <c r="A834" s="409"/>
      <c r="B834" s="409"/>
      <c r="C834" s="409"/>
      <c r="D834" s="409"/>
      <c r="E834" s="409"/>
      <c r="F834" s="410"/>
      <c r="G834" s="409"/>
      <c r="H834" s="409"/>
      <c r="I834" s="409"/>
      <c r="J834" s="409"/>
      <c r="K834" s="409"/>
      <c r="L834" s="409"/>
      <c r="M834" s="409"/>
      <c r="N834" s="409"/>
      <c r="O834" s="409"/>
      <c r="P834" s="411"/>
      <c r="Q834" s="412"/>
      <c r="R834" s="412"/>
      <c r="S834" s="411"/>
      <c r="T834" s="411"/>
      <c r="U834" s="413" t="s">
        <v>553</v>
      </c>
      <c r="V834" s="413">
        <v>15.0</v>
      </c>
      <c r="W834" s="413">
        <v>5.0</v>
      </c>
      <c r="X834" s="408">
        <v>0.7</v>
      </c>
      <c r="Y834" s="408">
        <v>0.7</v>
      </c>
      <c r="Z834" s="408">
        <v>0.7</v>
      </c>
      <c r="AA834" s="408">
        <v>1700.0</v>
      </c>
      <c r="AB834" s="408" t="s">
        <v>612</v>
      </c>
      <c r="AC834" s="408">
        <v>0.85</v>
      </c>
      <c r="AD834" s="298"/>
      <c r="AE834" s="414"/>
    </row>
    <row r="835" ht="15.0" customHeight="1">
      <c r="A835" s="409"/>
      <c r="B835" s="409"/>
      <c r="C835" s="409"/>
      <c r="D835" s="409"/>
      <c r="E835" s="409"/>
      <c r="F835" s="410"/>
      <c r="G835" s="409"/>
      <c r="H835" s="409"/>
      <c r="I835" s="409"/>
      <c r="J835" s="409"/>
      <c r="K835" s="409"/>
      <c r="L835" s="409"/>
      <c r="M835" s="409"/>
      <c r="N835" s="409"/>
      <c r="O835" s="409"/>
      <c r="P835" s="411"/>
      <c r="Q835" s="412"/>
      <c r="R835" s="412"/>
      <c r="S835" s="411"/>
      <c r="T835" s="411"/>
      <c r="U835" s="413" t="s">
        <v>539</v>
      </c>
      <c r="V835" s="413">
        <v>15.0</v>
      </c>
      <c r="W835" s="413">
        <v>5.0</v>
      </c>
      <c r="X835" s="408">
        <v>0.7</v>
      </c>
      <c r="Y835" s="408">
        <v>0.7</v>
      </c>
      <c r="Z835" s="408">
        <v>0.7</v>
      </c>
      <c r="AA835" s="408">
        <v>1700.0</v>
      </c>
      <c r="AB835" s="408" t="s">
        <v>612</v>
      </c>
      <c r="AC835" s="408">
        <v>0.85</v>
      </c>
      <c r="AD835" s="298"/>
      <c r="AE835" s="414"/>
    </row>
    <row r="836" ht="15.0" customHeight="1">
      <c r="A836" s="409"/>
      <c r="B836" s="409"/>
      <c r="C836" s="409"/>
      <c r="D836" s="409"/>
      <c r="E836" s="409"/>
      <c r="F836" s="410"/>
      <c r="G836" s="409"/>
      <c r="H836" s="409"/>
      <c r="I836" s="409"/>
      <c r="J836" s="409"/>
      <c r="K836" s="409"/>
      <c r="L836" s="409"/>
      <c r="M836" s="409"/>
      <c r="N836" s="409"/>
      <c r="O836" s="409"/>
      <c r="P836" s="411"/>
      <c r="Q836" s="412"/>
      <c r="R836" s="412"/>
      <c r="S836" s="411"/>
      <c r="T836" s="411"/>
      <c r="U836" s="413" t="s">
        <v>539</v>
      </c>
      <c r="V836" s="413">
        <v>15.0</v>
      </c>
      <c r="W836" s="413">
        <v>5.0</v>
      </c>
      <c r="X836" s="408">
        <v>0.7</v>
      </c>
      <c r="Y836" s="408">
        <v>0.7</v>
      </c>
      <c r="Z836" s="408">
        <v>0.7</v>
      </c>
      <c r="AA836" s="408">
        <v>1700.0</v>
      </c>
      <c r="AB836" s="408" t="s">
        <v>612</v>
      </c>
      <c r="AC836" s="408">
        <v>0.85</v>
      </c>
      <c r="AD836" s="298"/>
      <c r="AE836" s="414"/>
    </row>
    <row r="837" ht="15.0" customHeight="1">
      <c r="A837" s="409"/>
      <c r="B837" s="409"/>
      <c r="C837" s="409"/>
      <c r="D837" s="409"/>
      <c r="E837" s="409"/>
      <c r="F837" s="410"/>
      <c r="G837" s="409"/>
      <c r="H837" s="409"/>
      <c r="I837" s="409"/>
      <c r="J837" s="409"/>
      <c r="K837" s="409"/>
      <c r="L837" s="409"/>
      <c r="M837" s="409"/>
      <c r="N837" s="409"/>
      <c r="O837" s="409"/>
      <c r="P837" s="411"/>
      <c r="Q837" s="412"/>
      <c r="R837" s="412"/>
      <c r="S837" s="411"/>
      <c r="T837" s="411"/>
      <c r="U837" s="413" t="s">
        <v>539</v>
      </c>
      <c r="V837" s="413">
        <v>15.0</v>
      </c>
      <c r="W837" s="413">
        <v>5.0</v>
      </c>
      <c r="X837" s="408">
        <v>0.7</v>
      </c>
      <c r="Y837" s="408">
        <v>0.7</v>
      </c>
      <c r="Z837" s="408">
        <v>0.7</v>
      </c>
      <c r="AA837" s="408">
        <v>1700.0</v>
      </c>
      <c r="AB837" s="408" t="s">
        <v>612</v>
      </c>
      <c r="AC837" s="408">
        <v>0.85</v>
      </c>
      <c r="AD837" s="298"/>
      <c r="AE837" s="414"/>
    </row>
    <row r="838" ht="15.0" customHeight="1">
      <c r="A838" s="409"/>
      <c r="B838" s="409"/>
      <c r="C838" s="409"/>
      <c r="D838" s="409"/>
      <c r="E838" s="409"/>
      <c r="F838" s="410"/>
      <c r="G838" s="409"/>
      <c r="H838" s="409"/>
      <c r="I838" s="409"/>
      <c r="J838" s="409"/>
      <c r="K838" s="409"/>
      <c r="L838" s="409"/>
      <c r="M838" s="409"/>
      <c r="N838" s="409"/>
      <c r="O838" s="409"/>
      <c r="P838" s="411"/>
      <c r="Q838" s="412"/>
      <c r="R838" s="412"/>
      <c r="S838" s="411"/>
      <c r="T838" s="411"/>
      <c r="U838" s="413" t="s">
        <v>539</v>
      </c>
      <c r="V838" s="413">
        <v>15.0</v>
      </c>
      <c r="W838" s="413">
        <v>5.0</v>
      </c>
      <c r="X838" s="408">
        <v>0.7</v>
      </c>
      <c r="Y838" s="408">
        <v>0.7</v>
      </c>
      <c r="Z838" s="408">
        <v>0.7</v>
      </c>
      <c r="AA838" s="408">
        <v>1700.0</v>
      </c>
      <c r="AB838" s="408" t="s">
        <v>612</v>
      </c>
      <c r="AC838" s="408">
        <v>0.85</v>
      </c>
      <c r="AD838" s="298"/>
      <c r="AE838" s="414"/>
    </row>
    <row r="839" ht="15.0" customHeight="1">
      <c r="A839" s="409"/>
      <c r="B839" s="409"/>
      <c r="C839" s="409"/>
      <c r="D839" s="409"/>
      <c r="E839" s="409"/>
      <c r="F839" s="410"/>
      <c r="G839" s="409"/>
      <c r="H839" s="409"/>
      <c r="I839" s="409"/>
      <c r="J839" s="409"/>
      <c r="K839" s="409"/>
      <c r="L839" s="409"/>
      <c r="M839" s="409"/>
      <c r="N839" s="409"/>
      <c r="O839" s="409"/>
      <c r="P839" s="411"/>
      <c r="Q839" s="412"/>
      <c r="R839" s="412"/>
      <c r="S839" s="411"/>
      <c r="T839" s="411"/>
      <c r="U839" s="413" t="s">
        <v>539</v>
      </c>
      <c r="V839" s="413">
        <v>15.0</v>
      </c>
      <c r="W839" s="413">
        <v>5.0</v>
      </c>
      <c r="X839" s="408">
        <v>0.7</v>
      </c>
      <c r="Y839" s="408">
        <v>0.7</v>
      </c>
      <c r="Z839" s="408">
        <v>0.7</v>
      </c>
      <c r="AA839" s="408">
        <v>1700.0</v>
      </c>
      <c r="AB839" s="408" t="s">
        <v>612</v>
      </c>
      <c r="AC839" s="408">
        <v>0.85</v>
      </c>
      <c r="AD839" s="298"/>
      <c r="AE839" s="414"/>
    </row>
    <row r="840" ht="15.0" customHeight="1">
      <c r="A840" s="409"/>
      <c r="B840" s="409"/>
      <c r="C840" s="409"/>
      <c r="D840" s="409"/>
      <c r="E840" s="409"/>
      <c r="F840" s="410"/>
      <c r="G840" s="409"/>
      <c r="H840" s="409"/>
      <c r="I840" s="409"/>
      <c r="J840" s="409"/>
      <c r="K840" s="409"/>
      <c r="L840" s="409"/>
      <c r="M840" s="409"/>
      <c r="N840" s="409"/>
      <c r="O840" s="409"/>
      <c r="P840" s="411"/>
      <c r="Q840" s="412"/>
      <c r="R840" s="412"/>
      <c r="S840" s="411"/>
      <c r="T840" s="411"/>
      <c r="U840" s="413" t="s">
        <v>539</v>
      </c>
      <c r="V840" s="413">
        <v>15.0</v>
      </c>
      <c r="W840" s="413">
        <v>5.0</v>
      </c>
      <c r="X840" s="408">
        <v>0.7</v>
      </c>
      <c r="Y840" s="408">
        <v>0.7</v>
      </c>
      <c r="Z840" s="408">
        <v>0.7</v>
      </c>
      <c r="AA840" s="408">
        <v>1700.0</v>
      </c>
      <c r="AB840" s="408" t="s">
        <v>612</v>
      </c>
      <c r="AC840" s="408">
        <v>0.85</v>
      </c>
      <c r="AD840" s="298"/>
      <c r="AE840" s="414"/>
    </row>
    <row r="841" ht="15.0" customHeight="1">
      <c r="A841" s="409"/>
      <c r="B841" s="409"/>
      <c r="C841" s="409"/>
      <c r="D841" s="409"/>
      <c r="E841" s="409"/>
      <c r="F841" s="410"/>
      <c r="G841" s="409"/>
      <c r="H841" s="409"/>
      <c r="I841" s="409"/>
      <c r="J841" s="409"/>
      <c r="K841" s="409"/>
      <c r="L841" s="409"/>
      <c r="M841" s="409"/>
      <c r="N841" s="409"/>
      <c r="O841" s="409"/>
      <c r="P841" s="411"/>
      <c r="Q841" s="412"/>
      <c r="R841" s="412"/>
      <c r="S841" s="411"/>
      <c r="T841" s="411"/>
      <c r="U841" s="413" t="s">
        <v>553</v>
      </c>
      <c r="V841" s="413">
        <v>15.0</v>
      </c>
      <c r="W841" s="413">
        <v>5.0</v>
      </c>
      <c r="X841" s="408">
        <v>0.7</v>
      </c>
      <c r="Y841" s="408">
        <v>0.7</v>
      </c>
      <c r="Z841" s="408">
        <v>0.7</v>
      </c>
      <c r="AA841" s="408">
        <v>1700.0</v>
      </c>
      <c r="AB841" s="408" t="s">
        <v>612</v>
      </c>
      <c r="AC841" s="408">
        <v>0.85</v>
      </c>
      <c r="AD841" s="298"/>
      <c r="AE841" s="414"/>
    </row>
    <row r="842" ht="15.0" customHeight="1">
      <c r="A842" s="409"/>
      <c r="B842" s="409"/>
      <c r="C842" s="409"/>
      <c r="D842" s="409"/>
      <c r="E842" s="409"/>
      <c r="F842" s="410"/>
      <c r="G842" s="409"/>
      <c r="H842" s="409"/>
      <c r="I842" s="409"/>
      <c r="J842" s="409"/>
      <c r="K842" s="409"/>
      <c r="L842" s="409"/>
      <c r="M842" s="409"/>
      <c r="N842" s="409"/>
      <c r="O842" s="409"/>
      <c r="P842" s="411"/>
      <c r="Q842" s="412"/>
      <c r="R842" s="412"/>
      <c r="S842" s="411"/>
      <c r="T842" s="411"/>
      <c r="U842" s="413" t="s">
        <v>539</v>
      </c>
      <c r="V842" s="413">
        <v>15.0</v>
      </c>
      <c r="W842" s="413">
        <v>5.0</v>
      </c>
      <c r="X842" s="408">
        <v>0.7</v>
      </c>
      <c r="Y842" s="408">
        <v>0.7</v>
      </c>
      <c r="Z842" s="408">
        <v>0.7</v>
      </c>
      <c r="AA842" s="408">
        <v>1700.0</v>
      </c>
      <c r="AB842" s="408" t="s">
        <v>612</v>
      </c>
      <c r="AC842" s="408">
        <v>0.85</v>
      </c>
      <c r="AD842" s="298"/>
      <c r="AE842" s="414"/>
    </row>
    <row r="843" ht="15.0" customHeight="1">
      <c r="A843" s="409"/>
      <c r="B843" s="409"/>
      <c r="C843" s="409"/>
      <c r="D843" s="409"/>
      <c r="E843" s="409"/>
      <c r="F843" s="410"/>
      <c r="G843" s="409"/>
      <c r="H843" s="409"/>
      <c r="I843" s="409"/>
      <c r="J843" s="409"/>
      <c r="K843" s="409"/>
      <c r="L843" s="409"/>
      <c r="M843" s="409"/>
      <c r="N843" s="409"/>
      <c r="O843" s="409"/>
      <c r="P843" s="411"/>
      <c r="Q843" s="412"/>
      <c r="R843" s="412"/>
      <c r="S843" s="411"/>
      <c r="T843" s="411"/>
      <c r="U843" s="413" t="s">
        <v>539</v>
      </c>
      <c r="V843" s="413">
        <v>15.0</v>
      </c>
      <c r="W843" s="413">
        <v>5.0</v>
      </c>
      <c r="X843" s="408">
        <v>0.7</v>
      </c>
      <c r="Y843" s="408">
        <v>0.7</v>
      </c>
      <c r="Z843" s="408">
        <v>0.7</v>
      </c>
      <c r="AA843" s="408">
        <v>1700.0</v>
      </c>
      <c r="AB843" s="408" t="s">
        <v>612</v>
      </c>
      <c r="AC843" s="408">
        <v>0.85</v>
      </c>
      <c r="AD843" s="298"/>
      <c r="AE843" s="414"/>
    </row>
    <row r="844" ht="15.0" customHeight="1">
      <c r="A844" s="409"/>
      <c r="B844" s="409"/>
      <c r="C844" s="409"/>
      <c r="D844" s="409"/>
      <c r="E844" s="409"/>
      <c r="F844" s="410"/>
      <c r="G844" s="409"/>
      <c r="H844" s="409"/>
      <c r="I844" s="409"/>
      <c r="J844" s="409"/>
      <c r="K844" s="409"/>
      <c r="L844" s="409"/>
      <c r="M844" s="409"/>
      <c r="N844" s="409"/>
      <c r="O844" s="409"/>
      <c r="P844" s="411"/>
      <c r="Q844" s="412"/>
      <c r="R844" s="412"/>
      <c r="S844" s="411"/>
      <c r="T844" s="411"/>
      <c r="U844" s="413" t="s">
        <v>539</v>
      </c>
      <c r="V844" s="413">
        <v>15.0</v>
      </c>
      <c r="W844" s="413">
        <v>5.0</v>
      </c>
      <c r="X844" s="408">
        <v>0.7</v>
      </c>
      <c r="Y844" s="408">
        <v>0.7</v>
      </c>
      <c r="Z844" s="408">
        <v>0.7</v>
      </c>
      <c r="AA844" s="408">
        <v>1700.0</v>
      </c>
      <c r="AB844" s="408" t="s">
        <v>612</v>
      </c>
      <c r="AC844" s="408">
        <v>0.85</v>
      </c>
      <c r="AD844" s="298"/>
      <c r="AE844" s="414"/>
    </row>
    <row r="845" ht="15.0" customHeight="1">
      <c r="A845" s="409"/>
      <c r="B845" s="409"/>
      <c r="C845" s="409"/>
      <c r="D845" s="409"/>
      <c r="E845" s="409"/>
      <c r="F845" s="410"/>
      <c r="G845" s="409"/>
      <c r="H845" s="409"/>
      <c r="I845" s="409"/>
      <c r="J845" s="409"/>
      <c r="K845" s="409"/>
      <c r="L845" s="409"/>
      <c r="M845" s="409"/>
      <c r="N845" s="409"/>
      <c r="O845" s="409"/>
      <c r="P845" s="411"/>
      <c r="Q845" s="412"/>
      <c r="R845" s="412"/>
      <c r="S845" s="411"/>
      <c r="T845" s="411"/>
      <c r="U845" s="413" t="s">
        <v>539</v>
      </c>
      <c r="V845" s="413">
        <v>15.0</v>
      </c>
      <c r="W845" s="413">
        <v>5.0</v>
      </c>
      <c r="X845" s="408">
        <v>0.7</v>
      </c>
      <c r="Y845" s="408">
        <v>0.7</v>
      </c>
      <c r="Z845" s="408">
        <v>0.7</v>
      </c>
      <c r="AA845" s="408">
        <v>1700.0</v>
      </c>
      <c r="AB845" s="408" t="s">
        <v>612</v>
      </c>
      <c r="AC845" s="408">
        <v>0.85</v>
      </c>
      <c r="AD845" s="298"/>
      <c r="AE845" s="414"/>
    </row>
  </sheetData>
  <mergeCells count="2">
    <mergeCell ref="AD49:AD61"/>
    <mergeCell ref="AD90:AD94"/>
  </mergeCells>
  <printOptions/>
  <pageMargins bottom="0.75" footer="0.0" header="0.0" left="0.7" right="0.7" top="0.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2" max="2" width="12.44"/>
    <col customWidth="1" min="3" max="3" width="13.44"/>
  </cols>
  <sheetData>
    <row r="1">
      <c r="A1" s="365" t="s">
        <v>845</v>
      </c>
      <c r="B1" s="365" t="s">
        <v>846</v>
      </c>
      <c r="C1" s="416" t="s">
        <v>847</v>
      </c>
      <c r="D1" s="417" t="s">
        <v>8</v>
      </c>
      <c r="E1" s="417" t="s">
        <v>7</v>
      </c>
    </row>
    <row r="2">
      <c r="A2" s="418">
        <v>45468.0</v>
      </c>
      <c r="B2" s="1" t="s">
        <v>552</v>
      </c>
      <c r="C2" s="419">
        <v>26.75</v>
      </c>
      <c r="D2" s="420" t="s">
        <v>81</v>
      </c>
      <c r="E2" s="420" t="s">
        <v>12</v>
      </c>
    </row>
    <row r="3">
      <c r="A3" s="418">
        <v>45468.0</v>
      </c>
      <c r="B3" s="421">
        <v>1.0</v>
      </c>
      <c r="C3" s="419">
        <v>19.92</v>
      </c>
      <c r="D3" s="420" t="s">
        <v>81</v>
      </c>
      <c r="E3" s="420" t="s">
        <v>12</v>
      </c>
    </row>
    <row r="4">
      <c r="A4" s="418">
        <v>45468.0</v>
      </c>
      <c r="B4" s="421">
        <v>2.0</v>
      </c>
      <c r="C4" s="419">
        <v>18.36</v>
      </c>
      <c r="D4" s="420" t="s">
        <v>81</v>
      </c>
      <c r="E4" s="420" t="s">
        <v>12</v>
      </c>
    </row>
    <row r="5">
      <c r="A5" s="418">
        <v>45468.0</v>
      </c>
      <c r="B5" s="421">
        <v>118.0</v>
      </c>
      <c r="C5" s="419">
        <v>18.36</v>
      </c>
      <c r="D5" s="420" t="s">
        <v>81</v>
      </c>
      <c r="E5" s="420" t="s">
        <v>12</v>
      </c>
    </row>
    <row r="6">
      <c r="A6" s="418">
        <v>45468.0</v>
      </c>
      <c r="B6" s="421">
        <v>119.0</v>
      </c>
      <c r="C6" s="419">
        <v>19.47</v>
      </c>
      <c r="D6" s="420" t="s">
        <v>81</v>
      </c>
      <c r="E6" s="420" t="s">
        <v>12</v>
      </c>
    </row>
    <row r="7">
      <c r="A7" s="418">
        <v>45468.0</v>
      </c>
      <c r="B7" s="421">
        <v>105.0</v>
      </c>
      <c r="C7" s="419">
        <v>19.74</v>
      </c>
      <c r="D7" s="420" t="s">
        <v>81</v>
      </c>
      <c r="E7" s="420" t="s">
        <v>12</v>
      </c>
    </row>
    <row r="8">
      <c r="A8" s="418">
        <v>45468.0</v>
      </c>
      <c r="B8" s="421">
        <v>106.0</v>
      </c>
      <c r="C8" s="419">
        <v>21.05</v>
      </c>
      <c r="D8" s="420" t="s">
        <v>81</v>
      </c>
      <c r="E8" s="420" t="s">
        <v>12</v>
      </c>
    </row>
    <row r="9">
      <c r="A9" s="418">
        <v>45468.0</v>
      </c>
      <c r="B9" s="421">
        <v>14.0</v>
      </c>
      <c r="C9" s="419">
        <v>21.29</v>
      </c>
      <c r="D9" s="420" t="s">
        <v>81</v>
      </c>
      <c r="E9" s="420" t="s">
        <v>12</v>
      </c>
    </row>
    <row r="10">
      <c r="A10" s="418">
        <v>45468.0</v>
      </c>
      <c r="B10" s="421">
        <v>15.0</v>
      </c>
      <c r="C10" s="419">
        <v>22.19</v>
      </c>
      <c r="D10" s="420" t="s">
        <v>81</v>
      </c>
      <c r="E10" s="420" t="s">
        <v>12</v>
      </c>
    </row>
    <row r="11">
      <c r="A11" s="418">
        <v>45468.0</v>
      </c>
      <c r="B11" s="1" t="s">
        <v>552</v>
      </c>
      <c r="C11" s="419">
        <v>25.75</v>
      </c>
      <c r="D11" s="420" t="s">
        <v>81</v>
      </c>
      <c r="E11" s="420" t="s">
        <v>12</v>
      </c>
    </row>
    <row r="12">
      <c r="A12" s="418">
        <v>45468.0</v>
      </c>
      <c r="B12" s="421">
        <v>79.0</v>
      </c>
      <c r="C12" s="419">
        <v>23.6</v>
      </c>
      <c r="D12" s="420" t="s">
        <v>81</v>
      </c>
      <c r="E12" s="420" t="s">
        <v>12</v>
      </c>
    </row>
    <row r="13">
      <c r="A13" s="418">
        <v>45468.0</v>
      </c>
      <c r="B13" s="421">
        <v>80.0</v>
      </c>
      <c r="C13" s="419">
        <v>22.94</v>
      </c>
      <c r="D13" s="420" t="s">
        <v>81</v>
      </c>
      <c r="E13" s="420" t="s">
        <v>12</v>
      </c>
    </row>
    <row r="14">
      <c r="A14" s="418">
        <v>45468.0</v>
      </c>
      <c r="B14" s="421">
        <v>66.0</v>
      </c>
      <c r="C14" s="419" t="s">
        <v>848</v>
      </c>
      <c r="D14" s="420" t="s">
        <v>81</v>
      </c>
      <c r="E14" s="420" t="s">
        <v>280</v>
      </c>
    </row>
    <row r="15">
      <c r="A15" s="418">
        <v>45468.0</v>
      </c>
      <c r="B15" s="421">
        <v>67.0</v>
      </c>
      <c r="C15" s="419" t="s">
        <v>848</v>
      </c>
      <c r="D15" s="420" t="s">
        <v>81</v>
      </c>
      <c r="E15" s="420" t="s">
        <v>280</v>
      </c>
    </row>
    <row r="16">
      <c r="A16" s="418">
        <v>45468.0</v>
      </c>
      <c r="B16" s="421">
        <v>92.0</v>
      </c>
      <c r="C16" s="419">
        <v>24.41</v>
      </c>
      <c r="D16" s="420" t="s">
        <v>81</v>
      </c>
      <c r="E16" s="420" t="s">
        <v>12</v>
      </c>
    </row>
    <row r="17">
      <c r="A17" s="418">
        <v>45468.0</v>
      </c>
      <c r="B17" s="421">
        <v>93.0</v>
      </c>
      <c r="C17" s="419">
        <v>24.51</v>
      </c>
      <c r="D17" s="420" t="s">
        <v>81</v>
      </c>
      <c r="E17" s="420" t="s">
        <v>12</v>
      </c>
    </row>
    <row r="18">
      <c r="A18" s="418">
        <v>45468.0</v>
      </c>
      <c r="B18" s="421">
        <v>53.0</v>
      </c>
      <c r="C18" s="419">
        <v>24.9</v>
      </c>
      <c r="D18" s="420" t="s">
        <v>81</v>
      </c>
      <c r="E18" s="420" t="s">
        <v>12</v>
      </c>
    </row>
    <row r="19">
      <c r="A19" s="418">
        <v>45468.0</v>
      </c>
      <c r="B19" s="421">
        <v>54.0</v>
      </c>
      <c r="C19" s="419">
        <v>25.22</v>
      </c>
      <c r="D19" s="420" t="s">
        <v>81</v>
      </c>
      <c r="E19" s="420" t="s">
        <v>12</v>
      </c>
    </row>
    <row r="20">
      <c r="A20" s="418">
        <v>45468.0</v>
      </c>
      <c r="B20" s="1" t="s">
        <v>552</v>
      </c>
      <c r="C20" s="419">
        <v>25.82</v>
      </c>
      <c r="D20" s="420" t="s">
        <v>81</v>
      </c>
      <c r="E20" s="420" t="s">
        <v>12</v>
      </c>
    </row>
    <row r="21">
      <c r="A21" s="418">
        <v>45468.0</v>
      </c>
      <c r="B21" s="421">
        <v>40.0</v>
      </c>
      <c r="C21" s="419">
        <v>24.43</v>
      </c>
      <c r="D21" s="420" t="s">
        <v>81</v>
      </c>
      <c r="E21" s="420" t="s">
        <v>12</v>
      </c>
    </row>
    <row r="22">
      <c r="A22" s="418">
        <v>45468.0</v>
      </c>
      <c r="B22" s="421">
        <v>41.0</v>
      </c>
      <c r="C22" s="419">
        <v>24.02</v>
      </c>
      <c r="D22" s="420" t="s">
        <v>81</v>
      </c>
      <c r="E22" s="420" t="s">
        <v>12</v>
      </c>
    </row>
    <row r="23">
      <c r="A23" s="418">
        <v>45468.0</v>
      </c>
      <c r="B23" s="421">
        <v>66.0</v>
      </c>
      <c r="C23" s="419">
        <v>25.4</v>
      </c>
      <c r="D23" s="420" t="s">
        <v>81</v>
      </c>
      <c r="E23" s="420" t="s">
        <v>12</v>
      </c>
    </row>
    <row r="24">
      <c r="A24" s="418">
        <v>45468.0</v>
      </c>
      <c r="B24" s="421">
        <v>67.0</v>
      </c>
      <c r="C24" s="419">
        <v>25.45</v>
      </c>
      <c r="D24" s="420" t="s">
        <v>81</v>
      </c>
      <c r="E24" s="420" t="s">
        <v>12</v>
      </c>
    </row>
    <row r="25">
      <c r="A25" s="418">
        <v>45468.0</v>
      </c>
      <c r="B25" s="421">
        <v>144.0</v>
      </c>
      <c r="C25" s="419">
        <v>24.56</v>
      </c>
      <c r="D25" s="420" t="s">
        <v>81</v>
      </c>
      <c r="E25" s="420" t="s">
        <v>12</v>
      </c>
    </row>
    <row r="26">
      <c r="A26" s="418">
        <v>45468.0</v>
      </c>
      <c r="B26" s="421">
        <v>145.0</v>
      </c>
      <c r="C26" s="419">
        <v>24.96</v>
      </c>
      <c r="D26" s="420" t="s">
        <v>81</v>
      </c>
      <c r="E26" s="420" t="s">
        <v>12</v>
      </c>
    </row>
    <row r="27">
      <c r="A27" s="418">
        <v>45468.0</v>
      </c>
      <c r="B27" s="421">
        <v>157.0</v>
      </c>
      <c r="C27" s="419">
        <v>25.13</v>
      </c>
      <c r="D27" s="420" t="s">
        <v>81</v>
      </c>
      <c r="E27" s="420" t="s">
        <v>12</v>
      </c>
    </row>
    <row r="28">
      <c r="A28" s="418">
        <v>45468.0</v>
      </c>
      <c r="B28" s="421">
        <v>158.0</v>
      </c>
      <c r="C28" s="419">
        <v>25.3</v>
      </c>
      <c r="D28" s="420" t="s">
        <v>81</v>
      </c>
      <c r="E28" s="420" t="s">
        <v>12</v>
      </c>
    </row>
    <row r="29">
      <c r="A29" s="418">
        <v>45468.0</v>
      </c>
      <c r="B29" s="1" t="s">
        <v>552</v>
      </c>
      <c r="C29" s="419">
        <v>26.13</v>
      </c>
      <c r="D29" s="420" t="s">
        <v>81</v>
      </c>
      <c r="E29" s="420" t="s">
        <v>12</v>
      </c>
    </row>
    <row r="30">
      <c r="A30" s="418">
        <v>45469.0</v>
      </c>
      <c r="B30" s="421" t="s">
        <v>678</v>
      </c>
      <c r="C30" s="419">
        <v>25.73</v>
      </c>
      <c r="D30" s="420" t="s">
        <v>81</v>
      </c>
      <c r="E30" s="420" t="s">
        <v>12</v>
      </c>
    </row>
    <row r="31">
      <c r="A31" s="418">
        <v>45469.0</v>
      </c>
      <c r="B31" s="421">
        <v>131.0</v>
      </c>
      <c r="C31" s="419">
        <v>23.88</v>
      </c>
      <c r="D31" s="420" t="s">
        <v>474</v>
      </c>
      <c r="E31" s="420" t="s">
        <v>12</v>
      </c>
    </row>
    <row r="32">
      <c r="A32" s="418">
        <v>45469.0</v>
      </c>
      <c r="B32" s="421">
        <v>132.0</v>
      </c>
      <c r="C32" s="419">
        <v>24.04</v>
      </c>
      <c r="D32" s="420" t="s">
        <v>474</v>
      </c>
      <c r="E32" s="420" t="s">
        <v>12</v>
      </c>
    </row>
    <row r="33">
      <c r="A33" s="418">
        <v>45469.0</v>
      </c>
      <c r="B33" s="421">
        <v>27.0</v>
      </c>
      <c r="C33" s="419">
        <v>24.37</v>
      </c>
      <c r="D33" s="420" t="s">
        <v>474</v>
      </c>
      <c r="E33" s="420" t="s">
        <v>12</v>
      </c>
    </row>
    <row r="34">
      <c r="A34" s="418">
        <v>45469.0</v>
      </c>
      <c r="B34" s="421">
        <v>28.0</v>
      </c>
      <c r="C34" s="419">
        <v>24.2</v>
      </c>
      <c r="D34" s="420" t="s">
        <v>474</v>
      </c>
      <c r="E34" s="420" t="s">
        <v>12</v>
      </c>
    </row>
    <row r="35">
      <c r="A35" s="418">
        <v>45469.0</v>
      </c>
      <c r="B35" s="421">
        <v>170.0</v>
      </c>
      <c r="C35" s="419">
        <v>24.91</v>
      </c>
      <c r="D35" s="420" t="s">
        <v>474</v>
      </c>
      <c r="E35" s="420" t="s">
        <v>12</v>
      </c>
    </row>
    <row r="36">
      <c r="A36" s="418">
        <v>45469.0</v>
      </c>
      <c r="B36" s="421">
        <v>171.0</v>
      </c>
      <c r="C36" s="419">
        <v>24.7</v>
      </c>
      <c r="D36" s="420" t="s">
        <v>474</v>
      </c>
      <c r="E36" s="420" t="s">
        <v>12</v>
      </c>
    </row>
    <row r="37">
      <c r="A37" s="418">
        <v>45469.0</v>
      </c>
      <c r="B37" s="421">
        <v>287.0</v>
      </c>
      <c r="C37" s="419">
        <v>24.76</v>
      </c>
      <c r="D37" s="420" t="s">
        <v>474</v>
      </c>
      <c r="E37" s="420" t="s">
        <v>12</v>
      </c>
    </row>
    <row r="38">
      <c r="A38" s="418">
        <v>45469.0</v>
      </c>
      <c r="B38" s="421">
        <v>288.0</v>
      </c>
      <c r="C38" s="419">
        <v>25.23</v>
      </c>
      <c r="D38" s="420" t="s">
        <v>474</v>
      </c>
      <c r="E38" s="420" t="s">
        <v>12</v>
      </c>
    </row>
    <row r="39">
      <c r="A39" s="418">
        <v>45469.0</v>
      </c>
      <c r="B39" s="421" t="s">
        <v>678</v>
      </c>
      <c r="C39" s="419">
        <v>25.76</v>
      </c>
      <c r="D39" s="420" t="s">
        <v>81</v>
      </c>
      <c r="E39" s="420" t="s">
        <v>12</v>
      </c>
    </row>
    <row r="40">
      <c r="A40" s="418">
        <v>45469.0</v>
      </c>
      <c r="B40" s="421">
        <v>209.0</v>
      </c>
      <c r="C40" s="419">
        <v>24.76</v>
      </c>
      <c r="D40" s="420" t="s">
        <v>81</v>
      </c>
      <c r="E40" s="420" t="s">
        <v>12</v>
      </c>
    </row>
    <row r="41">
      <c r="A41" s="418">
        <v>45469.0</v>
      </c>
      <c r="B41" s="421">
        <v>210.0</v>
      </c>
      <c r="C41" s="419">
        <v>24.85</v>
      </c>
      <c r="D41" s="420" t="s">
        <v>81</v>
      </c>
      <c r="E41" s="420" t="s">
        <v>12</v>
      </c>
    </row>
    <row r="42">
      <c r="A42" s="418">
        <v>45469.0</v>
      </c>
      <c r="B42" s="421">
        <v>184.0</v>
      </c>
      <c r="C42" s="419">
        <v>25.02</v>
      </c>
      <c r="D42" s="420" t="s">
        <v>81</v>
      </c>
      <c r="E42" s="420" t="s">
        <v>12</v>
      </c>
    </row>
    <row r="43">
      <c r="A43" s="418">
        <v>45469.0</v>
      </c>
      <c r="B43" s="421">
        <v>183.0</v>
      </c>
      <c r="C43" s="419">
        <v>25.13</v>
      </c>
      <c r="D43" s="420" t="s">
        <v>81</v>
      </c>
      <c r="E43" s="420" t="s">
        <v>12</v>
      </c>
    </row>
    <row r="44">
      <c r="A44" s="418">
        <v>45469.0</v>
      </c>
      <c r="B44" s="421">
        <v>274.0</v>
      </c>
      <c r="C44" s="419">
        <v>25.12</v>
      </c>
      <c r="D44" s="420" t="s">
        <v>81</v>
      </c>
      <c r="E44" s="420" t="s">
        <v>12</v>
      </c>
    </row>
    <row r="45">
      <c r="A45" s="418">
        <v>45469.0</v>
      </c>
      <c r="B45" s="421">
        <v>275.0</v>
      </c>
      <c r="C45" s="419">
        <v>24.8</v>
      </c>
      <c r="D45" s="420" t="s">
        <v>81</v>
      </c>
      <c r="E45" s="420" t="s">
        <v>12</v>
      </c>
    </row>
    <row r="46">
      <c r="A46" s="418">
        <v>45469.0</v>
      </c>
      <c r="B46" s="421">
        <v>235.0</v>
      </c>
      <c r="C46" s="419">
        <v>25.5</v>
      </c>
      <c r="D46" s="420" t="s">
        <v>81</v>
      </c>
      <c r="E46" s="420" t="s">
        <v>12</v>
      </c>
    </row>
    <row r="47">
      <c r="A47" s="418">
        <v>45469.0</v>
      </c>
      <c r="B47" s="421">
        <v>236.0</v>
      </c>
      <c r="C47" s="419">
        <v>25.64</v>
      </c>
      <c r="D47" s="420" t="s">
        <v>81</v>
      </c>
      <c r="E47" s="420" t="s">
        <v>12</v>
      </c>
    </row>
    <row r="48">
      <c r="A48" s="418">
        <v>45469.0</v>
      </c>
      <c r="B48" s="421" t="s">
        <v>678</v>
      </c>
      <c r="C48" s="419">
        <v>25.7</v>
      </c>
      <c r="D48" s="420" t="s">
        <v>81</v>
      </c>
      <c r="E48" s="420" t="s">
        <v>12</v>
      </c>
    </row>
    <row r="49">
      <c r="A49" s="418">
        <v>45469.0</v>
      </c>
      <c r="B49" s="421">
        <v>222.0</v>
      </c>
      <c r="C49" s="419">
        <v>25.49</v>
      </c>
      <c r="D49" s="420" t="s">
        <v>81</v>
      </c>
      <c r="E49" s="420" t="s">
        <v>12</v>
      </c>
    </row>
    <row r="50">
      <c r="A50" s="418">
        <v>45469.0</v>
      </c>
      <c r="B50" s="421">
        <v>223.0</v>
      </c>
      <c r="C50" s="419">
        <v>25.61</v>
      </c>
      <c r="D50" s="420" t="s">
        <v>81</v>
      </c>
      <c r="E50" s="420" t="s">
        <v>12</v>
      </c>
    </row>
    <row r="51">
      <c r="A51" s="418">
        <v>45469.0</v>
      </c>
      <c r="B51" s="421">
        <v>261.0</v>
      </c>
      <c r="C51" s="419">
        <v>25.72</v>
      </c>
      <c r="D51" s="420" t="s">
        <v>81</v>
      </c>
      <c r="E51" s="420" t="s">
        <v>12</v>
      </c>
    </row>
    <row r="52">
      <c r="A52" s="418">
        <v>45469.0</v>
      </c>
      <c r="B52" s="421">
        <v>262.0</v>
      </c>
      <c r="C52" s="419">
        <v>25.57</v>
      </c>
      <c r="D52" s="420" t="s">
        <v>81</v>
      </c>
      <c r="E52" s="420" t="s">
        <v>12</v>
      </c>
    </row>
    <row r="53">
      <c r="A53" s="418">
        <v>45469.0</v>
      </c>
      <c r="B53" s="421" t="s">
        <v>678</v>
      </c>
      <c r="C53" s="419">
        <v>25.83</v>
      </c>
      <c r="D53" s="420" t="s">
        <v>81</v>
      </c>
      <c r="E53" s="420" t="s">
        <v>12</v>
      </c>
    </row>
    <row r="54">
      <c r="A54" s="418">
        <v>45488.0</v>
      </c>
      <c r="B54" s="421" t="s">
        <v>726</v>
      </c>
      <c r="C54" s="419">
        <v>25.6</v>
      </c>
      <c r="D54" s="420" t="s">
        <v>13</v>
      </c>
      <c r="E54" s="420" t="s">
        <v>12</v>
      </c>
    </row>
    <row r="55">
      <c r="A55" s="418">
        <v>45488.0</v>
      </c>
      <c r="B55" s="421">
        <v>300.0</v>
      </c>
      <c r="C55" s="419">
        <v>25.86</v>
      </c>
      <c r="D55" s="420" t="s">
        <v>13</v>
      </c>
      <c r="E55" s="420" t="s">
        <v>12</v>
      </c>
    </row>
    <row r="56">
      <c r="A56" s="418">
        <v>45488.0</v>
      </c>
      <c r="B56" s="421">
        <v>301.0</v>
      </c>
      <c r="C56" s="419">
        <v>25.88</v>
      </c>
      <c r="D56" s="420" t="s">
        <v>13</v>
      </c>
      <c r="E56" s="420" t="s">
        <v>12</v>
      </c>
    </row>
    <row r="57">
      <c r="A57" s="418">
        <v>45488.0</v>
      </c>
      <c r="B57" s="421">
        <v>196.0</v>
      </c>
      <c r="C57" s="419">
        <v>25.88</v>
      </c>
      <c r="D57" s="420" t="s">
        <v>13</v>
      </c>
      <c r="E57" s="420" t="s">
        <v>12</v>
      </c>
    </row>
    <row r="58">
      <c r="A58" s="418">
        <v>45488.0</v>
      </c>
      <c r="B58" s="421">
        <v>197.0</v>
      </c>
      <c r="C58" s="419">
        <v>25.9</v>
      </c>
      <c r="D58" s="420" t="s">
        <v>13</v>
      </c>
      <c r="E58" s="420" t="s">
        <v>12</v>
      </c>
    </row>
    <row r="59">
      <c r="A59" s="418">
        <v>45488.0</v>
      </c>
      <c r="B59" s="421">
        <v>339.0</v>
      </c>
      <c r="C59" s="419">
        <v>25.91</v>
      </c>
      <c r="D59" s="420" t="s">
        <v>13</v>
      </c>
      <c r="E59" s="420" t="s">
        <v>12</v>
      </c>
    </row>
    <row r="60">
      <c r="A60" s="418">
        <v>45488.0</v>
      </c>
      <c r="B60" s="421">
        <v>340.0</v>
      </c>
      <c r="C60" s="419">
        <v>26.02</v>
      </c>
      <c r="D60" s="420" t="s">
        <v>13</v>
      </c>
      <c r="E60" s="420" t="s">
        <v>12</v>
      </c>
    </row>
    <row r="61">
      <c r="A61" s="418">
        <v>45488.0</v>
      </c>
      <c r="B61" s="421">
        <v>248.0</v>
      </c>
      <c r="C61" s="419">
        <v>26.14</v>
      </c>
      <c r="D61" s="420" t="s">
        <v>13</v>
      </c>
      <c r="E61" s="420" t="s">
        <v>12</v>
      </c>
    </row>
    <row r="62">
      <c r="A62" s="418">
        <v>45488.0</v>
      </c>
      <c r="B62" s="421">
        <v>249.0</v>
      </c>
      <c r="C62" s="419">
        <v>26.32</v>
      </c>
      <c r="D62" s="420" t="s">
        <v>13</v>
      </c>
      <c r="E62" s="420" t="s">
        <v>12</v>
      </c>
    </row>
    <row r="63">
      <c r="A63" s="418">
        <v>45488.0</v>
      </c>
      <c r="B63" s="421" t="s">
        <v>726</v>
      </c>
      <c r="C63" s="419">
        <v>27.02</v>
      </c>
      <c r="D63" s="420" t="s">
        <v>13</v>
      </c>
      <c r="E63" s="420" t="s">
        <v>12</v>
      </c>
    </row>
    <row r="64">
      <c r="A64" s="418">
        <v>45488.0</v>
      </c>
      <c r="B64" s="421">
        <v>313.0</v>
      </c>
      <c r="C64" s="419">
        <v>27.02</v>
      </c>
      <c r="D64" s="420" t="s">
        <v>13</v>
      </c>
      <c r="E64" s="420" t="s">
        <v>12</v>
      </c>
    </row>
    <row r="65">
      <c r="A65" s="418">
        <v>45488.0</v>
      </c>
      <c r="B65" s="421">
        <v>314.0</v>
      </c>
      <c r="C65" s="419">
        <v>26.77</v>
      </c>
      <c r="D65" s="420" t="s">
        <v>13</v>
      </c>
      <c r="E65" s="420" t="s">
        <v>12</v>
      </c>
    </row>
    <row r="66">
      <c r="A66" s="418">
        <v>45488.0</v>
      </c>
      <c r="B66" s="421">
        <v>326.0</v>
      </c>
      <c r="C66" s="419">
        <v>26.81</v>
      </c>
      <c r="D66" s="420" t="s">
        <v>13</v>
      </c>
      <c r="E66" s="420" t="s">
        <v>12</v>
      </c>
    </row>
    <row r="67">
      <c r="A67" s="418">
        <v>45488.0</v>
      </c>
      <c r="B67" s="421">
        <v>327.0</v>
      </c>
      <c r="C67" s="419">
        <v>26.78</v>
      </c>
      <c r="D67" s="420" t="s">
        <v>13</v>
      </c>
      <c r="E67" s="420" t="s">
        <v>12</v>
      </c>
    </row>
    <row r="68">
      <c r="A68" s="418">
        <v>45488.0</v>
      </c>
      <c r="B68" s="421">
        <v>391.0</v>
      </c>
      <c r="C68" s="419">
        <v>26.46</v>
      </c>
      <c r="D68" s="420" t="s">
        <v>13</v>
      </c>
      <c r="E68" s="420" t="s">
        <v>12</v>
      </c>
    </row>
    <row r="69">
      <c r="A69" s="418">
        <v>45488.0</v>
      </c>
      <c r="B69" s="421">
        <v>392.0</v>
      </c>
      <c r="C69" s="419">
        <v>26.41</v>
      </c>
      <c r="D69" s="420" t="s">
        <v>13</v>
      </c>
      <c r="E69" s="420" t="s">
        <v>12</v>
      </c>
    </row>
    <row r="70">
      <c r="A70" s="418">
        <v>45488.0</v>
      </c>
      <c r="B70" s="421">
        <v>352.0</v>
      </c>
      <c r="C70" s="419">
        <v>27.07</v>
      </c>
      <c r="D70" s="420" t="s">
        <v>13</v>
      </c>
      <c r="E70" s="420" t="s">
        <v>12</v>
      </c>
    </row>
    <row r="71">
      <c r="A71" s="418">
        <v>45488.0</v>
      </c>
      <c r="B71" s="421">
        <v>353.0</v>
      </c>
      <c r="C71" s="419">
        <v>27.57</v>
      </c>
      <c r="D71" s="420" t="s">
        <v>13</v>
      </c>
      <c r="E71" s="420" t="s">
        <v>12</v>
      </c>
    </row>
    <row r="72">
      <c r="A72" s="418">
        <v>45488.0</v>
      </c>
      <c r="B72" s="421" t="s">
        <v>726</v>
      </c>
      <c r="C72" s="419">
        <v>27.3</v>
      </c>
      <c r="D72" s="420" t="s">
        <v>13</v>
      </c>
      <c r="E72" s="420" t="s">
        <v>12</v>
      </c>
    </row>
    <row r="73">
      <c r="A73" s="418">
        <v>45488.0</v>
      </c>
      <c r="B73" s="421">
        <v>365.0</v>
      </c>
      <c r="C73" s="419">
        <v>27.26</v>
      </c>
      <c r="D73" s="420" t="s">
        <v>13</v>
      </c>
      <c r="E73" s="420" t="s">
        <v>12</v>
      </c>
    </row>
    <row r="74">
      <c r="A74" s="418">
        <v>45488.0</v>
      </c>
      <c r="B74" s="421">
        <v>366.0</v>
      </c>
      <c r="C74" s="419">
        <v>27.16</v>
      </c>
      <c r="D74" s="420" t="s">
        <v>13</v>
      </c>
      <c r="E74" s="420" t="s">
        <v>12</v>
      </c>
    </row>
    <row r="75">
      <c r="A75" s="418">
        <v>45488.0</v>
      </c>
      <c r="B75" s="421">
        <v>443.0</v>
      </c>
      <c r="C75" s="419">
        <v>27.11</v>
      </c>
      <c r="D75" s="420" t="s">
        <v>13</v>
      </c>
      <c r="E75" s="420" t="s">
        <v>12</v>
      </c>
    </row>
    <row r="76">
      <c r="A76" s="418">
        <v>45488.0</v>
      </c>
      <c r="B76" s="421">
        <v>444.0</v>
      </c>
      <c r="C76" s="419">
        <v>27.24</v>
      </c>
      <c r="D76" s="420" t="s">
        <v>13</v>
      </c>
      <c r="E76" s="420" t="s">
        <v>12</v>
      </c>
    </row>
    <row r="77">
      <c r="A77" s="418">
        <v>45488.0</v>
      </c>
      <c r="B77" s="421">
        <v>417.0</v>
      </c>
      <c r="C77" s="419">
        <v>27.38</v>
      </c>
      <c r="D77" s="420" t="s">
        <v>13</v>
      </c>
      <c r="E77" s="420" t="s">
        <v>12</v>
      </c>
    </row>
    <row r="78">
      <c r="A78" s="418">
        <v>45488.0</v>
      </c>
      <c r="B78" s="421">
        <v>418.0</v>
      </c>
      <c r="C78" s="419">
        <v>27.37</v>
      </c>
      <c r="D78" s="420" t="s">
        <v>13</v>
      </c>
      <c r="E78" s="420" t="s">
        <v>12</v>
      </c>
    </row>
    <row r="79">
      <c r="A79" s="418">
        <v>45488.0</v>
      </c>
      <c r="B79" s="421">
        <v>404.0</v>
      </c>
      <c r="C79" s="419">
        <v>27.4</v>
      </c>
      <c r="D79" s="420" t="s">
        <v>13</v>
      </c>
      <c r="E79" s="420" t="s">
        <v>12</v>
      </c>
    </row>
    <row r="80">
      <c r="A80" s="418">
        <v>45488.0</v>
      </c>
      <c r="B80" s="421">
        <v>405.0</v>
      </c>
      <c r="C80" s="419">
        <v>27.73</v>
      </c>
      <c r="D80" s="420" t="s">
        <v>13</v>
      </c>
      <c r="E80" s="420" t="s">
        <v>12</v>
      </c>
    </row>
    <row r="81">
      <c r="A81" s="418">
        <v>45488.0</v>
      </c>
      <c r="B81" s="421" t="s">
        <v>726</v>
      </c>
      <c r="C81" s="419">
        <v>27.7</v>
      </c>
      <c r="D81" s="420" t="s">
        <v>13</v>
      </c>
      <c r="E81" s="420" t="s">
        <v>12</v>
      </c>
    </row>
    <row r="82">
      <c r="A82" s="418">
        <v>45495.0</v>
      </c>
      <c r="B82" s="421" t="s">
        <v>776</v>
      </c>
      <c r="C82" s="419">
        <v>25.24</v>
      </c>
      <c r="D82" s="420" t="s">
        <v>13</v>
      </c>
      <c r="E82" s="420" t="s">
        <v>12</v>
      </c>
    </row>
    <row r="83">
      <c r="A83" s="418">
        <v>45495.0</v>
      </c>
      <c r="B83" s="421">
        <v>456.0</v>
      </c>
      <c r="C83" s="419">
        <v>16.98</v>
      </c>
      <c r="D83" s="420" t="s">
        <v>13</v>
      </c>
      <c r="E83" s="420" t="s">
        <v>12</v>
      </c>
    </row>
    <row r="84">
      <c r="A84" s="418">
        <v>45495.0</v>
      </c>
      <c r="B84" s="421">
        <v>457.0</v>
      </c>
      <c r="C84" s="419">
        <v>16.74</v>
      </c>
      <c r="D84" s="420" t="s">
        <v>13</v>
      </c>
      <c r="E84" s="420" t="s">
        <v>12</v>
      </c>
    </row>
    <row r="85">
      <c r="A85" s="418">
        <v>45495.0</v>
      </c>
      <c r="B85" s="421">
        <v>482.0</v>
      </c>
      <c r="C85" s="419">
        <v>17.82</v>
      </c>
      <c r="D85" s="420" t="s">
        <v>13</v>
      </c>
      <c r="E85" s="420" t="s">
        <v>12</v>
      </c>
    </row>
    <row r="86">
      <c r="A86" s="418">
        <v>45495.0</v>
      </c>
      <c r="B86" s="421">
        <v>483.0</v>
      </c>
      <c r="C86" s="419">
        <v>17.84</v>
      </c>
      <c r="D86" s="420" t="s">
        <v>13</v>
      </c>
      <c r="E86" s="420" t="s">
        <v>12</v>
      </c>
    </row>
    <row r="87">
      <c r="A87" s="418">
        <v>45495.0</v>
      </c>
      <c r="B87" s="421">
        <v>378.0</v>
      </c>
      <c r="C87" s="419">
        <v>18.22</v>
      </c>
      <c r="D87" s="420" t="s">
        <v>13</v>
      </c>
      <c r="E87" s="420" t="s">
        <v>12</v>
      </c>
    </row>
    <row r="88">
      <c r="A88" s="418">
        <v>45495.0</v>
      </c>
      <c r="B88" s="421">
        <v>379.0</v>
      </c>
      <c r="C88" s="419">
        <v>22.24</v>
      </c>
      <c r="D88" s="420" t="s">
        <v>13</v>
      </c>
      <c r="E88" s="420" t="s">
        <v>12</v>
      </c>
    </row>
    <row r="89">
      <c r="A89" s="418">
        <v>45495.0</v>
      </c>
      <c r="B89" s="421">
        <v>521.0</v>
      </c>
      <c r="C89" s="419">
        <v>22.39</v>
      </c>
      <c r="D89" s="420" t="s">
        <v>13</v>
      </c>
      <c r="E89" s="420" t="s">
        <v>12</v>
      </c>
    </row>
    <row r="90">
      <c r="A90" s="418">
        <v>45495.0</v>
      </c>
      <c r="B90" s="421">
        <v>522.0</v>
      </c>
      <c r="C90" s="419">
        <v>22.97</v>
      </c>
      <c r="D90" s="420" t="s">
        <v>13</v>
      </c>
      <c r="E90" s="420" t="s">
        <v>12</v>
      </c>
    </row>
    <row r="91">
      <c r="A91" s="418">
        <v>45495.0</v>
      </c>
      <c r="B91" s="421" t="s">
        <v>776</v>
      </c>
      <c r="C91" s="419">
        <v>25.24</v>
      </c>
      <c r="D91" s="420" t="s">
        <v>13</v>
      </c>
      <c r="E91" s="420" t="s">
        <v>12</v>
      </c>
    </row>
    <row r="92">
      <c r="A92" s="418">
        <v>45495.0</v>
      </c>
      <c r="B92" s="421">
        <v>495.0</v>
      </c>
      <c r="C92" s="419">
        <v>23.15</v>
      </c>
      <c r="D92" s="420" t="s">
        <v>13</v>
      </c>
      <c r="E92" s="420" t="s">
        <v>12</v>
      </c>
    </row>
    <row r="93">
      <c r="A93" s="418">
        <v>45495.0</v>
      </c>
      <c r="B93" s="421">
        <v>496.0</v>
      </c>
      <c r="C93" s="419">
        <v>22.89</v>
      </c>
      <c r="D93" s="420" t="s">
        <v>13</v>
      </c>
      <c r="E93" s="420" t="s">
        <v>12</v>
      </c>
    </row>
    <row r="94">
      <c r="A94" s="418">
        <v>45495.0</v>
      </c>
      <c r="B94" s="421">
        <v>560.0</v>
      </c>
      <c r="C94" s="419">
        <v>22.91</v>
      </c>
      <c r="D94" s="420" t="s">
        <v>13</v>
      </c>
      <c r="E94" s="420" t="s">
        <v>12</v>
      </c>
    </row>
    <row r="95">
      <c r="A95" s="418">
        <v>45495.0</v>
      </c>
      <c r="B95" s="421">
        <v>561.0</v>
      </c>
      <c r="C95" s="419">
        <v>23.96</v>
      </c>
      <c r="D95" s="420" t="s">
        <v>13</v>
      </c>
      <c r="E95" s="420" t="s">
        <v>12</v>
      </c>
    </row>
    <row r="96">
      <c r="A96" s="418">
        <v>45495.0</v>
      </c>
      <c r="B96" s="421">
        <v>430.0</v>
      </c>
      <c r="C96" s="419">
        <v>23.9</v>
      </c>
      <c r="D96" s="420" t="s">
        <v>13</v>
      </c>
      <c r="E96" s="420" t="s">
        <v>12</v>
      </c>
    </row>
    <row r="97">
      <c r="A97" s="418">
        <v>45495.0</v>
      </c>
      <c r="B97" s="421">
        <v>431.0</v>
      </c>
      <c r="C97" s="419">
        <v>24.51</v>
      </c>
      <c r="D97" s="420" t="s">
        <v>13</v>
      </c>
      <c r="E97" s="420" t="s">
        <v>12</v>
      </c>
    </row>
    <row r="98">
      <c r="A98" s="418">
        <v>45495.0</v>
      </c>
      <c r="B98" s="421">
        <v>534.0</v>
      </c>
      <c r="C98" s="419">
        <v>24.52</v>
      </c>
      <c r="D98" s="420" t="s">
        <v>13</v>
      </c>
      <c r="E98" s="420" t="s">
        <v>12</v>
      </c>
    </row>
    <row r="99">
      <c r="A99" s="418">
        <v>45495.0</v>
      </c>
      <c r="B99" s="421">
        <v>535.0</v>
      </c>
      <c r="C99" s="419">
        <v>24.69</v>
      </c>
      <c r="D99" s="420" t="s">
        <v>13</v>
      </c>
      <c r="E99" s="420" t="s">
        <v>12</v>
      </c>
    </row>
    <row r="100">
      <c r="A100" s="418">
        <v>45495.0</v>
      </c>
      <c r="B100" s="421" t="s">
        <v>776</v>
      </c>
      <c r="C100" s="419">
        <v>25.24</v>
      </c>
      <c r="D100" s="420" t="s">
        <v>13</v>
      </c>
      <c r="E100" s="420" t="s">
        <v>12</v>
      </c>
    </row>
    <row r="101">
      <c r="A101" s="418">
        <v>45495.0</v>
      </c>
      <c r="B101" s="421">
        <v>508.0</v>
      </c>
      <c r="C101" s="419">
        <v>25.13</v>
      </c>
      <c r="D101" s="420" t="s">
        <v>13</v>
      </c>
      <c r="E101" s="420" t="s">
        <v>12</v>
      </c>
    </row>
    <row r="102">
      <c r="A102" s="418">
        <v>45495.0</v>
      </c>
      <c r="B102" s="421">
        <v>509.0</v>
      </c>
      <c r="C102" s="419">
        <v>25.0</v>
      </c>
      <c r="D102" s="420" t="s">
        <v>13</v>
      </c>
      <c r="E102" s="420" t="s">
        <v>12</v>
      </c>
    </row>
    <row r="103">
      <c r="A103" s="418">
        <v>45495.0</v>
      </c>
      <c r="B103" s="421">
        <v>469.0</v>
      </c>
      <c r="C103" s="419">
        <v>24.78</v>
      </c>
      <c r="D103" s="420" t="s">
        <v>13</v>
      </c>
      <c r="E103" s="420" t="s">
        <v>12</v>
      </c>
    </row>
    <row r="104">
      <c r="A104" s="418">
        <v>45495.0</v>
      </c>
      <c r="B104" s="421">
        <v>470.0</v>
      </c>
      <c r="C104" s="419">
        <v>24.9</v>
      </c>
      <c r="D104" s="420" t="s">
        <v>13</v>
      </c>
      <c r="E104" s="420" t="s">
        <v>12</v>
      </c>
    </row>
    <row r="105">
      <c r="A105" s="418">
        <v>45495.0</v>
      </c>
      <c r="B105" s="421">
        <v>573.0</v>
      </c>
      <c r="C105" s="422">
        <v>25.09</v>
      </c>
      <c r="D105" s="420" t="s">
        <v>13</v>
      </c>
      <c r="E105" s="420" t="s">
        <v>12</v>
      </c>
    </row>
    <row r="106">
      <c r="A106" s="418">
        <v>45495.0</v>
      </c>
      <c r="B106" s="421">
        <v>574.0</v>
      </c>
      <c r="C106" s="419">
        <v>25.0</v>
      </c>
      <c r="D106" s="420" t="s">
        <v>13</v>
      </c>
      <c r="E106" s="420" t="s">
        <v>12</v>
      </c>
    </row>
    <row r="107">
      <c r="A107" s="418">
        <v>45495.0</v>
      </c>
      <c r="B107" s="421">
        <v>612.0</v>
      </c>
      <c r="C107" s="419">
        <v>25.14</v>
      </c>
      <c r="D107" s="420" t="s">
        <v>13</v>
      </c>
      <c r="E107" s="420" t="s">
        <v>12</v>
      </c>
    </row>
    <row r="108">
      <c r="A108" s="418">
        <v>45495.0</v>
      </c>
      <c r="B108" s="421">
        <v>613.0</v>
      </c>
      <c r="C108" s="419">
        <v>25.09</v>
      </c>
      <c r="D108" s="420" t="s">
        <v>13</v>
      </c>
      <c r="E108" s="420" t="s">
        <v>12</v>
      </c>
    </row>
    <row r="109">
      <c r="A109" s="418">
        <v>45495.0</v>
      </c>
      <c r="B109" s="421" t="s">
        <v>776</v>
      </c>
      <c r="C109" s="419">
        <v>25.24</v>
      </c>
      <c r="D109" s="420" t="s">
        <v>13</v>
      </c>
      <c r="E109" s="420" t="s">
        <v>12</v>
      </c>
    </row>
    <row r="110">
      <c r="A110" s="418">
        <v>45503.0</v>
      </c>
      <c r="B110" s="421" t="s">
        <v>821</v>
      </c>
      <c r="C110" s="419">
        <v>25.6</v>
      </c>
      <c r="D110" s="420" t="s">
        <v>13</v>
      </c>
      <c r="E110" s="420" t="s">
        <v>12</v>
      </c>
    </row>
    <row r="111">
      <c r="A111" s="418">
        <v>45503.0</v>
      </c>
      <c r="B111" s="421">
        <v>599.0</v>
      </c>
      <c r="C111" s="419">
        <v>20.8</v>
      </c>
      <c r="D111" s="420" t="s">
        <v>13</v>
      </c>
      <c r="E111" s="420" t="s">
        <v>12</v>
      </c>
    </row>
    <row r="112">
      <c r="A112" s="418">
        <v>45503.0</v>
      </c>
      <c r="B112" s="421">
        <v>600.0</v>
      </c>
      <c r="C112" s="419">
        <v>20.88</v>
      </c>
      <c r="D112" s="420" t="s">
        <v>13</v>
      </c>
      <c r="E112" s="420" t="s">
        <v>12</v>
      </c>
    </row>
    <row r="113">
      <c r="A113" s="418">
        <v>45503.0</v>
      </c>
      <c r="B113" s="421">
        <v>547.0</v>
      </c>
      <c r="C113" s="419">
        <v>22.84</v>
      </c>
      <c r="D113" s="420" t="s">
        <v>13</v>
      </c>
      <c r="E113" s="420" t="s">
        <v>12</v>
      </c>
    </row>
    <row r="114">
      <c r="A114" s="418">
        <v>45503.0</v>
      </c>
      <c r="B114" s="421">
        <v>548.0</v>
      </c>
      <c r="C114" s="419">
        <v>23.13</v>
      </c>
      <c r="D114" s="420" t="s">
        <v>13</v>
      </c>
      <c r="E114" s="420" t="s">
        <v>12</v>
      </c>
    </row>
    <row r="115">
      <c r="A115" s="418">
        <v>45503.0</v>
      </c>
      <c r="B115" s="421" t="s">
        <v>821</v>
      </c>
      <c r="C115" s="419">
        <v>25.3</v>
      </c>
      <c r="D115" s="420" t="s">
        <v>13</v>
      </c>
      <c r="E115" s="420" t="s">
        <v>12</v>
      </c>
    </row>
    <row r="116">
      <c r="A116" s="365"/>
      <c r="B116" s="365"/>
      <c r="C116" s="416"/>
      <c r="D116" s="417"/>
      <c r="E116" s="423"/>
    </row>
    <row r="117">
      <c r="A117" s="365"/>
      <c r="B117" s="365"/>
      <c r="C117" s="416"/>
      <c r="D117" s="417"/>
      <c r="E117" s="423"/>
    </row>
    <row r="118">
      <c r="A118" s="365"/>
      <c r="B118" s="365"/>
      <c r="C118" s="416"/>
      <c r="D118" s="417"/>
      <c r="E118" s="423"/>
    </row>
    <row r="119">
      <c r="A119" s="365"/>
      <c r="B119" s="365"/>
      <c r="C119" s="416"/>
      <c r="D119" s="417"/>
      <c r="E119" s="423"/>
    </row>
    <row r="120">
      <c r="A120" s="365"/>
      <c r="B120" s="365"/>
      <c r="C120" s="416"/>
      <c r="D120" s="417"/>
      <c r="E120" s="423"/>
    </row>
    <row r="121">
      <c r="A121" s="365"/>
      <c r="B121" s="365"/>
      <c r="C121" s="416"/>
      <c r="D121" s="417"/>
      <c r="E121" s="423"/>
    </row>
    <row r="122">
      <c r="A122" s="365"/>
      <c r="B122" s="365"/>
      <c r="C122" s="416"/>
      <c r="D122" s="417"/>
      <c r="E122" s="423"/>
    </row>
    <row r="123">
      <c r="A123" s="365"/>
      <c r="B123" s="365"/>
      <c r="C123" s="416"/>
      <c r="D123" s="417"/>
      <c r="E123" s="423"/>
    </row>
    <row r="124">
      <c r="A124" s="365"/>
      <c r="B124" s="365"/>
      <c r="C124" s="416"/>
      <c r="D124" s="417"/>
      <c r="E124" s="423"/>
    </row>
    <row r="125">
      <c r="A125" s="365"/>
      <c r="B125" s="365"/>
      <c r="C125" s="416"/>
      <c r="D125" s="417"/>
      <c r="E125" s="423"/>
    </row>
    <row r="126">
      <c r="A126" s="365"/>
      <c r="B126" s="365"/>
      <c r="C126" s="416"/>
      <c r="D126" s="417"/>
      <c r="E126" s="423"/>
    </row>
    <row r="127">
      <c r="A127" s="365"/>
      <c r="B127" s="365"/>
      <c r="C127" s="416"/>
      <c r="D127" s="417"/>
      <c r="E127" s="423"/>
    </row>
    <row r="128">
      <c r="A128" s="365"/>
      <c r="B128" s="365"/>
      <c r="C128" s="416"/>
      <c r="D128" s="417"/>
      <c r="E128" s="423"/>
    </row>
    <row r="129">
      <c r="A129" s="365"/>
      <c r="B129" s="365"/>
      <c r="C129" s="416"/>
      <c r="D129" s="417"/>
      <c r="E129" s="423"/>
    </row>
    <row r="130">
      <c r="A130" s="365"/>
      <c r="B130" s="365"/>
      <c r="C130" s="416"/>
      <c r="D130" s="417"/>
      <c r="E130" s="423"/>
    </row>
    <row r="131">
      <c r="A131" s="365"/>
      <c r="B131" s="365"/>
      <c r="C131" s="416"/>
      <c r="D131" s="417"/>
      <c r="E131" s="423"/>
    </row>
    <row r="132">
      <c r="A132" s="365"/>
      <c r="B132" s="365"/>
      <c r="C132" s="416"/>
      <c r="D132" s="417"/>
      <c r="E132" s="423"/>
    </row>
    <row r="133">
      <c r="A133" s="365"/>
      <c r="B133" s="365"/>
      <c r="C133" s="416"/>
      <c r="D133" s="417"/>
      <c r="E133" s="423"/>
    </row>
    <row r="134">
      <c r="A134" s="365"/>
      <c r="B134" s="365"/>
      <c r="C134" s="416"/>
      <c r="D134" s="417"/>
      <c r="E134" s="423"/>
    </row>
    <row r="135">
      <c r="A135" s="365"/>
      <c r="B135" s="365"/>
      <c r="C135" s="416"/>
      <c r="D135" s="417"/>
      <c r="E135" s="423"/>
    </row>
    <row r="136">
      <c r="A136" s="365"/>
      <c r="B136" s="365"/>
      <c r="C136" s="416"/>
      <c r="D136" s="417"/>
      <c r="E136" s="423"/>
    </row>
    <row r="137">
      <c r="A137" s="365"/>
      <c r="B137" s="365"/>
      <c r="C137" s="416"/>
      <c r="D137" s="417"/>
      <c r="E137" s="423"/>
    </row>
    <row r="138">
      <c r="A138" s="365"/>
      <c r="B138" s="365"/>
      <c r="C138" s="416"/>
      <c r="D138" s="417"/>
      <c r="E138" s="423"/>
    </row>
    <row r="139">
      <c r="A139" s="365"/>
      <c r="B139" s="365"/>
      <c r="C139" s="416"/>
      <c r="D139" s="417"/>
      <c r="E139" s="423"/>
    </row>
    <row r="140">
      <c r="A140" s="365"/>
      <c r="B140" s="365"/>
      <c r="C140" s="416"/>
      <c r="D140" s="417"/>
      <c r="E140" s="423"/>
    </row>
    <row r="141">
      <c r="A141" s="365"/>
      <c r="B141" s="365"/>
      <c r="C141" s="416"/>
      <c r="D141" s="417"/>
      <c r="E141" s="423"/>
    </row>
    <row r="142">
      <c r="A142" s="365"/>
      <c r="B142" s="365"/>
      <c r="C142" s="416"/>
      <c r="D142" s="417"/>
      <c r="E142" s="423"/>
    </row>
    <row r="143">
      <c r="A143" s="365"/>
      <c r="B143" s="365"/>
      <c r="C143" s="416"/>
      <c r="D143" s="417"/>
      <c r="E143" s="423"/>
    </row>
    <row r="144">
      <c r="A144" s="365"/>
      <c r="B144" s="365"/>
      <c r="C144" s="416"/>
      <c r="D144" s="417"/>
      <c r="E144" s="423"/>
    </row>
    <row r="145">
      <c r="A145" s="365"/>
      <c r="B145" s="365"/>
      <c r="C145" s="416"/>
      <c r="D145" s="417"/>
      <c r="E145" s="423"/>
    </row>
    <row r="146">
      <c r="A146" s="365"/>
      <c r="B146" s="365"/>
      <c r="C146" s="416"/>
      <c r="D146" s="417"/>
      <c r="E146" s="423"/>
    </row>
    <row r="147">
      <c r="A147" s="365"/>
      <c r="B147" s="365"/>
      <c r="C147" s="416"/>
      <c r="D147" s="417"/>
      <c r="E147" s="423"/>
    </row>
    <row r="148">
      <c r="A148" s="365"/>
      <c r="B148" s="365"/>
      <c r="C148" s="416"/>
      <c r="D148" s="417"/>
      <c r="E148" s="423"/>
    </row>
    <row r="149">
      <c r="A149" s="365"/>
      <c r="B149" s="365"/>
      <c r="C149" s="416"/>
      <c r="D149" s="417"/>
      <c r="E149" s="423"/>
    </row>
    <row r="150">
      <c r="A150" s="365"/>
      <c r="B150" s="365"/>
      <c r="C150" s="416"/>
      <c r="D150" s="417"/>
      <c r="E150" s="423"/>
    </row>
    <row r="151">
      <c r="A151" s="365"/>
      <c r="B151" s="365"/>
      <c r="C151" s="416"/>
      <c r="D151" s="417"/>
      <c r="E151" s="423"/>
    </row>
    <row r="152">
      <c r="A152" s="365"/>
      <c r="B152" s="365"/>
      <c r="C152" s="416"/>
      <c r="D152" s="417"/>
      <c r="E152" s="423"/>
    </row>
    <row r="153">
      <c r="A153" s="365"/>
      <c r="B153" s="365"/>
      <c r="C153" s="416"/>
      <c r="D153" s="417"/>
      <c r="E153" s="423"/>
    </row>
    <row r="154">
      <c r="A154" s="365"/>
      <c r="B154" s="365"/>
      <c r="C154" s="416"/>
      <c r="D154" s="417"/>
      <c r="E154" s="423"/>
    </row>
    <row r="155">
      <c r="A155" s="365"/>
      <c r="B155" s="365"/>
      <c r="C155" s="416"/>
      <c r="D155" s="417"/>
      <c r="E155" s="423"/>
    </row>
    <row r="156">
      <c r="A156" s="365"/>
      <c r="B156" s="365"/>
      <c r="C156" s="416"/>
      <c r="D156" s="417"/>
      <c r="E156" s="423"/>
    </row>
    <row r="157">
      <c r="A157" s="365"/>
      <c r="B157" s="365"/>
      <c r="C157" s="416"/>
      <c r="D157" s="417"/>
      <c r="E157" s="423"/>
    </row>
    <row r="158">
      <c r="A158" s="365"/>
      <c r="B158" s="365"/>
      <c r="C158" s="416"/>
      <c r="D158" s="417"/>
      <c r="E158" s="423"/>
    </row>
    <row r="159">
      <c r="A159" s="365"/>
      <c r="B159" s="365"/>
      <c r="C159" s="416"/>
      <c r="D159" s="417"/>
      <c r="E159" s="423"/>
    </row>
    <row r="160">
      <c r="A160" s="365"/>
      <c r="B160" s="365"/>
      <c r="C160" s="416"/>
      <c r="D160" s="417"/>
      <c r="E160" s="423"/>
    </row>
    <row r="161">
      <c r="A161" s="365"/>
      <c r="B161" s="365"/>
      <c r="C161" s="416"/>
      <c r="D161" s="417"/>
      <c r="E161" s="423"/>
    </row>
    <row r="162">
      <c r="A162" s="365"/>
      <c r="B162" s="365"/>
      <c r="C162" s="416"/>
      <c r="D162" s="417"/>
      <c r="E162" s="423"/>
    </row>
    <row r="163">
      <c r="A163" s="365"/>
      <c r="B163" s="365"/>
      <c r="C163" s="416"/>
      <c r="D163" s="417"/>
      <c r="E163" s="423"/>
    </row>
    <row r="164">
      <c r="A164" s="365"/>
      <c r="B164" s="365"/>
      <c r="C164" s="416"/>
      <c r="D164" s="417"/>
      <c r="E164" s="423"/>
    </row>
    <row r="165">
      <c r="A165" s="365"/>
      <c r="B165" s="365"/>
      <c r="C165" s="416"/>
      <c r="D165" s="417"/>
      <c r="E165" s="423"/>
    </row>
    <row r="166">
      <c r="A166" s="365"/>
      <c r="B166" s="365"/>
      <c r="C166" s="416"/>
      <c r="D166" s="417"/>
      <c r="E166" s="423"/>
    </row>
    <row r="167">
      <c r="A167" s="365"/>
      <c r="B167" s="365"/>
      <c r="C167" s="416"/>
      <c r="D167" s="417"/>
      <c r="E167" s="423"/>
    </row>
    <row r="168">
      <c r="A168" s="365"/>
      <c r="B168" s="365"/>
      <c r="C168" s="416"/>
      <c r="D168" s="417"/>
      <c r="E168" s="423"/>
    </row>
    <row r="169">
      <c r="A169" s="365"/>
      <c r="B169" s="365"/>
      <c r="C169" s="416"/>
      <c r="D169" s="417"/>
      <c r="E169" s="423"/>
    </row>
    <row r="170">
      <c r="A170" s="365"/>
      <c r="B170" s="365"/>
      <c r="C170" s="416"/>
      <c r="D170" s="417"/>
      <c r="E170" s="423"/>
    </row>
    <row r="171">
      <c r="A171" s="365"/>
      <c r="B171" s="365"/>
      <c r="C171" s="416"/>
      <c r="D171" s="417"/>
      <c r="E171" s="423"/>
    </row>
    <row r="172">
      <c r="A172" s="365"/>
      <c r="B172" s="365"/>
      <c r="C172" s="416"/>
      <c r="D172" s="417"/>
      <c r="E172" s="423"/>
    </row>
    <row r="173">
      <c r="A173" s="365"/>
      <c r="B173" s="365"/>
      <c r="C173" s="416"/>
      <c r="D173" s="417"/>
      <c r="E173" s="423"/>
    </row>
    <row r="174">
      <c r="A174" s="365"/>
      <c r="B174" s="365"/>
      <c r="C174" s="416"/>
      <c r="D174" s="417"/>
      <c r="E174" s="423"/>
    </row>
    <row r="175">
      <c r="A175" s="365"/>
      <c r="B175" s="365"/>
      <c r="C175" s="416"/>
      <c r="D175" s="417"/>
      <c r="E175" s="423"/>
    </row>
    <row r="176">
      <c r="A176" s="365"/>
      <c r="B176" s="365"/>
      <c r="C176" s="416"/>
      <c r="D176" s="417"/>
      <c r="E176" s="423"/>
    </row>
    <row r="177">
      <c r="A177" s="365"/>
      <c r="B177" s="365"/>
      <c r="C177" s="416"/>
      <c r="D177" s="417"/>
      <c r="E177" s="423"/>
    </row>
    <row r="178">
      <c r="A178" s="365"/>
      <c r="B178" s="365"/>
      <c r="C178" s="416"/>
      <c r="D178" s="417"/>
      <c r="E178" s="423"/>
    </row>
    <row r="179">
      <c r="A179" s="365"/>
      <c r="B179" s="365"/>
      <c r="C179" s="416"/>
      <c r="D179" s="417"/>
      <c r="E179" s="423"/>
    </row>
    <row r="180">
      <c r="A180" s="365"/>
      <c r="B180" s="365"/>
      <c r="C180" s="416"/>
      <c r="D180" s="417"/>
      <c r="E180" s="423"/>
    </row>
    <row r="181">
      <c r="A181" s="365"/>
      <c r="B181" s="365"/>
      <c r="C181" s="416"/>
      <c r="D181" s="417"/>
      <c r="E181" s="423"/>
    </row>
    <row r="182">
      <c r="A182" s="365"/>
      <c r="B182" s="365"/>
      <c r="C182" s="416"/>
      <c r="D182" s="417"/>
      <c r="E182" s="423"/>
    </row>
    <row r="183">
      <c r="A183" s="365"/>
      <c r="B183" s="365"/>
      <c r="C183" s="416"/>
      <c r="D183" s="417"/>
      <c r="E183" s="423"/>
    </row>
    <row r="184">
      <c r="A184" s="365"/>
      <c r="B184" s="365"/>
      <c r="C184" s="416"/>
      <c r="D184" s="417"/>
      <c r="E184" s="423"/>
    </row>
    <row r="185">
      <c r="A185" s="365"/>
      <c r="B185" s="365"/>
      <c r="C185" s="416"/>
      <c r="D185" s="417"/>
      <c r="E185" s="423"/>
    </row>
    <row r="186">
      <c r="A186" s="365"/>
      <c r="B186" s="365"/>
      <c r="C186" s="416"/>
      <c r="D186" s="417"/>
      <c r="E186" s="423"/>
    </row>
    <row r="187">
      <c r="A187" s="365"/>
      <c r="B187" s="365"/>
      <c r="C187" s="416"/>
      <c r="D187" s="417"/>
      <c r="E187" s="423"/>
    </row>
    <row r="188">
      <c r="A188" s="365"/>
      <c r="B188" s="365"/>
      <c r="C188" s="416"/>
      <c r="D188" s="417"/>
      <c r="E188" s="423"/>
    </row>
    <row r="189">
      <c r="A189" s="365"/>
      <c r="B189" s="365"/>
      <c r="C189" s="416"/>
      <c r="D189" s="417"/>
      <c r="E189" s="423"/>
    </row>
    <row r="190">
      <c r="A190" s="365"/>
      <c r="B190" s="365"/>
      <c r="C190" s="416"/>
      <c r="D190" s="417"/>
      <c r="E190" s="423"/>
    </row>
    <row r="191">
      <c r="A191" s="365"/>
      <c r="B191" s="365"/>
      <c r="C191" s="416"/>
      <c r="D191" s="417"/>
      <c r="E191" s="423"/>
    </row>
    <row r="192">
      <c r="A192" s="365"/>
      <c r="B192" s="365"/>
      <c r="C192" s="416"/>
      <c r="D192" s="417"/>
      <c r="E192" s="423"/>
    </row>
    <row r="193">
      <c r="A193" s="365"/>
      <c r="B193" s="365"/>
      <c r="C193" s="416"/>
      <c r="D193" s="417"/>
      <c r="E193" s="423"/>
    </row>
    <row r="194">
      <c r="A194" s="365"/>
      <c r="B194" s="365"/>
      <c r="C194" s="416"/>
      <c r="D194" s="417"/>
      <c r="E194" s="423"/>
    </row>
    <row r="195">
      <c r="A195" s="365"/>
      <c r="B195" s="365"/>
      <c r="C195" s="416"/>
      <c r="D195" s="417"/>
      <c r="E195" s="423"/>
    </row>
    <row r="196">
      <c r="A196" s="365"/>
      <c r="B196" s="365"/>
      <c r="C196" s="416"/>
      <c r="D196" s="417"/>
      <c r="E196" s="423"/>
    </row>
    <row r="197">
      <c r="A197" s="365"/>
      <c r="B197" s="365"/>
      <c r="C197" s="416"/>
      <c r="D197" s="417"/>
      <c r="E197" s="423"/>
    </row>
    <row r="198">
      <c r="A198" s="365"/>
      <c r="B198" s="365"/>
      <c r="C198" s="416"/>
      <c r="D198" s="417"/>
      <c r="E198" s="423"/>
    </row>
    <row r="199">
      <c r="A199" s="365"/>
      <c r="B199" s="365"/>
      <c r="C199" s="416"/>
      <c r="D199" s="417"/>
      <c r="E199" s="423"/>
    </row>
    <row r="200">
      <c r="A200" s="365"/>
      <c r="B200" s="365"/>
      <c r="C200" s="416"/>
      <c r="D200" s="417"/>
      <c r="E200" s="423"/>
    </row>
    <row r="201">
      <c r="A201" s="365"/>
      <c r="B201" s="365"/>
      <c r="C201" s="416"/>
      <c r="D201" s="417"/>
      <c r="E201" s="423"/>
    </row>
    <row r="202">
      <c r="A202" s="365"/>
      <c r="B202" s="365"/>
      <c r="C202" s="416"/>
      <c r="D202" s="417"/>
      <c r="E202" s="423"/>
    </row>
    <row r="203">
      <c r="A203" s="365"/>
      <c r="B203" s="365"/>
      <c r="C203" s="416"/>
      <c r="D203" s="417"/>
      <c r="E203" s="423"/>
    </row>
    <row r="204">
      <c r="A204" s="365"/>
      <c r="B204" s="365"/>
      <c r="C204" s="416"/>
      <c r="D204" s="417"/>
      <c r="E204" s="423"/>
    </row>
    <row r="205">
      <c r="A205" s="365"/>
      <c r="B205" s="365"/>
      <c r="C205" s="416"/>
      <c r="D205" s="417"/>
      <c r="E205" s="423"/>
    </row>
    <row r="206">
      <c r="A206" s="365"/>
      <c r="B206" s="365"/>
      <c r="C206" s="416"/>
      <c r="D206" s="417"/>
      <c r="E206" s="423"/>
    </row>
    <row r="207">
      <c r="A207" s="365"/>
      <c r="B207" s="365"/>
      <c r="C207" s="416"/>
      <c r="D207" s="417"/>
      <c r="E207" s="423"/>
    </row>
    <row r="208">
      <c r="A208" s="365"/>
      <c r="B208" s="365"/>
      <c r="C208" s="416"/>
      <c r="D208" s="417"/>
      <c r="E208" s="423"/>
    </row>
    <row r="209">
      <c r="A209" s="365"/>
      <c r="B209" s="365"/>
      <c r="C209" s="416"/>
      <c r="D209" s="417"/>
      <c r="E209" s="423"/>
    </row>
    <row r="210">
      <c r="A210" s="365"/>
      <c r="B210" s="365"/>
      <c r="C210" s="416"/>
      <c r="D210" s="417"/>
      <c r="E210" s="423"/>
    </row>
    <row r="211">
      <c r="A211" s="365"/>
      <c r="B211" s="365"/>
      <c r="C211" s="416"/>
      <c r="D211" s="417"/>
      <c r="E211" s="423"/>
    </row>
    <row r="212">
      <c r="A212" s="365"/>
      <c r="B212" s="365"/>
      <c r="C212" s="416"/>
      <c r="D212" s="417"/>
      <c r="E212" s="423"/>
    </row>
    <row r="213">
      <c r="A213" s="365"/>
      <c r="B213" s="365"/>
      <c r="C213" s="416"/>
      <c r="D213" s="417"/>
      <c r="E213" s="423"/>
    </row>
    <row r="214">
      <c r="A214" s="365"/>
      <c r="B214" s="365"/>
      <c r="C214" s="416"/>
      <c r="D214" s="417"/>
      <c r="E214" s="423"/>
    </row>
    <row r="215">
      <c r="A215" s="365"/>
      <c r="B215" s="365"/>
      <c r="C215" s="416"/>
      <c r="D215" s="417"/>
      <c r="E215" s="423"/>
    </row>
    <row r="216">
      <c r="A216" s="365"/>
      <c r="B216" s="365"/>
      <c r="C216" s="416"/>
      <c r="D216" s="417"/>
      <c r="E216" s="423"/>
    </row>
    <row r="217">
      <c r="A217" s="365"/>
      <c r="B217" s="365"/>
      <c r="C217" s="416"/>
      <c r="D217" s="417"/>
      <c r="E217" s="423"/>
    </row>
    <row r="218">
      <c r="A218" s="365"/>
      <c r="B218" s="365"/>
      <c r="C218" s="416"/>
      <c r="D218" s="417"/>
      <c r="E218" s="423"/>
    </row>
    <row r="219">
      <c r="A219" s="365"/>
      <c r="B219" s="365"/>
      <c r="C219" s="416"/>
      <c r="D219" s="417"/>
      <c r="E219" s="423"/>
    </row>
    <row r="220">
      <c r="A220" s="365"/>
      <c r="B220" s="365"/>
      <c r="C220" s="416"/>
      <c r="D220" s="417"/>
      <c r="E220" s="423"/>
    </row>
    <row r="221">
      <c r="A221" s="365"/>
      <c r="B221" s="365"/>
      <c r="C221" s="416"/>
      <c r="D221" s="417"/>
      <c r="E221" s="423"/>
    </row>
    <row r="222">
      <c r="A222" s="365"/>
      <c r="B222" s="365"/>
      <c r="C222" s="416"/>
      <c r="D222" s="417"/>
      <c r="E222" s="423"/>
    </row>
    <row r="223">
      <c r="A223" s="365"/>
      <c r="B223" s="365"/>
      <c r="C223" s="416"/>
      <c r="D223" s="417"/>
      <c r="E223" s="423"/>
    </row>
    <row r="224">
      <c r="A224" s="365"/>
      <c r="B224" s="365"/>
      <c r="C224" s="416"/>
      <c r="D224" s="417"/>
      <c r="E224" s="423"/>
    </row>
    <row r="225">
      <c r="A225" s="365"/>
      <c r="B225" s="365"/>
      <c r="C225" s="416"/>
      <c r="D225" s="417"/>
      <c r="E225" s="423"/>
    </row>
    <row r="226">
      <c r="A226" s="365"/>
      <c r="B226" s="365"/>
      <c r="C226" s="416"/>
      <c r="D226" s="417"/>
      <c r="E226" s="423"/>
    </row>
    <row r="227">
      <c r="A227" s="365"/>
      <c r="B227" s="365"/>
      <c r="C227" s="416"/>
      <c r="D227" s="417"/>
      <c r="E227" s="423"/>
    </row>
    <row r="228">
      <c r="A228" s="365"/>
      <c r="B228" s="365"/>
      <c r="C228" s="416"/>
      <c r="D228" s="417"/>
      <c r="E228" s="423"/>
    </row>
    <row r="229">
      <c r="A229" s="365"/>
      <c r="B229" s="365"/>
      <c r="C229" s="416"/>
      <c r="D229" s="417"/>
      <c r="E229" s="423"/>
    </row>
    <row r="230">
      <c r="A230" s="365"/>
      <c r="B230" s="365"/>
      <c r="C230" s="416"/>
      <c r="D230" s="417"/>
      <c r="E230" s="423"/>
    </row>
    <row r="231">
      <c r="A231" s="365"/>
      <c r="B231" s="365"/>
      <c r="C231" s="416"/>
      <c r="D231" s="417"/>
      <c r="E231" s="423"/>
    </row>
    <row r="232">
      <c r="A232" s="365"/>
      <c r="B232" s="365"/>
      <c r="C232" s="416"/>
      <c r="D232" s="417"/>
      <c r="E232" s="423"/>
    </row>
    <row r="233">
      <c r="A233" s="365"/>
      <c r="B233" s="365"/>
      <c r="C233" s="416"/>
      <c r="D233" s="417"/>
      <c r="E233" s="423"/>
    </row>
    <row r="234">
      <c r="A234" s="365"/>
      <c r="B234" s="365"/>
      <c r="C234" s="416"/>
      <c r="D234" s="417"/>
      <c r="E234" s="423"/>
    </row>
    <row r="235">
      <c r="A235" s="365"/>
      <c r="B235" s="365"/>
      <c r="C235" s="416"/>
      <c r="D235" s="417"/>
      <c r="E235" s="423"/>
    </row>
    <row r="236">
      <c r="A236" s="365"/>
      <c r="B236" s="365"/>
      <c r="C236" s="416"/>
      <c r="D236" s="417"/>
      <c r="E236" s="423"/>
    </row>
    <row r="237">
      <c r="A237" s="365"/>
      <c r="B237" s="365"/>
      <c r="C237" s="416"/>
      <c r="D237" s="417"/>
      <c r="E237" s="423"/>
    </row>
    <row r="238">
      <c r="A238" s="365"/>
      <c r="B238" s="365"/>
      <c r="C238" s="416"/>
      <c r="D238" s="417"/>
      <c r="E238" s="423"/>
    </row>
    <row r="239">
      <c r="A239" s="365"/>
      <c r="B239" s="365"/>
      <c r="C239" s="416"/>
      <c r="D239" s="417"/>
      <c r="E239" s="423"/>
    </row>
    <row r="240">
      <c r="A240" s="365"/>
      <c r="B240" s="365"/>
      <c r="C240" s="416"/>
      <c r="D240" s="417"/>
      <c r="E240" s="423"/>
    </row>
    <row r="241">
      <c r="A241" s="365"/>
      <c r="B241" s="365"/>
      <c r="C241" s="416"/>
      <c r="D241" s="417"/>
      <c r="E241" s="423"/>
    </row>
    <row r="242">
      <c r="A242" s="365"/>
      <c r="B242" s="365"/>
      <c r="C242" s="416"/>
      <c r="D242" s="417"/>
      <c r="E242" s="423"/>
    </row>
    <row r="243">
      <c r="A243" s="365"/>
      <c r="B243" s="365"/>
      <c r="C243" s="416"/>
      <c r="D243" s="417"/>
      <c r="E243" s="423"/>
    </row>
    <row r="244">
      <c r="A244" s="365"/>
      <c r="B244" s="365"/>
      <c r="C244" s="416"/>
      <c r="D244" s="417"/>
      <c r="E244" s="423"/>
    </row>
    <row r="245">
      <c r="A245" s="365"/>
      <c r="B245" s="365"/>
      <c r="C245" s="416"/>
      <c r="D245" s="417"/>
      <c r="E245" s="423"/>
    </row>
    <row r="246">
      <c r="A246" s="365"/>
      <c r="B246" s="365"/>
      <c r="C246" s="416"/>
      <c r="D246" s="417"/>
      <c r="E246" s="423"/>
    </row>
    <row r="247">
      <c r="A247" s="365"/>
      <c r="B247" s="365"/>
      <c r="C247" s="416"/>
      <c r="D247" s="417"/>
      <c r="E247" s="423"/>
    </row>
    <row r="248">
      <c r="A248" s="365"/>
      <c r="B248" s="365"/>
      <c r="C248" s="416"/>
      <c r="D248" s="417"/>
      <c r="E248" s="423"/>
    </row>
    <row r="249">
      <c r="A249" s="365"/>
      <c r="B249" s="365"/>
      <c r="C249" s="416"/>
      <c r="D249" s="417"/>
      <c r="E249" s="423"/>
    </row>
    <row r="250">
      <c r="A250" s="365"/>
      <c r="B250" s="365"/>
      <c r="C250" s="416"/>
      <c r="D250" s="417"/>
      <c r="E250" s="423"/>
    </row>
    <row r="251">
      <c r="A251" s="365"/>
      <c r="B251" s="365"/>
      <c r="C251" s="416"/>
      <c r="D251" s="417"/>
      <c r="E251" s="423"/>
    </row>
    <row r="252">
      <c r="A252" s="365"/>
      <c r="B252" s="365"/>
      <c r="C252" s="416"/>
      <c r="D252" s="417"/>
      <c r="E252" s="423"/>
    </row>
    <row r="253">
      <c r="A253" s="365"/>
      <c r="B253" s="365"/>
      <c r="C253" s="416"/>
      <c r="D253" s="417"/>
      <c r="E253" s="423"/>
    </row>
    <row r="254">
      <c r="A254" s="365"/>
      <c r="B254" s="365"/>
      <c r="C254" s="416"/>
      <c r="D254" s="417"/>
      <c r="E254" s="423"/>
    </row>
    <row r="255">
      <c r="A255" s="365"/>
      <c r="B255" s="365"/>
      <c r="C255" s="416"/>
      <c r="D255" s="417"/>
      <c r="E255" s="423"/>
    </row>
    <row r="256">
      <c r="A256" s="365"/>
      <c r="B256" s="365"/>
      <c r="C256" s="416"/>
      <c r="D256" s="417"/>
      <c r="E256" s="423"/>
    </row>
    <row r="257">
      <c r="A257" s="365"/>
      <c r="B257" s="365"/>
      <c r="C257" s="416"/>
      <c r="D257" s="417"/>
      <c r="E257" s="423"/>
    </row>
    <row r="258">
      <c r="A258" s="365"/>
      <c r="B258" s="365"/>
      <c r="C258" s="416"/>
      <c r="D258" s="417"/>
      <c r="E258" s="423"/>
    </row>
    <row r="259">
      <c r="A259" s="365"/>
      <c r="B259" s="365"/>
      <c r="C259" s="416"/>
      <c r="D259" s="417"/>
      <c r="E259" s="423"/>
    </row>
    <row r="260">
      <c r="A260" s="365"/>
      <c r="B260" s="365"/>
      <c r="C260" s="416"/>
      <c r="D260" s="417"/>
      <c r="E260" s="423"/>
    </row>
    <row r="261">
      <c r="A261" s="365"/>
      <c r="B261" s="365"/>
      <c r="C261" s="416"/>
      <c r="D261" s="417"/>
      <c r="E261" s="423"/>
    </row>
    <row r="262">
      <c r="A262" s="365"/>
      <c r="B262" s="365"/>
      <c r="C262" s="416"/>
      <c r="D262" s="417"/>
      <c r="E262" s="423"/>
    </row>
    <row r="263">
      <c r="A263" s="365"/>
      <c r="B263" s="365"/>
      <c r="C263" s="416"/>
      <c r="D263" s="417"/>
      <c r="E263" s="423"/>
    </row>
    <row r="264">
      <c r="A264" s="365"/>
      <c r="B264" s="365"/>
      <c r="C264" s="416"/>
      <c r="D264" s="417"/>
      <c r="E264" s="423"/>
    </row>
    <row r="265">
      <c r="A265" s="365"/>
      <c r="B265" s="365"/>
      <c r="C265" s="416"/>
      <c r="D265" s="417"/>
      <c r="E265" s="423"/>
    </row>
    <row r="266">
      <c r="A266" s="365"/>
      <c r="B266" s="365"/>
      <c r="C266" s="416"/>
      <c r="D266" s="417"/>
      <c r="E266" s="423"/>
    </row>
    <row r="267">
      <c r="A267" s="365"/>
      <c r="B267" s="365"/>
      <c r="C267" s="416"/>
      <c r="D267" s="417"/>
      <c r="E267" s="423"/>
    </row>
    <row r="268">
      <c r="A268" s="365"/>
      <c r="B268" s="365"/>
      <c r="C268" s="416"/>
      <c r="D268" s="417"/>
      <c r="E268" s="423"/>
    </row>
    <row r="269">
      <c r="A269" s="365"/>
      <c r="B269" s="365"/>
      <c r="C269" s="416"/>
      <c r="D269" s="417"/>
      <c r="E269" s="423"/>
    </row>
    <row r="270">
      <c r="A270" s="365"/>
      <c r="B270" s="365"/>
      <c r="C270" s="416"/>
      <c r="D270" s="417"/>
      <c r="E270" s="423"/>
    </row>
    <row r="271">
      <c r="A271" s="365"/>
      <c r="B271" s="365"/>
      <c r="C271" s="416"/>
      <c r="D271" s="417"/>
      <c r="E271" s="423"/>
    </row>
    <row r="272">
      <c r="A272" s="365"/>
      <c r="B272" s="365"/>
      <c r="C272" s="416"/>
      <c r="D272" s="417"/>
      <c r="E272" s="423"/>
    </row>
    <row r="273">
      <c r="A273" s="365"/>
      <c r="B273" s="365"/>
      <c r="C273" s="416"/>
      <c r="D273" s="417"/>
      <c r="E273" s="423"/>
    </row>
    <row r="274">
      <c r="A274" s="365"/>
      <c r="B274" s="365"/>
      <c r="C274" s="416"/>
      <c r="D274" s="417"/>
      <c r="E274" s="423"/>
    </row>
    <row r="275">
      <c r="A275" s="365"/>
      <c r="B275" s="365"/>
      <c r="C275" s="416"/>
      <c r="D275" s="417"/>
      <c r="E275" s="423"/>
    </row>
    <row r="276">
      <c r="A276" s="365"/>
      <c r="B276" s="365"/>
      <c r="C276" s="416"/>
      <c r="D276" s="417"/>
      <c r="E276" s="423"/>
    </row>
    <row r="277">
      <c r="A277" s="365"/>
      <c r="B277" s="365"/>
      <c r="C277" s="416"/>
      <c r="D277" s="417"/>
      <c r="E277" s="423"/>
    </row>
    <row r="278">
      <c r="A278" s="365"/>
      <c r="B278" s="365"/>
      <c r="C278" s="416"/>
      <c r="D278" s="417"/>
      <c r="E278" s="423"/>
    </row>
    <row r="279">
      <c r="A279" s="365"/>
      <c r="B279" s="365"/>
      <c r="C279" s="416"/>
      <c r="D279" s="417"/>
      <c r="E279" s="423"/>
    </row>
    <row r="280">
      <c r="A280" s="365"/>
      <c r="B280" s="365"/>
      <c r="C280" s="416"/>
      <c r="D280" s="417"/>
      <c r="E280" s="423"/>
    </row>
    <row r="281">
      <c r="A281" s="365"/>
      <c r="B281" s="365"/>
      <c r="C281" s="416"/>
      <c r="D281" s="417"/>
      <c r="E281" s="423"/>
    </row>
    <row r="282">
      <c r="A282" s="365"/>
      <c r="B282" s="365"/>
      <c r="C282" s="416"/>
      <c r="D282" s="417"/>
      <c r="E282" s="423"/>
    </row>
    <row r="283">
      <c r="A283" s="365"/>
      <c r="B283" s="365"/>
      <c r="C283" s="416"/>
      <c r="D283" s="417"/>
      <c r="E283" s="423"/>
    </row>
    <row r="284">
      <c r="A284" s="365"/>
      <c r="B284" s="365"/>
      <c r="C284" s="416"/>
      <c r="D284" s="417"/>
      <c r="E284" s="423"/>
    </row>
    <row r="285">
      <c r="A285" s="365"/>
      <c r="B285" s="365"/>
      <c r="C285" s="416"/>
      <c r="D285" s="417"/>
      <c r="E285" s="423"/>
    </row>
    <row r="286">
      <c r="A286" s="365"/>
      <c r="B286" s="365"/>
      <c r="C286" s="416"/>
      <c r="D286" s="417"/>
      <c r="E286" s="423"/>
    </row>
    <row r="287">
      <c r="A287" s="365"/>
      <c r="B287" s="365"/>
      <c r="C287" s="416"/>
      <c r="D287" s="417"/>
      <c r="E287" s="423"/>
    </row>
    <row r="288">
      <c r="A288" s="365"/>
      <c r="B288" s="365"/>
      <c r="C288" s="416"/>
      <c r="D288" s="417"/>
      <c r="E288" s="423"/>
    </row>
    <row r="289">
      <c r="A289" s="365"/>
      <c r="B289" s="365"/>
      <c r="C289" s="416"/>
      <c r="D289" s="417"/>
      <c r="E289" s="423"/>
    </row>
    <row r="290">
      <c r="A290" s="365"/>
      <c r="B290" s="365"/>
      <c r="C290" s="416"/>
      <c r="D290" s="417"/>
      <c r="E290" s="423"/>
    </row>
    <row r="291">
      <c r="A291" s="365"/>
      <c r="B291" s="365"/>
      <c r="C291" s="416"/>
      <c r="D291" s="417"/>
      <c r="E291" s="423"/>
    </row>
    <row r="292">
      <c r="A292" s="365"/>
      <c r="B292" s="365"/>
      <c r="C292" s="416"/>
      <c r="D292" s="417"/>
      <c r="E292" s="423"/>
    </row>
    <row r="293">
      <c r="A293" s="365"/>
      <c r="B293" s="365"/>
      <c r="C293" s="416"/>
      <c r="D293" s="417"/>
      <c r="E293" s="423"/>
    </row>
    <row r="294">
      <c r="A294" s="365"/>
      <c r="B294" s="365"/>
      <c r="C294" s="416"/>
      <c r="D294" s="417"/>
      <c r="E294" s="423"/>
    </row>
    <row r="295">
      <c r="A295" s="365"/>
      <c r="B295" s="365"/>
      <c r="C295" s="416"/>
      <c r="D295" s="417"/>
      <c r="E295" s="423"/>
    </row>
    <row r="296">
      <c r="A296" s="365"/>
      <c r="B296" s="365"/>
      <c r="C296" s="416"/>
      <c r="D296" s="417"/>
      <c r="E296" s="423"/>
    </row>
    <row r="297">
      <c r="A297" s="365"/>
      <c r="B297" s="365"/>
      <c r="C297" s="416"/>
      <c r="D297" s="417"/>
      <c r="E297" s="423"/>
    </row>
    <row r="298">
      <c r="A298" s="365"/>
      <c r="B298" s="365"/>
      <c r="C298" s="416"/>
      <c r="D298" s="417"/>
      <c r="E298" s="423"/>
    </row>
    <row r="299">
      <c r="A299" s="365"/>
      <c r="B299" s="365"/>
      <c r="C299" s="416"/>
      <c r="D299" s="417"/>
      <c r="E299" s="423"/>
    </row>
    <row r="300">
      <c r="A300" s="365"/>
      <c r="B300" s="365"/>
      <c r="C300" s="416"/>
      <c r="D300" s="417"/>
      <c r="E300" s="423"/>
    </row>
    <row r="301">
      <c r="A301" s="365"/>
      <c r="B301" s="365"/>
      <c r="C301" s="416"/>
      <c r="D301" s="417"/>
      <c r="E301" s="423"/>
    </row>
    <row r="302">
      <c r="A302" s="365"/>
      <c r="B302" s="365"/>
      <c r="C302" s="416"/>
      <c r="D302" s="417"/>
      <c r="E302" s="423"/>
    </row>
    <row r="303">
      <c r="A303" s="365"/>
      <c r="B303" s="365"/>
      <c r="C303" s="416"/>
      <c r="D303" s="417"/>
      <c r="E303" s="423"/>
    </row>
    <row r="304">
      <c r="A304" s="365"/>
      <c r="B304" s="365"/>
      <c r="C304" s="416"/>
      <c r="D304" s="417"/>
      <c r="E304" s="423"/>
    </row>
    <row r="305">
      <c r="A305" s="365"/>
      <c r="B305" s="365"/>
      <c r="C305" s="416"/>
      <c r="D305" s="417"/>
      <c r="E305" s="423"/>
    </row>
    <row r="306">
      <c r="A306" s="365"/>
      <c r="B306" s="365"/>
      <c r="C306" s="416"/>
      <c r="D306" s="417"/>
      <c r="E306" s="423"/>
    </row>
    <row r="307">
      <c r="A307" s="365"/>
      <c r="B307" s="365"/>
      <c r="C307" s="416"/>
      <c r="D307" s="417"/>
      <c r="E307" s="423"/>
    </row>
    <row r="308">
      <c r="A308" s="365"/>
      <c r="B308" s="365"/>
      <c r="C308" s="416"/>
      <c r="D308" s="417"/>
      <c r="E308" s="423"/>
    </row>
    <row r="309">
      <c r="A309" s="365"/>
      <c r="B309" s="365"/>
      <c r="C309" s="416"/>
      <c r="D309" s="417"/>
      <c r="E309" s="423"/>
    </row>
    <row r="310">
      <c r="A310" s="365"/>
      <c r="B310" s="365"/>
      <c r="C310" s="416"/>
      <c r="D310" s="417"/>
      <c r="E310" s="423"/>
    </row>
    <row r="311">
      <c r="A311" s="365"/>
      <c r="B311" s="365"/>
      <c r="C311" s="416"/>
      <c r="D311" s="417"/>
      <c r="E311" s="423"/>
    </row>
    <row r="312">
      <c r="A312" s="365"/>
      <c r="B312" s="365"/>
      <c r="C312" s="416"/>
      <c r="D312" s="417"/>
      <c r="E312" s="423"/>
    </row>
    <row r="313">
      <c r="A313" s="365"/>
      <c r="B313" s="365"/>
      <c r="C313" s="416"/>
      <c r="D313" s="417"/>
      <c r="E313" s="423"/>
    </row>
    <row r="314">
      <c r="A314" s="365"/>
      <c r="B314" s="365"/>
      <c r="C314" s="416"/>
      <c r="D314" s="417"/>
      <c r="E314" s="423"/>
    </row>
    <row r="315">
      <c r="A315" s="365"/>
      <c r="B315" s="365"/>
      <c r="C315" s="416"/>
      <c r="D315" s="417"/>
      <c r="E315" s="423"/>
    </row>
    <row r="316">
      <c r="A316" s="365"/>
      <c r="B316" s="365"/>
      <c r="C316" s="416"/>
      <c r="D316" s="417"/>
      <c r="E316" s="423"/>
    </row>
    <row r="317">
      <c r="A317" s="365"/>
      <c r="B317" s="365"/>
      <c r="C317" s="416"/>
      <c r="D317" s="417"/>
      <c r="E317" s="423"/>
    </row>
    <row r="318">
      <c r="A318" s="365"/>
      <c r="B318" s="365"/>
      <c r="C318" s="416"/>
      <c r="D318" s="417"/>
      <c r="E318" s="423"/>
    </row>
    <row r="319">
      <c r="A319" s="365"/>
      <c r="B319" s="365"/>
      <c r="C319" s="416"/>
      <c r="D319" s="417"/>
      <c r="E319" s="423"/>
    </row>
    <row r="320">
      <c r="A320" s="365"/>
      <c r="B320" s="365"/>
      <c r="C320" s="416"/>
      <c r="D320" s="417"/>
      <c r="E320" s="423"/>
    </row>
    <row r="321">
      <c r="A321" s="365"/>
      <c r="B321" s="365"/>
      <c r="C321" s="416"/>
      <c r="D321" s="417"/>
      <c r="E321" s="423"/>
    </row>
    <row r="322">
      <c r="A322" s="365"/>
      <c r="B322" s="365"/>
      <c r="C322" s="416"/>
      <c r="D322" s="417"/>
      <c r="E322" s="423"/>
    </row>
    <row r="323">
      <c r="A323" s="365"/>
      <c r="B323" s="365"/>
      <c r="C323" s="416"/>
      <c r="D323" s="417"/>
      <c r="E323" s="423"/>
    </row>
    <row r="324">
      <c r="A324" s="365"/>
      <c r="B324" s="365"/>
      <c r="C324" s="416"/>
      <c r="D324" s="417"/>
      <c r="E324" s="423"/>
    </row>
    <row r="325">
      <c r="A325" s="365"/>
      <c r="B325" s="365"/>
      <c r="C325" s="416"/>
      <c r="D325" s="417"/>
      <c r="E325" s="423"/>
    </row>
    <row r="326">
      <c r="A326" s="365"/>
      <c r="B326" s="365"/>
      <c r="C326" s="416"/>
      <c r="D326" s="417"/>
      <c r="E326" s="423"/>
    </row>
    <row r="327">
      <c r="A327" s="365"/>
      <c r="B327" s="365"/>
      <c r="C327" s="416"/>
      <c r="D327" s="417"/>
      <c r="E327" s="423"/>
    </row>
    <row r="328">
      <c r="A328" s="365"/>
      <c r="B328" s="365"/>
      <c r="C328" s="416"/>
      <c r="D328" s="417"/>
      <c r="E328" s="423"/>
    </row>
    <row r="329">
      <c r="A329" s="365"/>
      <c r="B329" s="365"/>
      <c r="C329" s="416"/>
      <c r="D329" s="417"/>
      <c r="E329" s="423"/>
    </row>
    <row r="330">
      <c r="A330" s="365"/>
      <c r="B330" s="365"/>
      <c r="C330" s="416"/>
      <c r="D330" s="417"/>
      <c r="E330" s="423"/>
    </row>
    <row r="331">
      <c r="A331" s="365"/>
      <c r="B331" s="365"/>
      <c r="C331" s="416"/>
      <c r="D331" s="417"/>
      <c r="E331" s="423"/>
    </row>
    <row r="332">
      <c r="A332" s="365"/>
      <c r="B332" s="365"/>
      <c r="C332" s="416"/>
      <c r="D332" s="417"/>
      <c r="E332" s="423"/>
    </row>
    <row r="333">
      <c r="A333" s="365"/>
      <c r="B333" s="365"/>
      <c r="C333" s="416"/>
      <c r="D333" s="417"/>
      <c r="E333" s="423"/>
    </row>
    <row r="334">
      <c r="A334" s="365"/>
      <c r="B334" s="365"/>
      <c r="C334" s="416"/>
      <c r="D334" s="417"/>
      <c r="E334" s="423"/>
    </row>
    <row r="335">
      <c r="A335" s="365"/>
      <c r="B335" s="365"/>
      <c r="C335" s="416"/>
      <c r="D335" s="417"/>
      <c r="E335" s="423"/>
    </row>
    <row r="336">
      <c r="A336" s="365"/>
      <c r="B336" s="365"/>
      <c r="C336" s="416"/>
      <c r="D336" s="417"/>
      <c r="E336" s="423"/>
    </row>
    <row r="337">
      <c r="A337" s="365"/>
      <c r="B337" s="365"/>
      <c r="C337" s="416"/>
      <c r="D337" s="417"/>
      <c r="E337" s="423"/>
    </row>
    <row r="338">
      <c r="A338" s="365"/>
      <c r="B338" s="365"/>
      <c r="C338" s="416"/>
      <c r="D338" s="417"/>
      <c r="E338" s="423"/>
    </row>
    <row r="339">
      <c r="A339" s="365"/>
      <c r="B339" s="365"/>
      <c r="C339" s="416"/>
      <c r="D339" s="417"/>
      <c r="E339" s="423"/>
    </row>
    <row r="340">
      <c r="A340" s="365"/>
      <c r="B340" s="365"/>
      <c r="C340" s="416"/>
      <c r="D340" s="417"/>
      <c r="E340" s="423"/>
    </row>
    <row r="341">
      <c r="A341" s="365"/>
      <c r="B341" s="365"/>
      <c r="C341" s="416"/>
      <c r="D341" s="417"/>
      <c r="E341" s="423"/>
    </row>
    <row r="342">
      <c r="A342" s="365"/>
      <c r="B342" s="365"/>
      <c r="C342" s="416"/>
      <c r="D342" s="417"/>
      <c r="E342" s="423"/>
    </row>
    <row r="343">
      <c r="A343" s="365"/>
      <c r="B343" s="365"/>
      <c r="C343" s="416"/>
      <c r="D343" s="417"/>
      <c r="E343" s="423"/>
    </row>
    <row r="344">
      <c r="A344" s="365"/>
      <c r="B344" s="365"/>
      <c r="C344" s="416"/>
      <c r="D344" s="417"/>
      <c r="E344" s="423"/>
    </row>
    <row r="345">
      <c r="A345" s="365"/>
      <c r="B345" s="365"/>
      <c r="C345" s="416"/>
      <c r="D345" s="417"/>
      <c r="E345" s="423"/>
    </row>
    <row r="346">
      <c r="A346" s="365"/>
      <c r="B346" s="365"/>
      <c r="C346" s="416"/>
      <c r="D346" s="417"/>
      <c r="E346" s="423"/>
    </row>
    <row r="347">
      <c r="A347" s="365"/>
      <c r="B347" s="365"/>
      <c r="C347" s="416"/>
      <c r="D347" s="417"/>
      <c r="E347" s="423"/>
    </row>
    <row r="348">
      <c r="A348" s="365"/>
      <c r="B348" s="365"/>
      <c r="C348" s="416"/>
      <c r="D348" s="417"/>
      <c r="E348" s="423"/>
    </row>
    <row r="349">
      <c r="A349" s="365"/>
      <c r="B349" s="365"/>
      <c r="C349" s="416"/>
      <c r="D349" s="417"/>
      <c r="E349" s="423"/>
    </row>
    <row r="350">
      <c r="A350" s="365"/>
      <c r="B350" s="365"/>
      <c r="C350" s="416"/>
      <c r="D350" s="417"/>
      <c r="E350" s="423"/>
    </row>
    <row r="351">
      <c r="A351" s="365"/>
      <c r="B351" s="365"/>
      <c r="C351" s="416"/>
      <c r="D351" s="417"/>
      <c r="E351" s="423"/>
    </row>
    <row r="352">
      <c r="A352" s="365"/>
      <c r="B352" s="365"/>
      <c r="C352" s="416"/>
      <c r="D352" s="417"/>
      <c r="E352" s="423"/>
    </row>
    <row r="353">
      <c r="A353" s="365"/>
      <c r="B353" s="365"/>
      <c r="C353" s="416"/>
      <c r="D353" s="417"/>
      <c r="E353" s="423"/>
    </row>
    <row r="354">
      <c r="A354" s="365"/>
      <c r="B354" s="365"/>
      <c r="C354" s="416"/>
      <c r="D354" s="417"/>
      <c r="E354" s="423"/>
    </row>
    <row r="355">
      <c r="A355" s="365"/>
      <c r="B355" s="365"/>
      <c r="C355" s="416"/>
      <c r="D355" s="417"/>
      <c r="E355" s="423"/>
    </row>
    <row r="356">
      <c r="A356" s="365"/>
      <c r="B356" s="365"/>
      <c r="C356" s="416"/>
      <c r="D356" s="417"/>
      <c r="E356" s="423"/>
    </row>
    <row r="357">
      <c r="A357" s="365"/>
      <c r="B357" s="365"/>
      <c r="C357" s="416"/>
      <c r="D357" s="417"/>
      <c r="E357" s="423"/>
    </row>
    <row r="358">
      <c r="A358" s="365"/>
      <c r="B358" s="365"/>
      <c r="C358" s="416"/>
      <c r="D358" s="417"/>
      <c r="E358" s="423"/>
    </row>
    <row r="359">
      <c r="A359" s="365"/>
      <c r="B359" s="365"/>
      <c r="C359" s="416"/>
      <c r="D359" s="417"/>
      <c r="E359" s="423"/>
    </row>
    <row r="360">
      <c r="A360" s="365"/>
      <c r="B360" s="365"/>
      <c r="C360" s="416"/>
      <c r="D360" s="417"/>
      <c r="E360" s="423"/>
    </row>
    <row r="361">
      <c r="A361" s="365"/>
      <c r="B361" s="365"/>
      <c r="C361" s="416"/>
      <c r="D361" s="417"/>
      <c r="E361" s="423"/>
    </row>
    <row r="362">
      <c r="A362" s="365"/>
      <c r="B362" s="365"/>
      <c r="C362" s="416"/>
      <c r="D362" s="417"/>
      <c r="E362" s="423"/>
    </row>
    <row r="363">
      <c r="A363" s="365"/>
      <c r="B363" s="365"/>
      <c r="C363" s="416"/>
      <c r="D363" s="417"/>
      <c r="E363" s="423"/>
    </row>
    <row r="364">
      <c r="A364" s="365"/>
      <c r="B364" s="365"/>
      <c r="C364" s="416"/>
      <c r="D364" s="417"/>
      <c r="E364" s="423"/>
    </row>
    <row r="365">
      <c r="A365" s="365"/>
      <c r="B365" s="365"/>
      <c r="C365" s="416"/>
      <c r="D365" s="417"/>
      <c r="E365" s="423"/>
    </row>
    <row r="366">
      <c r="A366" s="365"/>
      <c r="B366" s="365"/>
      <c r="C366" s="416"/>
      <c r="D366" s="417"/>
      <c r="E366" s="423"/>
    </row>
    <row r="367">
      <c r="A367" s="365"/>
      <c r="B367" s="365"/>
      <c r="C367" s="416"/>
      <c r="D367" s="417"/>
      <c r="E367" s="423"/>
    </row>
    <row r="368">
      <c r="A368" s="365"/>
      <c r="B368" s="365"/>
      <c r="C368" s="416"/>
      <c r="D368" s="417"/>
      <c r="E368" s="423"/>
    </row>
    <row r="369">
      <c r="A369" s="365"/>
      <c r="B369" s="365"/>
      <c r="C369" s="416"/>
      <c r="D369" s="417"/>
      <c r="E369" s="423"/>
    </row>
    <row r="370">
      <c r="A370" s="365"/>
      <c r="B370" s="365"/>
      <c r="C370" s="416"/>
      <c r="D370" s="417"/>
      <c r="E370" s="423"/>
    </row>
    <row r="371">
      <c r="A371" s="365"/>
      <c r="B371" s="365"/>
      <c r="C371" s="416"/>
      <c r="D371" s="417"/>
      <c r="E371" s="423"/>
    </row>
    <row r="372">
      <c r="A372" s="365"/>
      <c r="B372" s="365"/>
      <c r="C372" s="416"/>
      <c r="D372" s="417"/>
      <c r="E372" s="423"/>
    </row>
    <row r="373">
      <c r="A373" s="365"/>
      <c r="B373" s="365"/>
      <c r="C373" s="416"/>
      <c r="D373" s="417"/>
      <c r="E373" s="423"/>
    </row>
    <row r="374">
      <c r="A374" s="365"/>
      <c r="B374" s="365"/>
      <c r="C374" s="416"/>
      <c r="D374" s="417"/>
      <c r="E374" s="423"/>
    </row>
    <row r="375">
      <c r="A375" s="365"/>
      <c r="B375" s="365"/>
      <c r="C375" s="416"/>
      <c r="D375" s="417"/>
      <c r="E375" s="423"/>
    </row>
    <row r="376">
      <c r="A376" s="365"/>
      <c r="B376" s="365"/>
      <c r="C376" s="416"/>
      <c r="D376" s="417"/>
      <c r="E376" s="423"/>
    </row>
    <row r="377">
      <c r="A377" s="365"/>
      <c r="B377" s="365"/>
      <c r="C377" s="416"/>
      <c r="D377" s="417"/>
      <c r="E377" s="423"/>
    </row>
    <row r="378">
      <c r="A378" s="365"/>
      <c r="B378" s="365"/>
      <c r="C378" s="416"/>
      <c r="D378" s="417"/>
      <c r="E378" s="423"/>
    </row>
    <row r="379">
      <c r="A379" s="365"/>
      <c r="B379" s="365"/>
      <c r="C379" s="416"/>
      <c r="D379" s="417"/>
      <c r="E379" s="423"/>
    </row>
    <row r="380">
      <c r="A380" s="365"/>
      <c r="B380" s="365"/>
      <c r="C380" s="416"/>
      <c r="D380" s="417"/>
      <c r="E380" s="423"/>
    </row>
    <row r="381">
      <c r="A381" s="365"/>
      <c r="B381" s="365"/>
      <c r="C381" s="416"/>
      <c r="D381" s="417"/>
      <c r="E381" s="423"/>
    </row>
    <row r="382">
      <c r="A382" s="365"/>
      <c r="B382" s="365"/>
      <c r="C382" s="416"/>
      <c r="D382" s="417"/>
      <c r="E382" s="423"/>
    </row>
    <row r="383">
      <c r="A383" s="365"/>
      <c r="B383" s="365"/>
      <c r="C383" s="416"/>
      <c r="D383" s="417"/>
      <c r="E383" s="423"/>
    </row>
    <row r="384">
      <c r="A384" s="365"/>
      <c r="B384" s="365"/>
      <c r="C384" s="416"/>
      <c r="D384" s="417"/>
      <c r="E384" s="423"/>
    </row>
    <row r="385">
      <c r="A385" s="365"/>
      <c r="B385" s="365"/>
      <c r="C385" s="416"/>
      <c r="D385" s="417"/>
      <c r="E385" s="423"/>
    </row>
    <row r="386">
      <c r="A386" s="365"/>
      <c r="B386" s="365"/>
      <c r="C386" s="416"/>
      <c r="D386" s="417"/>
      <c r="E386" s="423"/>
    </row>
    <row r="387">
      <c r="A387" s="365"/>
      <c r="B387" s="365"/>
      <c r="C387" s="416"/>
      <c r="D387" s="417"/>
      <c r="E387" s="423"/>
    </row>
    <row r="388">
      <c r="A388" s="365"/>
      <c r="B388" s="365"/>
      <c r="C388" s="416"/>
      <c r="D388" s="417"/>
      <c r="E388" s="423"/>
    </row>
    <row r="389">
      <c r="A389" s="365"/>
      <c r="B389" s="365"/>
      <c r="C389" s="416"/>
      <c r="D389" s="417"/>
      <c r="E389" s="423"/>
    </row>
    <row r="390">
      <c r="A390" s="365"/>
      <c r="B390" s="365"/>
      <c r="C390" s="416"/>
      <c r="D390" s="417"/>
      <c r="E390" s="423"/>
    </row>
    <row r="391">
      <c r="A391" s="365"/>
      <c r="B391" s="365"/>
      <c r="C391" s="416"/>
      <c r="D391" s="417"/>
      <c r="E391" s="423"/>
    </row>
    <row r="392">
      <c r="A392" s="365"/>
      <c r="B392" s="365"/>
      <c r="C392" s="416"/>
      <c r="D392" s="417"/>
      <c r="E392" s="423"/>
    </row>
    <row r="393">
      <c r="A393" s="365"/>
      <c r="B393" s="365"/>
      <c r="C393" s="416"/>
      <c r="D393" s="417"/>
      <c r="E393" s="423"/>
    </row>
    <row r="394">
      <c r="A394" s="365"/>
      <c r="B394" s="365"/>
      <c r="C394" s="416"/>
      <c r="D394" s="417"/>
      <c r="E394" s="423"/>
    </row>
    <row r="395">
      <c r="A395" s="365"/>
      <c r="B395" s="365"/>
      <c r="C395" s="416"/>
      <c r="D395" s="417"/>
      <c r="E395" s="423"/>
    </row>
    <row r="396">
      <c r="A396" s="365"/>
      <c r="B396" s="365"/>
      <c r="C396" s="416"/>
      <c r="D396" s="417"/>
      <c r="E396" s="423"/>
    </row>
    <row r="397">
      <c r="A397" s="365"/>
      <c r="B397" s="365"/>
      <c r="C397" s="416"/>
      <c r="D397" s="417"/>
      <c r="E397" s="423"/>
    </row>
    <row r="398">
      <c r="A398" s="365"/>
      <c r="B398" s="365"/>
      <c r="C398" s="416"/>
      <c r="D398" s="417"/>
      <c r="E398" s="423"/>
    </row>
    <row r="399">
      <c r="A399" s="365"/>
      <c r="B399" s="365"/>
      <c r="C399" s="416"/>
      <c r="D399" s="417"/>
      <c r="E399" s="423"/>
    </row>
    <row r="400">
      <c r="A400" s="365"/>
      <c r="B400" s="365"/>
      <c r="C400" s="416"/>
      <c r="D400" s="417"/>
      <c r="E400" s="423"/>
    </row>
    <row r="401">
      <c r="A401" s="365"/>
      <c r="B401" s="365"/>
      <c r="C401" s="416"/>
      <c r="D401" s="417"/>
      <c r="E401" s="423"/>
    </row>
    <row r="402">
      <c r="A402" s="365"/>
      <c r="B402" s="365"/>
      <c r="C402" s="416"/>
      <c r="D402" s="417"/>
      <c r="E402" s="423"/>
    </row>
    <row r="403">
      <c r="A403" s="365"/>
      <c r="B403" s="365"/>
      <c r="C403" s="416"/>
      <c r="D403" s="417"/>
      <c r="E403" s="423"/>
    </row>
    <row r="404">
      <c r="A404" s="365"/>
      <c r="B404" s="365"/>
      <c r="C404" s="416"/>
      <c r="D404" s="417"/>
      <c r="E404" s="423"/>
    </row>
    <row r="405">
      <c r="A405" s="365"/>
      <c r="B405" s="365"/>
      <c r="C405" s="416"/>
      <c r="D405" s="417"/>
      <c r="E405" s="423"/>
    </row>
    <row r="406">
      <c r="A406" s="365"/>
      <c r="B406" s="365"/>
      <c r="C406" s="416"/>
      <c r="D406" s="417"/>
      <c r="E406" s="423"/>
    </row>
    <row r="407">
      <c r="A407" s="365"/>
      <c r="B407" s="365"/>
      <c r="C407" s="416"/>
      <c r="D407" s="417"/>
      <c r="E407" s="423"/>
    </row>
    <row r="408">
      <c r="A408" s="365"/>
      <c r="B408" s="365"/>
      <c r="C408" s="416"/>
      <c r="D408" s="417"/>
      <c r="E408" s="423"/>
    </row>
    <row r="409">
      <c r="A409" s="365"/>
      <c r="B409" s="365"/>
      <c r="C409" s="416"/>
      <c r="D409" s="417"/>
      <c r="E409" s="423"/>
    </row>
    <row r="410">
      <c r="A410" s="365"/>
      <c r="B410" s="365"/>
      <c r="C410" s="416"/>
      <c r="D410" s="417"/>
      <c r="E410" s="423"/>
    </row>
    <row r="411">
      <c r="A411" s="365"/>
      <c r="B411" s="365"/>
      <c r="C411" s="416"/>
      <c r="D411" s="417"/>
      <c r="E411" s="423"/>
    </row>
    <row r="412">
      <c r="A412" s="365"/>
      <c r="B412" s="365"/>
      <c r="C412" s="416"/>
      <c r="D412" s="417"/>
      <c r="E412" s="423"/>
    </row>
    <row r="413">
      <c r="A413" s="365"/>
      <c r="B413" s="365"/>
      <c r="C413" s="416"/>
      <c r="D413" s="417"/>
      <c r="E413" s="423"/>
    </row>
    <row r="414">
      <c r="A414" s="365"/>
      <c r="B414" s="365"/>
      <c r="C414" s="416"/>
      <c r="D414" s="417"/>
      <c r="E414" s="423"/>
    </row>
    <row r="415">
      <c r="A415" s="365"/>
      <c r="B415" s="365"/>
      <c r="C415" s="416"/>
      <c r="D415" s="417"/>
      <c r="E415" s="423"/>
    </row>
    <row r="416">
      <c r="A416" s="365"/>
      <c r="B416" s="365"/>
      <c r="C416" s="416"/>
      <c r="D416" s="417"/>
      <c r="E416" s="423"/>
    </row>
    <row r="417">
      <c r="A417" s="365"/>
      <c r="B417" s="365"/>
      <c r="C417" s="416"/>
      <c r="D417" s="417"/>
      <c r="E417" s="423"/>
    </row>
    <row r="418">
      <c r="A418" s="365"/>
      <c r="B418" s="365"/>
      <c r="C418" s="416"/>
      <c r="D418" s="417"/>
      <c r="E418" s="423"/>
    </row>
    <row r="419">
      <c r="A419" s="365"/>
      <c r="B419" s="365"/>
      <c r="C419" s="416"/>
      <c r="D419" s="417"/>
      <c r="E419" s="423"/>
    </row>
    <row r="420">
      <c r="A420" s="365"/>
      <c r="B420" s="365"/>
      <c r="C420" s="416"/>
      <c r="D420" s="417"/>
      <c r="E420" s="423"/>
    </row>
    <row r="421">
      <c r="A421" s="365"/>
      <c r="B421" s="365"/>
      <c r="C421" s="416"/>
      <c r="D421" s="417"/>
      <c r="E421" s="423"/>
    </row>
    <row r="422">
      <c r="A422" s="365"/>
      <c r="B422" s="365"/>
      <c r="C422" s="416"/>
      <c r="D422" s="417"/>
      <c r="E422" s="423"/>
    </row>
    <row r="423">
      <c r="A423" s="365"/>
      <c r="B423" s="365"/>
      <c r="C423" s="416"/>
      <c r="D423" s="417"/>
      <c r="E423" s="423"/>
    </row>
    <row r="424">
      <c r="A424" s="365"/>
      <c r="B424" s="365"/>
      <c r="C424" s="416"/>
      <c r="D424" s="417"/>
      <c r="E424" s="423"/>
    </row>
    <row r="425">
      <c r="A425" s="365"/>
      <c r="B425" s="365"/>
      <c r="C425" s="416"/>
      <c r="D425" s="417"/>
      <c r="E425" s="423"/>
    </row>
    <row r="426">
      <c r="A426" s="365"/>
      <c r="B426" s="365"/>
      <c r="C426" s="416"/>
      <c r="D426" s="417"/>
      <c r="E426" s="423"/>
    </row>
    <row r="427">
      <c r="A427" s="365"/>
      <c r="B427" s="365"/>
      <c r="C427" s="416"/>
      <c r="D427" s="417"/>
      <c r="E427" s="423"/>
    </row>
    <row r="428">
      <c r="A428" s="365"/>
      <c r="B428" s="365"/>
      <c r="C428" s="416"/>
      <c r="D428" s="417"/>
      <c r="E428" s="423"/>
    </row>
    <row r="429">
      <c r="A429" s="365"/>
      <c r="B429" s="365"/>
      <c r="C429" s="416"/>
      <c r="D429" s="417"/>
      <c r="E429" s="423"/>
    </row>
    <row r="430">
      <c r="A430" s="365"/>
      <c r="B430" s="365"/>
      <c r="C430" s="416"/>
      <c r="D430" s="417"/>
      <c r="E430" s="423"/>
    </row>
    <row r="431">
      <c r="A431" s="365"/>
      <c r="B431" s="365"/>
      <c r="C431" s="416"/>
      <c r="D431" s="417"/>
      <c r="E431" s="423"/>
    </row>
    <row r="432">
      <c r="A432" s="365"/>
      <c r="B432" s="365"/>
      <c r="C432" s="416"/>
      <c r="D432" s="417"/>
      <c r="E432" s="423"/>
    </row>
    <row r="433">
      <c r="A433" s="365"/>
      <c r="B433" s="365"/>
      <c r="C433" s="416"/>
      <c r="D433" s="417"/>
      <c r="E433" s="423"/>
    </row>
    <row r="434">
      <c r="A434" s="365"/>
      <c r="B434" s="365"/>
      <c r="C434" s="416"/>
      <c r="D434" s="417"/>
      <c r="E434" s="423"/>
    </row>
    <row r="435">
      <c r="A435" s="365"/>
      <c r="B435" s="365"/>
      <c r="C435" s="416"/>
      <c r="D435" s="417"/>
      <c r="E435" s="423"/>
    </row>
    <row r="436">
      <c r="A436" s="365"/>
      <c r="B436" s="365"/>
      <c r="C436" s="416"/>
      <c r="D436" s="417"/>
      <c r="E436" s="423"/>
    </row>
    <row r="437">
      <c r="A437" s="365"/>
      <c r="B437" s="365"/>
      <c r="C437" s="416"/>
      <c r="D437" s="417"/>
      <c r="E437" s="423"/>
    </row>
    <row r="438">
      <c r="A438" s="365"/>
      <c r="B438" s="365"/>
      <c r="C438" s="416"/>
      <c r="D438" s="417"/>
      <c r="E438" s="423"/>
    </row>
    <row r="439">
      <c r="A439" s="365"/>
      <c r="B439" s="365"/>
      <c r="C439" s="416"/>
      <c r="D439" s="417"/>
      <c r="E439" s="423"/>
    </row>
    <row r="440">
      <c r="A440" s="365"/>
      <c r="B440" s="365"/>
      <c r="C440" s="416"/>
      <c r="D440" s="417"/>
      <c r="E440" s="423"/>
    </row>
    <row r="441">
      <c r="A441" s="365"/>
      <c r="B441" s="365"/>
      <c r="C441" s="416"/>
      <c r="D441" s="417"/>
      <c r="E441" s="423"/>
    </row>
    <row r="442">
      <c r="A442" s="365"/>
      <c r="B442" s="365"/>
      <c r="C442" s="416"/>
      <c r="D442" s="417"/>
      <c r="E442" s="423"/>
    </row>
    <row r="443">
      <c r="A443" s="365"/>
      <c r="B443" s="365"/>
      <c r="C443" s="416"/>
      <c r="D443" s="417"/>
      <c r="E443" s="423"/>
    </row>
    <row r="444">
      <c r="A444" s="365"/>
      <c r="B444" s="365"/>
      <c r="C444" s="416"/>
      <c r="D444" s="417"/>
      <c r="E444" s="423"/>
    </row>
    <row r="445">
      <c r="A445" s="365"/>
      <c r="B445" s="365"/>
      <c r="C445" s="416"/>
      <c r="D445" s="417"/>
      <c r="E445" s="423"/>
    </row>
    <row r="446">
      <c r="A446" s="365"/>
      <c r="B446" s="365"/>
      <c r="C446" s="416"/>
      <c r="D446" s="417"/>
      <c r="E446" s="423"/>
    </row>
    <row r="447">
      <c r="A447" s="365"/>
      <c r="B447" s="365"/>
      <c r="C447" s="416"/>
      <c r="D447" s="417"/>
      <c r="E447" s="423"/>
    </row>
    <row r="448">
      <c r="A448" s="365"/>
      <c r="B448" s="365"/>
      <c r="C448" s="416"/>
      <c r="D448" s="417"/>
      <c r="E448" s="423"/>
    </row>
    <row r="449">
      <c r="A449" s="365"/>
      <c r="B449" s="365"/>
      <c r="C449" s="416"/>
      <c r="D449" s="417"/>
      <c r="E449" s="423"/>
    </row>
    <row r="450">
      <c r="A450" s="365"/>
      <c r="B450" s="365"/>
      <c r="C450" s="416"/>
      <c r="D450" s="417"/>
      <c r="E450" s="423"/>
    </row>
    <row r="451">
      <c r="A451" s="365"/>
      <c r="B451" s="365"/>
      <c r="C451" s="416"/>
      <c r="D451" s="417"/>
      <c r="E451" s="423"/>
    </row>
    <row r="452">
      <c r="A452" s="365"/>
      <c r="B452" s="365"/>
      <c r="C452" s="416"/>
      <c r="D452" s="417"/>
      <c r="E452" s="423"/>
    </row>
    <row r="453">
      <c r="A453" s="365"/>
      <c r="B453" s="365"/>
      <c r="C453" s="416"/>
      <c r="D453" s="417"/>
      <c r="E453" s="423"/>
    </row>
    <row r="454">
      <c r="A454" s="365"/>
      <c r="B454" s="365"/>
      <c r="C454" s="416"/>
      <c r="D454" s="417"/>
      <c r="E454" s="423"/>
    </row>
    <row r="455">
      <c r="A455" s="365"/>
      <c r="B455" s="365"/>
      <c r="C455" s="416"/>
      <c r="D455" s="417"/>
      <c r="E455" s="423"/>
    </row>
    <row r="456">
      <c r="A456" s="365"/>
      <c r="B456" s="365"/>
      <c r="C456" s="416"/>
      <c r="D456" s="417"/>
      <c r="E456" s="423"/>
    </row>
    <row r="457">
      <c r="A457" s="365"/>
      <c r="B457" s="365"/>
      <c r="C457" s="416"/>
      <c r="D457" s="417"/>
      <c r="E457" s="423"/>
    </row>
    <row r="458">
      <c r="A458" s="365"/>
      <c r="B458" s="365"/>
      <c r="C458" s="416"/>
      <c r="D458" s="417"/>
      <c r="E458" s="423"/>
    </row>
    <row r="459">
      <c r="A459" s="365"/>
      <c r="B459" s="365"/>
      <c r="C459" s="416"/>
      <c r="D459" s="417"/>
      <c r="E459" s="423"/>
    </row>
    <row r="460">
      <c r="A460" s="365"/>
      <c r="B460" s="365"/>
      <c r="C460" s="416"/>
      <c r="D460" s="417"/>
      <c r="E460" s="423"/>
    </row>
    <row r="461">
      <c r="A461" s="365"/>
      <c r="B461" s="365"/>
      <c r="C461" s="416"/>
      <c r="D461" s="417"/>
      <c r="E461" s="423"/>
    </row>
    <row r="462">
      <c r="A462" s="365"/>
      <c r="B462" s="365"/>
      <c r="C462" s="416"/>
      <c r="D462" s="417"/>
      <c r="E462" s="423"/>
    </row>
    <row r="463">
      <c r="A463" s="365"/>
      <c r="B463" s="365"/>
      <c r="C463" s="416"/>
      <c r="D463" s="417"/>
      <c r="E463" s="423"/>
    </row>
    <row r="464">
      <c r="A464" s="365"/>
      <c r="B464" s="365"/>
      <c r="C464" s="416"/>
      <c r="D464" s="417"/>
      <c r="E464" s="423"/>
    </row>
    <row r="465">
      <c r="A465" s="365"/>
      <c r="B465" s="365"/>
      <c r="C465" s="416"/>
      <c r="D465" s="417"/>
      <c r="E465" s="423"/>
    </row>
    <row r="466">
      <c r="A466" s="365"/>
      <c r="B466" s="365"/>
      <c r="C466" s="416"/>
      <c r="D466" s="417"/>
      <c r="E466" s="423"/>
    </row>
    <row r="467">
      <c r="A467" s="365"/>
      <c r="B467" s="365"/>
      <c r="C467" s="416"/>
      <c r="D467" s="417"/>
      <c r="E467" s="423"/>
    </row>
    <row r="468">
      <c r="A468" s="365"/>
      <c r="B468" s="365"/>
      <c r="C468" s="416"/>
      <c r="D468" s="417"/>
      <c r="E468" s="423"/>
    </row>
    <row r="469">
      <c r="A469" s="365"/>
      <c r="B469" s="365"/>
      <c r="C469" s="416"/>
      <c r="D469" s="417"/>
      <c r="E469" s="423"/>
    </row>
    <row r="470">
      <c r="A470" s="365"/>
      <c r="B470" s="365"/>
      <c r="C470" s="416"/>
      <c r="D470" s="417"/>
      <c r="E470" s="423"/>
    </row>
    <row r="471">
      <c r="A471" s="365"/>
      <c r="B471" s="365"/>
      <c r="C471" s="416"/>
      <c r="D471" s="417"/>
      <c r="E471" s="423"/>
    </row>
    <row r="472">
      <c r="A472" s="365"/>
      <c r="B472" s="365"/>
      <c r="C472" s="416"/>
      <c r="D472" s="417"/>
      <c r="E472" s="423"/>
    </row>
    <row r="473">
      <c r="A473" s="365"/>
      <c r="B473" s="365"/>
      <c r="C473" s="416"/>
      <c r="D473" s="417"/>
      <c r="E473" s="423"/>
    </row>
    <row r="474">
      <c r="A474" s="365"/>
      <c r="B474" s="365"/>
      <c r="C474" s="416"/>
      <c r="D474" s="417"/>
      <c r="E474" s="423"/>
    </row>
    <row r="475">
      <c r="A475" s="365"/>
      <c r="B475" s="365"/>
      <c r="C475" s="416"/>
      <c r="D475" s="417"/>
      <c r="E475" s="423"/>
    </row>
    <row r="476">
      <c r="A476" s="365"/>
      <c r="B476" s="365"/>
      <c r="C476" s="416"/>
      <c r="D476" s="417"/>
      <c r="E476" s="423"/>
    </row>
    <row r="477">
      <c r="A477" s="365"/>
      <c r="B477" s="365"/>
      <c r="C477" s="416"/>
      <c r="D477" s="417"/>
      <c r="E477" s="423"/>
    </row>
    <row r="478">
      <c r="A478" s="365"/>
      <c r="B478" s="365"/>
      <c r="C478" s="416"/>
      <c r="D478" s="417"/>
      <c r="E478" s="423"/>
    </row>
    <row r="479">
      <c r="A479" s="365"/>
      <c r="B479" s="365"/>
      <c r="C479" s="416"/>
      <c r="D479" s="417"/>
      <c r="E479" s="423"/>
    </row>
    <row r="480">
      <c r="A480" s="365"/>
      <c r="B480" s="365"/>
      <c r="C480" s="416"/>
      <c r="D480" s="417"/>
      <c r="E480" s="423"/>
    </row>
    <row r="481">
      <c r="A481" s="365"/>
      <c r="B481" s="365"/>
      <c r="C481" s="416"/>
      <c r="D481" s="417"/>
      <c r="E481" s="423"/>
    </row>
    <row r="482">
      <c r="A482" s="365"/>
      <c r="B482" s="365"/>
      <c r="C482" s="416"/>
      <c r="D482" s="417"/>
      <c r="E482" s="423"/>
    </row>
    <row r="483">
      <c r="A483" s="365"/>
      <c r="B483" s="365"/>
      <c r="C483" s="416"/>
      <c r="D483" s="417"/>
      <c r="E483" s="423"/>
    </row>
    <row r="484">
      <c r="A484" s="365"/>
      <c r="B484" s="365"/>
      <c r="C484" s="416"/>
      <c r="D484" s="417"/>
      <c r="E484" s="423"/>
    </row>
    <row r="485">
      <c r="A485" s="365"/>
      <c r="B485" s="365"/>
      <c r="C485" s="416"/>
      <c r="D485" s="417"/>
      <c r="E485" s="423"/>
    </row>
    <row r="486">
      <c r="A486" s="365"/>
      <c r="B486" s="365"/>
      <c r="C486" s="416"/>
      <c r="D486" s="417"/>
      <c r="E486" s="423"/>
    </row>
    <row r="487">
      <c r="A487" s="365"/>
      <c r="B487" s="365"/>
      <c r="C487" s="416"/>
      <c r="D487" s="417"/>
      <c r="E487" s="423"/>
    </row>
    <row r="488">
      <c r="A488" s="365"/>
      <c r="B488" s="365"/>
      <c r="C488" s="416"/>
      <c r="D488" s="417"/>
      <c r="E488" s="423"/>
    </row>
    <row r="489">
      <c r="A489" s="365"/>
      <c r="B489" s="365"/>
      <c r="C489" s="416"/>
      <c r="D489" s="417"/>
      <c r="E489" s="423"/>
    </row>
    <row r="490">
      <c r="A490" s="365"/>
      <c r="B490" s="365"/>
      <c r="C490" s="416"/>
      <c r="D490" s="417"/>
      <c r="E490" s="423"/>
    </row>
    <row r="491">
      <c r="A491" s="365"/>
      <c r="B491" s="365"/>
      <c r="C491" s="416"/>
      <c r="D491" s="417"/>
      <c r="E491" s="423"/>
    </row>
    <row r="492">
      <c r="A492" s="365"/>
      <c r="B492" s="365"/>
      <c r="C492" s="416"/>
      <c r="D492" s="417"/>
      <c r="E492" s="423"/>
    </row>
    <row r="493">
      <c r="A493" s="365"/>
      <c r="B493" s="365"/>
      <c r="C493" s="416"/>
      <c r="D493" s="417"/>
      <c r="E493" s="423"/>
    </row>
    <row r="494">
      <c r="A494" s="365"/>
      <c r="B494" s="365"/>
      <c r="C494" s="416"/>
      <c r="D494" s="417"/>
      <c r="E494" s="423"/>
    </row>
    <row r="495">
      <c r="A495" s="365"/>
      <c r="B495" s="365"/>
      <c r="C495" s="416"/>
      <c r="D495" s="417"/>
      <c r="E495" s="423"/>
    </row>
    <row r="496">
      <c r="A496" s="365"/>
      <c r="B496" s="365"/>
      <c r="C496" s="416"/>
      <c r="D496" s="417"/>
      <c r="E496" s="423"/>
    </row>
    <row r="497">
      <c r="A497" s="365"/>
      <c r="B497" s="365"/>
      <c r="C497" s="416"/>
      <c r="D497" s="417"/>
      <c r="E497" s="423"/>
    </row>
    <row r="498">
      <c r="A498" s="365"/>
      <c r="B498" s="365"/>
      <c r="C498" s="416"/>
      <c r="D498" s="417"/>
      <c r="E498" s="423"/>
    </row>
    <row r="499">
      <c r="A499" s="365"/>
      <c r="B499" s="365"/>
      <c r="C499" s="416"/>
      <c r="D499" s="417"/>
      <c r="E499" s="423"/>
    </row>
    <row r="500">
      <c r="A500" s="365"/>
      <c r="B500" s="365"/>
      <c r="C500" s="416"/>
      <c r="D500" s="417"/>
      <c r="E500" s="423"/>
    </row>
    <row r="501">
      <c r="A501" s="365"/>
      <c r="B501" s="365"/>
      <c r="C501" s="416"/>
      <c r="D501" s="417"/>
      <c r="E501" s="423"/>
    </row>
    <row r="502">
      <c r="A502" s="365"/>
      <c r="B502" s="365"/>
      <c r="C502" s="416"/>
      <c r="D502" s="417"/>
      <c r="E502" s="423"/>
    </row>
    <row r="503">
      <c r="A503" s="365"/>
      <c r="B503" s="365"/>
      <c r="C503" s="416"/>
      <c r="D503" s="417"/>
      <c r="E503" s="423"/>
    </row>
    <row r="504">
      <c r="A504" s="365"/>
      <c r="B504" s="365"/>
      <c r="C504" s="416"/>
      <c r="D504" s="417"/>
      <c r="E504" s="423"/>
    </row>
    <row r="505">
      <c r="A505" s="365"/>
      <c r="B505" s="365"/>
      <c r="C505" s="416"/>
      <c r="D505" s="417"/>
      <c r="E505" s="423"/>
    </row>
    <row r="506">
      <c r="A506" s="365"/>
      <c r="B506" s="365"/>
      <c r="C506" s="416"/>
      <c r="D506" s="417"/>
      <c r="E506" s="423"/>
    </row>
    <row r="507">
      <c r="A507" s="365"/>
      <c r="B507" s="365"/>
      <c r="C507" s="416"/>
      <c r="D507" s="417"/>
      <c r="E507" s="423"/>
    </row>
    <row r="508">
      <c r="A508" s="365"/>
      <c r="B508" s="365"/>
      <c r="C508" s="416"/>
      <c r="D508" s="417"/>
      <c r="E508" s="423"/>
    </row>
    <row r="509">
      <c r="A509" s="365"/>
      <c r="B509" s="365"/>
      <c r="C509" s="416"/>
      <c r="D509" s="417"/>
      <c r="E509" s="423"/>
    </row>
    <row r="510">
      <c r="A510" s="365"/>
      <c r="B510" s="365"/>
      <c r="C510" s="416"/>
      <c r="D510" s="417"/>
      <c r="E510" s="423"/>
    </row>
    <row r="511">
      <c r="A511" s="365"/>
      <c r="B511" s="365"/>
      <c r="C511" s="416"/>
      <c r="D511" s="417"/>
      <c r="E511" s="423"/>
    </row>
    <row r="512">
      <c r="A512" s="365"/>
      <c r="B512" s="365"/>
      <c r="C512" s="416"/>
      <c r="D512" s="417"/>
      <c r="E512" s="423"/>
    </row>
    <row r="513">
      <c r="A513" s="365"/>
      <c r="B513" s="365"/>
      <c r="C513" s="416"/>
      <c r="D513" s="417"/>
      <c r="E513" s="423"/>
    </row>
    <row r="514">
      <c r="A514" s="365"/>
      <c r="B514" s="365"/>
      <c r="C514" s="416"/>
      <c r="D514" s="417"/>
      <c r="E514" s="423"/>
    </row>
    <row r="515">
      <c r="A515" s="365"/>
      <c r="B515" s="365"/>
      <c r="C515" s="416"/>
      <c r="D515" s="417"/>
      <c r="E515" s="423"/>
    </row>
    <row r="516">
      <c r="A516" s="365"/>
      <c r="B516" s="365"/>
      <c r="C516" s="416"/>
      <c r="D516" s="417"/>
      <c r="E516" s="423"/>
    </row>
    <row r="517">
      <c r="A517" s="365"/>
      <c r="B517" s="365"/>
      <c r="C517" s="416"/>
      <c r="D517" s="417"/>
      <c r="E517" s="423"/>
    </row>
    <row r="518">
      <c r="A518" s="365"/>
      <c r="B518" s="365"/>
      <c r="C518" s="416"/>
      <c r="D518" s="417"/>
      <c r="E518" s="423"/>
    </row>
    <row r="519">
      <c r="A519" s="365"/>
      <c r="B519" s="365"/>
      <c r="C519" s="416"/>
      <c r="D519" s="417"/>
      <c r="E519" s="423"/>
    </row>
    <row r="520">
      <c r="A520" s="365"/>
      <c r="B520" s="365"/>
      <c r="C520" s="416"/>
      <c r="D520" s="417"/>
      <c r="E520" s="423"/>
    </row>
    <row r="521">
      <c r="A521" s="365"/>
      <c r="B521" s="365"/>
      <c r="C521" s="416"/>
      <c r="D521" s="417"/>
      <c r="E521" s="423"/>
    </row>
    <row r="522">
      <c r="A522" s="365"/>
      <c r="B522" s="365"/>
      <c r="C522" s="416"/>
      <c r="D522" s="417"/>
      <c r="E522" s="423"/>
    </row>
    <row r="523">
      <c r="A523" s="365"/>
      <c r="B523" s="365"/>
      <c r="C523" s="416"/>
      <c r="D523" s="417"/>
      <c r="E523" s="423"/>
    </row>
    <row r="524">
      <c r="A524" s="365"/>
      <c r="B524" s="365"/>
      <c r="C524" s="416"/>
      <c r="D524" s="417"/>
      <c r="E524" s="423"/>
    </row>
    <row r="525">
      <c r="A525" s="365"/>
      <c r="B525" s="365"/>
      <c r="C525" s="416"/>
      <c r="D525" s="417"/>
      <c r="E525" s="423"/>
    </row>
    <row r="526">
      <c r="A526" s="365"/>
      <c r="B526" s="365"/>
      <c r="C526" s="416"/>
      <c r="D526" s="417"/>
      <c r="E526" s="423"/>
    </row>
    <row r="527">
      <c r="A527" s="365"/>
      <c r="B527" s="365"/>
      <c r="C527" s="416"/>
      <c r="D527" s="417"/>
      <c r="E527" s="423"/>
    </row>
    <row r="528">
      <c r="A528" s="365"/>
      <c r="B528" s="365"/>
      <c r="C528" s="416"/>
      <c r="D528" s="417"/>
      <c r="E528" s="423"/>
    </row>
    <row r="529">
      <c r="A529" s="365"/>
      <c r="B529" s="365"/>
      <c r="C529" s="416"/>
      <c r="D529" s="417"/>
      <c r="E529" s="423"/>
    </row>
    <row r="530">
      <c r="A530" s="365"/>
      <c r="B530" s="365"/>
      <c r="C530" s="416"/>
      <c r="D530" s="417"/>
      <c r="E530" s="423"/>
    </row>
    <row r="531">
      <c r="A531" s="365"/>
      <c r="B531" s="365"/>
      <c r="C531" s="416"/>
      <c r="D531" s="417"/>
      <c r="E531" s="423"/>
    </row>
    <row r="532">
      <c r="A532" s="365"/>
      <c r="B532" s="365"/>
      <c r="C532" s="416"/>
      <c r="D532" s="417"/>
      <c r="E532" s="423"/>
    </row>
    <row r="533">
      <c r="A533" s="365"/>
      <c r="B533" s="365"/>
      <c r="C533" s="416"/>
      <c r="D533" s="417"/>
      <c r="E533" s="423"/>
    </row>
    <row r="534">
      <c r="A534" s="365"/>
      <c r="B534" s="365"/>
      <c r="C534" s="416"/>
      <c r="D534" s="417"/>
      <c r="E534" s="423"/>
    </row>
    <row r="535">
      <c r="A535" s="365"/>
      <c r="B535" s="365"/>
      <c r="C535" s="416"/>
      <c r="D535" s="417"/>
      <c r="E535" s="423"/>
    </row>
    <row r="536">
      <c r="A536" s="365"/>
      <c r="B536" s="365"/>
      <c r="C536" s="416"/>
      <c r="D536" s="417"/>
      <c r="E536" s="423"/>
    </row>
    <row r="537">
      <c r="A537" s="365"/>
      <c r="B537" s="365"/>
      <c r="C537" s="416"/>
      <c r="D537" s="417"/>
      <c r="E537" s="423"/>
    </row>
    <row r="538">
      <c r="A538" s="365"/>
      <c r="B538" s="365"/>
      <c r="C538" s="416"/>
      <c r="D538" s="417"/>
      <c r="E538" s="423"/>
    </row>
    <row r="539">
      <c r="A539" s="365"/>
      <c r="B539" s="365"/>
      <c r="C539" s="416"/>
      <c r="D539" s="417"/>
      <c r="E539" s="423"/>
    </row>
    <row r="540">
      <c r="A540" s="365"/>
      <c r="B540" s="365"/>
      <c r="C540" s="416"/>
      <c r="D540" s="417"/>
      <c r="E540" s="423"/>
    </row>
    <row r="541">
      <c r="A541" s="365"/>
      <c r="B541" s="365"/>
      <c r="C541" s="416"/>
      <c r="D541" s="417"/>
      <c r="E541" s="423"/>
    </row>
    <row r="542">
      <c r="A542" s="365"/>
      <c r="B542" s="365"/>
      <c r="C542" s="416"/>
      <c r="D542" s="417"/>
      <c r="E542" s="423"/>
    </row>
    <row r="543">
      <c r="A543" s="365"/>
      <c r="B543" s="365"/>
      <c r="C543" s="416"/>
      <c r="D543" s="417"/>
      <c r="E543" s="423"/>
    </row>
    <row r="544">
      <c r="A544" s="365"/>
      <c r="B544" s="365"/>
      <c r="C544" s="416"/>
      <c r="D544" s="417"/>
      <c r="E544" s="423"/>
    </row>
    <row r="545">
      <c r="A545" s="365"/>
      <c r="B545" s="365"/>
      <c r="C545" s="416"/>
      <c r="D545" s="417"/>
      <c r="E545" s="423"/>
    </row>
    <row r="546">
      <c r="A546" s="365"/>
      <c r="B546" s="365"/>
      <c r="C546" s="416"/>
      <c r="D546" s="417"/>
      <c r="E546" s="423"/>
    </row>
    <row r="547">
      <c r="A547" s="365"/>
      <c r="B547" s="365"/>
      <c r="C547" s="416"/>
      <c r="D547" s="417"/>
      <c r="E547" s="423"/>
    </row>
    <row r="548">
      <c r="A548" s="365"/>
      <c r="B548" s="365"/>
      <c r="C548" s="416"/>
      <c r="D548" s="417"/>
      <c r="E548" s="423"/>
    </row>
    <row r="549">
      <c r="A549" s="365"/>
      <c r="B549" s="365"/>
      <c r="C549" s="416"/>
      <c r="D549" s="417"/>
      <c r="E549" s="423"/>
    </row>
    <row r="550">
      <c r="A550" s="365"/>
      <c r="B550" s="365"/>
      <c r="C550" s="416"/>
      <c r="D550" s="417"/>
      <c r="E550" s="423"/>
    </row>
    <row r="551">
      <c r="A551" s="365"/>
      <c r="B551" s="365"/>
      <c r="C551" s="416"/>
      <c r="D551" s="417"/>
      <c r="E551" s="423"/>
    </row>
    <row r="552">
      <c r="A552" s="365"/>
      <c r="B552" s="365"/>
      <c r="C552" s="416"/>
      <c r="D552" s="417"/>
      <c r="E552" s="423"/>
    </row>
    <row r="553">
      <c r="A553" s="365"/>
      <c r="B553" s="365"/>
      <c r="C553" s="416"/>
      <c r="D553" s="417"/>
      <c r="E553" s="423"/>
    </row>
    <row r="554">
      <c r="A554" s="365"/>
      <c r="B554" s="365"/>
      <c r="C554" s="416"/>
      <c r="D554" s="417"/>
      <c r="E554" s="423"/>
    </row>
    <row r="555">
      <c r="A555" s="365"/>
      <c r="B555" s="365"/>
      <c r="C555" s="416"/>
      <c r="D555" s="417"/>
      <c r="E555" s="423"/>
    </row>
    <row r="556">
      <c r="A556" s="365"/>
      <c r="B556" s="365"/>
      <c r="C556" s="416"/>
      <c r="D556" s="417"/>
      <c r="E556" s="423"/>
    </row>
    <row r="557">
      <c r="A557" s="365"/>
      <c r="B557" s="365"/>
      <c r="C557" s="416"/>
      <c r="D557" s="417"/>
      <c r="E557" s="423"/>
    </row>
    <row r="558">
      <c r="A558" s="365"/>
      <c r="B558" s="365"/>
      <c r="C558" s="416"/>
      <c r="D558" s="417"/>
      <c r="E558" s="423"/>
    </row>
    <row r="559">
      <c r="A559" s="365"/>
      <c r="B559" s="365"/>
      <c r="C559" s="416"/>
      <c r="D559" s="417"/>
      <c r="E559" s="423"/>
    </row>
    <row r="560">
      <c r="A560" s="365"/>
      <c r="B560" s="365"/>
      <c r="C560" s="416"/>
      <c r="D560" s="417"/>
      <c r="E560" s="423"/>
    </row>
    <row r="561">
      <c r="A561" s="365"/>
      <c r="B561" s="365"/>
      <c r="C561" s="416"/>
      <c r="D561" s="417"/>
      <c r="E561" s="423"/>
    </row>
    <row r="562">
      <c r="A562" s="365"/>
      <c r="B562" s="365"/>
      <c r="C562" s="416"/>
      <c r="D562" s="417"/>
      <c r="E562" s="423"/>
    </row>
    <row r="563">
      <c r="A563" s="365"/>
      <c r="B563" s="365"/>
      <c r="C563" s="416"/>
      <c r="D563" s="417"/>
      <c r="E563" s="423"/>
    </row>
    <row r="564">
      <c r="A564" s="365"/>
      <c r="B564" s="365"/>
      <c r="C564" s="416"/>
      <c r="D564" s="417"/>
      <c r="E564" s="423"/>
    </row>
    <row r="565">
      <c r="A565" s="365"/>
      <c r="B565" s="365"/>
      <c r="C565" s="416"/>
      <c r="D565" s="417"/>
      <c r="E565" s="423"/>
    </row>
    <row r="566">
      <c r="A566" s="365"/>
      <c r="B566" s="365"/>
      <c r="C566" s="416"/>
      <c r="D566" s="417"/>
      <c r="E566" s="423"/>
    </row>
    <row r="567">
      <c r="A567" s="365"/>
      <c r="B567" s="365"/>
      <c r="C567" s="416"/>
      <c r="D567" s="417"/>
      <c r="E567" s="423"/>
    </row>
    <row r="568">
      <c r="A568" s="365"/>
      <c r="B568" s="365"/>
      <c r="C568" s="416"/>
      <c r="D568" s="417"/>
      <c r="E568" s="423"/>
    </row>
    <row r="569">
      <c r="A569" s="365"/>
      <c r="B569" s="365"/>
      <c r="C569" s="416"/>
      <c r="D569" s="417"/>
      <c r="E569" s="423"/>
    </row>
    <row r="570">
      <c r="A570" s="365"/>
      <c r="B570" s="365"/>
      <c r="C570" s="416"/>
      <c r="D570" s="417"/>
      <c r="E570" s="423"/>
    </row>
    <row r="571">
      <c r="A571" s="365"/>
      <c r="B571" s="365"/>
      <c r="C571" s="416"/>
      <c r="D571" s="417"/>
      <c r="E571" s="423"/>
    </row>
    <row r="572">
      <c r="A572" s="365"/>
      <c r="B572" s="365"/>
      <c r="C572" s="416"/>
      <c r="D572" s="417"/>
      <c r="E572" s="423"/>
    </row>
    <row r="573">
      <c r="A573" s="365"/>
      <c r="B573" s="365"/>
      <c r="C573" s="416"/>
      <c r="D573" s="417"/>
      <c r="E573" s="423"/>
    </row>
    <row r="574">
      <c r="A574" s="365"/>
      <c r="B574" s="365"/>
      <c r="C574" s="416"/>
      <c r="D574" s="417"/>
      <c r="E574" s="423"/>
    </row>
    <row r="575">
      <c r="A575" s="365"/>
      <c r="B575" s="365"/>
      <c r="C575" s="416"/>
      <c r="D575" s="417"/>
      <c r="E575" s="423"/>
    </row>
    <row r="576">
      <c r="A576" s="365"/>
      <c r="B576" s="365"/>
      <c r="C576" s="416"/>
      <c r="D576" s="417"/>
      <c r="E576" s="423"/>
    </row>
    <row r="577">
      <c r="A577" s="365"/>
      <c r="B577" s="365"/>
      <c r="C577" s="416"/>
      <c r="D577" s="417"/>
      <c r="E577" s="423"/>
    </row>
    <row r="578">
      <c r="A578" s="365"/>
      <c r="B578" s="365"/>
      <c r="C578" s="416"/>
      <c r="D578" s="417"/>
      <c r="E578" s="423"/>
    </row>
    <row r="579">
      <c r="A579" s="365"/>
      <c r="B579" s="365"/>
      <c r="C579" s="416"/>
      <c r="D579" s="417"/>
      <c r="E579" s="423"/>
    </row>
    <row r="580">
      <c r="A580" s="365"/>
      <c r="B580" s="365"/>
      <c r="C580" s="416"/>
      <c r="D580" s="417"/>
      <c r="E580" s="423"/>
    </row>
    <row r="581">
      <c r="A581" s="365"/>
      <c r="B581" s="365"/>
      <c r="C581" s="416"/>
      <c r="D581" s="417"/>
      <c r="E581" s="423"/>
    </row>
    <row r="582">
      <c r="A582" s="365"/>
      <c r="B582" s="365"/>
      <c r="C582" s="416"/>
      <c r="D582" s="417"/>
      <c r="E582" s="423"/>
    </row>
    <row r="583">
      <c r="A583" s="365"/>
      <c r="B583" s="365"/>
      <c r="C583" s="416"/>
      <c r="D583" s="417"/>
      <c r="E583" s="423"/>
    </row>
    <row r="584">
      <c r="A584" s="365"/>
      <c r="B584" s="365"/>
      <c r="C584" s="416"/>
      <c r="D584" s="417"/>
      <c r="E584" s="423"/>
    </row>
    <row r="585">
      <c r="A585" s="365"/>
      <c r="B585" s="365"/>
      <c r="C585" s="416"/>
      <c r="D585" s="417"/>
      <c r="E585" s="423"/>
    </row>
    <row r="586">
      <c r="A586" s="365"/>
      <c r="B586" s="365"/>
      <c r="C586" s="416"/>
      <c r="D586" s="417"/>
      <c r="E586" s="423"/>
    </row>
    <row r="587">
      <c r="A587" s="365"/>
      <c r="B587" s="365"/>
      <c r="C587" s="416"/>
      <c r="D587" s="417"/>
      <c r="E587" s="423"/>
    </row>
    <row r="588">
      <c r="A588" s="365"/>
      <c r="B588" s="365"/>
      <c r="C588" s="416"/>
      <c r="D588" s="417"/>
      <c r="E588" s="423"/>
    </row>
    <row r="589">
      <c r="A589" s="365"/>
      <c r="B589" s="365"/>
      <c r="C589" s="416"/>
      <c r="D589" s="417"/>
      <c r="E589" s="423"/>
    </row>
    <row r="590">
      <c r="A590" s="365"/>
      <c r="B590" s="365"/>
      <c r="C590" s="416"/>
      <c r="D590" s="417"/>
      <c r="E590" s="423"/>
    </row>
    <row r="591">
      <c r="A591" s="365"/>
      <c r="B591" s="365"/>
      <c r="C591" s="416"/>
      <c r="D591" s="417"/>
      <c r="E591" s="423"/>
    </row>
    <row r="592">
      <c r="A592" s="365"/>
      <c r="B592" s="365"/>
      <c r="C592" s="416"/>
      <c r="D592" s="417"/>
      <c r="E592" s="423"/>
    </row>
    <row r="593">
      <c r="A593" s="365"/>
      <c r="B593" s="365"/>
      <c r="C593" s="416"/>
      <c r="D593" s="417"/>
      <c r="E593" s="423"/>
    </row>
    <row r="594">
      <c r="A594" s="365"/>
      <c r="B594" s="365"/>
      <c r="C594" s="416"/>
      <c r="D594" s="417"/>
      <c r="E594" s="423"/>
    </row>
    <row r="595">
      <c r="A595" s="365"/>
      <c r="B595" s="365"/>
      <c r="C595" s="416"/>
      <c r="D595" s="417"/>
      <c r="E595" s="423"/>
    </row>
    <row r="596">
      <c r="A596" s="365"/>
      <c r="B596" s="365"/>
      <c r="C596" s="416"/>
      <c r="D596" s="417"/>
      <c r="E596" s="423"/>
    </row>
    <row r="597">
      <c r="A597" s="365"/>
      <c r="B597" s="365"/>
      <c r="C597" s="416"/>
      <c r="D597" s="417"/>
      <c r="E597" s="423"/>
    </row>
    <row r="598">
      <c r="A598" s="365"/>
      <c r="B598" s="365"/>
      <c r="C598" s="416"/>
      <c r="D598" s="417"/>
      <c r="E598" s="423"/>
    </row>
    <row r="599">
      <c r="A599" s="365"/>
      <c r="B599" s="365"/>
      <c r="C599" s="416"/>
      <c r="D599" s="417"/>
      <c r="E599" s="423"/>
    </row>
    <row r="600">
      <c r="A600" s="365"/>
      <c r="B600" s="365"/>
      <c r="C600" s="416"/>
      <c r="D600" s="417"/>
      <c r="E600" s="423"/>
    </row>
    <row r="601">
      <c r="A601" s="365"/>
      <c r="B601" s="365"/>
      <c r="C601" s="416"/>
      <c r="D601" s="417"/>
      <c r="E601" s="423"/>
    </row>
    <row r="602">
      <c r="A602" s="365"/>
      <c r="B602" s="365"/>
      <c r="C602" s="416"/>
      <c r="D602" s="417"/>
      <c r="E602" s="423"/>
    </row>
    <row r="603">
      <c r="A603" s="365"/>
      <c r="B603" s="365"/>
      <c r="C603" s="416"/>
      <c r="D603" s="417"/>
      <c r="E603" s="423"/>
    </row>
    <row r="604">
      <c r="A604" s="365"/>
      <c r="B604" s="365"/>
      <c r="C604" s="416"/>
      <c r="D604" s="417"/>
      <c r="E604" s="423"/>
    </row>
    <row r="605">
      <c r="A605" s="365"/>
      <c r="B605" s="365"/>
      <c r="C605" s="416"/>
      <c r="D605" s="417"/>
      <c r="E605" s="423"/>
    </row>
    <row r="606">
      <c r="A606" s="365"/>
      <c r="B606" s="365"/>
      <c r="C606" s="416"/>
      <c r="D606" s="417"/>
      <c r="E606" s="423"/>
    </row>
    <row r="607">
      <c r="A607" s="365"/>
      <c r="B607" s="365"/>
      <c r="C607" s="416"/>
      <c r="D607" s="417"/>
      <c r="E607" s="423"/>
    </row>
    <row r="608">
      <c r="A608" s="365"/>
      <c r="B608" s="365"/>
      <c r="C608" s="416"/>
      <c r="D608" s="417"/>
      <c r="E608" s="423"/>
    </row>
    <row r="609">
      <c r="A609" s="365"/>
      <c r="B609" s="365"/>
      <c r="C609" s="416"/>
      <c r="D609" s="417"/>
      <c r="E609" s="423"/>
    </row>
    <row r="610">
      <c r="A610" s="365"/>
      <c r="B610" s="365"/>
      <c r="C610" s="416"/>
      <c r="D610" s="417"/>
      <c r="E610" s="423"/>
    </row>
    <row r="611">
      <c r="A611" s="365"/>
      <c r="B611" s="365"/>
      <c r="C611" s="416"/>
      <c r="D611" s="417"/>
      <c r="E611" s="423"/>
    </row>
    <row r="612">
      <c r="A612" s="365"/>
      <c r="B612" s="365"/>
      <c r="C612" s="416"/>
      <c r="D612" s="417"/>
      <c r="E612" s="423"/>
    </row>
    <row r="613">
      <c r="A613" s="365"/>
      <c r="B613" s="365"/>
      <c r="C613" s="416"/>
      <c r="D613" s="417"/>
      <c r="E613" s="423"/>
    </row>
    <row r="614">
      <c r="A614" s="365"/>
      <c r="B614" s="365"/>
      <c r="C614" s="416"/>
      <c r="D614" s="417"/>
      <c r="E614" s="423"/>
    </row>
    <row r="615">
      <c r="A615" s="365"/>
      <c r="B615" s="365"/>
      <c r="C615" s="416"/>
      <c r="D615" s="417"/>
      <c r="E615" s="423"/>
    </row>
    <row r="616">
      <c r="A616" s="365"/>
      <c r="B616" s="365"/>
      <c r="C616" s="416"/>
      <c r="D616" s="417"/>
      <c r="E616" s="423"/>
    </row>
    <row r="617">
      <c r="A617" s="365"/>
      <c r="B617" s="365"/>
      <c r="C617" s="416"/>
      <c r="D617" s="417"/>
      <c r="E617" s="423"/>
    </row>
    <row r="618">
      <c r="A618" s="365"/>
      <c r="B618" s="365"/>
      <c r="C618" s="416"/>
      <c r="D618" s="417"/>
      <c r="E618" s="423"/>
    </row>
    <row r="619">
      <c r="A619" s="365"/>
      <c r="B619" s="365"/>
      <c r="C619" s="416"/>
      <c r="D619" s="417"/>
      <c r="E619" s="423"/>
    </row>
    <row r="620">
      <c r="A620" s="365"/>
      <c r="B620" s="365"/>
      <c r="C620" s="416"/>
      <c r="D620" s="417"/>
      <c r="E620" s="423"/>
    </row>
    <row r="621">
      <c r="A621" s="365"/>
      <c r="B621" s="365"/>
      <c r="C621" s="416"/>
      <c r="D621" s="417"/>
      <c r="E621" s="423"/>
    </row>
    <row r="622">
      <c r="A622" s="365"/>
      <c r="B622" s="365"/>
      <c r="C622" s="416"/>
      <c r="D622" s="417"/>
      <c r="E622" s="423"/>
    </row>
    <row r="623">
      <c r="A623" s="365"/>
      <c r="B623" s="365"/>
      <c r="C623" s="416"/>
      <c r="D623" s="417"/>
      <c r="E623" s="423"/>
    </row>
    <row r="624">
      <c r="A624" s="365"/>
      <c r="B624" s="365"/>
      <c r="C624" s="416"/>
      <c r="D624" s="417"/>
      <c r="E624" s="423"/>
    </row>
    <row r="625">
      <c r="A625" s="365"/>
      <c r="B625" s="365"/>
      <c r="C625" s="416"/>
      <c r="D625" s="417"/>
      <c r="E625" s="423"/>
    </row>
    <row r="626">
      <c r="A626" s="365"/>
      <c r="B626" s="365"/>
      <c r="C626" s="416"/>
      <c r="D626" s="417"/>
      <c r="E626" s="423"/>
    </row>
    <row r="627">
      <c r="A627" s="365"/>
      <c r="B627" s="365"/>
      <c r="C627" s="416"/>
      <c r="D627" s="417"/>
      <c r="E627" s="423"/>
    </row>
    <row r="628">
      <c r="A628" s="365"/>
      <c r="B628" s="365"/>
      <c r="C628" s="416"/>
      <c r="D628" s="417"/>
      <c r="E628" s="423"/>
    </row>
    <row r="629">
      <c r="A629" s="365"/>
      <c r="B629" s="365"/>
      <c r="C629" s="416"/>
      <c r="D629" s="417"/>
      <c r="E629" s="423"/>
    </row>
    <row r="630">
      <c r="A630" s="365"/>
      <c r="B630" s="365"/>
      <c r="C630" s="416"/>
      <c r="D630" s="417"/>
      <c r="E630" s="423"/>
    </row>
    <row r="631">
      <c r="A631" s="365"/>
      <c r="B631" s="365"/>
      <c r="C631" s="416"/>
      <c r="D631" s="417"/>
      <c r="E631" s="423"/>
    </row>
    <row r="632">
      <c r="A632" s="365"/>
      <c r="B632" s="365"/>
      <c r="C632" s="416"/>
      <c r="D632" s="417"/>
      <c r="E632" s="423"/>
    </row>
    <row r="633">
      <c r="A633" s="365"/>
      <c r="B633" s="365"/>
      <c r="C633" s="416"/>
      <c r="D633" s="417"/>
      <c r="E633" s="423"/>
    </row>
    <row r="634">
      <c r="A634" s="365"/>
      <c r="B634" s="365"/>
      <c r="C634" s="416"/>
      <c r="D634" s="417"/>
      <c r="E634" s="423"/>
    </row>
    <row r="635">
      <c r="A635" s="365"/>
      <c r="B635" s="365"/>
      <c r="C635" s="416"/>
      <c r="D635" s="417"/>
      <c r="E635" s="423"/>
    </row>
    <row r="636">
      <c r="A636" s="365"/>
      <c r="B636" s="365"/>
      <c r="C636" s="416"/>
      <c r="D636" s="417"/>
      <c r="E636" s="423"/>
    </row>
    <row r="637">
      <c r="A637" s="365"/>
      <c r="B637" s="365"/>
      <c r="C637" s="416"/>
      <c r="D637" s="417"/>
      <c r="E637" s="423"/>
    </row>
    <row r="638">
      <c r="A638" s="365"/>
      <c r="B638" s="365"/>
      <c r="C638" s="416"/>
      <c r="D638" s="417"/>
      <c r="E638" s="423"/>
    </row>
    <row r="639">
      <c r="A639" s="365"/>
      <c r="B639" s="365"/>
      <c r="C639" s="416"/>
      <c r="D639" s="417"/>
      <c r="E639" s="423"/>
    </row>
    <row r="640">
      <c r="A640" s="365"/>
      <c r="B640" s="365"/>
      <c r="C640" s="416"/>
      <c r="D640" s="417"/>
      <c r="E640" s="423"/>
    </row>
    <row r="641">
      <c r="A641" s="365"/>
      <c r="B641" s="365"/>
      <c r="C641" s="416"/>
      <c r="D641" s="417"/>
      <c r="E641" s="423"/>
    </row>
    <row r="642">
      <c r="A642" s="365"/>
      <c r="B642" s="365"/>
      <c r="C642" s="416"/>
      <c r="D642" s="417"/>
      <c r="E642" s="423"/>
    </row>
    <row r="643">
      <c r="A643" s="365"/>
      <c r="B643" s="365"/>
      <c r="C643" s="416"/>
      <c r="D643" s="417"/>
      <c r="E643" s="423"/>
    </row>
    <row r="644">
      <c r="A644" s="365"/>
      <c r="B644" s="365"/>
      <c r="C644" s="416"/>
      <c r="D644" s="417"/>
      <c r="E644" s="423"/>
    </row>
    <row r="645">
      <c r="A645" s="365"/>
      <c r="B645" s="365"/>
      <c r="C645" s="416"/>
      <c r="D645" s="417"/>
      <c r="E645" s="423"/>
    </row>
    <row r="646">
      <c r="A646" s="365"/>
      <c r="B646" s="365"/>
      <c r="C646" s="416"/>
      <c r="D646" s="417"/>
      <c r="E646" s="423"/>
    </row>
    <row r="647">
      <c r="A647" s="365"/>
      <c r="B647" s="365"/>
      <c r="C647" s="416"/>
      <c r="D647" s="417"/>
      <c r="E647" s="423"/>
    </row>
    <row r="648">
      <c r="A648" s="365"/>
      <c r="B648" s="365"/>
      <c r="C648" s="416"/>
      <c r="D648" s="417"/>
      <c r="E648" s="423"/>
    </row>
    <row r="649">
      <c r="A649" s="365"/>
      <c r="B649" s="365"/>
      <c r="C649" s="416"/>
      <c r="D649" s="417"/>
      <c r="E649" s="423"/>
    </row>
    <row r="650">
      <c r="A650" s="365"/>
      <c r="B650" s="365"/>
      <c r="C650" s="416"/>
      <c r="D650" s="417"/>
      <c r="E650" s="423"/>
    </row>
    <row r="651">
      <c r="A651" s="365"/>
      <c r="B651" s="365"/>
      <c r="C651" s="416"/>
      <c r="D651" s="417"/>
      <c r="E651" s="423"/>
    </row>
    <row r="652">
      <c r="A652" s="365"/>
      <c r="B652" s="365"/>
      <c r="C652" s="416"/>
      <c r="D652" s="417"/>
      <c r="E652" s="423"/>
    </row>
    <row r="653">
      <c r="A653" s="365"/>
      <c r="B653" s="365"/>
      <c r="C653" s="416"/>
      <c r="D653" s="417"/>
      <c r="E653" s="423"/>
    </row>
    <row r="654">
      <c r="A654" s="365"/>
      <c r="B654" s="365"/>
      <c r="C654" s="416"/>
      <c r="D654" s="417"/>
      <c r="E654" s="423"/>
    </row>
    <row r="655">
      <c r="A655" s="365"/>
      <c r="B655" s="365"/>
      <c r="C655" s="416"/>
      <c r="D655" s="417"/>
      <c r="E655" s="423"/>
    </row>
    <row r="656">
      <c r="A656" s="365"/>
      <c r="B656" s="365"/>
      <c r="C656" s="416"/>
      <c r="D656" s="417"/>
      <c r="E656" s="423"/>
    </row>
    <row r="657">
      <c r="A657" s="365"/>
      <c r="B657" s="365"/>
      <c r="C657" s="416"/>
      <c r="D657" s="417"/>
      <c r="E657" s="423"/>
    </row>
    <row r="658">
      <c r="A658" s="365"/>
      <c r="B658" s="365"/>
      <c r="C658" s="416"/>
      <c r="D658" s="417"/>
      <c r="E658" s="423"/>
    </row>
    <row r="659">
      <c r="A659" s="365"/>
      <c r="B659" s="365"/>
      <c r="C659" s="416"/>
      <c r="D659" s="417"/>
      <c r="E659" s="423"/>
    </row>
    <row r="660">
      <c r="A660" s="365"/>
      <c r="B660" s="365"/>
      <c r="C660" s="416"/>
      <c r="D660" s="417"/>
      <c r="E660" s="423"/>
    </row>
    <row r="661">
      <c r="A661" s="365"/>
      <c r="B661" s="365"/>
      <c r="C661" s="416"/>
      <c r="D661" s="417"/>
      <c r="E661" s="423"/>
    </row>
    <row r="662">
      <c r="A662" s="365"/>
      <c r="B662" s="365"/>
      <c r="C662" s="416"/>
      <c r="D662" s="417"/>
      <c r="E662" s="423"/>
    </row>
    <row r="663">
      <c r="A663" s="365"/>
      <c r="B663" s="365"/>
      <c r="C663" s="416"/>
      <c r="D663" s="417"/>
      <c r="E663" s="423"/>
    </row>
    <row r="664">
      <c r="A664" s="365"/>
      <c r="B664" s="365"/>
      <c r="C664" s="416"/>
      <c r="D664" s="417"/>
      <c r="E664" s="423"/>
    </row>
    <row r="665">
      <c r="A665" s="365"/>
      <c r="B665" s="365"/>
      <c r="C665" s="416"/>
      <c r="D665" s="417"/>
      <c r="E665" s="423"/>
    </row>
    <row r="666">
      <c r="A666" s="365"/>
      <c r="B666" s="365"/>
      <c r="C666" s="416"/>
      <c r="D666" s="417"/>
      <c r="E666" s="423"/>
    </row>
    <row r="667">
      <c r="A667" s="365"/>
      <c r="B667" s="365"/>
      <c r="C667" s="416"/>
      <c r="D667" s="417"/>
      <c r="E667" s="423"/>
    </row>
    <row r="668">
      <c r="A668" s="365"/>
      <c r="B668" s="365"/>
      <c r="C668" s="416"/>
      <c r="D668" s="417"/>
      <c r="E668" s="423"/>
    </row>
    <row r="669">
      <c r="A669" s="365"/>
      <c r="B669" s="365"/>
      <c r="C669" s="416"/>
      <c r="D669" s="417"/>
      <c r="E669" s="423"/>
    </row>
    <row r="670">
      <c r="A670" s="365"/>
      <c r="B670" s="365"/>
      <c r="C670" s="416"/>
      <c r="D670" s="417"/>
      <c r="E670" s="423"/>
    </row>
    <row r="671">
      <c r="A671" s="365"/>
      <c r="B671" s="365"/>
      <c r="C671" s="416"/>
      <c r="D671" s="417"/>
      <c r="E671" s="423"/>
    </row>
    <row r="672">
      <c r="A672" s="365"/>
      <c r="B672" s="365"/>
      <c r="C672" s="416"/>
      <c r="D672" s="417"/>
      <c r="E672" s="423"/>
    </row>
    <row r="673">
      <c r="A673" s="365"/>
      <c r="B673" s="365"/>
      <c r="C673" s="416"/>
      <c r="D673" s="417"/>
      <c r="E673" s="423"/>
    </row>
    <row r="674">
      <c r="A674" s="365"/>
      <c r="B674" s="365"/>
      <c r="C674" s="416"/>
      <c r="D674" s="417"/>
      <c r="E674" s="423"/>
    </row>
    <row r="675">
      <c r="A675" s="365"/>
      <c r="B675" s="365"/>
      <c r="C675" s="416"/>
      <c r="D675" s="417"/>
      <c r="E675" s="423"/>
    </row>
    <row r="676">
      <c r="A676" s="365"/>
      <c r="B676" s="365"/>
      <c r="C676" s="416"/>
      <c r="D676" s="417"/>
      <c r="E676" s="423"/>
    </row>
    <row r="677">
      <c r="A677" s="365"/>
      <c r="B677" s="365"/>
      <c r="C677" s="416"/>
      <c r="D677" s="417"/>
      <c r="E677" s="423"/>
    </row>
    <row r="678">
      <c r="A678" s="365"/>
      <c r="B678" s="365"/>
      <c r="C678" s="416"/>
      <c r="D678" s="417"/>
      <c r="E678" s="423"/>
    </row>
    <row r="679">
      <c r="A679" s="365"/>
      <c r="B679" s="365"/>
      <c r="C679" s="416"/>
      <c r="D679" s="417"/>
      <c r="E679" s="423"/>
    </row>
    <row r="680">
      <c r="A680" s="365"/>
      <c r="B680" s="365"/>
      <c r="C680" s="416"/>
      <c r="D680" s="417"/>
      <c r="E680" s="423"/>
    </row>
    <row r="681">
      <c r="A681" s="365"/>
      <c r="B681" s="365"/>
      <c r="C681" s="416"/>
      <c r="D681" s="417"/>
      <c r="E681" s="423"/>
    </row>
    <row r="682">
      <c r="A682" s="365"/>
      <c r="B682" s="365"/>
      <c r="C682" s="416"/>
      <c r="D682" s="417"/>
      <c r="E682" s="423"/>
    </row>
    <row r="683">
      <c r="A683" s="365"/>
      <c r="B683" s="365"/>
      <c r="C683" s="416"/>
      <c r="D683" s="417"/>
      <c r="E683" s="423"/>
    </row>
    <row r="684">
      <c r="A684" s="365"/>
      <c r="B684" s="365"/>
      <c r="C684" s="416"/>
      <c r="D684" s="417"/>
      <c r="E684" s="423"/>
    </row>
    <row r="685">
      <c r="A685" s="365"/>
      <c r="B685" s="365"/>
      <c r="C685" s="416"/>
      <c r="D685" s="417"/>
      <c r="E685" s="423"/>
    </row>
    <row r="686">
      <c r="A686" s="365"/>
      <c r="B686" s="365"/>
      <c r="C686" s="416"/>
      <c r="D686" s="417"/>
      <c r="E686" s="423"/>
    </row>
    <row r="687">
      <c r="A687" s="365"/>
      <c r="B687" s="365"/>
      <c r="C687" s="416"/>
      <c r="D687" s="417"/>
      <c r="E687" s="423"/>
    </row>
    <row r="688">
      <c r="A688" s="365"/>
      <c r="B688" s="365"/>
      <c r="C688" s="416"/>
      <c r="D688" s="417"/>
      <c r="E688" s="423"/>
    </row>
    <row r="689">
      <c r="A689" s="365"/>
      <c r="B689" s="365"/>
      <c r="C689" s="416"/>
      <c r="D689" s="417"/>
      <c r="E689" s="423"/>
    </row>
    <row r="690">
      <c r="A690" s="365"/>
      <c r="B690" s="365"/>
      <c r="C690" s="416"/>
      <c r="D690" s="417"/>
      <c r="E690" s="423"/>
    </row>
    <row r="691">
      <c r="A691" s="365"/>
      <c r="B691" s="365"/>
      <c r="C691" s="416"/>
      <c r="D691" s="417"/>
      <c r="E691" s="423"/>
    </row>
    <row r="692">
      <c r="A692" s="365"/>
      <c r="B692" s="365"/>
      <c r="C692" s="416"/>
      <c r="D692" s="417"/>
      <c r="E692" s="423"/>
    </row>
    <row r="693">
      <c r="A693" s="365"/>
      <c r="B693" s="365"/>
      <c r="C693" s="416"/>
      <c r="D693" s="417"/>
      <c r="E693" s="423"/>
    </row>
    <row r="694">
      <c r="A694" s="365"/>
      <c r="B694" s="365"/>
      <c r="C694" s="416"/>
      <c r="D694" s="417"/>
      <c r="E694" s="423"/>
    </row>
    <row r="695">
      <c r="A695" s="365"/>
      <c r="B695" s="365"/>
      <c r="C695" s="416"/>
      <c r="D695" s="417"/>
      <c r="E695" s="423"/>
    </row>
    <row r="696">
      <c r="A696" s="365"/>
      <c r="B696" s="365"/>
      <c r="C696" s="416"/>
      <c r="D696" s="417"/>
      <c r="E696" s="423"/>
    </row>
    <row r="697">
      <c r="A697" s="365"/>
      <c r="B697" s="365"/>
      <c r="C697" s="416"/>
      <c r="D697" s="417"/>
      <c r="E697" s="423"/>
    </row>
    <row r="698">
      <c r="A698" s="365"/>
      <c r="B698" s="365"/>
      <c r="C698" s="416"/>
      <c r="D698" s="417"/>
      <c r="E698" s="423"/>
    </row>
    <row r="699">
      <c r="A699" s="365"/>
      <c r="B699" s="365"/>
      <c r="C699" s="416"/>
      <c r="D699" s="417"/>
      <c r="E699" s="423"/>
    </row>
    <row r="700">
      <c r="A700" s="365"/>
      <c r="B700" s="365"/>
      <c r="C700" s="416"/>
      <c r="D700" s="417"/>
      <c r="E700" s="423"/>
    </row>
    <row r="701">
      <c r="A701" s="365"/>
      <c r="B701" s="365"/>
      <c r="C701" s="416"/>
      <c r="D701" s="417"/>
      <c r="E701" s="423"/>
    </row>
    <row r="702">
      <c r="A702" s="365"/>
      <c r="B702" s="365"/>
      <c r="C702" s="416"/>
      <c r="D702" s="417"/>
      <c r="E702" s="423"/>
    </row>
    <row r="703">
      <c r="A703" s="365"/>
      <c r="B703" s="365"/>
      <c r="C703" s="416"/>
      <c r="D703" s="417"/>
      <c r="E703" s="423"/>
    </row>
    <row r="704">
      <c r="A704" s="365"/>
      <c r="B704" s="365"/>
      <c r="C704" s="416"/>
      <c r="D704" s="417"/>
      <c r="E704" s="423"/>
    </row>
    <row r="705">
      <c r="A705" s="365"/>
      <c r="B705" s="365"/>
      <c r="C705" s="416"/>
      <c r="D705" s="417"/>
      <c r="E705" s="423"/>
    </row>
    <row r="706">
      <c r="A706" s="365"/>
      <c r="B706" s="365"/>
      <c r="C706" s="416"/>
      <c r="D706" s="417"/>
      <c r="E706" s="423"/>
    </row>
    <row r="707">
      <c r="A707" s="365"/>
      <c r="B707" s="365"/>
      <c r="C707" s="416"/>
      <c r="D707" s="417"/>
      <c r="E707" s="423"/>
    </row>
    <row r="708">
      <c r="A708" s="365"/>
      <c r="B708" s="365"/>
      <c r="C708" s="416"/>
      <c r="D708" s="417"/>
      <c r="E708" s="423"/>
    </row>
    <row r="709">
      <c r="A709" s="365"/>
      <c r="B709" s="365"/>
      <c r="C709" s="416"/>
      <c r="D709" s="417"/>
      <c r="E709" s="423"/>
    </row>
    <row r="710">
      <c r="A710" s="365"/>
      <c r="B710" s="365"/>
      <c r="C710" s="416"/>
      <c r="D710" s="417"/>
      <c r="E710" s="423"/>
    </row>
    <row r="711">
      <c r="A711" s="365"/>
      <c r="B711" s="365"/>
      <c r="C711" s="416"/>
      <c r="D711" s="417"/>
      <c r="E711" s="423"/>
    </row>
    <row r="712">
      <c r="A712" s="365"/>
      <c r="B712" s="365"/>
      <c r="C712" s="416"/>
      <c r="D712" s="417"/>
      <c r="E712" s="423"/>
    </row>
    <row r="713">
      <c r="A713" s="365"/>
      <c r="B713" s="365"/>
      <c r="C713" s="416"/>
      <c r="D713" s="417"/>
      <c r="E713" s="423"/>
    </row>
    <row r="714">
      <c r="A714" s="365"/>
      <c r="B714" s="365"/>
      <c r="C714" s="416"/>
      <c r="D714" s="417"/>
      <c r="E714" s="423"/>
    </row>
    <row r="715">
      <c r="A715" s="365"/>
      <c r="B715" s="365"/>
      <c r="C715" s="416"/>
      <c r="D715" s="417"/>
      <c r="E715" s="423"/>
    </row>
    <row r="716">
      <c r="A716" s="365"/>
      <c r="B716" s="365"/>
      <c r="C716" s="416"/>
      <c r="D716" s="417"/>
      <c r="E716" s="423"/>
    </row>
    <row r="717">
      <c r="A717" s="365"/>
      <c r="B717" s="365"/>
      <c r="C717" s="416"/>
      <c r="D717" s="417"/>
      <c r="E717" s="423"/>
    </row>
    <row r="718">
      <c r="A718" s="365"/>
      <c r="B718" s="365"/>
      <c r="C718" s="416"/>
      <c r="D718" s="417"/>
      <c r="E718" s="423"/>
    </row>
    <row r="719">
      <c r="A719" s="365"/>
      <c r="B719" s="365"/>
      <c r="C719" s="416"/>
      <c r="D719" s="417"/>
      <c r="E719" s="423"/>
    </row>
    <row r="720">
      <c r="A720" s="365"/>
      <c r="B720" s="365"/>
      <c r="C720" s="416"/>
      <c r="D720" s="417"/>
      <c r="E720" s="423"/>
    </row>
    <row r="721">
      <c r="A721" s="365"/>
      <c r="B721" s="365"/>
      <c r="C721" s="416"/>
      <c r="D721" s="417"/>
      <c r="E721" s="423"/>
    </row>
    <row r="722">
      <c r="A722" s="365"/>
      <c r="B722" s="365"/>
      <c r="C722" s="416"/>
      <c r="D722" s="417"/>
      <c r="E722" s="423"/>
    </row>
    <row r="723">
      <c r="A723" s="365"/>
      <c r="B723" s="365"/>
      <c r="C723" s="416"/>
      <c r="D723" s="417"/>
      <c r="E723" s="423"/>
    </row>
    <row r="724">
      <c r="A724" s="365"/>
      <c r="B724" s="365"/>
      <c r="C724" s="416"/>
      <c r="D724" s="417"/>
      <c r="E724" s="423"/>
    </row>
    <row r="725">
      <c r="A725" s="365"/>
      <c r="B725" s="365"/>
      <c r="C725" s="416"/>
      <c r="D725" s="417"/>
      <c r="E725" s="423"/>
    </row>
    <row r="726">
      <c r="A726" s="365"/>
      <c r="B726" s="365"/>
      <c r="C726" s="416"/>
      <c r="D726" s="417"/>
      <c r="E726" s="423"/>
    </row>
    <row r="727">
      <c r="A727" s="365"/>
      <c r="B727" s="365"/>
      <c r="C727" s="416"/>
      <c r="D727" s="417"/>
      <c r="E727" s="423"/>
    </row>
    <row r="728">
      <c r="A728" s="365"/>
      <c r="B728" s="365"/>
      <c r="C728" s="416"/>
      <c r="D728" s="417"/>
      <c r="E728" s="423"/>
    </row>
    <row r="729">
      <c r="A729" s="365"/>
      <c r="B729" s="365"/>
      <c r="C729" s="416"/>
      <c r="D729" s="417"/>
      <c r="E729" s="423"/>
    </row>
    <row r="730">
      <c r="A730" s="365"/>
      <c r="B730" s="365"/>
      <c r="C730" s="416"/>
      <c r="D730" s="417"/>
      <c r="E730" s="423"/>
    </row>
    <row r="731">
      <c r="A731" s="365"/>
      <c r="B731" s="365"/>
      <c r="C731" s="416"/>
      <c r="D731" s="417"/>
      <c r="E731" s="423"/>
    </row>
    <row r="732">
      <c r="A732" s="365"/>
      <c r="B732" s="365"/>
      <c r="C732" s="416"/>
      <c r="D732" s="417"/>
      <c r="E732" s="423"/>
    </row>
    <row r="733">
      <c r="A733" s="365"/>
      <c r="B733" s="365"/>
      <c r="C733" s="416"/>
      <c r="D733" s="417"/>
      <c r="E733" s="423"/>
    </row>
    <row r="734">
      <c r="A734" s="365"/>
      <c r="B734" s="365"/>
      <c r="C734" s="416"/>
      <c r="D734" s="417"/>
      <c r="E734" s="423"/>
    </row>
    <row r="735">
      <c r="A735" s="365"/>
      <c r="B735" s="365"/>
      <c r="C735" s="416"/>
      <c r="D735" s="417"/>
      <c r="E735" s="423"/>
    </row>
    <row r="736">
      <c r="A736" s="365"/>
      <c r="B736" s="365"/>
      <c r="C736" s="416"/>
      <c r="D736" s="417"/>
      <c r="E736" s="423"/>
    </row>
    <row r="737">
      <c r="A737" s="365"/>
      <c r="B737" s="365"/>
      <c r="C737" s="416"/>
      <c r="D737" s="417"/>
      <c r="E737" s="423"/>
    </row>
    <row r="738">
      <c r="A738" s="365"/>
      <c r="B738" s="365"/>
      <c r="C738" s="416"/>
      <c r="D738" s="417"/>
      <c r="E738" s="423"/>
    </row>
    <row r="739">
      <c r="A739" s="365"/>
      <c r="B739" s="365"/>
      <c r="C739" s="416"/>
      <c r="D739" s="417"/>
      <c r="E739" s="423"/>
    </row>
    <row r="740">
      <c r="A740" s="365"/>
      <c r="B740" s="365"/>
      <c r="C740" s="416"/>
      <c r="D740" s="417"/>
      <c r="E740" s="423"/>
    </row>
    <row r="741">
      <c r="A741" s="365"/>
      <c r="B741" s="365"/>
      <c r="C741" s="416"/>
      <c r="D741" s="417"/>
      <c r="E741" s="423"/>
    </row>
    <row r="742">
      <c r="A742" s="365"/>
      <c r="B742" s="365"/>
      <c r="C742" s="416"/>
      <c r="D742" s="417"/>
      <c r="E742" s="423"/>
    </row>
    <row r="743">
      <c r="A743" s="365"/>
      <c r="B743" s="365"/>
      <c r="C743" s="416"/>
      <c r="D743" s="417"/>
      <c r="E743" s="423"/>
    </row>
    <row r="744">
      <c r="A744" s="365"/>
      <c r="B744" s="365"/>
      <c r="C744" s="416"/>
      <c r="D744" s="417"/>
      <c r="E744" s="423"/>
    </row>
    <row r="745">
      <c r="A745" s="365"/>
      <c r="B745" s="365"/>
      <c r="C745" s="416"/>
      <c r="D745" s="417"/>
      <c r="E745" s="423"/>
    </row>
    <row r="746">
      <c r="A746" s="365"/>
      <c r="B746" s="365"/>
      <c r="C746" s="416"/>
      <c r="D746" s="417"/>
      <c r="E746" s="423"/>
    </row>
    <row r="747">
      <c r="A747" s="365"/>
      <c r="B747" s="365"/>
      <c r="C747" s="416"/>
      <c r="D747" s="417"/>
      <c r="E747" s="423"/>
    </row>
    <row r="748">
      <c r="A748" s="365"/>
      <c r="B748" s="365"/>
      <c r="C748" s="416"/>
      <c r="D748" s="417"/>
      <c r="E748" s="423"/>
    </row>
    <row r="749">
      <c r="A749" s="365"/>
      <c r="B749" s="365"/>
      <c r="C749" s="416"/>
      <c r="D749" s="417"/>
      <c r="E749" s="423"/>
    </row>
    <row r="750">
      <c r="A750" s="365"/>
      <c r="B750" s="365"/>
      <c r="C750" s="416"/>
      <c r="D750" s="417"/>
      <c r="E750" s="423"/>
    </row>
    <row r="751">
      <c r="A751" s="365"/>
      <c r="B751" s="365"/>
      <c r="C751" s="416"/>
      <c r="D751" s="417"/>
      <c r="E751" s="423"/>
    </row>
    <row r="752">
      <c r="A752" s="365"/>
      <c r="B752" s="365"/>
      <c r="C752" s="416"/>
      <c r="D752" s="417"/>
      <c r="E752" s="423"/>
    </row>
    <row r="753">
      <c r="A753" s="365"/>
      <c r="B753" s="365"/>
      <c r="C753" s="416"/>
      <c r="D753" s="417"/>
      <c r="E753" s="423"/>
    </row>
    <row r="754">
      <c r="A754" s="365"/>
      <c r="B754" s="365"/>
      <c r="C754" s="416"/>
      <c r="D754" s="417"/>
      <c r="E754" s="423"/>
    </row>
    <row r="755">
      <c r="A755" s="365"/>
      <c r="B755" s="365"/>
      <c r="C755" s="416"/>
      <c r="D755" s="417"/>
      <c r="E755" s="423"/>
    </row>
    <row r="756">
      <c r="A756" s="365"/>
      <c r="B756" s="365"/>
      <c r="C756" s="416"/>
      <c r="D756" s="417"/>
      <c r="E756" s="423"/>
    </row>
    <row r="757">
      <c r="A757" s="365"/>
      <c r="B757" s="365"/>
      <c r="C757" s="416"/>
      <c r="D757" s="417"/>
      <c r="E757" s="423"/>
    </row>
    <row r="758">
      <c r="A758" s="365"/>
      <c r="B758" s="365"/>
      <c r="C758" s="416"/>
      <c r="D758" s="417"/>
      <c r="E758" s="423"/>
    </row>
    <row r="759">
      <c r="A759" s="365"/>
      <c r="B759" s="365"/>
      <c r="C759" s="416"/>
      <c r="D759" s="417"/>
      <c r="E759" s="423"/>
    </row>
    <row r="760">
      <c r="A760" s="365"/>
      <c r="B760" s="365"/>
      <c r="C760" s="416"/>
      <c r="D760" s="417"/>
      <c r="E760" s="423"/>
    </row>
    <row r="761">
      <c r="A761" s="365"/>
      <c r="B761" s="365"/>
      <c r="C761" s="416"/>
      <c r="D761" s="417"/>
      <c r="E761" s="423"/>
    </row>
    <row r="762">
      <c r="A762" s="365"/>
      <c r="B762" s="365"/>
      <c r="C762" s="416"/>
      <c r="D762" s="417"/>
      <c r="E762" s="423"/>
    </row>
    <row r="763">
      <c r="A763" s="365"/>
      <c r="B763" s="365"/>
      <c r="C763" s="416"/>
      <c r="D763" s="417"/>
      <c r="E763" s="423"/>
    </row>
    <row r="764">
      <c r="A764" s="365"/>
      <c r="B764" s="365"/>
      <c r="C764" s="416"/>
      <c r="D764" s="417"/>
      <c r="E764" s="423"/>
    </row>
    <row r="765">
      <c r="A765" s="365"/>
      <c r="B765" s="365"/>
      <c r="C765" s="416"/>
      <c r="D765" s="417"/>
      <c r="E765" s="423"/>
    </row>
    <row r="766">
      <c r="A766" s="365"/>
      <c r="B766" s="365"/>
      <c r="C766" s="416"/>
      <c r="D766" s="417"/>
      <c r="E766" s="423"/>
    </row>
    <row r="767">
      <c r="A767" s="365"/>
      <c r="B767" s="365"/>
      <c r="C767" s="416"/>
      <c r="D767" s="417"/>
      <c r="E767" s="423"/>
    </row>
    <row r="768">
      <c r="A768" s="365"/>
      <c r="B768" s="365"/>
      <c r="C768" s="416"/>
      <c r="D768" s="417"/>
      <c r="E768" s="423"/>
    </row>
    <row r="769">
      <c r="A769" s="365"/>
      <c r="B769" s="365"/>
      <c r="C769" s="416"/>
      <c r="D769" s="417"/>
      <c r="E769" s="423"/>
    </row>
    <row r="770">
      <c r="A770" s="365"/>
      <c r="B770" s="365"/>
      <c r="C770" s="416"/>
      <c r="D770" s="417"/>
      <c r="E770" s="423"/>
    </row>
    <row r="771">
      <c r="A771" s="365"/>
      <c r="B771" s="365"/>
      <c r="C771" s="416"/>
      <c r="D771" s="417"/>
      <c r="E771" s="423"/>
    </row>
    <row r="772">
      <c r="A772" s="365"/>
      <c r="B772" s="365"/>
      <c r="C772" s="416"/>
      <c r="D772" s="417"/>
      <c r="E772" s="423"/>
    </row>
    <row r="773">
      <c r="A773" s="365"/>
      <c r="B773" s="365"/>
      <c r="C773" s="416"/>
      <c r="D773" s="417"/>
      <c r="E773" s="423"/>
    </row>
    <row r="774">
      <c r="A774" s="365"/>
      <c r="B774" s="365"/>
      <c r="C774" s="416"/>
      <c r="D774" s="417"/>
      <c r="E774" s="423"/>
    </row>
    <row r="775">
      <c r="A775" s="365"/>
      <c r="B775" s="365"/>
      <c r="C775" s="416"/>
      <c r="D775" s="417"/>
      <c r="E775" s="423"/>
    </row>
    <row r="776">
      <c r="A776" s="365"/>
      <c r="B776" s="365"/>
      <c r="C776" s="416"/>
      <c r="D776" s="417"/>
      <c r="E776" s="423"/>
    </row>
    <row r="777">
      <c r="A777" s="365"/>
      <c r="B777" s="365"/>
      <c r="C777" s="416"/>
      <c r="D777" s="417"/>
      <c r="E777" s="423"/>
    </row>
    <row r="778">
      <c r="A778" s="365"/>
      <c r="B778" s="365"/>
      <c r="C778" s="416"/>
      <c r="D778" s="417"/>
      <c r="E778" s="423"/>
    </row>
    <row r="779">
      <c r="A779" s="365"/>
      <c r="B779" s="365"/>
      <c r="C779" s="416"/>
      <c r="D779" s="417"/>
      <c r="E779" s="423"/>
    </row>
    <row r="780">
      <c r="A780" s="365"/>
      <c r="B780" s="365"/>
      <c r="C780" s="416"/>
      <c r="D780" s="417"/>
      <c r="E780" s="423"/>
    </row>
    <row r="781">
      <c r="A781" s="365"/>
      <c r="B781" s="365"/>
      <c r="C781" s="416"/>
      <c r="D781" s="417"/>
      <c r="E781" s="423"/>
    </row>
    <row r="782">
      <c r="A782" s="365"/>
      <c r="B782" s="365"/>
      <c r="C782" s="416"/>
      <c r="D782" s="417"/>
      <c r="E782" s="423"/>
    </row>
    <row r="783">
      <c r="A783" s="365"/>
      <c r="B783" s="365"/>
      <c r="C783" s="416"/>
      <c r="D783" s="417"/>
      <c r="E783" s="423"/>
    </row>
    <row r="784">
      <c r="A784" s="365"/>
      <c r="B784" s="365"/>
      <c r="C784" s="416"/>
      <c r="D784" s="417"/>
      <c r="E784" s="423"/>
    </row>
    <row r="785">
      <c r="A785" s="365"/>
      <c r="B785" s="365"/>
      <c r="C785" s="416"/>
      <c r="D785" s="417"/>
      <c r="E785" s="423"/>
    </row>
    <row r="786">
      <c r="A786" s="365"/>
      <c r="B786" s="365"/>
      <c r="C786" s="416"/>
      <c r="D786" s="417"/>
      <c r="E786" s="423"/>
    </row>
    <row r="787">
      <c r="A787" s="365"/>
      <c r="B787" s="365"/>
      <c r="C787" s="416"/>
      <c r="D787" s="417"/>
      <c r="E787" s="423"/>
    </row>
    <row r="788">
      <c r="A788" s="365"/>
      <c r="B788" s="365"/>
      <c r="C788" s="416"/>
      <c r="D788" s="417"/>
      <c r="E788" s="423"/>
    </row>
    <row r="789">
      <c r="A789" s="365"/>
      <c r="B789" s="365"/>
      <c r="C789" s="416"/>
      <c r="D789" s="417"/>
      <c r="E789" s="423"/>
    </row>
    <row r="790">
      <c r="A790" s="365"/>
      <c r="B790" s="365"/>
      <c r="C790" s="416"/>
      <c r="D790" s="417"/>
      <c r="E790" s="423"/>
    </row>
    <row r="791">
      <c r="A791" s="365"/>
      <c r="B791" s="365"/>
      <c r="C791" s="416"/>
      <c r="D791" s="417"/>
      <c r="E791" s="423"/>
    </row>
    <row r="792">
      <c r="A792" s="365"/>
      <c r="B792" s="365"/>
      <c r="C792" s="416"/>
      <c r="D792" s="417"/>
      <c r="E792" s="423"/>
    </row>
    <row r="793">
      <c r="A793" s="365"/>
      <c r="B793" s="365"/>
      <c r="C793" s="416"/>
      <c r="D793" s="417"/>
      <c r="E793" s="423"/>
    </row>
    <row r="794">
      <c r="A794" s="365"/>
      <c r="B794" s="365"/>
      <c r="C794" s="416"/>
      <c r="D794" s="417"/>
      <c r="E794" s="423"/>
    </row>
    <row r="795">
      <c r="A795" s="365"/>
      <c r="B795" s="365"/>
      <c r="C795" s="416"/>
      <c r="D795" s="417"/>
      <c r="E795" s="423"/>
    </row>
    <row r="796">
      <c r="A796" s="365"/>
      <c r="B796" s="365"/>
      <c r="C796" s="416"/>
      <c r="D796" s="417"/>
      <c r="E796" s="423"/>
    </row>
    <row r="797">
      <c r="A797" s="365"/>
      <c r="B797" s="365"/>
      <c r="C797" s="416"/>
      <c r="D797" s="417"/>
      <c r="E797" s="423"/>
    </row>
    <row r="798">
      <c r="A798" s="365"/>
      <c r="B798" s="365"/>
      <c r="C798" s="416"/>
      <c r="D798" s="417"/>
      <c r="E798" s="423"/>
    </row>
    <row r="799">
      <c r="A799" s="365"/>
      <c r="B799" s="365"/>
      <c r="C799" s="416"/>
      <c r="D799" s="417"/>
      <c r="E799" s="423"/>
    </row>
    <row r="800">
      <c r="A800" s="365"/>
      <c r="B800" s="365"/>
      <c r="C800" s="416"/>
      <c r="D800" s="417"/>
      <c r="E800" s="423"/>
    </row>
    <row r="801">
      <c r="A801" s="365"/>
      <c r="B801" s="365"/>
      <c r="C801" s="416"/>
      <c r="D801" s="417"/>
      <c r="E801" s="423"/>
    </row>
    <row r="802">
      <c r="A802" s="365"/>
      <c r="B802" s="365"/>
      <c r="C802" s="416"/>
      <c r="D802" s="417"/>
      <c r="E802" s="423"/>
    </row>
    <row r="803">
      <c r="A803" s="365"/>
      <c r="B803" s="365"/>
      <c r="C803" s="416"/>
      <c r="D803" s="417"/>
      <c r="E803" s="423"/>
    </row>
    <row r="804">
      <c r="A804" s="365"/>
      <c r="B804" s="365"/>
      <c r="C804" s="416"/>
      <c r="D804" s="417"/>
      <c r="E804" s="423"/>
    </row>
    <row r="805">
      <c r="A805" s="365"/>
      <c r="B805" s="365"/>
      <c r="C805" s="416"/>
      <c r="D805" s="417"/>
      <c r="E805" s="423"/>
    </row>
    <row r="806">
      <c r="A806" s="365"/>
      <c r="B806" s="365"/>
      <c r="C806" s="416"/>
      <c r="D806" s="417"/>
      <c r="E806" s="423"/>
    </row>
    <row r="807">
      <c r="A807" s="365"/>
      <c r="B807" s="365"/>
      <c r="C807" s="416"/>
      <c r="D807" s="417"/>
      <c r="E807" s="423"/>
    </row>
    <row r="808">
      <c r="A808" s="365"/>
      <c r="B808" s="365"/>
      <c r="C808" s="416"/>
      <c r="D808" s="417"/>
      <c r="E808" s="423"/>
    </row>
    <row r="809">
      <c r="A809" s="365"/>
      <c r="B809" s="365"/>
      <c r="C809" s="416"/>
      <c r="D809" s="417"/>
      <c r="E809" s="423"/>
    </row>
    <row r="810">
      <c r="A810" s="365"/>
      <c r="B810" s="365"/>
      <c r="C810" s="416"/>
      <c r="D810" s="417"/>
      <c r="E810" s="423"/>
    </row>
    <row r="811">
      <c r="A811" s="365"/>
      <c r="B811" s="365"/>
      <c r="C811" s="416"/>
      <c r="D811" s="417"/>
      <c r="E811" s="423"/>
    </row>
    <row r="812">
      <c r="A812" s="365"/>
      <c r="B812" s="365"/>
      <c r="C812" s="416"/>
      <c r="D812" s="417"/>
      <c r="E812" s="423"/>
    </row>
    <row r="813">
      <c r="A813" s="365"/>
      <c r="B813" s="365"/>
      <c r="C813" s="416"/>
      <c r="D813" s="417"/>
      <c r="E813" s="423"/>
    </row>
    <row r="814">
      <c r="A814" s="365"/>
      <c r="B814" s="365"/>
      <c r="C814" s="416"/>
      <c r="D814" s="417"/>
      <c r="E814" s="423"/>
    </row>
    <row r="815">
      <c r="A815" s="365"/>
      <c r="B815" s="365"/>
      <c r="C815" s="416"/>
      <c r="D815" s="417"/>
      <c r="E815" s="423"/>
    </row>
    <row r="816">
      <c r="A816" s="365"/>
      <c r="B816" s="365"/>
      <c r="C816" s="416"/>
      <c r="D816" s="417"/>
      <c r="E816" s="423"/>
    </row>
    <row r="817">
      <c r="A817" s="365"/>
      <c r="B817" s="365"/>
      <c r="C817" s="416"/>
      <c r="D817" s="417"/>
      <c r="E817" s="423"/>
    </row>
    <row r="818">
      <c r="A818" s="365"/>
      <c r="B818" s="365"/>
      <c r="C818" s="416"/>
      <c r="D818" s="417"/>
      <c r="E818" s="423"/>
    </row>
    <row r="819">
      <c r="A819" s="365"/>
      <c r="B819" s="365"/>
      <c r="C819" s="416"/>
      <c r="D819" s="417"/>
      <c r="E819" s="423"/>
    </row>
    <row r="820">
      <c r="A820" s="365"/>
      <c r="B820" s="365"/>
      <c r="C820" s="416"/>
      <c r="D820" s="417"/>
      <c r="E820" s="423"/>
    </row>
    <row r="821">
      <c r="A821" s="365"/>
      <c r="B821" s="365"/>
      <c r="C821" s="416"/>
      <c r="D821" s="417"/>
      <c r="E821" s="423"/>
    </row>
    <row r="822">
      <c r="A822" s="365"/>
      <c r="B822" s="365"/>
      <c r="C822" s="416"/>
      <c r="D822" s="417"/>
      <c r="E822" s="423"/>
    </row>
    <row r="823">
      <c r="A823" s="365"/>
      <c r="B823" s="365"/>
      <c r="C823" s="416"/>
      <c r="D823" s="417"/>
      <c r="E823" s="423"/>
    </row>
    <row r="824">
      <c r="A824" s="365"/>
      <c r="B824" s="365"/>
      <c r="C824" s="416"/>
      <c r="D824" s="417"/>
      <c r="E824" s="423"/>
    </row>
    <row r="825">
      <c r="A825" s="365"/>
      <c r="B825" s="365"/>
      <c r="C825" s="416"/>
      <c r="D825" s="417"/>
      <c r="E825" s="423"/>
    </row>
    <row r="826">
      <c r="A826" s="365"/>
      <c r="B826" s="365"/>
      <c r="C826" s="416"/>
      <c r="D826" s="417"/>
      <c r="E826" s="423"/>
    </row>
    <row r="827">
      <c r="A827" s="365"/>
      <c r="B827" s="365"/>
      <c r="C827" s="416"/>
      <c r="D827" s="417"/>
      <c r="E827" s="423"/>
    </row>
    <row r="828">
      <c r="A828" s="365"/>
      <c r="B828" s="365"/>
      <c r="C828" s="416"/>
      <c r="D828" s="417"/>
      <c r="E828" s="423"/>
    </row>
    <row r="829">
      <c r="A829" s="365"/>
      <c r="B829" s="365"/>
      <c r="C829" s="416"/>
      <c r="D829" s="417"/>
      <c r="E829" s="423"/>
    </row>
    <row r="830">
      <c r="A830" s="365"/>
      <c r="B830" s="365"/>
      <c r="C830" s="416"/>
      <c r="D830" s="417"/>
      <c r="E830" s="423"/>
    </row>
    <row r="831">
      <c r="A831" s="365"/>
      <c r="B831" s="365"/>
      <c r="C831" s="416"/>
      <c r="D831" s="417"/>
      <c r="E831" s="423"/>
    </row>
    <row r="832">
      <c r="A832" s="365"/>
      <c r="B832" s="365"/>
      <c r="C832" s="416"/>
      <c r="D832" s="417"/>
      <c r="E832" s="423"/>
    </row>
    <row r="833">
      <c r="A833" s="365"/>
      <c r="B833" s="365"/>
      <c r="C833" s="416"/>
      <c r="D833" s="417"/>
      <c r="E833" s="423"/>
    </row>
    <row r="834">
      <c r="A834" s="365"/>
      <c r="B834" s="365"/>
      <c r="C834" s="416"/>
      <c r="D834" s="417"/>
      <c r="E834" s="423"/>
    </row>
    <row r="835">
      <c r="A835" s="365"/>
      <c r="B835" s="365"/>
      <c r="C835" s="416"/>
      <c r="D835" s="417"/>
      <c r="E835" s="423"/>
    </row>
    <row r="836">
      <c r="A836" s="365"/>
      <c r="B836" s="365"/>
      <c r="C836" s="416"/>
      <c r="D836" s="417"/>
      <c r="E836" s="423"/>
    </row>
    <row r="837">
      <c r="A837" s="365"/>
      <c r="B837" s="365"/>
      <c r="C837" s="416"/>
      <c r="D837" s="417"/>
      <c r="E837" s="423"/>
    </row>
    <row r="838">
      <c r="A838" s="365"/>
      <c r="B838" s="365"/>
      <c r="C838" s="416"/>
      <c r="D838" s="417"/>
      <c r="E838" s="423"/>
    </row>
    <row r="839">
      <c r="A839" s="365"/>
      <c r="B839" s="365"/>
      <c r="C839" s="416"/>
      <c r="D839" s="417"/>
      <c r="E839" s="423"/>
    </row>
    <row r="840">
      <c r="A840" s="365"/>
      <c r="B840" s="365"/>
      <c r="C840" s="416"/>
      <c r="D840" s="417"/>
      <c r="E840" s="423"/>
    </row>
    <row r="841">
      <c r="A841" s="365"/>
      <c r="B841" s="365"/>
      <c r="C841" s="416"/>
      <c r="D841" s="417"/>
      <c r="E841" s="423"/>
    </row>
    <row r="842">
      <c r="A842" s="365"/>
      <c r="B842" s="365"/>
      <c r="C842" s="416"/>
      <c r="D842" s="417"/>
      <c r="E842" s="423"/>
    </row>
    <row r="843">
      <c r="A843" s="365"/>
      <c r="B843" s="365"/>
      <c r="C843" s="416"/>
      <c r="D843" s="417"/>
      <c r="E843" s="423"/>
    </row>
    <row r="844">
      <c r="A844" s="365"/>
      <c r="B844" s="365"/>
      <c r="C844" s="416"/>
      <c r="D844" s="417"/>
      <c r="E844" s="423"/>
    </row>
    <row r="845">
      <c r="A845" s="365"/>
      <c r="B845" s="365"/>
      <c r="C845" s="416"/>
      <c r="D845" s="417"/>
      <c r="E845" s="423"/>
    </row>
    <row r="846">
      <c r="A846" s="365"/>
      <c r="B846" s="365"/>
      <c r="C846" s="416"/>
      <c r="D846" s="417"/>
      <c r="E846" s="423"/>
    </row>
    <row r="847">
      <c r="A847" s="365"/>
      <c r="B847" s="365"/>
      <c r="C847" s="416"/>
      <c r="D847" s="417"/>
      <c r="E847" s="423"/>
    </row>
    <row r="848">
      <c r="A848" s="365"/>
      <c r="B848" s="365"/>
      <c r="C848" s="416"/>
      <c r="D848" s="417"/>
      <c r="E848" s="423"/>
    </row>
    <row r="849">
      <c r="A849" s="365"/>
      <c r="B849" s="365"/>
      <c r="C849" s="416"/>
      <c r="D849" s="417"/>
      <c r="E849" s="423"/>
    </row>
    <row r="850">
      <c r="A850" s="365"/>
      <c r="B850" s="365"/>
      <c r="C850" s="416"/>
      <c r="D850" s="417"/>
      <c r="E850" s="423"/>
    </row>
    <row r="851">
      <c r="A851" s="365"/>
      <c r="B851" s="365"/>
      <c r="C851" s="416"/>
      <c r="D851" s="417"/>
      <c r="E851" s="423"/>
    </row>
    <row r="852">
      <c r="A852" s="365"/>
      <c r="B852" s="365"/>
      <c r="C852" s="416"/>
      <c r="D852" s="417"/>
      <c r="E852" s="423"/>
    </row>
    <row r="853">
      <c r="A853" s="365"/>
      <c r="B853" s="365"/>
      <c r="C853" s="416"/>
      <c r="D853" s="417"/>
      <c r="E853" s="423"/>
    </row>
    <row r="854">
      <c r="A854" s="365"/>
      <c r="B854" s="365"/>
      <c r="C854" s="416"/>
      <c r="D854" s="417"/>
      <c r="E854" s="423"/>
    </row>
    <row r="855">
      <c r="A855" s="365"/>
      <c r="B855" s="365"/>
      <c r="C855" s="416"/>
      <c r="D855" s="417"/>
      <c r="E855" s="423"/>
    </row>
    <row r="856">
      <c r="A856" s="365"/>
      <c r="B856" s="365"/>
      <c r="C856" s="416"/>
      <c r="D856" s="417"/>
      <c r="E856" s="423"/>
    </row>
    <row r="857">
      <c r="A857" s="365"/>
      <c r="B857" s="365"/>
      <c r="C857" s="416"/>
      <c r="D857" s="417"/>
      <c r="E857" s="423"/>
    </row>
    <row r="858">
      <c r="A858" s="365"/>
      <c r="B858" s="365"/>
      <c r="C858" s="416"/>
      <c r="D858" s="417"/>
      <c r="E858" s="423"/>
    </row>
    <row r="859">
      <c r="A859" s="365"/>
      <c r="B859" s="365"/>
      <c r="C859" s="416"/>
      <c r="D859" s="417"/>
      <c r="E859" s="423"/>
    </row>
    <row r="860">
      <c r="A860" s="365"/>
      <c r="B860" s="365"/>
      <c r="C860" s="416"/>
      <c r="D860" s="417"/>
      <c r="E860" s="423"/>
    </row>
    <row r="861">
      <c r="A861" s="365"/>
      <c r="B861" s="365"/>
      <c r="C861" s="416"/>
      <c r="D861" s="417"/>
      <c r="E861" s="423"/>
    </row>
    <row r="862">
      <c r="A862" s="365"/>
      <c r="B862" s="365"/>
      <c r="C862" s="416"/>
      <c r="D862" s="417"/>
      <c r="E862" s="423"/>
    </row>
    <row r="863">
      <c r="A863" s="365"/>
      <c r="B863" s="365"/>
      <c r="C863" s="416"/>
      <c r="D863" s="417"/>
      <c r="E863" s="423"/>
    </row>
    <row r="864">
      <c r="A864" s="365"/>
      <c r="B864" s="365"/>
      <c r="C864" s="416"/>
      <c r="D864" s="417"/>
      <c r="E864" s="423"/>
    </row>
    <row r="865">
      <c r="A865" s="365"/>
      <c r="B865" s="365"/>
      <c r="C865" s="416"/>
      <c r="D865" s="417"/>
      <c r="E865" s="423"/>
    </row>
    <row r="866">
      <c r="A866" s="365"/>
      <c r="B866" s="365"/>
      <c r="C866" s="416"/>
      <c r="D866" s="417"/>
      <c r="E866" s="423"/>
    </row>
    <row r="867">
      <c r="A867" s="365"/>
      <c r="B867" s="365"/>
      <c r="C867" s="416"/>
      <c r="D867" s="417"/>
      <c r="E867" s="423"/>
    </row>
    <row r="868">
      <c r="A868" s="365"/>
      <c r="B868" s="365"/>
      <c r="C868" s="416"/>
      <c r="D868" s="417"/>
      <c r="E868" s="423"/>
    </row>
    <row r="869">
      <c r="A869" s="365"/>
      <c r="B869" s="365"/>
      <c r="C869" s="416"/>
      <c r="D869" s="417"/>
      <c r="E869" s="423"/>
    </row>
    <row r="870">
      <c r="A870" s="365"/>
      <c r="B870" s="365"/>
      <c r="C870" s="416"/>
      <c r="D870" s="417"/>
      <c r="E870" s="423"/>
    </row>
    <row r="871">
      <c r="A871" s="365"/>
      <c r="B871" s="365"/>
      <c r="C871" s="416"/>
      <c r="D871" s="417"/>
      <c r="E871" s="423"/>
    </row>
    <row r="872">
      <c r="A872" s="365"/>
      <c r="B872" s="365"/>
      <c r="C872" s="416"/>
      <c r="D872" s="417"/>
      <c r="E872" s="423"/>
    </row>
    <row r="873">
      <c r="A873" s="365"/>
      <c r="B873" s="365"/>
      <c r="C873" s="416"/>
      <c r="D873" s="417"/>
      <c r="E873" s="423"/>
    </row>
    <row r="874">
      <c r="A874" s="365"/>
      <c r="B874" s="365"/>
      <c r="C874" s="416"/>
      <c r="D874" s="417"/>
      <c r="E874" s="423"/>
    </row>
    <row r="875">
      <c r="A875" s="365"/>
      <c r="B875" s="365"/>
      <c r="C875" s="416"/>
      <c r="D875" s="417"/>
      <c r="E875" s="423"/>
    </row>
    <row r="876">
      <c r="A876" s="365"/>
      <c r="B876" s="365"/>
      <c r="C876" s="416"/>
      <c r="D876" s="417"/>
      <c r="E876" s="423"/>
    </row>
    <row r="877">
      <c r="A877" s="365"/>
      <c r="B877" s="365"/>
      <c r="C877" s="416"/>
      <c r="D877" s="417"/>
      <c r="E877" s="423"/>
    </row>
    <row r="878">
      <c r="A878" s="365"/>
      <c r="B878" s="365"/>
      <c r="C878" s="416"/>
      <c r="D878" s="417"/>
      <c r="E878" s="423"/>
    </row>
    <row r="879">
      <c r="A879" s="365"/>
      <c r="B879" s="365"/>
      <c r="C879" s="416"/>
      <c r="D879" s="417"/>
      <c r="E879" s="423"/>
    </row>
    <row r="880">
      <c r="A880" s="365"/>
      <c r="B880" s="365"/>
      <c r="C880" s="416"/>
      <c r="D880" s="417"/>
      <c r="E880" s="423"/>
    </row>
    <row r="881">
      <c r="A881" s="365"/>
      <c r="B881" s="365"/>
      <c r="C881" s="416"/>
      <c r="D881" s="417"/>
      <c r="E881" s="423"/>
    </row>
    <row r="882">
      <c r="A882" s="365"/>
      <c r="B882" s="365"/>
      <c r="C882" s="416"/>
      <c r="D882" s="417"/>
      <c r="E882" s="423"/>
    </row>
    <row r="883">
      <c r="A883" s="365"/>
      <c r="B883" s="365"/>
      <c r="C883" s="416"/>
      <c r="D883" s="417"/>
      <c r="E883" s="423"/>
    </row>
    <row r="884">
      <c r="A884" s="365"/>
      <c r="B884" s="365"/>
      <c r="C884" s="416"/>
      <c r="D884" s="417"/>
      <c r="E884" s="423"/>
    </row>
    <row r="885">
      <c r="A885" s="365"/>
      <c r="B885" s="365"/>
      <c r="C885" s="416"/>
      <c r="D885" s="417"/>
      <c r="E885" s="423"/>
    </row>
    <row r="886">
      <c r="A886" s="365"/>
      <c r="B886" s="365"/>
      <c r="C886" s="416"/>
      <c r="D886" s="417"/>
      <c r="E886" s="423"/>
    </row>
    <row r="887">
      <c r="A887" s="365"/>
      <c r="B887" s="365"/>
      <c r="C887" s="416"/>
      <c r="D887" s="417"/>
      <c r="E887" s="423"/>
    </row>
    <row r="888">
      <c r="A888" s="365"/>
      <c r="B888" s="365"/>
      <c r="C888" s="416"/>
      <c r="D888" s="417"/>
      <c r="E888" s="423"/>
    </row>
    <row r="889">
      <c r="A889" s="365"/>
      <c r="B889" s="365"/>
      <c r="C889" s="416"/>
      <c r="D889" s="417"/>
      <c r="E889" s="423"/>
    </row>
    <row r="890">
      <c r="A890" s="365"/>
      <c r="B890" s="365"/>
      <c r="C890" s="416"/>
      <c r="D890" s="417"/>
      <c r="E890" s="423"/>
    </row>
    <row r="891">
      <c r="A891" s="365"/>
      <c r="B891" s="365"/>
      <c r="C891" s="416"/>
      <c r="D891" s="417"/>
      <c r="E891" s="423"/>
    </row>
    <row r="892">
      <c r="A892" s="365"/>
      <c r="B892" s="365"/>
      <c r="C892" s="416"/>
      <c r="D892" s="417"/>
      <c r="E892" s="423"/>
    </row>
    <row r="893">
      <c r="A893" s="365"/>
      <c r="B893" s="365"/>
      <c r="C893" s="416"/>
      <c r="D893" s="417"/>
      <c r="E893" s="423"/>
    </row>
    <row r="894">
      <c r="A894" s="365"/>
      <c r="B894" s="365"/>
      <c r="C894" s="416"/>
      <c r="D894" s="417"/>
      <c r="E894" s="423"/>
    </row>
    <row r="895">
      <c r="A895" s="365"/>
      <c r="B895" s="365"/>
      <c r="C895" s="416"/>
      <c r="D895" s="417"/>
      <c r="E895" s="423"/>
    </row>
    <row r="896">
      <c r="A896" s="365"/>
      <c r="B896" s="365"/>
      <c r="C896" s="416"/>
      <c r="D896" s="417"/>
      <c r="E896" s="423"/>
    </row>
    <row r="897">
      <c r="A897" s="365"/>
      <c r="B897" s="365"/>
      <c r="C897" s="416"/>
      <c r="D897" s="417"/>
      <c r="E897" s="423"/>
    </row>
    <row r="898">
      <c r="A898" s="365"/>
      <c r="B898" s="365"/>
      <c r="C898" s="416"/>
      <c r="D898" s="417"/>
      <c r="E898" s="423"/>
    </row>
    <row r="899">
      <c r="A899" s="365"/>
      <c r="B899" s="365"/>
      <c r="C899" s="416"/>
      <c r="D899" s="417"/>
      <c r="E899" s="423"/>
    </row>
    <row r="900">
      <c r="A900" s="365"/>
      <c r="B900" s="365"/>
      <c r="C900" s="416"/>
      <c r="D900" s="417"/>
      <c r="E900" s="423"/>
    </row>
    <row r="901">
      <c r="A901" s="365"/>
      <c r="B901" s="365"/>
      <c r="C901" s="416"/>
      <c r="D901" s="417"/>
      <c r="E901" s="423"/>
    </row>
    <row r="902">
      <c r="A902" s="365"/>
      <c r="B902" s="365"/>
      <c r="C902" s="416"/>
      <c r="D902" s="417"/>
      <c r="E902" s="423"/>
    </row>
    <row r="903">
      <c r="A903" s="365"/>
      <c r="B903" s="365"/>
      <c r="C903" s="416"/>
      <c r="D903" s="417"/>
      <c r="E903" s="423"/>
    </row>
    <row r="904">
      <c r="A904" s="365"/>
      <c r="B904" s="365"/>
      <c r="C904" s="416"/>
      <c r="D904" s="417"/>
      <c r="E904" s="423"/>
    </row>
    <row r="905">
      <c r="A905" s="365"/>
      <c r="B905" s="365"/>
      <c r="C905" s="416"/>
      <c r="D905" s="417"/>
      <c r="E905" s="423"/>
    </row>
    <row r="906">
      <c r="A906" s="365"/>
      <c r="B906" s="365"/>
      <c r="C906" s="416"/>
      <c r="D906" s="417"/>
      <c r="E906" s="423"/>
    </row>
    <row r="907">
      <c r="A907" s="365"/>
      <c r="B907" s="365"/>
      <c r="C907" s="416"/>
      <c r="D907" s="417"/>
      <c r="E907" s="423"/>
    </row>
    <row r="908">
      <c r="A908" s="365"/>
      <c r="B908" s="365"/>
      <c r="C908" s="416"/>
      <c r="D908" s="417"/>
      <c r="E908" s="423"/>
    </row>
    <row r="909">
      <c r="A909" s="365"/>
      <c r="B909" s="365"/>
      <c r="C909" s="416"/>
      <c r="D909" s="417"/>
      <c r="E909" s="423"/>
    </row>
    <row r="910">
      <c r="A910" s="365"/>
      <c r="B910" s="365"/>
      <c r="C910" s="416"/>
      <c r="D910" s="417"/>
      <c r="E910" s="423"/>
    </row>
    <row r="911">
      <c r="A911" s="365"/>
      <c r="B911" s="365"/>
      <c r="C911" s="416"/>
      <c r="D911" s="417"/>
      <c r="E911" s="423"/>
    </row>
    <row r="912">
      <c r="A912" s="365"/>
      <c r="B912" s="365"/>
      <c r="C912" s="416"/>
      <c r="D912" s="417"/>
      <c r="E912" s="423"/>
    </row>
    <row r="913">
      <c r="A913" s="365"/>
      <c r="B913" s="365"/>
      <c r="C913" s="416"/>
      <c r="D913" s="417"/>
      <c r="E913" s="423"/>
    </row>
    <row r="914">
      <c r="A914" s="365"/>
      <c r="B914" s="365"/>
      <c r="C914" s="416"/>
      <c r="D914" s="417"/>
      <c r="E914" s="423"/>
    </row>
    <row r="915">
      <c r="A915" s="365"/>
      <c r="B915" s="365"/>
      <c r="C915" s="416"/>
      <c r="D915" s="417"/>
      <c r="E915" s="423"/>
    </row>
    <row r="916">
      <c r="A916" s="365"/>
      <c r="B916" s="365"/>
      <c r="C916" s="416"/>
      <c r="D916" s="417"/>
      <c r="E916" s="423"/>
    </row>
    <row r="917">
      <c r="A917" s="365"/>
      <c r="B917" s="365"/>
      <c r="C917" s="416"/>
      <c r="D917" s="417"/>
      <c r="E917" s="423"/>
    </row>
    <row r="918">
      <c r="A918" s="365"/>
      <c r="B918" s="365"/>
      <c r="C918" s="416"/>
      <c r="D918" s="417"/>
      <c r="E918" s="423"/>
    </row>
    <row r="919">
      <c r="A919" s="365"/>
      <c r="B919" s="365"/>
      <c r="C919" s="416"/>
      <c r="D919" s="417"/>
      <c r="E919" s="423"/>
    </row>
    <row r="920">
      <c r="A920" s="365"/>
      <c r="B920" s="365"/>
      <c r="C920" s="416"/>
      <c r="D920" s="417"/>
      <c r="E920" s="423"/>
    </row>
    <row r="921">
      <c r="A921" s="365"/>
      <c r="B921" s="365"/>
      <c r="C921" s="416"/>
      <c r="D921" s="417"/>
      <c r="E921" s="423"/>
    </row>
    <row r="922">
      <c r="A922" s="365"/>
      <c r="B922" s="365"/>
      <c r="C922" s="416"/>
      <c r="D922" s="417"/>
      <c r="E922" s="423"/>
    </row>
    <row r="923">
      <c r="A923" s="365"/>
      <c r="B923" s="365"/>
      <c r="C923" s="416"/>
      <c r="D923" s="417"/>
      <c r="E923" s="423"/>
    </row>
    <row r="924">
      <c r="A924" s="365"/>
      <c r="B924" s="365"/>
      <c r="C924" s="416"/>
      <c r="D924" s="417"/>
      <c r="E924" s="423"/>
    </row>
    <row r="925">
      <c r="A925" s="365"/>
      <c r="B925" s="365"/>
      <c r="C925" s="416"/>
      <c r="D925" s="417"/>
      <c r="E925" s="423"/>
    </row>
    <row r="926">
      <c r="A926" s="365"/>
      <c r="B926" s="365"/>
      <c r="C926" s="416"/>
      <c r="D926" s="417"/>
      <c r="E926" s="423"/>
    </row>
    <row r="927">
      <c r="A927" s="365"/>
      <c r="B927" s="365"/>
      <c r="C927" s="416"/>
      <c r="D927" s="417"/>
      <c r="E927" s="423"/>
    </row>
    <row r="928">
      <c r="A928" s="365"/>
      <c r="B928" s="365"/>
      <c r="C928" s="416"/>
      <c r="D928" s="417"/>
      <c r="E928" s="423"/>
    </row>
    <row r="929">
      <c r="A929" s="365"/>
      <c r="B929" s="365"/>
      <c r="C929" s="416"/>
      <c r="D929" s="417"/>
      <c r="E929" s="423"/>
    </row>
    <row r="930">
      <c r="A930" s="365"/>
      <c r="B930" s="365"/>
      <c r="C930" s="416"/>
      <c r="D930" s="417"/>
      <c r="E930" s="423"/>
    </row>
    <row r="931">
      <c r="A931" s="365"/>
      <c r="B931" s="365"/>
      <c r="C931" s="416"/>
      <c r="D931" s="417"/>
      <c r="E931" s="423"/>
    </row>
    <row r="932">
      <c r="A932" s="365"/>
      <c r="B932" s="365"/>
      <c r="C932" s="416"/>
      <c r="D932" s="417"/>
      <c r="E932" s="423"/>
    </row>
    <row r="933">
      <c r="A933" s="365"/>
      <c r="B933" s="365"/>
      <c r="C933" s="416"/>
      <c r="D933" s="417"/>
      <c r="E933" s="423"/>
    </row>
    <row r="934">
      <c r="A934" s="365"/>
      <c r="B934" s="365"/>
      <c r="C934" s="416"/>
      <c r="D934" s="417"/>
      <c r="E934" s="423"/>
    </row>
    <row r="935">
      <c r="A935" s="365"/>
      <c r="B935" s="365"/>
      <c r="C935" s="416"/>
      <c r="D935" s="417"/>
      <c r="E935" s="423"/>
    </row>
    <row r="936">
      <c r="A936" s="365"/>
      <c r="B936" s="365"/>
      <c r="C936" s="416"/>
      <c r="D936" s="417"/>
      <c r="E936" s="423"/>
    </row>
    <row r="937">
      <c r="A937" s="365"/>
      <c r="B937" s="365"/>
      <c r="C937" s="416"/>
      <c r="D937" s="417"/>
      <c r="E937" s="423"/>
    </row>
    <row r="938">
      <c r="A938" s="365"/>
      <c r="B938" s="365"/>
      <c r="C938" s="416"/>
      <c r="D938" s="417"/>
      <c r="E938" s="423"/>
    </row>
    <row r="939">
      <c r="A939" s="365"/>
      <c r="B939" s="365"/>
      <c r="C939" s="416"/>
      <c r="D939" s="417"/>
      <c r="E939" s="423"/>
    </row>
    <row r="940">
      <c r="A940" s="365"/>
      <c r="B940" s="365"/>
      <c r="C940" s="416"/>
      <c r="D940" s="417"/>
      <c r="E940" s="423"/>
    </row>
    <row r="941">
      <c r="A941" s="365"/>
      <c r="B941" s="365"/>
      <c r="C941" s="416"/>
      <c r="D941" s="417"/>
      <c r="E941" s="423"/>
    </row>
    <row r="942">
      <c r="A942" s="365"/>
      <c r="B942" s="365"/>
      <c r="C942" s="416"/>
      <c r="D942" s="417"/>
      <c r="E942" s="423"/>
    </row>
    <row r="943">
      <c r="A943" s="365"/>
      <c r="B943" s="365"/>
      <c r="C943" s="416"/>
      <c r="D943" s="417"/>
      <c r="E943" s="423"/>
    </row>
    <row r="944">
      <c r="A944" s="365"/>
      <c r="B944" s="365"/>
      <c r="C944" s="416"/>
      <c r="D944" s="417"/>
      <c r="E944" s="423"/>
    </row>
    <row r="945">
      <c r="A945" s="365"/>
      <c r="B945" s="365"/>
      <c r="C945" s="416"/>
      <c r="D945" s="417"/>
      <c r="E945" s="423"/>
    </row>
    <row r="946">
      <c r="A946" s="365"/>
      <c r="B946" s="365"/>
      <c r="C946" s="416"/>
      <c r="D946" s="417"/>
      <c r="E946" s="423"/>
    </row>
    <row r="947">
      <c r="A947" s="365"/>
      <c r="B947" s="365"/>
      <c r="C947" s="416"/>
      <c r="D947" s="417"/>
      <c r="E947" s="423"/>
    </row>
    <row r="948">
      <c r="A948" s="365"/>
      <c r="B948" s="365"/>
      <c r="C948" s="416"/>
      <c r="D948" s="417"/>
      <c r="E948" s="423"/>
    </row>
    <row r="949">
      <c r="A949" s="365"/>
      <c r="B949" s="365"/>
      <c r="C949" s="416"/>
      <c r="D949" s="417"/>
      <c r="E949" s="423"/>
    </row>
    <row r="950">
      <c r="A950" s="365"/>
      <c r="B950" s="365"/>
      <c r="C950" s="416"/>
      <c r="D950" s="417"/>
      <c r="E950" s="423"/>
    </row>
    <row r="951">
      <c r="A951" s="365"/>
      <c r="B951" s="365"/>
      <c r="C951" s="416"/>
      <c r="D951" s="417"/>
      <c r="E951" s="423"/>
    </row>
    <row r="952">
      <c r="A952" s="365"/>
      <c r="B952" s="365"/>
      <c r="C952" s="416"/>
      <c r="D952" s="417"/>
      <c r="E952" s="423"/>
    </row>
    <row r="953">
      <c r="A953" s="365"/>
      <c r="B953" s="365"/>
      <c r="C953" s="416"/>
      <c r="D953" s="417"/>
      <c r="E953" s="423"/>
    </row>
    <row r="954">
      <c r="A954" s="365"/>
      <c r="B954" s="365"/>
      <c r="C954" s="416"/>
      <c r="D954" s="417"/>
      <c r="E954" s="423"/>
    </row>
    <row r="955">
      <c r="A955" s="365"/>
      <c r="B955" s="365"/>
      <c r="C955" s="416"/>
      <c r="D955" s="417"/>
      <c r="E955" s="423"/>
    </row>
    <row r="956">
      <c r="A956" s="365"/>
      <c r="B956" s="365"/>
      <c r="C956" s="416"/>
      <c r="D956" s="417"/>
      <c r="E956" s="423"/>
    </row>
    <row r="957">
      <c r="A957" s="365"/>
      <c r="B957" s="365"/>
      <c r="C957" s="416"/>
      <c r="D957" s="417"/>
      <c r="E957" s="423"/>
    </row>
    <row r="958">
      <c r="A958" s="365"/>
      <c r="B958" s="365"/>
      <c r="C958" s="416"/>
      <c r="D958" s="417"/>
      <c r="E958" s="423"/>
    </row>
    <row r="959">
      <c r="A959" s="365"/>
      <c r="B959" s="365"/>
      <c r="C959" s="416"/>
      <c r="D959" s="417"/>
      <c r="E959" s="423"/>
    </row>
    <row r="960">
      <c r="A960" s="365"/>
      <c r="B960" s="365"/>
      <c r="C960" s="416"/>
      <c r="D960" s="417"/>
      <c r="E960" s="423"/>
    </row>
    <row r="961">
      <c r="A961" s="365"/>
      <c r="B961" s="365"/>
      <c r="C961" s="416"/>
      <c r="D961" s="417"/>
      <c r="E961" s="423"/>
    </row>
    <row r="962">
      <c r="A962" s="365"/>
      <c r="B962" s="365"/>
      <c r="C962" s="416"/>
      <c r="D962" s="417"/>
      <c r="E962" s="423"/>
    </row>
    <row r="963">
      <c r="A963" s="365"/>
      <c r="B963" s="365"/>
      <c r="C963" s="416"/>
      <c r="D963" s="417"/>
      <c r="E963" s="423"/>
    </row>
    <row r="964">
      <c r="A964" s="365"/>
      <c r="B964" s="365"/>
      <c r="C964" s="416"/>
      <c r="D964" s="417"/>
      <c r="E964" s="423"/>
    </row>
    <row r="965">
      <c r="A965" s="365"/>
      <c r="B965" s="365"/>
      <c r="C965" s="416"/>
      <c r="D965" s="417"/>
      <c r="E965" s="423"/>
    </row>
    <row r="966">
      <c r="A966" s="365"/>
      <c r="B966" s="365"/>
      <c r="C966" s="416"/>
      <c r="D966" s="417"/>
      <c r="E966" s="423"/>
    </row>
    <row r="967">
      <c r="A967" s="365"/>
      <c r="B967" s="365"/>
      <c r="C967" s="416"/>
      <c r="D967" s="417"/>
      <c r="E967" s="423"/>
    </row>
    <row r="968">
      <c r="A968" s="365"/>
      <c r="B968" s="365"/>
      <c r="C968" s="416"/>
      <c r="D968" s="417"/>
      <c r="E968" s="423"/>
    </row>
    <row r="969">
      <c r="A969" s="365"/>
      <c r="B969" s="365"/>
      <c r="C969" s="416"/>
      <c r="D969" s="417"/>
      <c r="E969" s="423"/>
    </row>
    <row r="970">
      <c r="A970" s="365"/>
      <c r="B970" s="365"/>
      <c r="C970" s="416"/>
      <c r="D970" s="417"/>
      <c r="E970" s="423"/>
    </row>
    <row r="971">
      <c r="A971" s="365"/>
      <c r="B971" s="365"/>
      <c r="C971" s="416"/>
      <c r="D971" s="417"/>
      <c r="E971" s="423"/>
    </row>
    <row r="972">
      <c r="A972" s="365"/>
      <c r="B972" s="365"/>
      <c r="C972" s="416"/>
      <c r="D972" s="417"/>
      <c r="E972" s="423"/>
    </row>
    <row r="973">
      <c r="A973" s="365"/>
      <c r="B973" s="365"/>
      <c r="C973" s="416"/>
      <c r="D973" s="417"/>
      <c r="E973" s="423"/>
    </row>
    <row r="974">
      <c r="A974" s="365"/>
      <c r="B974" s="365"/>
      <c r="C974" s="416"/>
      <c r="D974" s="417"/>
      <c r="E974" s="423"/>
    </row>
    <row r="975">
      <c r="A975" s="365"/>
      <c r="B975" s="365"/>
      <c r="C975" s="416"/>
      <c r="D975" s="417"/>
      <c r="E975" s="423"/>
    </row>
    <row r="976">
      <c r="A976" s="365"/>
      <c r="B976" s="365"/>
      <c r="C976" s="416"/>
      <c r="D976" s="417"/>
      <c r="E976" s="423"/>
    </row>
    <row r="977">
      <c r="A977" s="365"/>
      <c r="B977" s="365"/>
      <c r="C977" s="416"/>
      <c r="D977" s="417"/>
      <c r="E977" s="423"/>
    </row>
    <row r="978">
      <c r="A978" s="365"/>
      <c r="B978" s="365"/>
      <c r="C978" s="416"/>
      <c r="D978" s="417"/>
      <c r="E978" s="423"/>
    </row>
    <row r="979">
      <c r="A979" s="365"/>
      <c r="B979" s="365"/>
      <c r="C979" s="416"/>
      <c r="D979" s="417"/>
      <c r="E979" s="423"/>
    </row>
    <row r="980">
      <c r="A980" s="365"/>
      <c r="B980" s="365"/>
      <c r="C980" s="416"/>
      <c r="D980" s="417"/>
      <c r="E980" s="423"/>
    </row>
    <row r="981">
      <c r="A981" s="365"/>
      <c r="B981" s="365"/>
      <c r="C981" s="416"/>
      <c r="D981" s="417"/>
      <c r="E981" s="423"/>
    </row>
    <row r="982">
      <c r="A982" s="365"/>
      <c r="B982" s="365"/>
      <c r="C982" s="416"/>
      <c r="D982" s="417"/>
      <c r="E982" s="423"/>
    </row>
    <row r="983">
      <c r="A983" s="365"/>
      <c r="B983" s="365"/>
      <c r="C983" s="416"/>
      <c r="D983" s="417"/>
      <c r="E983" s="423"/>
    </row>
    <row r="984">
      <c r="A984" s="365"/>
      <c r="B984" s="365"/>
      <c r="C984" s="416"/>
      <c r="D984" s="417"/>
      <c r="E984" s="423"/>
    </row>
    <row r="985">
      <c r="A985" s="365"/>
      <c r="B985" s="365"/>
      <c r="C985" s="416"/>
      <c r="D985" s="417"/>
      <c r="E985" s="423"/>
    </row>
    <row r="986">
      <c r="A986" s="365"/>
      <c r="B986" s="365"/>
      <c r="C986" s="416"/>
      <c r="D986" s="417"/>
      <c r="E986" s="423"/>
    </row>
    <row r="987">
      <c r="A987" s="365"/>
      <c r="B987" s="365"/>
      <c r="C987" s="416"/>
      <c r="D987" s="417"/>
      <c r="E987" s="423"/>
    </row>
    <row r="988">
      <c r="A988" s="365"/>
      <c r="B988" s="365"/>
      <c r="C988" s="416"/>
      <c r="D988" s="417"/>
      <c r="E988" s="423"/>
    </row>
    <row r="989">
      <c r="A989" s="365"/>
      <c r="B989" s="365"/>
      <c r="C989" s="416"/>
      <c r="D989" s="417"/>
      <c r="E989" s="423"/>
    </row>
    <row r="990">
      <c r="A990" s="365"/>
      <c r="B990" s="365"/>
      <c r="C990" s="416"/>
      <c r="D990" s="417"/>
      <c r="E990" s="423"/>
    </row>
    <row r="991">
      <c r="A991" s="365"/>
      <c r="B991" s="365"/>
      <c r="C991" s="416"/>
      <c r="D991" s="417"/>
      <c r="E991" s="423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2" max="2" width="16.22"/>
    <col customWidth="1" min="3" max="3" width="11.89"/>
    <col customWidth="1" min="4" max="4" width="10.89"/>
    <col customWidth="1" min="11" max="11" width="11.89"/>
    <col customWidth="1" min="18" max="18" width="48.22"/>
    <col customWidth="1" min="19" max="19" width="15.11"/>
  </cols>
  <sheetData>
    <row r="1">
      <c r="A1" s="424" t="s">
        <v>0</v>
      </c>
      <c r="B1" s="424" t="s">
        <v>509</v>
      </c>
      <c r="C1" s="424" t="s">
        <v>849</v>
      </c>
      <c r="D1" s="424" t="s">
        <v>850</v>
      </c>
      <c r="E1" s="424" t="s">
        <v>851</v>
      </c>
      <c r="F1" s="424" t="s">
        <v>852</v>
      </c>
      <c r="G1" s="424" t="s">
        <v>847</v>
      </c>
      <c r="H1" s="424" t="s">
        <v>853</v>
      </c>
      <c r="I1" s="424" t="s">
        <v>854</v>
      </c>
      <c r="J1" s="424" t="s">
        <v>855</v>
      </c>
      <c r="K1" s="424" t="s">
        <v>856</v>
      </c>
      <c r="L1" s="424" t="s">
        <v>857</v>
      </c>
      <c r="M1" s="425" t="s">
        <v>858</v>
      </c>
      <c r="N1" s="426" t="s">
        <v>859</v>
      </c>
      <c r="O1" s="427" t="s">
        <v>860</v>
      </c>
      <c r="P1" s="427" t="s">
        <v>7</v>
      </c>
      <c r="Q1" s="426" t="s">
        <v>861</v>
      </c>
      <c r="R1" s="424" t="s">
        <v>278</v>
      </c>
      <c r="S1" s="358"/>
      <c r="T1" s="428"/>
      <c r="U1" s="429"/>
      <c r="V1" s="429"/>
      <c r="W1" s="429"/>
      <c r="X1" s="429"/>
      <c r="Y1" s="430"/>
      <c r="Z1" s="430"/>
      <c r="AA1" s="430"/>
      <c r="AB1" s="430"/>
      <c r="AC1" s="430"/>
      <c r="AD1" s="430"/>
      <c r="AE1" s="430"/>
    </row>
    <row r="2">
      <c r="A2" s="431" t="s">
        <v>862</v>
      </c>
      <c r="B2" s="431" t="s">
        <v>863</v>
      </c>
      <c r="C2" s="432">
        <v>45469.379166666666</v>
      </c>
      <c r="D2" s="431">
        <v>20.0</v>
      </c>
      <c r="E2" s="431">
        <v>0.099751</v>
      </c>
      <c r="F2" s="431" t="s">
        <v>864</v>
      </c>
      <c r="G2" s="431">
        <v>22.5</v>
      </c>
      <c r="H2" s="431">
        <v>1190.34</v>
      </c>
      <c r="I2" s="431">
        <v>0.999968</v>
      </c>
      <c r="J2" s="431">
        <v>0.419076</v>
      </c>
      <c r="K2" s="431">
        <v>2090.2</v>
      </c>
      <c r="L2" s="433"/>
      <c r="M2" s="434" t="str">
        <f t="shared" ref="M2:M150" si="1">(999.842594+0.06793952*G2-0.00909529*G2^2+0.0001001685*G2^3-0.000001120083*G2^4+0.000000006536332*G2^5+(0.824493-0.0040899*G2+0.000076438*G2^2-0.00000082467*G2^3+0.0000000053875*G2^4)*F2+ (-0.00572466 + 0.00010227*G2 - 0.0000016546*G2^2)*F2^1.5 + 0.00048314*F2^2)/1000</f>
        <v>#VALUE!</v>
      </c>
      <c r="N2" s="435" t="str">
        <f t="shared" ref="N2:N150" si="2">K2/M2</f>
        <v>#VALUE!</v>
      </c>
      <c r="O2" s="436" t="str">
        <f t="shared" ref="O2:O143" si="3">N2</f>
        <v>#VALUE!</v>
      </c>
      <c r="P2" s="437" t="s">
        <v>280</v>
      </c>
      <c r="Q2" s="437" t="s">
        <v>865</v>
      </c>
      <c r="R2" s="438"/>
      <c r="S2" s="439"/>
      <c r="T2" s="439"/>
      <c r="U2" s="439"/>
      <c r="V2" s="439"/>
      <c r="W2" s="439"/>
      <c r="X2" s="439"/>
      <c r="Y2" s="85"/>
      <c r="Z2" s="85"/>
      <c r="AA2" s="85"/>
      <c r="AB2" s="85"/>
      <c r="AC2" s="85"/>
      <c r="AD2" s="85"/>
      <c r="AE2" s="85"/>
    </row>
    <row r="3">
      <c r="A3" s="431" t="s">
        <v>866</v>
      </c>
      <c r="B3" s="431" t="s">
        <v>863</v>
      </c>
      <c r="C3" s="432">
        <v>45469.38611111111</v>
      </c>
      <c r="D3" s="431">
        <v>20.0</v>
      </c>
      <c r="E3" s="431">
        <v>0.099751</v>
      </c>
      <c r="F3" s="431" t="s">
        <v>864</v>
      </c>
      <c r="G3" s="431">
        <v>22.5</v>
      </c>
      <c r="H3" s="431">
        <v>1186.494</v>
      </c>
      <c r="I3" s="431">
        <v>0.999945</v>
      </c>
      <c r="J3" s="431">
        <v>0.419583</v>
      </c>
      <c r="K3" s="431">
        <v>2092.7</v>
      </c>
      <c r="L3" s="431">
        <v>1.7887</v>
      </c>
      <c r="M3" s="434" t="str">
        <f t="shared" si="1"/>
        <v>#VALUE!</v>
      </c>
      <c r="N3" s="435" t="str">
        <f t="shared" si="2"/>
        <v>#VALUE!</v>
      </c>
      <c r="O3" s="436" t="str">
        <f t="shared" si="3"/>
        <v>#VALUE!</v>
      </c>
      <c r="P3" s="437" t="s">
        <v>280</v>
      </c>
      <c r="Q3" s="437" t="s">
        <v>865</v>
      </c>
      <c r="R3" s="438"/>
      <c r="S3" s="439"/>
      <c r="T3" s="439"/>
      <c r="U3" s="439"/>
      <c r="V3" s="439"/>
      <c r="W3" s="439"/>
      <c r="X3" s="439"/>
      <c r="Y3" s="85"/>
      <c r="Z3" s="85"/>
      <c r="AA3" s="85"/>
      <c r="AB3" s="85"/>
      <c r="AC3" s="85"/>
      <c r="AD3" s="85"/>
      <c r="AE3" s="85"/>
    </row>
    <row r="4">
      <c r="A4" s="431" t="s">
        <v>867</v>
      </c>
      <c r="B4" s="431" t="s">
        <v>863</v>
      </c>
      <c r="C4" s="432">
        <v>45469.393055555556</v>
      </c>
      <c r="D4" s="431">
        <v>20.0</v>
      </c>
      <c r="E4" s="431">
        <v>0.099751</v>
      </c>
      <c r="F4" s="431" t="s">
        <v>864</v>
      </c>
      <c r="G4" s="431">
        <v>22.5</v>
      </c>
      <c r="H4" s="431">
        <v>1191.696</v>
      </c>
      <c r="I4" s="431">
        <v>0.999946</v>
      </c>
      <c r="J4" s="431">
        <v>0.419529</v>
      </c>
      <c r="K4" s="431">
        <v>2092.4</v>
      </c>
      <c r="L4" s="431">
        <v>0.1889</v>
      </c>
      <c r="M4" s="434" t="str">
        <f t="shared" si="1"/>
        <v>#VALUE!</v>
      </c>
      <c r="N4" s="435" t="str">
        <f t="shared" si="2"/>
        <v>#VALUE!</v>
      </c>
      <c r="O4" s="436" t="str">
        <f t="shared" si="3"/>
        <v>#VALUE!</v>
      </c>
      <c r="P4" s="437" t="s">
        <v>280</v>
      </c>
      <c r="Q4" s="437" t="s">
        <v>865</v>
      </c>
      <c r="R4" s="438"/>
      <c r="S4" s="439"/>
      <c r="T4" s="439"/>
      <c r="U4" s="439"/>
      <c r="V4" s="439"/>
      <c r="W4" s="439"/>
      <c r="X4" s="439"/>
      <c r="Y4" s="85"/>
      <c r="Z4" s="85"/>
      <c r="AA4" s="85"/>
      <c r="AB4" s="85"/>
      <c r="AC4" s="85"/>
      <c r="AD4" s="85"/>
      <c r="AE4" s="85"/>
    </row>
    <row r="5">
      <c r="A5" s="431" t="s">
        <v>868</v>
      </c>
      <c r="B5" s="431" t="s">
        <v>552</v>
      </c>
      <c r="C5" s="432">
        <v>45469.407638888886</v>
      </c>
      <c r="D5" s="431">
        <v>20.0</v>
      </c>
      <c r="E5" s="431">
        <v>0.09984</v>
      </c>
      <c r="F5" s="431">
        <v>33.2</v>
      </c>
      <c r="G5" s="431">
        <v>22.5</v>
      </c>
      <c r="H5" s="431">
        <v>992.4924</v>
      </c>
      <c r="I5" s="431">
        <v>0.999765</v>
      </c>
      <c r="J5" s="431">
        <v>0.451453</v>
      </c>
      <c r="K5" s="431">
        <v>2253.7</v>
      </c>
      <c r="L5" s="431" t="s">
        <v>553</v>
      </c>
      <c r="M5" s="434">
        <f t="shared" si="1"/>
        <v>1.02271245</v>
      </c>
      <c r="N5" s="435">
        <f t="shared" si="2"/>
        <v>2203.649715</v>
      </c>
      <c r="O5" s="436">
        <f t="shared" si="3"/>
        <v>2203.649715</v>
      </c>
      <c r="P5" s="437" t="s">
        <v>12</v>
      </c>
      <c r="Q5" s="437" t="s">
        <v>865</v>
      </c>
      <c r="R5" s="437" t="s">
        <v>869</v>
      </c>
      <c r="S5" s="439"/>
      <c r="T5" s="439"/>
      <c r="U5" s="439"/>
      <c r="V5" s="439"/>
      <c r="W5" s="439"/>
      <c r="X5" s="439"/>
      <c r="Y5" s="85"/>
      <c r="Z5" s="85"/>
      <c r="AA5" s="85"/>
      <c r="AB5" s="85"/>
      <c r="AC5" s="85"/>
      <c r="AD5" s="85"/>
      <c r="AE5" s="85"/>
    </row>
    <row r="6">
      <c r="A6" s="431" t="s">
        <v>870</v>
      </c>
      <c r="B6" s="431" t="s">
        <v>552</v>
      </c>
      <c r="C6" s="432">
        <v>45469.41388888889</v>
      </c>
      <c r="D6" s="431">
        <v>20.0</v>
      </c>
      <c r="E6" s="431">
        <v>0.099868</v>
      </c>
      <c r="F6" s="431">
        <v>33.2</v>
      </c>
      <c r="G6" s="431">
        <v>22.5</v>
      </c>
      <c r="H6" s="431">
        <v>986.8385</v>
      </c>
      <c r="I6" s="431">
        <v>0.99976</v>
      </c>
      <c r="J6" s="431">
        <v>0.451328</v>
      </c>
      <c r="K6" s="431">
        <v>2253.7</v>
      </c>
      <c r="L6" s="440">
        <v>4.0E-4</v>
      </c>
      <c r="M6" s="434">
        <f t="shared" si="1"/>
        <v>1.02271245</v>
      </c>
      <c r="N6" s="435">
        <f t="shared" si="2"/>
        <v>2203.649715</v>
      </c>
      <c r="O6" s="436">
        <f t="shared" si="3"/>
        <v>2203.649715</v>
      </c>
      <c r="P6" s="437" t="s">
        <v>12</v>
      </c>
      <c r="Q6" s="437" t="s">
        <v>865</v>
      </c>
      <c r="R6" s="437" t="s">
        <v>869</v>
      </c>
      <c r="S6" s="439"/>
      <c r="T6" s="439"/>
      <c r="U6" s="439"/>
      <c r="V6" s="439"/>
      <c r="W6" s="439"/>
      <c r="X6" s="439"/>
      <c r="Y6" s="85"/>
      <c r="Z6" s="85"/>
      <c r="AA6" s="85"/>
      <c r="AB6" s="85"/>
      <c r="AC6" s="85"/>
      <c r="AD6" s="85"/>
      <c r="AE6" s="85"/>
    </row>
    <row r="7">
      <c r="A7" s="431" t="s">
        <v>871</v>
      </c>
      <c r="B7" s="431" t="s">
        <v>552</v>
      </c>
      <c r="C7" s="432">
        <v>45469.42013888889</v>
      </c>
      <c r="D7" s="431">
        <v>20.0</v>
      </c>
      <c r="E7" s="431">
        <v>0.099918</v>
      </c>
      <c r="F7" s="431">
        <v>33.2</v>
      </c>
      <c r="G7" s="431">
        <v>22.5</v>
      </c>
      <c r="H7" s="431">
        <v>987.7177</v>
      </c>
      <c r="I7" s="431">
        <v>0.999781</v>
      </c>
      <c r="J7" s="431">
        <v>0.451101</v>
      </c>
      <c r="K7" s="431">
        <v>2253.7</v>
      </c>
      <c r="L7" s="440">
        <v>4.0E-4</v>
      </c>
      <c r="M7" s="434">
        <f t="shared" si="1"/>
        <v>1.02271245</v>
      </c>
      <c r="N7" s="435">
        <f t="shared" si="2"/>
        <v>2203.649715</v>
      </c>
      <c r="O7" s="436">
        <f t="shared" si="3"/>
        <v>2203.649715</v>
      </c>
      <c r="P7" s="437" t="s">
        <v>12</v>
      </c>
      <c r="Q7" s="437" t="s">
        <v>865</v>
      </c>
      <c r="R7" s="437" t="s">
        <v>869</v>
      </c>
      <c r="S7" s="439"/>
      <c r="T7" s="439"/>
      <c r="U7" s="439"/>
      <c r="V7" s="439"/>
      <c r="W7" s="439"/>
      <c r="X7" s="439"/>
      <c r="Y7" s="85"/>
      <c r="Z7" s="85"/>
      <c r="AA7" s="85"/>
      <c r="AB7" s="85"/>
      <c r="AC7" s="85"/>
      <c r="AD7" s="85"/>
      <c r="AE7" s="85"/>
    </row>
    <row r="8">
      <c r="A8" s="441" t="s">
        <v>872</v>
      </c>
      <c r="B8" s="441" t="s">
        <v>552</v>
      </c>
      <c r="C8" s="442">
        <v>45469.427083333336</v>
      </c>
      <c r="D8" s="441">
        <v>20.0</v>
      </c>
      <c r="E8" s="441">
        <v>0.099893</v>
      </c>
      <c r="F8" s="441">
        <v>33.2</v>
      </c>
      <c r="G8" s="441">
        <v>22.5</v>
      </c>
      <c r="H8" s="441">
        <v>986.5102</v>
      </c>
      <c r="I8" s="441">
        <v>0.999803</v>
      </c>
      <c r="J8" s="441">
        <v>0.451119</v>
      </c>
      <c r="K8" s="441">
        <v>2253.2</v>
      </c>
      <c r="L8" s="443"/>
      <c r="M8" s="434">
        <f t="shared" si="1"/>
        <v>1.02271245</v>
      </c>
      <c r="N8" s="435">
        <f t="shared" si="2"/>
        <v>2203.160819</v>
      </c>
      <c r="O8" s="436">
        <f t="shared" si="3"/>
        <v>2203.160819</v>
      </c>
      <c r="P8" s="437" t="s">
        <v>12</v>
      </c>
      <c r="Q8" s="444" t="s">
        <v>865</v>
      </c>
      <c r="R8" s="445"/>
      <c r="S8" s="439"/>
      <c r="T8" s="439"/>
      <c r="U8" s="439"/>
      <c r="V8" s="439"/>
      <c r="W8" s="439"/>
      <c r="X8" s="439"/>
      <c r="Y8" s="85"/>
      <c r="Z8" s="85"/>
      <c r="AA8" s="85"/>
      <c r="AB8" s="85"/>
      <c r="AC8" s="85"/>
      <c r="AD8" s="85"/>
      <c r="AE8" s="85"/>
    </row>
    <row r="9">
      <c r="A9" s="431" t="s">
        <v>873</v>
      </c>
      <c r="B9" s="431">
        <v>1.0</v>
      </c>
      <c r="C9" s="432">
        <v>45469.43472222222</v>
      </c>
      <c r="D9" s="431">
        <v>20.0</v>
      </c>
      <c r="E9" s="431">
        <v>0.099893</v>
      </c>
      <c r="F9" s="431">
        <v>37.3</v>
      </c>
      <c r="G9" s="431">
        <v>22.5</v>
      </c>
      <c r="H9" s="431">
        <v>984.5603</v>
      </c>
      <c r="I9" s="431">
        <v>0.999811</v>
      </c>
      <c r="J9" s="431">
        <v>0.487525</v>
      </c>
      <c r="K9" s="431">
        <v>2435.0</v>
      </c>
      <c r="L9" s="433"/>
      <c r="M9" s="434">
        <f t="shared" si="1"/>
        <v>1.025825464</v>
      </c>
      <c r="N9" s="435">
        <f t="shared" si="2"/>
        <v>2373.698145</v>
      </c>
      <c r="O9" s="436">
        <f t="shared" si="3"/>
        <v>2373.698145</v>
      </c>
      <c r="P9" s="437" t="s">
        <v>12</v>
      </c>
      <c r="Q9" s="437" t="s">
        <v>865</v>
      </c>
      <c r="R9" s="438"/>
      <c r="S9" s="439"/>
      <c r="T9" s="439"/>
      <c r="U9" s="439"/>
      <c r="V9" s="439"/>
      <c r="W9" s="439"/>
      <c r="X9" s="439"/>
      <c r="Y9" s="85"/>
      <c r="Z9" s="85"/>
      <c r="AA9" s="85"/>
      <c r="AB9" s="85"/>
      <c r="AC9" s="85"/>
      <c r="AD9" s="85"/>
      <c r="AE9" s="85"/>
    </row>
    <row r="10">
      <c r="A10" s="431" t="s">
        <v>874</v>
      </c>
      <c r="B10" s="431">
        <v>2.0</v>
      </c>
      <c r="C10" s="432">
        <v>45469.44027777778</v>
      </c>
      <c r="D10" s="431">
        <v>20.0</v>
      </c>
      <c r="E10" s="431">
        <v>0.099893</v>
      </c>
      <c r="F10" s="431">
        <v>37.3</v>
      </c>
      <c r="G10" s="431">
        <v>22.5</v>
      </c>
      <c r="H10" s="431">
        <v>987.4812</v>
      </c>
      <c r="I10" s="431">
        <v>0.99978</v>
      </c>
      <c r="J10" s="431">
        <v>0.487255</v>
      </c>
      <c r="K10" s="431">
        <v>2433.7</v>
      </c>
      <c r="L10" s="433"/>
      <c r="M10" s="434">
        <f t="shared" si="1"/>
        <v>1.025825464</v>
      </c>
      <c r="N10" s="435">
        <f t="shared" si="2"/>
        <v>2372.430873</v>
      </c>
      <c r="O10" s="436">
        <f t="shared" si="3"/>
        <v>2372.430873</v>
      </c>
      <c r="P10" s="437" t="s">
        <v>12</v>
      </c>
      <c r="Q10" s="437" t="s">
        <v>865</v>
      </c>
      <c r="R10" s="438"/>
      <c r="S10" s="439"/>
      <c r="T10" s="439"/>
      <c r="U10" s="439"/>
      <c r="V10" s="439"/>
      <c r="W10" s="439"/>
      <c r="X10" s="439"/>
      <c r="Y10" s="85"/>
      <c r="Z10" s="85"/>
      <c r="AA10" s="85"/>
      <c r="AB10" s="85"/>
      <c r="AC10" s="85"/>
      <c r="AD10" s="85"/>
      <c r="AE10" s="85"/>
    </row>
    <row r="11">
      <c r="A11" s="431" t="s">
        <v>875</v>
      </c>
      <c r="B11" s="431">
        <v>118.0</v>
      </c>
      <c r="C11" s="432">
        <v>45469.44583333333</v>
      </c>
      <c r="D11" s="431">
        <v>20.0</v>
      </c>
      <c r="E11" s="431">
        <v>0.099893</v>
      </c>
      <c r="F11" s="431">
        <v>37.2</v>
      </c>
      <c r="G11" s="431">
        <v>22.5</v>
      </c>
      <c r="H11" s="431">
        <v>991.1816</v>
      </c>
      <c r="I11" s="431">
        <v>0.999781</v>
      </c>
      <c r="J11" s="431">
        <v>0.487275</v>
      </c>
      <c r="K11" s="431">
        <v>2433.8</v>
      </c>
      <c r="L11" s="446"/>
      <c r="M11" s="434">
        <f t="shared" si="1"/>
        <v>1.02574945</v>
      </c>
      <c r="N11" s="435">
        <f t="shared" si="2"/>
        <v>2372.704173</v>
      </c>
      <c r="O11" s="436">
        <f t="shared" si="3"/>
        <v>2372.704173</v>
      </c>
      <c r="P11" s="437" t="s">
        <v>12</v>
      </c>
      <c r="Q11" s="437" t="s">
        <v>865</v>
      </c>
      <c r="R11" s="438"/>
      <c r="S11" s="439"/>
      <c r="T11" s="439"/>
      <c r="U11" s="439"/>
      <c r="V11" s="439"/>
      <c r="W11" s="439"/>
      <c r="X11" s="439"/>
      <c r="Y11" s="85"/>
      <c r="Z11" s="85"/>
      <c r="AA11" s="85"/>
      <c r="AB11" s="85"/>
      <c r="AC11" s="85"/>
      <c r="AD11" s="85"/>
      <c r="AE11" s="85"/>
    </row>
    <row r="12">
      <c r="A12" s="431" t="s">
        <v>876</v>
      </c>
      <c r="B12" s="431">
        <v>119.0</v>
      </c>
      <c r="C12" s="432">
        <v>45469.45138888889</v>
      </c>
      <c r="D12" s="431">
        <v>20.0</v>
      </c>
      <c r="E12" s="431">
        <v>0.099893</v>
      </c>
      <c r="F12" s="431">
        <v>37.2</v>
      </c>
      <c r="G12" s="431">
        <v>22.5</v>
      </c>
      <c r="H12" s="431">
        <v>984.5009</v>
      </c>
      <c r="I12" s="431">
        <v>0.999811</v>
      </c>
      <c r="J12" s="431">
        <v>0.486266</v>
      </c>
      <c r="K12" s="431">
        <v>2428.7</v>
      </c>
      <c r="L12" s="446"/>
      <c r="M12" s="434">
        <f t="shared" si="1"/>
        <v>1.02574945</v>
      </c>
      <c r="N12" s="435">
        <f t="shared" si="2"/>
        <v>2367.732199</v>
      </c>
      <c r="O12" s="436">
        <f t="shared" si="3"/>
        <v>2367.732199</v>
      </c>
      <c r="P12" s="437" t="s">
        <v>12</v>
      </c>
      <c r="Q12" s="437" t="s">
        <v>865</v>
      </c>
      <c r="R12" s="438"/>
      <c r="S12" s="439"/>
      <c r="T12" s="439"/>
      <c r="U12" s="439"/>
      <c r="V12" s="439"/>
      <c r="W12" s="439"/>
      <c r="X12" s="439"/>
      <c r="Y12" s="85"/>
      <c r="Z12" s="85"/>
      <c r="AA12" s="85"/>
      <c r="AB12" s="85"/>
      <c r="AC12" s="85"/>
      <c r="AD12" s="85"/>
      <c r="AE12" s="85"/>
    </row>
    <row r="13">
      <c r="A13" s="431" t="s">
        <v>877</v>
      </c>
      <c r="B13" s="431">
        <v>105.0</v>
      </c>
      <c r="C13" s="432">
        <v>45469.45763888889</v>
      </c>
      <c r="D13" s="431">
        <v>20.0</v>
      </c>
      <c r="E13" s="431">
        <v>0.099893</v>
      </c>
      <c r="F13" s="431">
        <v>37.3</v>
      </c>
      <c r="G13" s="431">
        <v>22.5</v>
      </c>
      <c r="H13" s="431">
        <v>984.5603</v>
      </c>
      <c r="I13" s="431">
        <v>0.999811</v>
      </c>
      <c r="J13" s="431">
        <v>0.487525</v>
      </c>
      <c r="K13" s="431">
        <v>2435.0</v>
      </c>
      <c r="L13" s="433"/>
      <c r="M13" s="434">
        <f t="shared" si="1"/>
        <v>1.025825464</v>
      </c>
      <c r="N13" s="435">
        <f t="shared" si="2"/>
        <v>2373.698145</v>
      </c>
      <c r="O13" s="436">
        <f t="shared" si="3"/>
        <v>2373.698145</v>
      </c>
      <c r="P13" s="437" t="s">
        <v>12</v>
      </c>
      <c r="Q13" s="437" t="s">
        <v>865</v>
      </c>
      <c r="R13" s="447"/>
      <c r="S13" s="439"/>
      <c r="T13" s="439"/>
      <c r="U13" s="439"/>
      <c r="V13" s="439"/>
      <c r="W13" s="439"/>
      <c r="X13" s="439"/>
      <c r="Y13" s="85"/>
      <c r="Z13" s="85"/>
      <c r="AA13" s="85"/>
      <c r="AB13" s="85"/>
      <c r="AC13" s="85"/>
      <c r="AD13" s="85"/>
      <c r="AE13" s="85"/>
    </row>
    <row r="14">
      <c r="A14" s="431" t="s">
        <v>878</v>
      </c>
      <c r="B14" s="431">
        <v>106.0</v>
      </c>
      <c r="C14" s="432">
        <v>45469.4625</v>
      </c>
      <c r="D14" s="431">
        <v>20.0</v>
      </c>
      <c r="E14" s="431">
        <v>0.099893</v>
      </c>
      <c r="F14" s="431">
        <v>37.3</v>
      </c>
      <c r="G14" s="431">
        <v>22.5</v>
      </c>
      <c r="H14" s="431">
        <v>984.5603</v>
      </c>
      <c r="I14" s="431">
        <v>0.999811</v>
      </c>
      <c r="J14" s="431">
        <v>0.487525</v>
      </c>
      <c r="K14" s="431">
        <v>2435.0</v>
      </c>
      <c r="L14" s="433"/>
      <c r="M14" s="434">
        <f t="shared" si="1"/>
        <v>1.025825464</v>
      </c>
      <c r="N14" s="435">
        <f t="shared" si="2"/>
        <v>2373.698145</v>
      </c>
      <c r="O14" s="436">
        <f t="shared" si="3"/>
        <v>2373.698145</v>
      </c>
      <c r="P14" s="437" t="s">
        <v>12</v>
      </c>
      <c r="Q14" s="437" t="s">
        <v>865</v>
      </c>
      <c r="R14" s="447"/>
      <c r="S14" s="439"/>
      <c r="T14" s="439"/>
      <c r="U14" s="439"/>
      <c r="V14" s="439"/>
      <c r="W14" s="439"/>
      <c r="X14" s="439"/>
      <c r="Y14" s="85"/>
      <c r="Z14" s="85"/>
      <c r="AA14" s="85"/>
      <c r="AB14" s="85"/>
      <c r="AC14" s="85"/>
      <c r="AD14" s="85"/>
      <c r="AE14" s="85"/>
    </row>
    <row r="15">
      <c r="A15" s="431" t="s">
        <v>879</v>
      </c>
      <c r="B15" s="431">
        <v>14.0</v>
      </c>
      <c r="C15" s="432">
        <v>45469.46805555555</v>
      </c>
      <c r="D15" s="431">
        <v>20.0</v>
      </c>
      <c r="E15" s="431">
        <v>0.099893</v>
      </c>
      <c r="F15" s="431">
        <v>36.9</v>
      </c>
      <c r="G15" s="431">
        <v>22.5</v>
      </c>
      <c r="H15" s="431">
        <v>984.1885</v>
      </c>
      <c r="I15" s="431">
        <v>0.999765</v>
      </c>
      <c r="J15" s="431">
        <v>0.484226</v>
      </c>
      <c r="K15" s="431">
        <v>2418.5</v>
      </c>
      <c r="L15" s="433"/>
      <c r="M15" s="434">
        <f t="shared" si="1"/>
        <v>1.025521435</v>
      </c>
      <c r="N15" s="435">
        <f t="shared" si="2"/>
        <v>2358.312481</v>
      </c>
      <c r="O15" s="436">
        <f t="shared" si="3"/>
        <v>2358.312481</v>
      </c>
      <c r="P15" s="437" t="s">
        <v>12</v>
      </c>
      <c r="Q15" s="437" t="s">
        <v>865</v>
      </c>
      <c r="R15" s="447"/>
      <c r="S15" s="439"/>
      <c r="T15" s="439"/>
      <c r="U15" s="439"/>
      <c r="V15" s="439"/>
      <c r="W15" s="439"/>
      <c r="X15" s="439"/>
      <c r="Y15" s="85"/>
      <c r="Z15" s="85"/>
      <c r="AA15" s="85"/>
      <c r="AB15" s="85"/>
      <c r="AC15" s="85"/>
      <c r="AD15" s="85"/>
      <c r="AE15" s="85"/>
    </row>
    <row r="16">
      <c r="A16" s="431" t="s">
        <v>880</v>
      </c>
      <c r="B16" s="431">
        <v>15.0</v>
      </c>
      <c r="C16" s="432">
        <v>45469.47361111111</v>
      </c>
      <c r="D16" s="431">
        <v>20.0</v>
      </c>
      <c r="E16" s="431">
        <v>0.099893</v>
      </c>
      <c r="F16" s="431">
        <v>37.1</v>
      </c>
      <c r="G16" s="431">
        <v>22.5</v>
      </c>
      <c r="H16" s="431">
        <v>985.5123</v>
      </c>
      <c r="I16" s="431">
        <v>0.999824</v>
      </c>
      <c r="J16" s="431">
        <v>0.48395</v>
      </c>
      <c r="K16" s="431">
        <v>2417.2</v>
      </c>
      <c r="L16" s="433"/>
      <c r="M16" s="434">
        <f t="shared" si="1"/>
        <v>1.025673441</v>
      </c>
      <c r="N16" s="435">
        <f t="shared" si="2"/>
        <v>2356.695518</v>
      </c>
      <c r="O16" s="436">
        <f t="shared" si="3"/>
        <v>2356.695518</v>
      </c>
      <c r="P16" s="437" t="s">
        <v>12</v>
      </c>
      <c r="Q16" s="437" t="s">
        <v>865</v>
      </c>
      <c r="R16" s="447"/>
      <c r="S16" s="439"/>
      <c r="T16" s="439"/>
      <c r="U16" s="439"/>
      <c r="V16" s="439"/>
      <c r="W16" s="439"/>
      <c r="X16" s="439"/>
      <c r="Y16" s="85"/>
      <c r="Z16" s="85"/>
      <c r="AA16" s="85"/>
      <c r="AB16" s="85"/>
      <c r="AC16" s="85"/>
      <c r="AD16" s="85"/>
      <c r="AE16" s="85"/>
    </row>
    <row r="17">
      <c r="A17" s="431" t="s">
        <v>881</v>
      </c>
      <c r="B17" s="431">
        <v>79.0</v>
      </c>
      <c r="C17" s="432">
        <v>45469.479166666664</v>
      </c>
      <c r="D17" s="431">
        <v>20.0</v>
      </c>
      <c r="E17" s="431">
        <v>0.099893</v>
      </c>
      <c r="F17" s="431">
        <v>37.0</v>
      </c>
      <c r="G17" s="431">
        <v>22.5</v>
      </c>
      <c r="H17" s="431">
        <v>986.3898</v>
      </c>
      <c r="I17" s="431">
        <v>0.999762</v>
      </c>
      <c r="J17" s="431">
        <v>0.484573</v>
      </c>
      <c r="K17" s="431">
        <v>2420.3</v>
      </c>
      <c r="L17" s="433"/>
      <c r="M17" s="434">
        <f t="shared" si="1"/>
        <v>1.025597436</v>
      </c>
      <c r="N17" s="435">
        <f t="shared" si="2"/>
        <v>2359.892796</v>
      </c>
      <c r="O17" s="436">
        <f t="shared" si="3"/>
        <v>2359.892796</v>
      </c>
      <c r="P17" s="437" t="s">
        <v>12</v>
      </c>
      <c r="Q17" s="437" t="s">
        <v>865</v>
      </c>
      <c r="R17" s="447"/>
      <c r="S17" s="439"/>
      <c r="T17" s="439"/>
      <c r="U17" s="439"/>
      <c r="V17" s="439"/>
      <c r="W17" s="439"/>
      <c r="X17" s="439"/>
      <c r="Y17" s="85"/>
      <c r="Z17" s="85"/>
      <c r="AA17" s="85"/>
      <c r="AB17" s="85"/>
      <c r="AC17" s="85"/>
      <c r="AD17" s="85"/>
      <c r="AE17" s="85"/>
    </row>
    <row r="18">
      <c r="A18" s="431" t="s">
        <v>882</v>
      </c>
      <c r="B18" s="431">
        <v>80.0</v>
      </c>
      <c r="C18" s="432">
        <v>45469.48541666667</v>
      </c>
      <c r="D18" s="431">
        <v>20.0</v>
      </c>
      <c r="E18" s="431">
        <v>0.099893</v>
      </c>
      <c r="F18" s="431">
        <v>37.2</v>
      </c>
      <c r="G18" s="431">
        <v>22.5</v>
      </c>
      <c r="H18" s="431">
        <v>986.4529</v>
      </c>
      <c r="I18" s="431">
        <v>0.99977</v>
      </c>
      <c r="J18" s="431">
        <v>0.48445</v>
      </c>
      <c r="K18" s="431">
        <v>2419.7</v>
      </c>
      <c r="L18" s="433"/>
      <c r="M18" s="434">
        <f t="shared" si="1"/>
        <v>1.02574945</v>
      </c>
      <c r="N18" s="435">
        <f t="shared" si="2"/>
        <v>2358.958126</v>
      </c>
      <c r="O18" s="436">
        <f t="shared" si="3"/>
        <v>2358.958126</v>
      </c>
      <c r="P18" s="437" t="s">
        <v>12</v>
      </c>
      <c r="Q18" s="437" t="s">
        <v>865</v>
      </c>
      <c r="R18" s="447"/>
      <c r="S18" s="439"/>
      <c r="T18" s="439"/>
      <c r="U18" s="439"/>
      <c r="V18" s="439"/>
      <c r="W18" s="439"/>
      <c r="X18" s="439"/>
      <c r="Y18" s="85"/>
      <c r="Z18" s="85"/>
      <c r="AA18" s="85"/>
      <c r="AB18" s="85"/>
      <c r="AC18" s="85"/>
      <c r="AD18" s="85"/>
      <c r="AE18" s="85"/>
    </row>
    <row r="19">
      <c r="A19" s="441" t="s">
        <v>883</v>
      </c>
      <c r="B19" s="441" t="s">
        <v>552</v>
      </c>
      <c r="C19" s="442">
        <v>45469.49097222222</v>
      </c>
      <c r="D19" s="441">
        <v>20.0</v>
      </c>
      <c r="E19" s="441">
        <v>0.099893</v>
      </c>
      <c r="F19" s="441">
        <v>33.2</v>
      </c>
      <c r="G19" s="441">
        <v>22.5</v>
      </c>
      <c r="H19" s="441">
        <v>989.6519</v>
      </c>
      <c r="I19" s="441">
        <v>0.999729</v>
      </c>
      <c r="J19" s="441">
        <v>0.45153</v>
      </c>
      <c r="K19" s="441">
        <v>2255.2</v>
      </c>
      <c r="L19" s="443"/>
      <c r="M19" s="434">
        <f t="shared" si="1"/>
        <v>1.02271245</v>
      </c>
      <c r="N19" s="435">
        <f t="shared" si="2"/>
        <v>2205.116403</v>
      </c>
      <c r="O19" s="436">
        <f t="shared" si="3"/>
        <v>2205.116403</v>
      </c>
      <c r="P19" s="437" t="s">
        <v>12</v>
      </c>
      <c r="Q19" s="444" t="s">
        <v>865</v>
      </c>
      <c r="R19" s="448"/>
      <c r="S19" s="439"/>
      <c r="T19" s="439"/>
      <c r="U19" s="439"/>
      <c r="V19" s="439"/>
      <c r="W19" s="439"/>
      <c r="X19" s="439"/>
      <c r="Y19" s="85"/>
      <c r="Z19" s="85"/>
      <c r="AA19" s="85"/>
      <c r="AB19" s="85"/>
      <c r="AC19" s="85"/>
      <c r="AD19" s="85"/>
      <c r="AE19" s="85"/>
    </row>
    <row r="20">
      <c r="A20" s="431" t="s">
        <v>884</v>
      </c>
      <c r="B20" s="431">
        <v>66.0</v>
      </c>
      <c r="C20" s="432">
        <v>45469.65555555555</v>
      </c>
      <c r="D20" s="431">
        <v>20.0</v>
      </c>
      <c r="E20" s="431">
        <v>0.099893</v>
      </c>
      <c r="F20" s="431">
        <v>37.1</v>
      </c>
      <c r="G20" s="431">
        <v>22.5</v>
      </c>
      <c r="H20" s="431">
        <v>984.0337</v>
      </c>
      <c r="I20" s="431">
        <v>0.999841</v>
      </c>
      <c r="J20" s="431">
        <v>0.484336</v>
      </c>
      <c r="K20" s="431">
        <v>2419.1</v>
      </c>
      <c r="L20" s="433"/>
      <c r="M20" s="434">
        <f t="shared" si="1"/>
        <v>1.025673441</v>
      </c>
      <c r="N20" s="435">
        <f t="shared" si="2"/>
        <v>2358.547959</v>
      </c>
      <c r="O20" s="436">
        <f t="shared" si="3"/>
        <v>2358.547959</v>
      </c>
      <c r="P20" s="437" t="s">
        <v>12</v>
      </c>
      <c r="Q20" s="437" t="s">
        <v>865</v>
      </c>
      <c r="R20" s="447"/>
      <c r="S20" s="439"/>
      <c r="T20" s="439"/>
      <c r="U20" s="439"/>
      <c r="V20" s="439"/>
      <c r="W20" s="439"/>
      <c r="X20" s="439"/>
      <c r="Y20" s="85"/>
      <c r="Z20" s="85"/>
      <c r="AA20" s="85"/>
      <c r="AB20" s="85"/>
      <c r="AC20" s="85"/>
      <c r="AD20" s="85"/>
      <c r="AE20" s="85"/>
    </row>
    <row r="21">
      <c r="A21" s="431" t="s">
        <v>885</v>
      </c>
      <c r="B21" s="431">
        <v>67.0</v>
      </c>
      <c r="C21" s="432">
        <v>45469.665972222225</v>
      </c>
      <c r="D21" s="431">
        <v>20.0</v>
      </c>
      <c r="E21" s="431">
        <v>0.099893</v>
      </c>
      <c r="F21" s="431">
        <v>37.3</v>
      </c>
      <c r="G21" s="431">
        <v>22.5</v>
      </c>
      <c r="H21" s="431">
        <v>980.6867</v>
      </c>
      <c r="I21" s="431">
        <v>0.999769</v>
      </c>
      <c r="J21" s="431">
        <v>0.485106</v>
      </c>
      <c r="K21" s="431">
        <v>2422.9</v>
      </c>
      <c r="L21" s="433"/>
      <c r="M21" s="434">
        <f t="shared" si="1"/>
        <v>1.025825464</v>
      </c>
      <c r="N21" s="435">
        <f t="shared" si="2"/>
        <v>2361.902766</v>
      </c>
      <c r="O21" s="436">
        <f t="shared" si="3"/>
        <v>2361.902766</v>
      </c>
      <c r="P21" s="437" t="s">
        <v>12</v>
      </c>
      <c r="Q21" s="437" t="s">
        <v>865</v>
      </c>
      <c r="R21" s="447"/>
      <c r="S21" s="439"/>
      <c r="T21" s="439"/>
      <c r="U21" s="439"/>
      <c r="V21" s="439"/>
      <c r="W21" s="439"/>
      <c r="X21" s="439"/>
      <c r="Y21" s="85"/>
      <c r="Z21" s="85"/>
      <c r="AA21" s="85"/>
      <c r="AB21" s="85"/>
      <c r="AC21" s="85"/>
      <c r="AD21" s="85"/>
      <c r="AE21" s="85"/>
    </row>
    <row r="22">
      <c r="A22" s="431" t="s">
        <v>886</v>
      </c>
      <c r="B22" s="431">
        <v>92.0</v>
      </c>
      <c r="C22" s="432">
        <v>45469.67083333333</v>
      </c>
      <c r="D22" s="431">
        <v>20.0</v>
      </c>
      <c r="E22" s="431">
        <v>0.099893</v>
      </c>
      <c r="F22" s="431">
        <v>37.2</v>
      </c>
      <c r="G22" s="431">
        <v>22.5</v>
      </c>
      <c r="H22" s="431">
        <v>982.2219</v>
      </c>
      <c r="I22" s="431">
        <v>0.999779</v>
      </c>
      <c r="J22" s="431">
        <v>0.484348</v>
      </c>
      <c r="K22" s="431">
        <v>2419.2</v>
      </c>
      <c r="L22" s="433"/>
      <c r="M22" s="434">
        <f t="shared" si="1"/>
        <v>1.02574945</v>
      </c>
      <c r="N22" s="435">
        <f t="shared" si="2"/>
        <v>2358.470678</v>
      </c>
      <c r="O22" s="436">
        <f t="shared" si="3"/>
        <v>2358.470678</v>
      </c>
      <c r="P22" s="437" t="s">
        <v>12</v>
      </c>
      <c r="Q22" s="437" t="s">
        <v>865</v>
      </c>
      <c r="R22" s="447"/>
      <c r="S22" s="439"/>
      <c r="T22" s="439"/>
      <c r="U22" s="439"/>
      <c r="V22" s="439"/>
      <c r="W22" s="439"/>
      <c r="X22" s="439"/>
      <c r="Y22" s="85"/>
      <c r="Z22" s="85"/>
      <c r="AA22" s="85"/>
      <c r="AB22" s="85"/>
      <c r="AC22" s="85"/>
      <c r="AD22" s="85"/>
      <c r="AE22" s="85"/>
    </row>
    <row r="23">
      <c r="A23" s="431" t="s">
        <v>887</v>
      </c>
      <c r="B23" s="431">
        <v>93.0</v>
      </c>
      <c r="C23" s="432">
        <v>45469.677777777775</v>
      </c>
      <c r="D23" s="431">
        <v>20.0</v>
      </c>
      <c r="E23" s="431">
        <v>0.099893</v>
      </c>
      <c r="F23" s="431">
        <v>37.1</v>
      </c>
      <c r="G23" s="431">
        <v>22.5</v>
      </c>
      <c r="H23" s="431">
        <v>982.0698</v>
      </c>
      <c r="I23" s="431">
        <v>0.99981</v>
      </c>
      <c r="J23" s="431">
        <v>0.484238</v>
      </c>
      <c r="K23" s="431">
        <v>2418.6</v>
      </c>
      <c r="L23" s="433"/>
      <c r="M23" s="434">
        <f t="shared" si="1"/>
        <v>1.025673441</v>
      </c>
      <c r="N23" s="435">
        <f t="shared" si="2"/>
        <v>2358.060475</v>
      </c>
      <c r="O23" s="436">
        <f t="shared" si="3"/>
        <v>2358.060475</v>
      </c>
      <c r="P23" s="437" t="s">
        <v>12</v>
      </c>
      <c r="Q23" s="437" t="s">
        <v>865</v>
      </c>
      <c r="R23" s="447"/>
      <c r="S23" s="439"/>
      <c r="T23" s="439"/>
      <c r="U23" s="439"/>
      <c r="V23" s="439"/>
      <c r="W23" s="439"/>
      <c r="X23" s="439"/>
      <c r="Y23" s="85"/>
      <c r="Z23" s="85"/>
      <c r="AA23" s="85"/>
      <c r="AB23" s="85"/>
      <c r="AC23" s="85"/>
      <c r="AD23" s="85"/>
      <c r="AE23" s="85"/>
    </row>
    <row r="24">
      <c r="A24" s="431" t="s">
        <v>888</v>
      </c>
      <c r="B24" s="431">
        <v>53.0</v>
      </c>
      <c r="C24" s="432">
        <v>45469.683333333334</v>
      </c>
      <c r="D24" s="431">
        <v>20.0</v>
      </c>
      <c r="E24" s="431">
        <v>0.099893</v>
      </c>
      <c r="F24" s="431">
        <v>37.1</v>
      </c>
      <c r="G24" s="431">
        <v>22.5</v>
      </c>
      <c r="H24" s="431">
        <v>982.4489</v>
      </c>
      <c r="I24" s="431">
        <v>0.999788</v>
      </c>
      <c r="J24" s="431">
        <v>0.484427</v>
      </c>
      <c r="K24" s="431">
        <v>2419.5</v>
      </c>
      <c r="L24" s="433"/>
      <c r="M24" s="434">
        <f t="shared" si="1"/>
        <v>1.025673441</v>
      </c>
      <c r="N24" s="435">
        <f t="shared" si="2"/>
        <v>2358.937947</v>
      </c>
      <c r="O24" s="436">
        <f t="shared" si="3"/>
        <v>2358.937947</v>
      </c>
      <c r="P24" s="437" t="s">
        <v>12</v>
      </c>
      <c r="Q24" s="437" t="s">
        <v>865</v>
      </c>
      <c r="R24" s="447"/>
      <c r="S24" s="439"/>
      <c r="T24" s="439"/>
      <c r="U24" s="439"/>
      <c r="V24" s="439"/>
      <c r="W24" s="439"/>
      <c r="X24" s="439"/>
      <c r="Y24" s="85"/>
      <c r="Z24" s="85"/>
      <c r="AA24" s="85"/>
      <c r="AB24" s="85"/>
      <c r="AC24" s="85"/>
      <c r="AD24" s="85"/>
      <c r="AE24" s="85"/>
    </row>
    <row r="25">
      <c r="A25" s="431" t="s">
        <v>889</v>
      </c>
      <c r="B25" s="431">
        <v>54.0</v>
      </c>
      <c r="C25" s="432">
        <v>45469.68819444445</v>
      </c>
      <c r="D25" s="431">
        <v>20.0</v>
      </c>
      <c r="E25" s="431">
        <v>0.099893</v>
      </c>
      <c r="F25" s="431">
        <v>37.2</v>
      </c>
      <c r="G25" s="431">
        <v>22.5</v>
      </c>
      <c r="H25" s="431">
        <v>981.2069</v>
      </c>
      <c r="I25" s="431">
        <v>0.99978</v>
      </c>
      <c r="J25" s="431">
        <v>0.484375</v>
      </c>
      <c r="K25" s="431">
        <v>2419.3</v>
      </c>
      <c r="L25" s="433"/>
      <c r="M25" s="434">
        <f t="shared" si="1"/>
        <v>1.02574945</v>
      </c>
      <c r="N25" s="435">
        <f t="shared" si="2"/>
        <v>2358.568167</v>
      </c>
      <c r="O25" s="436">
        <f t="shared" si="3"/>
        <v>2358.568167</v>
      </c>
      <c r="P25" s="437" t="s">
        <v>12</v>
      </c>
      <c r="Q25" s="437" t="s">
        <v>865</v>
      </c>
      <c r="R25" s="447"/>
      <c r="S25" s="439"/>
      <c r="T25" s="439"/>
      <c r="U25" s="439"/>
      <c r="V25" s="439"/>
      <c r="W25" s="439"/>
      <c r="X25" s="439"/>
      <c r="Y25" s="85"/>
      <c r="Z25" s="85"/>
      <c r="AA25" s="85"/>
      <c r="AB25" s="85"/>
      <c r="AC25" s="85"/>
      <c r="AD25" s="85"/>
      <c r="AE25" s="85"/>
    </row>
    <row r="26">
      <c r="A26" s="431" t="s">
        <v>890</v>
      </c>
      <c r="B26" s="431">
        <v>40.0</v>
      </c>
      <c r="C26" s="432">
        <v>45469.69375</v>
      </c>
      <c r="D26" s="431">
        <v>20.0</v>
      </c>
      <c r="E26" s="431">
        <v>0.099893</v>
      </c>
      <c r="F26" s="431">
        <v>37.3</v>
      </c>
      <c r="G26" s="431">
        <v>22.5</v>
      </c>
      <c r="H26" s="431">
        <v>980.7664</v>
      </c>
      <c r="I26" s="431">
        <v>0.999781</v>
      </c>
      <c r="J26" s="431">
        <v>0.486367</v>
      </c>
      <c r="K26" s="431">
        <v>2429.2</v>
      </c>
      <c r="L26" s="433"/>
      <c r="M26" s="434">
        <f t="shared" si="1"/>
        <v>1.025825464</v>
      </c>
      <c r="N26" s="435">
        <f t="shared" si="2"/>
        <v>2368.044162</v>
      </c>
      <c r="O26" s="436">
        <f t="shared" si="3"/>
        <v>2368.044162</v>
      </c>
      <c r="P26" s="437" t="s">
        <v>12</v>
      </c>
      <c r="Q26" s="437" t="s">
        <v>865</v>
      </c>
      <c r="R26" s="447"/>
      <c r="S26" s="439"/>
      <c r="T26" s="439"/>
      <c r="U26" s="439"/>
      <c r="V26" s="439"/>
      <c r="W26" s="439"/>
      <c r="X26" s="439"/>
      <c r="Y26" s="85"/>
      <c r="Z26" s="85"/>
      <c r="AA26" s="85"/>
      <c r="AB26" s="85"/>
      <c r="AC26" s="85"/>
      <c r="AD26" s="85"/>
      <c r="AE26" s="85"/>
    </row>
    <row r="27">
      <c r="A27" s="431" t="s">
        <v>891</v>
      </c>
      <c r="B27" s="431">
        <v>41.0</v>
      </c>
      <c r="C27" s="432">
        <v>45469.700694444444</v>
      </c>
      <c r="D27" s="431">
        <v>20.0</v>
      </c>
      <c r="E27" s="431">
        <v>0.099893</v>
      </c>
      <c r="F27" s="431">
        <v>37.3</v>
      </c>
      <c r="G27" s="431">
        <v>22.5</v>
      </c>
      <c r="H27" s="431">
        <v>982.8094</v>
      </c>
      <c r="I27" s="431">
        <v>0.999756</v>
      </c>
      <c r="J27" s="431">
        <v>0.484893</v>
      </c>
      <c r="K27" s="431">
        <v>2421.9</v>
      </c>
      <c r="L27" s="433"/>
      <c r="M27" s="434">
        <f t="shared" si="1"/>
        <v>1.025825464</v>
      </c>
      <c r="N27" s="435">
        <f t="shared" si="2"/>
        <v>2360.927942</v>
      </c>
      <c r="O27" s="436">
        <f t="shared" si="3"/>
        <v>2360.927942</v>
      </c>
      <c r="P27" s="437" t="s">
        <v>12</v>
      </c>
      <c r="Q27" s="437" t="s">
        <v>865</v>
      </c>
      <c r="R27" s="447"/>
      <c r="S27" s="439"/>
      <c r="T27" s="439"/>
      <c r="U27" s="439"/>
      <c r="V27" s="439"/>
      <c r="W27" s="439"/>
      <c r="X27" s="439"/>
      <c r="Y27" s="85"/>
      <c r="Z27" s="85"/>
      <c r="AA27" s="85"/>
      <c r="AB27" s="85"/>
      <c r="AC27" s="85"/>
      <c r="AD27" s="85"/>
      <c r="AE27" s="85"/>
    </row>
    <row r="28">
      <c r="A28" s="431" t="s">
        <v>892</v>
      </c>
      <c r="B28" s="431">
        <v>144.0</v>
      </c>
      <c r="C28" s="432">
        <v>45469.70625</v>
      </c>
      <c r="D28" s="431">
        <v>20.0</v>
      </c>
      <c r="E28" s="431">
        <v>0.099893</v>
      </c>
      <c r="F28" s="431">
        <v>37.5</v>
      </c>
      <c r="G28" s="431">
        <v>22.5</v>
      </c>
      <c r="H28" s="431">
        <v>977.8533</v>
      </c>
      <c r="I28" s="431">
        <v>0.999762</v>
      </c>
      <c r="J28" s="431">
        <v>0.470857</v>
      </c>
      <c r="K28" s="431">
        <v>2351.8</v>
      </c>
      <c r="L28" s="433"/>
      <c r="M28" s="434">
        <f t="shared" si="1"/>
        <v>1.025977504</v>
      </c>
      <c r="N28" s="435">
        <f t="shared" si="2"/>
        <v>2292.252988</v>
      </c>
      <c r="O28" s="436">
        <f t="shared" si="3"/>
        <v>2292.252988</v>
      </c>
      <c r="P28" s="437" t="s">
        <v>12</v>
      </c>
      <c r="Q28" s="437" t="s">
        <v>865</v>
      </c>
      <c r="R28" s="447"/>
      <c r="S28" s="439"/>
      <c r="T28" s="439"/>
      <c r="U28" s="439"/>
      <c r="V28" s="439"/>
      <c r="W28" s="439"/>
      <c r="X28" s="439"/>
      <c r="Y28" s="85"/>
      <c r="Z28" s="85"/>
      <c r="AA28" s="85"/>
      <c r="AB28" s="85"/>
      <c r="AC28" s="85"/>
      <c r="AD28" s="85"/>
      <c r="AE28" s="85"/>
    </row>
    <row r="29">
      <c r="A29" s="431" t="s">
        <v>893</v>
      </c>
      <c r="B29" s="431">
        <v>145.0</v>
      </c>
      <c r="C29" s="432">
        <v>45469.711805555555</v>
      </c>
      <c r="D29" s="431">
        <v>20.0</v>
      </c>
      <c r="E29" s="431">
        <v>0.099893</v>
      </c>
      <c r="F29" s="431">
        <v>37.5</v>
      </c>
      <c r="G29" s="431">
        <v>22.5</v>
      </c>
      <c r="H29" s="431">
        <v>983.584</v>
      </c>
      <c r="I29" s="431">
        <v>0.999808</v>
      </c>
      <c r="J29" s="431">
        <v>0.473204</v>
      </c>
      <c r="K29" s="431">
        <v>2363.5</v>
      </c>
      <c r="L29" s="433"/>
      <c r="M29" s="434">
        <f t="shared" si="1"/>
        <v>1.025977504</v>
      </c>
      <c r="N29" s="435">
        <f t="shared" si="2"/>
        <v>2303.656747</v>
      </c>
      <c r="O29" s="436">
        <f t="shared" si="3"/>
        <v>2303.656747</v>
      </c>
      <c r="P29" s="437" t="s">
        <v>12</v>
      </c>
      <c r="Q29" s="437" t="s">
        <v>865</v>
      </c>
      <c r="R29" s="447"/>
      <c r="S29" s="439"/>
      <c r="T29" s="439"/>
      <c r="U29" s="439"/>
      <c r="V29" s="439"/>
      <c r="W29" s="439"/>
      <c r="X29" s="439"/>
      <c r="Y29" s="85"/>
      <c r="Z29" s="85"/>
      <c r="AA29" s="85"/>
      <c r="AB29" s="85"/>
      <c r="AC29" s="85"/>
      <c r="AD29" s="85"/>
      <c r="AE29" s="85"/>
    </row>
    <row r="30">
      <c r="A30" s="441" t="s">
        <v>894</v>
      </c>
      <c r="B30" s="441" t="s">
        <v>895</v>
      </c>
      <c r="C30" s="442">
        <v>45469.717361111114</v>
      </c>
      <c r="D30" s="441">
        <v>20.0</v>
      </c>
      <c r="E30" s="441">
        <v>0.099893</v>
      </c>
      <c r="F30" s="441">
        <v>33.2</v>
      </c>
      <c r="G30" s="441">
        <v>22.5</v>
      </c>
      <c r="H30" s="441">
        <v>987.6408</v>
      </c>
      <c r="I30" s="441">
        <v>0.999774</v>
      </c>
      <c r="J30" s="441">
        <v>0.451681</v>
      </c>
      <c r="K30" s="441">
        <v>2256.0</v>
      </c>
      <c r="L30" s="443"/>
      <c r="M30" s="434">
        <f t="shared" si="1"/>
        <v>1.02271245</v>
      </c>
      <c r="N30" s="435">
        <f t="shared" si="2"/>
        <v>2205.898637</v>
      </c>
      <c r="O30" s="436">
        <f t="shared" si="3"/>
        <v>2205.898637</v>
      </c>
      <c r="P30" s="437" t="s">
        <v>12</v>
      </c>
      <c r="Q30" s="444" t="s">
        <v>865</v>
      </c>
      <c r="R30" s="448"/>
      <c r="S30" s="439"/>
      <c r="T30" s="439"/>
      <c r="U30" s="439"/>
      <c r="V30" s="439"/>
      <c r="W30" s="439"/>
      <c r="X30" s="439"/>
      <c r="Y30" s="85"/>
      <c r="Z30" s="85"/>
      <c r="AA30" s="85"/>
      <c r="AB30" s="85"/>
      <c r="AC30" s="85"/>
      <c r="AD30" s="85"/>
      <c r="AE30" s="85"/>
    </row>
    <row r="31">
      <c r="A31" s="431" t="s">
        <v>862</v>
      </c>
      <c r="B31" s="431" t="s">
        <v>863</v>
      </c>
      <c r="C31" s="432">
        <v>45470.38402777778</v>
      </c>
      <c r="D31" s="431">
        <v>20.0</v>
      </c>
      <c r="E31" s="431">
        <v>0.099893</v>
      </c>
      <c r="F31" s="431" t="s">
        <v>864</v>
      </c>
      <c r="G31" s="431">
        <v>22.5</v>
      </c>
      <c r="H31" s="431">
        <v>1177.104</v>
      </c>
      <c r="I31" s="431">
        <v>0.99992</v>
      </c>
      <c r="J31" s="431">
        <v>0.421149</v>
      </c>
      <c r="K31" s="431">
        <v>2103.5</v>
      </c>
      <c r="L31" s="433"/>
      <c r="M31" s="434" t="str">
        <f t="shared" si="1"/>
        <v>#VALUE!</v>
      </c>
      <c r="N31" s="435" t="str">
        <f t="shared" si="2"/>
        <v>#VALUE!</v>
      </c>
      <c r="O31" s="436" t="str">
        <f t="shared" si="3"/>
        <v>#VALUE!</v>
      </c>
      <c r="P31" s="437" t="s">
        <v>280</v>
      </c>
      <c r="Q31" s="437" t="s">
        <v>865</v>
      </c>
      <c r="R31" s="447"/>
      <c r="S31" s="439"/>
      <c r="T31" s="439"/>
      <c r="U31" s="439"/>
      <c r="V31" s="439"/>
      <c r="W31" s="439"/>
      <c r="X31" s="439"/>
      <c r="Y31" s="85"/>
      <c r="Z31" s="85"/>
      <c r="AA31" s="85"/>
      <c r="AB31" s="85"/>
      <c r="AC31" s="85"/>
      <c r="AD31" s="85"/>
      <c r="AE31" s="85"/>
    </row>
    <row r="32">
      <c r="A32" s="431" t="s">
        <v>896</v>
      </c>
      <c r="B32" s="431" t="s">
        <v>863</v>
      </c>
      <c r="C32" s="432">
        <v>45470.39097222222</v>
      </c>
      <c r="D32" s="431">
        <v>20.0</v>
      </c>
      <c r="E32" s="431">
        <v>0.099893</v>
      </c>
      <c r="F32" s="431" t="s">
        <v>864</v>
      </c>
      <c r="G32" s="431">
        <v>22.5</v>
      </c>
      <c r="H32" s="431">
        <v>1176.87</v>
      </c>
      <c r="I32" s="431">
        <v>0.999955</v>
      </c>
      <c r="J32" s="431">
        <v>0.418324</v>
      </c>
      <c r="K32" s="431">
        <v>2089.4</v>
      </c>
      <c r="L32" s="433"/>
      <c r="M32" s="434" t="str">
        <f t="shared" si="1"/>
        <v>#VALUE!</v>
      </c>
      <c r="N32" s="435" t="str">
        <f t="shared" si="2"/>
        <v>#VALUE!</v>
      </c>
      <c r="O32" s="436" t="str">
        <f t="shared" si="3"/>
        <v>#VALUE!</v>
      </c>
      <c r="P32" s="437" t="s">
        <v>280</v>
      </c>
      <c r="Q32" s="437" t="s">
        <v>865</v>
      </c>
      <c r="R32" s="447"/>
      <c r="S32" s="439"/>
      <c r="T32" s="439"/>
      <c r="U32" s="439"/>
      <c r="V32" s="439"/>
      <c r="W32" s="439"/>
      <c r="X32" s="439"/>
      <c r="Y32" s="85"/>
      <c r="Z32" s="85"/>
      <c r="AA32" s="85"/>
      <c r="AB32" s="85"/>
      <c r="AC32" s="85"/>
      <c r="AD32" s="85"/>
      <c r="AE32" s="85"/>
    </row>
    <row r="33">
      <c r="A33" s="431" t="s">
        <v>897</v>
      </c>
      <c r="B33" s="431" t="s">
        <v>863</v>
      </c>
      <c r="C33" s="432">
        <v>45470.396527777775</v>
      </c>
      <c r="D33" s="431">
        <v>20.0</v>
      </c>
      <c r="E33" s="431">
        <v>0.099893</v>
      </c>
      <c r="F33" s="431" t="s">
        <v>864</v>
      </c>
      <c r="G33" s="431">
        <v>22.5</v>
      </c>
      <c r="H33" s="431">
        <v>1179.873</v>
      </c>
      <c r="I33" s="431">
        <v>0.999972</v>
      </c>
      <c r="J33" s="431">
        <v>0.41822</v>
      </c>
      <c r="K33" s="431">
        <v>2088.9</v>
      </c>
      <c r="L33" s="431">
        <v>0.368</v>
      </c>
      <c r="M33" s="434" t="str">
        <f t="shared" si="1"/>
        <v>#VALUE!</v>
      </c>
      <c r="N33" s="435" t="str">
        <f t="shared" si="2"/>
        <v>#VALUE!</v>
      </c>
      <c r="O33" s="436" t="str">
        <f t="shared" si="3"/>
        <v>#VALUE!</v>
      </c>
      <c r="P33" s="437" t="s">
        <v>280</v>
      </c>
      <c r="Q33" s="437" t="s">
        <v>865</v>
      </c>
      <c r="R33" s="438"/>
      <c r="S33" s="439"/>
      <c r="T33" s="439"/>
      <c r="U33" s="439"/>
      <c r="V33" s="439"/>
      <c r="W33" s="439"/>
      <c r="X33" s="439"/>
      <c r="Y33" s="85"/>
      <c r="Z33" s="85"/>
      <c r="AA33" s="85"/>
      <c r="AB33" s="85"/>
      <c r="AC33" s="85"/>
      <c r="AD33" s="85"/>
      <c r="AE33" s="85"/>
    </row>
    <row r="34">
      <c r="A34" s="431" t="s">
        <v>898</v>
      </c>
      <c r="B34" s="431" t="s">
        <v>863</v>
      </c>
      <c r="C34" s="432">
        <v>45470.402083333334</v>
      </c>
      <c r="D34" s="431">
        <v>20.0</v>
      </c>
      <c r="E34" s="431">
        <v>0.099893</v>
      </c>
      <c r="F34" s="431" t="s">
        <v>864</v>
      </c>
      <c r="G34" s="431">
        <v>22.5</v>
      </c>
      <c r="H34" s="431">
        <v>1183.138</v>
      </c>
      <c r="I34" s="431">
        <v>0.999955</v>
      </c>
      <c r="J34" s="431">
        <v>0.41868</v>
      </c>
      <c r="K34" s="431">
        <v>2091.2</v>
      </c>
      <c r="L34" s="431">
        <v>1.6259</v>
      </c>
      <c r="M34" s="434" t="str">
        <f t="shared" si="1"/>
        <v>#VALUE!</v>
      </c>
      <c r="N34" s="435" t="str">
        <f t="shared" si="2"/>
        <v>#VALUE!</v>
      </c>
      <c r="O34" s="436" t="str">
        <f t="shared" si="3"/>
        <v>#VALUE!</v>
      </c>
      <c r="P34" s="437" t="s">
        <v>280</v>
      </c>
      <c r="Q34" s="437" t="s">
        <v>865</v>
      </c>
      <c r="R34" s="438"/>
      <c r="S34" s="439"/>
      <c r="T34" s="85"/>
      <c r="U34" s="85"/>
      <c r="V34" s="85"/>
      <c r="W34" s="85"/>
      <c r="X34" s="85"/>
      <c r="Y34" s="86"/>
      <c r="Z34" s="449"/>
      <c r="AA34" s="449"/>
      <c r="AB34" s="449"/>
      <c r="AC34" s="449"/>
      <c r="AD34" s="449"/>
      <c r="AE34" s="449"/>
    </row>
    <row r="35">
      <c r="A35" s="431" t="s">
        <v>872</v>
      </c>
      <c r="B35" s="431" t="s">
        <v>552</v>
      </c>
      <c r="C35" s="432">
        <v>45470.40972222222</v>
      </c>
      <c r="D35" s="431">
        <v>20.0</v>
      </c>
      <c r="E35" s="431">
        <v>0.099893</v>
      </c>
      <c r="F35" s="431">
        <v>33.2</v>
      </c>
      <c r="G35" s="431">
        <v>22.5</v>
      </c>
      <c r="H35" s="431">
        <v>985.1305</v>
      </c>
      <c r="I35" s="431">
        <v>0.999797</v>
      </c>
      <c r="J35" s="431">
        <v>0.452097</v>
      </c>
      <c r="K35" s="431">
        <v>2258.1</v>
      </c>
      <c r="L35" s="433"/>
      <c r="M35" s="434">
        <f t="shared" si="1"/>
        <v>1.02271245</v>
      </c>
      <c r="N35" s="435">
        <f t="shared" si="2"/>
        <v>2207.952</v>
      </c>
      <c r="O35" s="436">
        <f t="shared" si="3"/>
        <v>2207.952</v>
      </c>
      <c r="P35" s="437" t="s">
        <v>12</v>
      </c>
      <c r="Q35" s="437" t="s">
        <v>865</v>
      </c>
      <c r="R35" s="438"/>
      <c r="S35" s="439"/>
      <c r="T35" s="85"/>
      <c r="U35" s="85"/>
      <c r="V35" s="85"/>
      <c r="W35" s="85"/>
      <c r="X35" s="85"/>
      <c r="Y35" s="86"/>
      <c r="Z35" s="449"/>
      <c r="AA35" s="449"/>
      <c r="AB35" s="449"/>
      <c r="AC35" s="449"/>
      <c r="AD35" s="449"/>
      <c r="AE35" s="449"/>
    </row>
    <row r="36">
      <c r="A36" s="441" t="s">
        <v>899</v>
      </c>
      <c r="B36" s="441" t="s">
        <v>552</v>
      </c>
      <c r="C36" s="442">
        <v>45470.415972222225</v>
      </c>
      <c r="D36" s="441">
        <v>20.0</v>
      </c>
      <c r="E36" s="441">
        <v>0.099893</v>
      </c>
      <c r="F36" s="441">
        <v>33.2</v>
      </c>
      <c r="G36" s="441">
        <v>22.5</v>
      </c>
      <c r="H36" s="441">
        <v>980.4164</v>
      </c>
      <c r="I36" s="441">
        <v>0.99974</v>
      </c>
      <c r="J36" s="441">
        <v>0.451039</v>
      </c>
      <c r="K36" s="441">
        <v>2252.8</v>
      </c>
      <c r="L36" s="441">
        <v>3.7362</v>
      </c>
      <c r="M36" s="434">
        <f t="shared" si="1"/>
        <v>1.02271245</v>
      </c>
      <c r="N36" s="435">
        <f t="shared" si="2"/>
        <v>2202.769703</v>
      </c>
      <c r="O36" s="436">
        <f t="shared" si="3"/>
        <v>2202.769703</v>
      </c>
      <c r="P36" s="437" t="s">
        <v>12</v>
      </c>
      <c r="Q36" s="444" t="s">
        <v>865</v>
      </c>
      <c r="R36" s="438"/>
      <c r="S36" s="439"/>
      <c r="T36" s="85"/>
      <c r="U36" s="85"/>
      <c r="V36" s="85"/>
      <c r="W36" s="85"/>
      <c r="X36" s="85"/>
      <c r="Y36" s="86"/>
      <c r="Z36" s="449"/>
      <c r="AA36" s="449"/>
      <c r="AB36" s="449"/>
      <c r="AC36" s="449"/>
      <c r="AD36" s="449"/>
      <c r="AE36" s="449"/>
    </row>
    <row r="37">
      <c r="A37" s="431" t="s">
        <v>873</v>
      </c>
      <c r="B37" s="431">
        <v>157.0</v>
      </c>
      <c r="C37" s="432">
        <v>45470.424305555556</v>
      </c>
      <c r="D37" s="431">
        <v>20.0</v>
      </c>
      <c r="E37" s="431">
        <v>0.099893</v>
      </c>
      <c r="F37" s="431">
        <v>37.4</v>
      </c>
      <c r="G37" s="431">
        <v>22.5</v>
      </c>
      <c r="H37" s="431">
        <v>979.0015</v>
      </c>
      <c r="I37" s="431">
        <v>0.999792</v>
      </c>
      <c r="J37" s="431">
        <v>0.471786</v>
      </c>
      <c r="K37" s="431">
        <v>2356.4</v>
      </c>
      <c r="L37" s="433"/>
      <c r="M37" s="434">
        <f t="shared" si="1"/>
        <v>1.025901482</v>
      </c>
      <c r="N37" s="435">
        <f t="shared" si="2"/>
        <v>2296.906713</v>
      </c>
      <c r="O37" s="436">
        <f t="shared" si="3"/>
        <v>2296.906713</v>
      </c>
      <c r="P37" s="437" t="s">
        <v>12</v>
      </c>
      <c r="Q37" s="437" t="s">
        <v>865</v>
      </c>
      <c r="R37" s="438"/>
      <c r="S37" s="439"/>
      <c r="T37" s="85"/>
      <c r="U37" s="85"/>
      <c r="V37" s="85"/>
      <c r="W37" s="85"/>
      <c r="X37" s="85"/>
      <c r="Y37" s="86"/>
      <c r="Z37" s="449"/>
      <c r="AA37" s="449"/>
      <c r="AB37" s="449"/>
      <c r="AC37" s="449"/>
      <c r="AD37" s="449"/>
      <c r="AE37" s="449"/>
    </row>
    <row r="38">
      <c r="A38" s="431" t="s">
        <v>874</v>
      </c>
      <c r="B38" s="431">
        <v>158.0</v>
      </c>
      <c r="C38" s="432">
        <v>45470.430555555555</v>
      </c>
      <c r="D38" s="431">
        <v>20.0</v>
      </c>
      <c r="E38" s="431">
        <v>0.099893</v>
      </c>
      <c r="F38" s="431">
        <v>37.5</v>
      </c>
      <c r="G38" s="431">
        <v>22.5</v>
      </c>
      <c r="H38" s="431">
        <v>982.8691</v>
      </c>
      <c r="I38" s="431">
        <v>0.99981</v>
      </c>
      <c r="J38" s="431">
        <v>0.471004</v>
      </c>
      <c r="K38" s="431">
        <v>2352.5</v>
      </c>
      <c r="L38" s="433"/>
      <c r="M38" s="434">
        <f t="shared" si="1"/>
        <v>1.025977504</v>
      </c>
      <c r="N38" s="435">
        <f t="shared" si="2"/>
        <v>2292.935265</v>
      </c>
      <c r="O38" s="436">
        <f t="shared" si="3"/>
        <v>2292.935265</v>
      </c>
      <c r="P38" s="437" t="s">
        <v>12</v>
      </c>
      <c r="Q38" s="437" t="s">
        <v>865</v>
      </c>
      <c r="R38" s="438"/>
      <c r="S38" s="439"/>
      <c r="T38" s="85"/>
      <c r="U38" s="85"/>
      <c r="V38" s="85"/>
      <c r="W38" s="85"/>
      <c r="X38" s="85"/>
      <c r="Y38" s="86"/>
      <c r="Z38" s="449"/>
      <c r="AA38" s="449"/>
      <c r="AB38" s="449"/>
      <c r="AC38" s="449"/>
      <c r="AD38" s="449"/>
      <c r="AE38" s="449"/>
    </row>
    <row r="39">
      <c r="A39" s="431" t="s">
        <v>875</v>
      </c>
      <c r="B39" s="431">
        <v>131.0</v>
      </c>
      <c r="C39" s="432">
        <v>45470.436111111114</v>
      </c>
      <c r="D39" s="431">
        <v>20.0</v>
      </c>
      <c r="E39" s="431">
        <v>0.099893</v>
      </c>
      <c r="F39" s="431">
        <v>37.3</v>
      </c>
      <c r="G39" s="431">
        <v>22.5</v>
      </c>
      <c r="H39" s="431">
        <v>983.2219</v>
      </c>
      <c r="I39" s="431">
        <v>0.999798</v>
      </c>
      <c r="J39" s="431">
        <v>0.481838</v>
      </c>
      <c r="K39" s="431">
        <v>2406.6</v>
      </c>
      <c r="L39" s="433"/>
      <c r="M39" s="434">
        <f t="shared" si="1"/>
        <v>1.025825464</v>
      </c>
      <c r="N39" s="435">
        <f t="shared" si="2"/>
        <v>2346.013124</v>
      </c>
      <c r="O39" s="436">
        <f t="shared" si="3"/>
        <v>2346.013124</v>
      </c>
      <c r="P39" s="437" t="s">
        <v>12</v>
      </c>
      <c r="Q39" s="437" t="s">
        <v>865</v>
      </c>
      <c r="R39" s="438"/>
      <c r="S39" s="439"/>
      <c r="T39" s="85"/>
      <c r="U39" s="85"/>
      <c r="V39" s="85"/>
      <c r="W39" s="85"/>
      <c r="X39" s="85"/>
      <c r="Y39" s="86"/>
      <c r="Z39" s="449"/>
      <c r="AA39" s="449"/>
      <c r="AB39" s="449"/>
      <c r="AC39" s="449"/>
      <c r="AD39" s="449"/>
      <c r="AE39" s="449"/>
    </row>
    <row r="40">
      <c r="A40" s="431" t="s">
        <v>876</v>
      </c>
      <c r="B40" s="431">
        <v>132.0</v>
      </c>
      <c r="C40" s="432">
        <v>45470.44236111111</v>
      </c>
      <c r="D40" s="431">
        <v>20.0</v>
      </c>
      <c r="E40" s="431">
        <v>0.099893</v>
      </c>
      <c r="F40" s="431">
        <v>37.5</v>
      </c>
      <c r="G40" s="431">
        <v>22.5</v>
      </c>
      <c r="H40" s="431">
        <v>981.2226</v>
      </c>
      <c r="I40" s="431">
        <v>0.999786</v>
      </c>
      <c r="J40" s="431">
        <v>0.481908</v>
      </c>
      <c r="K40" s="431">
        <v>2407.0</v>
      </c>
      <c r="L40" s="433"/>
      <c r="M40" s="434">
        <f t="shared" si="1"/>
        <v>1.025977504</v>
      </c>
      <c r="N40" s="435">
        <f t="shared" si="2"/>
        <v>2346.055338</v>
      </c>
      <c r="O40" s="436">
        <f t="shared" si="3"/>
        <v>2346.055338</v>
      </c>
      <c r="P40" s="437" t="s">
        <v>12</v>
      </c>
      <c r="Q40" s="437" t="s">
        <v>865</v>
      </c>
      <c r="R40" s="438"/>
      <c r="S40" s="439"/>
      <c r="T40" s="85"/>
      <c r="U40" s="85"/>
      <c r="V40" s="85"/>
      <c r="W40" s="85"/>
      <c r="X40" s="85"/>
      <c r="Y40" s="86"/>
      <c r="Z40" s="449"/>
      <c r="AA40" s="449"/>
      <c r="AB40" s="449"/>
      <c r="AC40" s="449"/>
      <c r="AD40" s="449"/>
      <c r="AE40" s="449"/>
    </row>
    <row r="41">
      <c r="A41" s="431" t="s">
        <v>877</v>
      </c>
      <c r="B41" s="431">
        <v>27.0</v>
      </c>
      <c r="C41" s="432">
        <v>45470.44930555556</v>
      </c>
      <c r="D41" s="431">
        <v>20.0</v>
      </c>
      <c r="E41" s="431">
        <v>0.099893</v>
      </c>
      <c r="F41" s="431">
        <v>37.3</v>
      </c>
      <c r="G41" s="431">
        <v>22.5</v>
      </c>
      <c r="H41" s="431">
        <v>999.2044</v>
      </c>
      <c r="I41" s="431">
        <v>0.999793</v>
      </c>
      <c r="J41" s="431">
        <v>0.4802</v>
      </c>
      <c r="K41" s="431">
        <v>2398.4</v>
      </c>
      <c r="L41" s="433"/>
      <c r="M41" s="434">
        <f t="shared" si="1"/>
        <v>1.025825464</v>
      </c>
      <c r="N41" s="435">
        <f t="shared" si="2"/>
        <v>2338.019561</v>
      </c>
      <c r="O41" s="436">
        <f t="shared" si="3"/>
        <v>2338.019561</v>
      </c>
      <c r="P41" s="437" t="s">
        <v>12</v>
      </c>
      <c r="Q41" s="437" t="s">
        <v>865</v>
      </c>
      <c r="R41" s="438"/>
      <c r="S41" s="439"/>
      <c r="T41" s="85"/>
      <c r="U41" s="85"/>
      <c r="V41" s="85"/>
      <c r="W41" s="85"/>
      <c r="X41" s="85"/>
      <c r="Y41" s="86"/>
      <c r="Z41" s="449"/>
      <c r="AA41" s="449"/>
      <c r="AB41" s="449"/>
      <c r="AC41" s="449"/>
      <c r="AD41" s="449"/>
      <c r="AE41" s="449"/>
    </row>
    <row r="42">
      <c r="A42" s="431" t="s">
        <v>878</v>
      </c>
      <c r="B42" s="431">
        <v>28.0</v>
      </c>
      <c r="C42" s="432">
        <v>45470.459027777775</v>
      </c>
      <c r="D42" s="431">
        <v>20.0</v>
      </c>
      <c r="E42" s="431">
        <v>0.099893</v>
      </c>
      <c r="F42" s="431">
        <v>37.4</v>
      </c>
      <c r="G42" s="431">
        <v>22.5</v>
      </c>
      <c r="H42" s="431">
        <v>993.2077</v>
      </c>
      <c r="I42" s="431">
        <v>0.999827</v>
      </c>
      <c r="J42" s="431">
        <v>0.481651</v>
      </c>
      <c r="K42" s="431">
        <v>2405.7</v>
      </c>
      <c r="L42" s="433"/>
      <c r="M42" s="434">
        <f t="shared" si="1"/>
        <v>1.025901482</v>
      </c>
      <c r="N42" s="435">
        <f t="shared" si="2"/>
        <v>2344.96201</v>
      </c>
      <c r="O42" s="436">
        <f t="shared" si="3"/>
        <v>2344.96201</v>
      </c>
      <c r="P42" s="437" t="s">
        <v>12</v>
      </c>
      <c r="Q42" s="437" t="s">
        <v>865</v>
      </c>
      <c r="R42" s="438"/>
      <c r="S42" s="439"/>
      <c r="T42" s="85"/>
      <c r="U42" s="85"/>
      <c r="V42" s="85"/>
      <c r="W42" s="85"/>
      <c r="X42" s="85"/>
      <c r="Y42" s="86"/>
      <c r="Z42" s="449"/>
      <c r="AA42" s="449"/>
      <c r="AB42" s="449"/>
      <c r="AC42" s="449"/>
      <c r="AD42" s="449"/>
      <c r="AE42" s="449"/>
    </row>
    <row r="43">
      <c r="A43" s="431" t="s">
        <v>879</v>
      </c>
      <c r="B43" s="431">
        <v>170.0</v>
      </c>
      <c r="C43" s="432">
        <v>45470.46597222222</v>
      </c>
      <c r="D43" s="431">
        <v>20.0</v>
      </c>
      <c r="E43" s="431">
        <v>0.099893</v>
      </c>
      <c r="F43" s="431">
        <v>36.9</v>
      </c>
      <c r="G43" s="431">
        <v>22.5</v>
      </c>
      <c r="H43" s="431">
        <v>991.0022</v>
      </c>
      <c r="I43" s="431">
        <v>0.999781</v>
      </c>
      <c r="J43" s="431">
        <v>0.483497</v>
      </c>
      <c r="K43" s="431">
        <v>2414.9</v>
      </c>
      <c r="L43" s="433"/>
      <c r="M43" s="434">
        <f t="shared" si="1"/>
        <v>1.025521435</v>
      </c>
      <c r="N43" s="435">
        <f t="shared" si="2"/>
        <v>2354.802071</v>
      </c>
      <c r="O43" s="436">
        <f t="shared" si="3"/>
        <v>2354.802071</v>
      </c>
      <c r="P43" s="437" t="s">
        <v>12</v>
      </c>
      <c r="Q43" s="437" t="s">
        <v>865</v>
      </c>
      <c r="R43" s="438"/>
      <c r="S43" s="439"/>
      <c r="T43" s="85"/>
      <c r="U43" s="85"/>
      <c r="V43" s="85"/>
      <c r="W43" s="85"/>
      <c r="X43" s="85"/>
      <c r="Y43" s="86"/>
      <c r="Z43" s="449"/>
      <c r="AA43" s="449"/>
      <c r="AB43" s="449"/>
      <c r="AC43" s="449"/>
      <c r="AD43" s="449"/>
      <c r="AE43" s="449"/>
    </row>
    <row r="44">
      <c r="A44" s="431" t="s">
        <v>880</v>
      </c>
      <c r="B44" s="431">
        <v>171.0</v>
      </c>
      <c r="C44" s="432">
        <v>45470.47152777778</v>
      </c>
      <c r="D44" s="431">
        <v>20.0</v>
      </c>
      <c r="E44" s="431">
        <v>0.099893</v>
      </c>
      <c r="F44" s="431">
        <v>37.1</v>
      </c>
      <c r="G44" s="431">
        <v>22.5</v>
      </c>
      <c r="H44" s="431">
        <v>983.5745</v>
      </c>
      <c r="I44" s="431">
        <v>0.99981</v>
      </c>
      <c r="J44" s="431">
        <v>0.485979</v>
      </c>
      <c r="K44" s="431">
        <v>2427.3</v>
      </c>
      <c r="L44" s="433"/>
      <c r="M44" s="434">
        <f t="shared" si="1"/>
        <v>1.025673441</v>
      </c>
      <c r="N44" s="435">
        <f t="shared" si="2"/>
        <v>2366.542707</v>
      </c>
      <c r="O44" s="436">
        <f t="shared" si="3"/>
        <v>2366.542707</v>
      </c>
      <c r="P44" s="437" t="s">
        <v>12</v>
      </c>
      <c r="Q44" s="437" t="s">
        <v>865</v>
      </c>
      <c r="R44" s="447"/>
      <c r="S44" s="439"/>
      <c r="T44" s="85"/>
      <c r="U44" s="85"/>
      <c r="V44" s="85"/>
      <c r="W44" s="85"/>
      <c r="X44" s="85"/>
      <c r="Y44" s="86"/>
      <c r="Z44" s="449"/>
      <c r="AA44" s="449"/>
      <c r="AB44" s="449"/>
      <c r="AC44" s="449"/>
      <c r="AD44" s="449"/>
      <c r="AE44" s="449"/>
    </row>
    <row r="45">
      <c r="A45" s="431" t="s">
        <v>881</v>
      </c>
      <c r="B45" s="431">
        <v>287.0</v>
      </c>
      <c r="C45" s="432">
        <v>45470.47777777778</v>
      </c>
      <c r="D45" s="431">
        <v>20.0</v>
      </c>
      <c r="E45" s="431">
        <v>0.099893</v>
      </c>
      <c r="F45" s="431">
        <v>37.0</v>
      </c>
      <c r="G45" s="431">
        <v>22.5</v>
      </c>
      <c r="H45" s="431">
        <v>988.056</v>
      </c>
      <c r="I45" s="431">
        <v>0.999812</v>
      </c>
      <c r="J45" s="431">
        <v>0.482405</v>
      </c>
      <c r="K45" s="431">
        <v>2409.4</v>
      </c>
      <c r="L45" s="433"/>
      <c r="M45" s="434">
        <f t="shared" si="1"/>
        <v>1.025597436</v>
      </c>
      <c r="N45" s="435">
        <f t="shared" si="2"/>
        <v>2349.264844</v>
      </c>
      <c r="O45" s="436">
        <f t="shared" si="3"/>
        <v>2349.264844</v>
      </c>
      <c r="P45" s="437" t="s">
        <v>12</v>
      </c>
      <c r="Q45" s="437" t="s">
        <v>865</v>
      </c>
      <c r="R45" s="447"/>
      <c r="S45" s="439"/>
      <c r="T45" s="85"/>
      <c r="U45" s="85"/>
      <c r="V45" s="85"/>
      <c r="W45" s="85"/>
      <c r="X45" s="85"/>
      <c r="Y45" s="86"/>
      <c r="Z45" s="449"/>
      <c r="AA45" s="449"/>
      <c r="AB45" s="449"/>
      <c r="AC45" s="449"/>
      <c r="AD45" s="449"/>
      <c r="AE45" s="449"/>
    </row>
    <row r="46">
      <c r="A46" s="431" t="s">
        <v>882</v>
      </c>
      <c r="B46" s="431">
        <v>288.0</v>
      </c>
      <c r="C46" s="432">
        <v>45470.48333333333</v>
      </c>
      <c r="D46" s="431">
        <v>20.0</v>
      </c>
      <c r="E46" s="431">
        <v>0.099893</v>
      </c>
      <c r="F46" s="431">
        <v>37.0</v>
      </c>
      <c r="G46" s="431">
        <v>22.5</v>
      </c>
      <c r="H46" s="431">
        <v>985.9272</v>
      </c>
      <c r="I46" s="431">
        <v>0.999795</v>
      </c>
      <c r="J46" s="431">
        <v>0.482109</v>
      </c>
      <c r="K46" s="431">
        <v>2408.0</v>
      </c>
      <c r="L46" s="433"/>
      <c r="M46" s="434">
        <f t="shared" si="1"/>
        <v>1.025597436</v>
      </c>
      <c r="N46" s="435">
        <f t="shared" si="2"/>
        <v>2347.899786</v>
      </c>
      <c r="O46" s="436">
        <f t="shared" si="3"/>
        <v>2347.899786</v>
      </c>
      <c r="P46" s="437" t="s">
        <v>12</v>
      </c>
      <c r="Q46" s="437" t="s">
        <v>865</v>
      </c>
      <c r="R46" s="447"/>
      <c r="S46" s="439"/>
      <c r="T46" s="85"/>
      <c r="U46" s="85"/>
      <c r="V46" s="85"/>
      <c r="W46" s="85"/>
      <c r="X46" s="85"/>
      <c r="Y46" s="86"/>
      <c r="Z46" s="449"/>
      <c r="AA46" s="449"/>
      <c r="AB46" s="449"/>
      <c r="AC46" s="449"/>
      <c r="AD46" s="449"/>
      <c r="AE46" s="449"/>
    </row>
    <row r="47">
      <c r="A47" s="441" t="s">
        <v>883</v>
      </c>
      <c r="B47" s="441" t="s">
        <v>552</v>
      </c>
      <c r="C47" s="442">
        <v>45470.489583333336</v>
      </c>
      <c r="D47" s="441">
        <v>20.0</v>
      </c>
      <c r="E47" s="441">
        <v>0.099893</v>
      </c>
      <c r="F47" s="441">
        <v>33.2</v>
      </c>
      <c r="G47" s="441">
        <v>22.5</v>
      </c>
      <c r="H47" s="441">
        <v>987.6408</v>
      </c>
      <c r="I47" s="441">
        <v>0.999774</v>
      </c>
      <c r="J47" s="441">
        <v>0.451681</v>
      </c>
      <c r="K47" s="441">
        <v>2256.0</v>
      </c>
      <c r="L47" s="443"/>
      <c r="M47" s="434">
        <f t="shared" si="1"/>
        <v>1.02271245</v>
      </c>
      <c r="N47" s="435">
        <f t="shared" si="2"/>
        <v>2205.898637</v>
      </c>
      <c r="O47" s="436">
        <f t="shared" si="3"/>
        <v>2205.898637</v>
      </c>
      <c r="P47" s="437" t="s">
        <v>12</v>
      </c>
      <c r="Q47" s="444" t="s">
        <v>865</v>
      </c>
      <c r="R47" s="447"/>
      <c r="S47" s="439"/>
      <c r="T47" s="85"/>
      <c r="U47" s="85"/>
      <c r="V47" s="85"/>
      <c r="W47" s="85"/>
      <c r="X47" s="85"/>
      <c r="Y47" s="86"/>
      <c r="Z47" s="449"/>
      <c r="AA47" s="449"/>
      <c r="AB47" s="449"/>
      <c r="AC47" s="449"/>
      <c r="AD47" s="449"/>
      <c r="AE47" s="449"/>
    </row>
    <row r="48">
      <c r="A48" s="431" t="s">
        <v>884</v>
      </c>
      <c r="B48" s="431">
        <v>209.0</v>
      </c>
      <c r="C48" s="432">
        <v>45470.54722222222</v>
      </c>
      <c r="D48" s="431">
        <v>20.0</v>
      </c>
      <c r="E48" s="431">
        <v>0.099893</v>
      </c>
      <c r="F48" s="431">
        <v>37.0</v>
      </c>
      <c r="G48" s="431">
        <v>22.5</v>
      </c>
      <c r="H48" s="431">
        <v>987.486</v>
      </c>
      <c r="I48" s="431">
        <v>0.999797</v>
      </c>
      <c r="J48" s="431">
        <v>0.482251</v>
      </c>
      <c r="K48" s="431">
        <v>2408.7</v>
      </c>
      <c r="L48" s="433"/>
      <c r="M48" s="434">
        <f t="shared" si="1"/>
        <v>1.025597436</v>
      </c>
      <c r="N48" s="435">
        <f t="shared" si="2"/>
        <v>2348.582315</v>
      </c>
      <c r="O48" s="436">
        <f t="shared" si="3"/>
        <v>2348.582315</v>
      </c>
      <c r="P48" s="437" t="s">
        <v>12</v>
      </c>
      <c r="Q48" s="437" t="s">
        <v>865</v>
      </c>
      <c r="R48" s="447"/>
      <c r="S48" s="439"/>
      <c r="T48" s="85"/>
      <c r="U48" s="85"/>
      <c r="V48" s="85"/>
      <c r="W48" s="85"/>
      <c r="X48" s="85"/>
      <c r="Y48" s="86"/>
      <c r="Z48" s="449"/>
      <c r="AA48" s="449"/>
      <c r="AB48" s="449"/>
      <c r="AC48" s="449"/>
      <c r="AD48" s="449"/>
      <c r="AE48" s="449"/>
    </row>
    <row r="49">
      <c r="A49" s="431" t="s">
        <v>885</v>
      </c>
      <c r="B49" s="431">
        <v>210.0</v>
      </c>
      <c r="C49" s="432">
        <v>45470.552777777775</v>
      </c>
      <c r="D49" s="431">
        <v>20.0</v>
      </c>
      <c r="E49" s="431">
        <v>0.099893</v>
      </c>
      <c r="F49" s="431">
        <v>37.0</v>
      </c>
      <c r="G49" s="431">
        <v>22.5</v>
      </c>
      <c r="H49" s="431">
        <v>988.4194</v>
      </c>
      <c r="I49" s="431">
        <v>0.999769</v>
      </c>
      <c r="J49" s="431">
        <v>0.481328</v>
      </c>
      <c r="K49" s="431">
        <v>2404.1</v>
      </c>
      <c r="L49" s="433"/>
      <c r="M49" s="434">
        <f t="shared" si="1"/>
        <v>1.025597436</v>
      </c>
      <c r="N49" s="435">
        <f t="shared" si="2"/>
        <v>2344.097125</v>
      </c>
      <c r="O49" s="436">
        <f t="shared" si="3"/>
        <v>2344.097125</v>
      </c>
      <c r="P49" s="437" t="s">
        <v>12</v>
      </c>
      <c r="Q49" s="437" t="s">
        <v>865</v>
      </c>
      <c r="R49" s="447"/>
      <c r="S49" s="439"/>
      <c r="T49" s="85"/>
      <c r="U49" s="85"/>
      <c r="V49" s="85"/>
      <c r="W49" s="85"/>
      <c r="X49" s="85"/>
      <c r="Y49" s="86"/>
      <c r="Z49" s="449"/>
      <c r="AA49" s="449"/>
      <c r="AB49" s="449"/>
      <c r="AC49" s="449"/>
      <c r="AD49" s="449"/>
      <c r="AE49" s="449"/>
    </row>
    <row r="50">
      <c r="A50" s="431" t="s">
        <v>886</v>
      </c>
      <c r="B50" s="431">
        <v>183.0</v>
      </c>
      <c r="C50" s="432">
        <v>45470.558333333334</v>
      </c>
      <c r="D50" s="431">
        <v>20.0</v>
      </c>
      <c r="E50" s="431">
        <v>0.099893</v>
      </c>
      <c r="F50" s="431">
        <v>36.9</v>
      </c>
      <c r="G50" s="431">
        <v>22.5</v>
      </c>
      <c r="H50" s="431">
        <v>987.9756</v>
      </c>
      <c r="I50" s="431">
        <v>0.999842</v>
      </c>
      <c r="J50" s="431">
        <v>0.482071</v>
      </c>
      <c r="K50" s="431">
        <v>2407.8</v>
      </c>
      <c r="L50" s="433"/>
      <c r="M50" s="434">
        <f t="shared" si="1"/>
        <v>1.025521435</v>
      </c>
      <c r="N50" s="435">
        <f t="shared" si="2"/>
        <v>2347.878764</v>
      </c>
      <c r="O50" s="436">
        <f t="shared" si="3"/>
        <v>2347.878764</v>
      </c>
      <c r="P50" s="437" t="s">
        <v>12</v>
      </c>
      <c r="Q50" s="437" t="s">
        <v>865</v>
      </c>
      <c r="R50" s="447"/>
      <c r="S50" s="439"/>
      <c r="T50" s="85"/>
      <c r="U50" s="85"/>
      <c r="V50" s="85"/>
      <c r="W50" s="85"/>
      <c r="X50" s="85"/>
      <c r="Y50" s="86"/>
      <c r="Z50" s="449"/>
      <c r="AA50" s="449"/>
      <c r="AB50" s="449"/>
      <c r="AC50" s="449"/>
      <c r="AD50" s="449"/>
      <c r="AE50" s="449"/>
    </row>
    <row r="51">
      <c r="A51" s="431" t="s">
        <v>887</v>
      </c>
      <c r="B51" s="431">
        <v>184.0</v>
      </c>
      <c r="C51" s="432">
        <v>45470.563888888886</v>
      </c>
      <c r="D51" s="431">
        <v>20.0</v>
      </c>
      <c r="E51" s="431">
        <v>0.099893</v>
      </c>
      <c r="F51" s="431">
        <v>37.1</v>
      </c>
      <c r="G51" s="431">
        <v>22.5</v>
      </c>
      <c r="H51" s="431">
        <v>986.1164</v>
      </c>
      <c r="I51" s="431">
        <v>0.999779</v>
      </c>
      <c r="J51" s="431">
        <v>0.483089</v>
      </c>
      <c r="K51" s="431">
        <v>2412.9</v>
      </c>
      <c r="L51" s="433"/>
      <c r="M51" s="434">
        <f t="shared" si="1"/>
        <v>1.025673441</v>
      </c>
      <c r="N51" s="435">
        <f t="shared" si="2"/>
        <v>2352.50315</v>
      </c>
      <c r="O51" s="436">
        <f t="shared" si="3"/>
        <v>2352.50315</v>
      </c>
      <c r="P51" s="437" t="s">
        <v>12</v>
      </c>
      <c r="Q51" s="437" t="s">
        <v>865</v>
      </c>
      <c r="R51" s="447"/>
      <c r="S51" s="439"/>
      <c r="T51" s="85"/>
      <c r="U51" s="85"/>
      <c r="V51" s="85"/>
      <c r="W51" s="85"/>
      <c r="X51" s="85"/>
      <c r="Y51" s="86"/>
      <c r="Z51" s="449"/>
      <c r="AA51" s="449"/>
      <c r="AB51" s="449"/>
      <c r="AC51" s="449"/>
      <c r="AD51" s="449"/>
      <c r="AE51" s="449"/>
    </row>
    <row r="52">
      <c r="A52" s="431" t="s">
        <v>888</v>
      </c>
      <c r="B52" s="431">
        <v>274.0</v>
      </c>
      <c r="C52" s="432">
        <v>45470.569444444445</v>
      </c>
      <c r="D52" s="431">
        <v>20.0</v>
      </c>
      <c r="E52" s="431">
        <v>0.099893</v>
      </c>
      <c r="F52" s="431">
        <v>36.8</v>
      </c>
      <c r="G52" s="431">
        <v>22.5</v>
      </c>
      <c r="H52" s="431">
        <v>980.3172</v>
      </c>
      <c r="I52" s="431">
        <v>0.999811</v>
      </c>
      <c r="J52" s="431">
        <v>0.481229</v>
      </c>
      <c r="K52" s="431">
        <v>2403.6</v>
      </c>
      <c r="L52" s="433"/>
      <c r="M52" s="434">
        <f t="shared" si="1"/>
        <v>1.025445439</v>
      </c>
      <c r="N52" s="435">
        <f t="shared" si="2"/>
        <v>2343.956985</v>
      </c>
      <c r="O52" s="436">
        <f t="shared" si="3"/>
        <v>2343.956985</v>
      </c>
      <c r="P52" s="437" t="s">
        <v>12</v>
      </c>
      <c r="Q52" s="437" t="s">
        <v>865</v>
      </c>
      <c r="R52" s="447"/>
      <c r="S52" s="439"/>
      <c r="T52" s="85"/>
      <c r="U52" s="85"/>
      <c r="V52" s="85"/>
      <c r="W52" s="85"/>
      <c r="X52" s="85"/>
      <c r="Y52" s="86"/>
      <c r="Z52" s="449"/>
      <c r="AA52" s="449"/>
      <c r="AB52" s="449"/>
      <c r="AC52" s="449"/>
      <c r="AD52" s="449"/>
      <c r="AE52" s="449"/>
    </row>
    <row r="53">
      <c r="A53" s="431" t="s">
        <v>889</v>
      </c>
      <c r="B53" s="431">
        <v>275.0</v>
      </c>
      <c r="C53" s="432">
        <v>45470.57430555556</v>
      </c>
      <c r="D53" s="431">
        <v>20.0</v>
      </c>
      <c r="E53" s="431">
        <v>0.099893</v>
      </c>
      <c r="F53" s="431">
        <v>36.9</v>
      </c>
      <c r="G53" s="431">
        <v>22.5</v>
      </c>
      <c r="H53" s="431">
        <v>979.0923</v>
      </c>
      <c r="I53" s="431">
        <v>0.999798</v>
      </c>
      <c r="J53" s="431">
        <v>0.482107</v>
      </c>
      <c r="K53" s="431">
        <v>2408.0</v>
      </c>
      <c r="L53" s="433"/>
      <c r="M53" s="434">
        <f t="shared" si="1"/>
        <v>1.025521435</v>
      </c>
      <c r="N53" s="435">
        <f t="shared" si="2"/>
        <v>2348.073787</v>
      </c>
      <c r="O53" s="436">
        <f t="shared" si="3"/>
        <v>2348.073787</v>
      </c>
      <c r="P53" s="437" t="s">
        <v>12</v>
      </c>
      <c r="Q53" s="437" t="s">
        <v>865</v>
      </c>
      <c r="R53" s="447"/>
      <c r="S53" s="439"/>
      <c r="T53" s="85"/>
      <c r="U53" s="85"/>
      <c r="V53" s="85"/>
      <c r="W53" s="85"/>
      <c r="X53" s="85"/>
      <c r="Y53" s="86"/>
      <c r="Z53" s="449"/>
      <c r="AA53" s="449"/>
      <c r="AB53" s="449"/>
      <c r="AC53" s="449"/>
      <c r="AD53" s="449"/>
      <c r="AE53" s="449"/>
    </row>
    <row r="54">
      <c r="A54" s="441" t="s">
        <v>890</v>
      </c>
      <c r="B54" s="441" t="s">
        <v>552</v>
      </c>
      <c r="C54" s="442">
        <v>45470.580555555556</v>
      </c>
      <c r="D54" s="441">
        <v>20.0</v>
      </c>
      <c r="E54" s="441">
        <v>0.099893</v>
      </c>
      <c r="F54" s="441">
        <v>33.2</v>
      </c>
      <c r="G54" s="441">
        <v>22.5</v>
      </c>
      <c r="H54" s="441">
        <v>982.6047</v>
      </c>
      <c r="I54" s="441">
        <v>0.999801</v>
      </c>
      <c r="J54" s="441">
        <v>0.451149</v>
      </c>
      <c r="K54" s="441">
        <v>2253.3</v>
      </c>
      <c r="L54" s="443"/>
      <c r="M54" s="434">
        <f t="shared" si="1"/>
        <v>1.02271245</v>
      </c>
      <c r="N54" s="435">
        <f t="shared" si="2"/>
        <v>2203.258599</v>
      </c>
      <c r="O54" s="436">
        <f t="shared" si="3"/>
        <v>2203.258599</v>
      </c>
      <c r="P54" s="437" t="s">
        <v>12</v>
      </c>
      <c r="Q54" s="444" t="s">
        <v>865</v>
      </c>
      <c r="R54" s="447"/>
      <c r="S54" s="439"/>
      <c r="T54" s="85"/>
      <c r="U54" s="85"/>
      <c r="V54" s="85"/>
      <c r="W54" s="85"/>
      <c r="X54" s="85"/>
      <c r="Y54" s="86"/>
      <c r="Z54" s="449"/>
      <c r="AA54" s="449"/>
      <c r="AB54" s="449"/>
      <c r="AC54" s="449"/>
      <c r="AD54" s="449"/>
      <c r="AE54" s="449"/>
    </row>
    <row r="55">
      <c r="A55" s="431" t="s">
        <v>891</v>
      </c>
      <c r="B55" s="431">
        <v>235.0</v>
      </c>
      <c r="C55" s="432">
        <v>45470.5875</v>
      </c>
      <c r="D55" s="431">
        <v>20.0</v>
      </c>
      <c r="E55" s="431">
        <v>0.099893</v>
      </c>
      <c r="F55" s="431">
        <v>36.8</v>
      </c>
      <c r="G55" s="431">
        <v>22.5</v>
      </c>
      <c r="H55" s="431">
        <v>982.3343</v>
      </c>
      <c r="I55" s="431">
        <v>0.999794</v>
      </c>
      <c r="J55" s="431">
        <v>0.481906</v>
      </c>
      <c r="K55" s="431">
        <v>2407.0</v>
      </c>
      <c r="L55" s="433"/>
      <c r="M55" s="434">
        <f t="shared" si="1"/>
        <v>1.025445439</v>
      </c>
      <c r="N55" s="435">
        <f t="shared" si="2"/>
        <v>2347.272617</v>
      </c>
      <c r="O55" s="436">
        <f t="shared" si="3"/>
        <v>2347.272617</v>
      </c>
      <c r="P55" s="437" t="s">
        <v>12</v>
      </c>
      <c r="Q55" s="437" t="s">
        <v>865</v>
      </c>
      <c r="R55" s="447"/>
      <c r="S55" s="439"/>
      <c r="T55" s="85"/>
      <c r="U55" s="85"/>
      <c r="V55" s="85"/>
      <c r="W55" s="85"/>
      <c r="X55" s="85"/>
      <c r="Y55" s="86"/>
      <c r="Z55" s="449"/>
      <c r="AA55" s="449"/>
      <c r="AB55" s="449"/>
      <c r="AC55" s="449"/>
      <c r="AD55" s="449"/>
      <c r="AE55" s="449"/>
    </row>
    <row r="56">
      <c r="A56" s="431" t="s">
        <v>892</v>
      </c>
      <c r="B56" s="431">
        <v>236.0</v>
      </c>
      <c r="C56" s="432">
        <v>45470.59305555555</v>
      </c>
      <c r="D56" s="431">
        <v>20.0</v>
      </c>
      <c r="E56" s="431">
        <v>0.099893</v>
      </c>
      <c r="F56" s="431">
        <v>36.8</v>
      </c>
      <c r="G56" s="431">
        <v>22.5</v>
      </c>
      <c r="H56" s="431">
        <v>989.3036</v>
      </c>
      <c r="I56" s="431">
        <v>0.999826</v>
      </c>
      <c r="J56" s="431">
        <v>0.481528</v>
      </c>
      <c r="K56" s="431">
        <v>2405.1</v>
      </c>
      <c r="L56" s="433"/>
      <c r="M56" s="434">
        <f t="shared" si="1"/>
        <v>1.025445439</v>
      </c>
      <c r="N56" s="435">
        <f t="shared" si="2"/>
        <v>2345.419764</v>
      </c>
      <c r="O56" s="436">
        <f t="shared" si="3"/>
        <v>2345.419764</v>
      </c>
      <c r="P56" s="437" t="s">
        <v>12</v>
      </c>
      <c r="Q56" s="437" t="s">
        <v>865</v>
      </c>
      <c r="R56" s="447"/>
      <c r="S56" s="439"/>
      <c r="T56" s="85"/>
      <c r="U56" s="85"/>
      <c r="V56" s="85"/>
      <c r="W56" s="85"/>
      <c r="X56" s="85"/>
      <c r="Y56" s="86"/>
      <c r="Z56" s="449"/>
      <c r="AA56" s="449"/>
      <c r="AB56" s="449"/>
      <c r="AC56" s="449"/>
      <c r="AD56" s="449"/>
      <c r="AE56" s="449"/>
    </row>
    <row r="57">
      <c r="A57" s="431" t="s">
        <v>893</v>
      </c>
      <c r="B57" s="431">
        <v>222.0</v>
      </c>
      <c r="C57" s="432">
        <v>45470.59930555556</v>
      </c>
      <c r="D57" s="431">
        <v>20.0</v>
      </c>
      <c r="E57" s="431">
        <v>0.099893</v>
      </c>
      <c r="F57" s="431">
        <v>36.8</v>
      </c>
      <c r="G57" s="431">
        <v>22.5</v>
      </c>
      <c r="H57" s="431">
        <v>980.3172</v>
      </c>
      <c r="I57" s="431">
        <v>0.999811</v>
      </c>
      <c r="J57" s="431">
        <v>0.481229</v>
      </c>
      <c r="K57" s="431">
        <v>2403.6</v>
      </c>
      <c r="L57" s="433"/>
      <c r="M57" s="434">
        <f t="shared" si="1"/>
        <v>1.025445439</v>
      </c>
      <c r="N57" s="435">
        <f t="shared" si="2"/>
        <v>2343.956985</v>
      </c>
      <c r="O57" s="436">
        <f t="shared" si="3"/>
        <v>2343.956985</v>
      </c>
      <c r="P57" s="437" t="s">
        <v>12</v>
      </c>
      <c r="Q57" s="437" t="s">
        <v>865</v>
      </c>
      <c r="R57" s="447"/>
      <c r="S57" s="439"/>
      <c r="T57" s="85"/>
      <c r="U57" s="85"/>
      <c r="V57" s="85"/>
      <c r="W57" s="85"/>
      <c r="X57" s="85"/>
      <c r="Y57" s="86"/>
      <c r="Z57" s="449"/>
      <c r="AA57" s="449"/>
      <c r="AB57" s="449"/>
      <c r="AC57" s="449"/>
      <c r="AD57" s="449"/>
      <c r="AE57" s="449"/>
    </row>
    <row r="58">
      <c r="A58" s="431" t="s">
        <v>894</v>
      </c>
      <c r="B58" s="431">
        <v>223.0</v>
      </c>
      <c r="C58" s="432">
        <v>45470.60486111111</v>
      </c>
      <c r="D58" s="431">
        <v>20.0</v>
      </c>
      <c r="E58" s="431">
        <v>0.099893</v>
      </c>
      <c r="F58" s="431">
        <v>36.9</v>
      </c>
      <c r="G58" s="431">
        <v>22.5</v>
      </c>
      <c r="H58" s="431">
        <v>983.2848</v>
      </c>
      <c r="I58" s="431">
        <v>0.99978</v>
      </c>
      <c r="J58" s="431">
        <v>0.482218</v>
      </c>
      <c r="K58" s="431">
        <v>2408.5</v>
      </c>
      <c r="L58" s="433"/>
      <c r="M58" s="434">
        <f t="shared" si="1"/>
        <v>1.025521435</v>
      </c>
      <c r="N58" s="435">
        <f t="shared" si="2"/>
        <v>2348.561344</v>
      </c>
      <c r="O58" s="436">
        <f t="shared" si="3"/>
        <v>2348.561344</v>
      </c>
      <c r="P58" s="437" t="s">
        <v>12</v>
      </c>
      <c r="Q58" s="437" t="s">
        <v>865</v>
      </c>
      <c r="R58" s="447"/>
      <c r="S58" s="439"/>
      <c r="T58" s="85"/>
      <c r="U58" s="85"/>
      <c r="V58" s="85"/>
      <c r="W58" s="85"/>
      <c r="X58" s="85"/>
      <c r="Y58" s="86"/>
      <c r="Z58" s="449"/>
      <c r="AA58" s="449"/>
      <c r="AB58" s="449"/>
      <c r="AC58" s="449"/>
      <c r="AD58" s="449"/>
      <c r="AE58" s="449"/>
    </row>
    <row r="59">
      <c r="A59" s="431" t="s">
        <v>900</v>
      </c>
      <c r="B59" s="441">
        <v>261.0</v>
      </c>
      <c r="C59" s="432">
        <v>45470.60972222222</v>
      </c>
      <c r="D59" s="431">
        <v>20.0</v>
      </c>
      <c r="E59" s="431">
        <v>0.099893</v>
      </c>
      <c r="F59" s="431">
        <v>36.8</v>
      </c>
      <c r="G59" s="431">
        <v>22.5</v>
      </c>
      <c r="H59" s="431">
        <v>986.4774</v>
      </c>
      <c r="I59" s="431">
        <v>0.999768</v>
      </c>
      <c r="J59" s="431">
        <v>0.48076</v>
      </c>
      <c r="K59" s="431">
        <v>2401.2</v>
      </c>
      <c r="L59" s="450"/>
      <c r="M59" s="434">
        <f t="shared" si="1"/>
        <v>1.025445439</v>
      </c>
      <c r="N59" s="435">
        <f t="shared" si="2"/>
        <v>2341.616539</v>
      </c>
      <c r="O59" s="436">
        <f t="shared" si="3"/>
        <v>2341.616539</v>
      </c>
      <c r="P59" s="437" t="s">
        <v>12</v>
      </c>
      <c r="Q59" s="437" t="s">
        <v>865</v>
      </c>
      <c r="R59" s="447"/>
      <c r="S59" s="439"/>
      <c r="T59" s="85"/>
      <c r="U59" s="85"/>
      <c r="V59" s="85"/>
      <c r="W59" s="85"/>
      <c r="X59" s="85"/>
      <c r="Y59" s="86"/>
      <c r="Z59" s="449"/>
      <c r="AA59" s="449"/>
      <c r="AB59" s="449"/>
      <c r="AC59" s="449"/>
      <c r="AD59" s="449"/>
      <c r="AE59" s="449"/>
    </row>
    <row r="60">
      <c r="A60" s="431" t="s">
        <v>901</v>
      </c>
      <c r="B60" s="431">
        <v>262.0</v>
      </c>
      <c r="C60" s="432">
        <v>45470.61597222222</v>
      </c>
      <c r="D60" s="431">
        <v>20.0</v>
      </c>
      <c r="E60" s="431">
        <v>0.099893</v>
      </c>
      <c r="F60" s="431">
        <v>36.8</v>
      </c>
      <c r="G60" s="431">
        <v>22.5</v>
      </c>
      <c r="H60" s="431">
        <v>982.2711</v>
      </c>
      <c r="I60" s="431">
        <v>0.999788</v>
      </c>
      <c r="J60" s="431">
        <v>0.480649</v>
      </c>
      <c r="K60" s="431">
        <v>2400.7</v>
      </c>
      <c r="L60" s="433"/>
      <c r="M60" s="434">
        <f t="shared" si="1"/>
        <v>1.025445439</v>
      </c>
      <c r="N60" s="435">
        <f t="shared" si="2"/>
        <v>2341.128946</v>
      </c>
      <c r="O60" s="436">
        <f t="shared" si="3"/>
        <v>2341.128946</v>
      </c>
      <c r="P60" s="437" t="s">
        <v>12</v>
      </c>
      <c r="Q60" s="437" t="s">
        <v>865</v>
      </c>
      <c r="R60" s="447"/>
      <c r="S60" s="439"/>
      <c r="T60" s="85"/>
      <c r="U60" s="85"/>
      <c r="V60" s="85"/>
      <c r="W60" s="85"/>
      <c r="X60" s="85"/>
      <c r="Y60" s="86"/>
      <c r="Z60" s="449"/>
      <c r="AA60" s="449"/>
      <c r="AB60" s="449"/>
      <c r="AC60" s="449"/>
      <c r="AD60" s="449"/>
      <c r="AE60" s="449"/>
    </row>
    <row r="61">
      <c r="A61" s="431" t="s">
        <v>902</v>
      </c>
      <c r="B61" s="441">
        <v>261.0</v>
      </c>
      <c r="C61" s="432">
        <v>45470.62152777778</v>
      </c>
      <c r="D61" s="431">
        <v>20.0</v>
      </c>
      <c r="E61" s="431">
        <v>0.099893</v>
      </c>
      <c r="F61" s="431">
        <v>36.6</v>
      </c>
      <c r="G61" s="431">
        <v>22.5</v>
      </c>
      <c r="H61" s="431">
        <v>985.5738</v>
      </c>
      <c r="I61" s="431">
        <v>0.999775</v>
      </c>
      <c r="J61" s="431">
        <v>0.480577</v>
      </c>
      <c r="K61" s="431">
        <v>2400.3</v>
      </c>
      <c r="L61" s="431" t="s">
        <v>903</v>
      </c>
      <c r="M61" s="434">
        <f t="shared" si="1"/>
        <v>1.02529346</v>
      </c>
      <c r="N61" s="435">
        <f t="shared" si="2"/>
        <v>2341.085838</v>
      </c>
      <c r="O61" s="436">
        <f t="shared" si="3"/>
        <v>2341.085838</v>
      </c>
      <c r="P61" s="437" t="s">
        <v>280</v>
      </c>
      <c r="Q61" s="437" t="s">
        <v>865</v>
      </c>
      <c r="R61" s="436" t="s">
        <v>904</v>
      </c>
      <c r="S61" s="439"/>
      <c r="T61" s="85"/>
      <c r="U61" s="85"/>
      <c r="V61" s="85"/>
      <c r="W61" s="85"/>
      <c r="X61" s="85"/>
      <c r="Y61" s="86"/>
      <c r="Z61" s="449"/>
      <c r="AA61" s="449"/>
      <c r="AB61" s="449"/>
      <c r="AC61" s="449"/>
      <c r="AD61" s="449"/>
      <c r="AE61" s="449"/>
    </row>
    <row r="62">
      <c r="A62" s="441" t="s">
        <v>905</v>
      </c>
      <c r="B62" s="441" t="s">
        <v>552</v>
      </c>
      <c r="C62" s="442">
        <v>45470.62847222222</v>
      </c>
      <c r="D62" s="441">
        <v>20.0</v>
      </c>
      <c r="E62" s="441">
        <v>0.099893</v>
      </c>
      <c r="F62" s="441">
        <v>33.2</v>
      </c>
      <c r="G62" s="441">
        <v>22.5</v>
      </c>
      <c r="H62" s="441">
        <v>991.2275</v>
      </c>
      <c r="I62" s="441">
        <v>0.999729</v>
      </c>
      <c r="J62" s="441">
        <v>0.452046</v>
      </c>
      <c r="K62" s="441">
        <v>2257.8</v>
      </c>
      <c r="L62" s="443"/>
      <c r="M62" s="434">
        <f t="shared" si="1"/>
        <v>1.02271245</v>
      </c>
      <c r="N62" s="435">
        <f t="shared" si="2"/>
        <v>2207.658662</v>
      </c>
      <c r="O62" s="436">
        <f t="shared" si="3"/>
        <v>2207.658662</v>
      </c>
      <c r="P62" s="437" t="s">
        <v>12</v>
      </c>
      <c r="Q62" s="444" t="s">
        <v>865</v>
      </c>
      <c r="R62" s="447"/>
      <c r="S62" s="439"/>
      <c r="T62" s="85"/>
      <c r="U62" s="85"/>
      <c r="V62" s="85"/>
      <c r="W62" s="85"/>
      <c r="X62" s="85"/>
      <c r="Y62" s="86"/>
      <c r="Z62" s="449"/>
      <c r="AA62" s="449"/>
      <c r="AB62" s="449"/>
      <c r="AC62" s="449"/>
      <c r="AD62" s="449"/>
      <c r="AE62" s="449"/>
    </row>
    <row r="63">
      <c r="A63" s="441" t="s">
        <v>906</v>
      </c>
      <c r="B63" s="441" t="s">
        <v>552</v>
      </c>
      <c r="C63" s="442">
        <v>45470.63402777778</v>
      </c>
      <c r="D63" s="441">
        <v>20.0</v>
      </c>
      <c r="E63" s="441">
        <v>0.099893</v>
      </c>
      <c r="F63" s="441">
        <v>33.2</v>
      </c>
      <c r="G63" s="441">
        <v>22.5</v>
      </c>
      <c r="H63" s="441">
        <v>981.0729</v>
      </c>
      <c r="I63" s="441">
        <v>0.999735</v>
      </c>
      <c r="J63" s="441">
        <v>0.452748</v>
      </c>
      <c r="K63" s="441">
        <v>2261.3</v>
      </c>
      <c r="L63" s="441">
        <v>2.4771</v>
      </c>
      <c r="M63" s="434">
        <f t="shared" si="1"/>
        <v>1.02271245</v>
      </c>
      <c r="N63" s="435">
        <f t="shared" si="2"/>
        <v>2211.080934</v>
      </c>
      <c r="O63" s="436">
        <f t="shared" si="3"/>
        <v>2211.080934</v>
      </c>
      <c r="P63" s="437" t="s">
        <v>12</v>
      </c>
      <c r="Q63" s="444" t="s">
        <v>865</v>
      </c>
      <c r="R63" s="447"/>
      <c r="S63" s="439"/>
      <c r="T63" s="85"/>
      <c r="U63" s="85"/>
      <c r="V63" s="85"/>
      <c r="W63" s="85"/>
      <c r="X63" s="85"/>
      <c r="Y63" s="86"/>
      <c r="Z63" s="449"/>
      <c r="AA63" s="449"/>
      <c r="AB63" s="449"/>
      <c r="AC63" s="449"/>
      <c r="AD63" s="449"/>
      <c r="AE63" s="449"/>
    </row>
    <row r="64">
      <c r="A64" s="441" t="s">
        <v>907</v>
      </c>
      <c r="B64" s="441" t="s">
        <v>552</v>
      </c>
      <c r="C64" s="442">
        <v>45470.64027777778</v>
      </c>
      <c r="D64" s="441">
        <v>20.0</v>
      </c>
      <c r="E64" s="441">
        <v>0.099893</v>
      </c>
      <c r="F64" s="441">
        <v>33.2</v>
      </c>
      <c r="G64" s="441">
        <v>22.5</v>
      </c>
      <c r="H64" s="441">
        <v>980.6258</v>
      </c>
      <c r="I64" s="441">
        <v>0.999787</v>
      </c>
      <c r="J64" s="441">
        <v>0.451935</v>
      </c>
      <c r="K64" s="441">
        <v>2257.3</v>
      </c>
      <c r="L64" s="441">
        <v>2.871</v>
      </c>
      <c r="M64" s="434">
        <f t="shared" si="1"/>
        <v>1.02271245</v>
      </c>
      <c r="N64" s="435">
        <f t="shared" si="2"/>
        <v>2207.169766</v>
      </c>
      <c r="O64" s="436">
        <f t="shared" si="3"/>
        <v>2207.169766</v>
      </c>
      <c r="P64" s="437" t="s">
        <v>12</v>
      </c>
      <c r="Q64" s="444" t="s">
        <v>865</v>
      </c>
      <c r="R64" s="447"/>
      <c r="S64" s="439"/>
      <c r="T64" s="85"/>
      <c r="U64" s="85"/>
      <c r="V64" s="85"/>
      <c r="W64" s="85"/>
      <c r="X64" s="85"/>
      <c r="Y64" s="86"/>
      <c r="Z64" s="449"/>
      <c r="AA64" s="449"/>
      <c r="AB64" s="449"/>
      <c r="AC64" s="449"/>
      <c r="AD64" s="449"/>
      <c r="AE64" s="449"/>
    </row>
    <row r="65">
      <c r="A65" s="451" t="s">
        <v>862</v>
      </c>
      <c r="B65" s="451" t="s">
        <v>863</v>
      </c>
      <c r="C65" s="452">
        <v>45492.481944444444</v>
      </c>
      <c r="D65" s="451">
        <v>20.0</v>
      </c>
      <c r="E65" s="451">
        <v>0.0998931</v>
      </c>
      <c r="F65" s="451" t="s">
        <v>864</v>
      </c>
      <c r="G65" s="451">
        <v>22.5</v>
      </c>
      <c r="H65" s="451">
        <v>1143.49101</v>
      </c>
      <c r="I65" s="451">
        <v>0.999948</v>
      </c>
      <c r="J65" s="451">
        <v>0.414252</v>
      </c>
      <c r="K65" s="451">
        <v>2069.0</v>
      </c>
      <c r="L65" s="453"/>
      <c r="M65" s="434" t="str">
        <f t="shared" si="1"/>
        <v>#VALUE!</v>
      </c>
      <c r="N65" s="435" t="str">
        <f t="shared" si="2"/>
        <v>#VALUE!</v>
      </c>
      <c r="O65" s="436" t="str">
        <f t="shared" si="3"/>
        <v>#VALUE!</v>
      </c>
      <c r="P65" s="437" t="s">
        <v>280</v>
      </c>
      <c r="Q65" s="454" t="s">
        <v>13</v>
      </c>
      <c r="R65" s="455"/>
      <c r="S65" s="85"/>
      <c r="T65" s="85"/>
      <c r="U65" s="85"/>
      <c r="V65" s="85"/>
      <c r="W65" s="85"/>
      <c r="X65" s="85"/>
      <c r="Y65" s="86"/>
      <c r="Z65" s="449"/>
      <c r="AA65" s="449"/>
      <c r="AB65" s="449"/>
      <c r="AC65" s="449"/>
      <c r="AD65" s="449"/>
      <c r="AE65" s="449"/>
    </row>
    <row r="66">
      <c r="A66" s="451" t="s">
        <v>866</v>
      </c>
      <c r="B66" s="451" t="s">
        <v>863</v>
      </c>
      <c r="C66" s="452">
        <v>45492.49166666667</v>
      </c>
      <c r="D66" s="451">
        <v>20.0</v>
      </c>
      <c r="E66" s="451">
        <v>0.0998931</v>
      </c>
      <c r="F66" s="451" t="s">
        <v>864</v>
      </c>
      <c r="G66" s="451">
        <v>22.5</v>
      </c>
      <c r="H66" s="451">
        <v>1143.14945</v>
      </c>
      <c r="I66" s="451">
        <v>0.999958</v>
      </c>
      <c r="J66" s="451">
        <v>0.413162</v>
      </c>
      <c r="K66" s="451">
        <v>2063.6</v>
      </c>
      <c r="L66" s="451">
        <v>3.8463</v>
      </c>
      <c r="M66" s="434" t="str">
        <f t="shared" si="1"/>
        <v>#VALUE!</v>
      </c>
      <c r="N66" s="435" t="str">
        <f t="shared" si="2"/>
        <v>#VALUE!</v>
      </c>
      <c r="O66" s="436" t="str">
        <f t="shared" si="3"/>
        <v>#VALUE!</v>
      </c>
      <c r="P66" s="437" t="s">
        <v>280</v>
      </c>
      <c r="Q66" s="454" t="s">
        <v>13</v>
      </c>
      <c r="R66" s="455"/>
      <c r="S66" s="85"/>
      <c r="T66" s="85"/>
      <c r="U66" s="85"/>
      <c r="V66" s="85"/>
      <c r="W66" s="85"/>
      <c r="X66" s="85"/>
      <c r="Y66" s="86"/>
      <c r="Z66" s="449"/>
      <c r="AA66" s="449"/>
      <c r="AB66" s="449"/>
      <c r="AC66" s="449"/>
      <c r="AD66" s="449"/>
      <c r="AE66" s="449"/>
    </row>
    <row r="67">
      <c r="A67" s="451" t="s">
        <v>867</v>
      </c>
      <c r="B67" s="451" t="s">
        <v>863</v>
      </c>
      <c r="C67" s="452">
        <v>45492.49791666667</v>
      </c>
      <c r="D67" s="451">
        <v>20.0</v>
      </c>
      <c r="E67" s="451">
        <v>0.0998931</v>
      </c>
      <c r="F67" s="451" t="s">
        <v>864</v>
      </c>
      <c r="G67" s="451">
        <v>22.5</v>
      </c>
      <c r="H67" s="451">
        <v>1136.46468</v>
      </c>
      <c r="I67" s="451">
        <v>0.999892</v>
      </c>
      <c r="J67" s="451">
        <v>0.414157</v>
      </c>
      <c r="K67" s="451">
        <v>2068.6</v>
      </c>
      <c r="L67" s="451">
        <v>3.5108</v>
      </c>
      <c r="M67" s="434" t="str">
        <f t="shared" si="1"/>
        <v>#VALUE!</v>
      </c>
      <c r="N67" s="435" t="str">
        <f t="shared" si="2"/>
        <v>#VALUE!</v>
      </c>
      <c r="O67" s="436" t="str">
        <f t="shared" si="3"/>
        <v>#VALUE!</v>
      </c>
      <c r="P67" s="437" t="s">
        <v>280</v>
      </c>
      <c r="Q67" s="454" t="s">
        <v>13</v>
      </c>
      <c r="R67" s="455"/>
      <c r="S67" s="85"/>
      <c r="T67" s="85"/>
      <c r="U67" s="85"/>
      <c r="V67" s="85"/>
      <c r="W67" s="85"/>
      <c r="X67" s="85"/>
      <c r="Y67" s="86"/>
      <c r="Z67" s="449"/>
      <c r="AA67" s="449"/>
      <c r="AB67" s="449"/>
      <c r="AC67" s="449"/>
      <c r="AD67" s="449"/>
      <c r="AE67" s="449"/>
    </row>
    <row r="68">
      <c r="A68" s="451" t="s">
        <v>908</v>
      </c>
      <c r="B68" s="451" t="s">
        <v>863</v>
      </c>
      <c r="C68" s="452">
        <v>45492.513194444444</v>
      </c>
      <c r="D68" s="451">
        <v>20.0</v>
      </c>
      <c r="E68" s="451">
        <v>0.0998931</v>
      </c>
      <c r="F68" s="451" t="s">
        <v>864</v>
      </c>
      <c r="G68" s="451">
        <v>22.5</v>
      </c>
      <c r="H68" s="451">
        <v>1136.12554</v>
      </c>
      <c r="I68" s="451">
        <v>0.999951</v>
      </c>
      <c r="J68" s="451">
        <v>0.413341</v>
      </c>
      <c r="K68" s="451">
        <v>2064.5</v>
      </c>
      <c r="L68" s="451">
        <v>2.8804</v>
      </c>
      <c r="M68" s="434" t="str">
        <f t="shared" si="1"/>
        <v>#VALUE!</v>
      </c>
      <c r="N68" s="435" t="str">
        <f t="shared" si="2"/>
        <v>#VALUE!</v>
      </c>
      <c r="O68" s="436" t="str">
        <f t="shared" si="3"/>
        <v>#VALUE!</v>
      </c>
      <c r="P68" s="437" t="s">
        <v>280</v>
      </c>
      <c r="Q68" s="454" t="s">
        <v>13</v>
      </c>
      <c r="R68" s="455"/>
      <c r="S68" s="85"/>
      <c r="T68" s="85"/>
      <c r="U68" s="85"/>
      <c r="V68" s="85"/>
      <c r="W68" s="85"/>
      <c r="X68" s="85"/>
      <c r="Y68" s="86"/>
      <c r="Z68" s="449"/>
      <c r="AA68" s="449"/>
      <c r="AB68" s="449"/>
      <c r="AC68" s="449"/>
      <c r="AD68" s="449"/>
      <c r="AE68" s="449"/>
    </row>
    <row r="69">
      <c r="A69" s="451" t="s">
        <v>909</v>
      </c>
      <c r="B69" s="451" t="s">
        <v>863</v>
      </c>
      <c r="C69" s="452">
        <v>45492.52222222222</v>
      </c>
      <c r="D69" s="451">
        <v>20.0</v>
      </c>
      <c r="E69" s="451">
        <v>0.0998931</v>
      </c>
      <c r="F69" s="451" t="s">
        <v>864</v>
      </c>
      <c r="G69" s="451">
        <v>22.5</v>
      </c>
      <c r="H69" s="451">
        <v>1147.54946</v>
      </c>
      <c r="I69" s="451">
        <v>0.999962</v>
      </c>
      <c r="J69" s="451">
        <v>0.413417</v>
      </c>
      <c r="K69" s="451">
        <v>2064.9</v>
      </c>
      <c r="L69" s="451">
        <v>0.2691</v>
      </c>
      <c r="M69" s="434" t="str">
        <f t="shared" si="1"/>
        <v>#VALUE!</v>
      </c>
      <c r="N69" s="435" t="str">
        <f t="shared" si="2"/>
        <v>#VALUE!</v>
      </c>
      <c r="O69" s="436" t="str">
        <f t="shared" si="3"/>
        <v>#VALUE!</v>
      </c>
      <c r="P69" s="437" t="s">
        <v>280</v>
      </c>
      <c r="Q69" s="454" t="s">
        <v>13</v>
      </c>
      <c r="R69" s="455"/>
      <c r="S69" s="85"/>
      <c r="T69" s="85"/>
      <c r="U69" s="85"/>
      <c r="V69" s="85"/>
      <c r="W69" s="85"/>
      <c r="X69" s="85"/>
      <c r="Y69" s="86"/>
      <c r="Z69" s="449"/>
      <c r="AA69" s="449"/>
      <c r="AB69" s="449"/>
      <c r="AC69" s="449"/>
      <c r="AD69" s="449"/>
      <c r="AE69" s="449"/>
    </row>
    <row r="70">
      <c r="A70" s="451" t="s">
        <v>910</v>
      </c>
      <c r="B70" s="451" t="s">
        <v>863</v>
      </c>
      <c r="C70" s="452">
        <v>45492.52916666667</v>
      </c>
      <c r="D70" s="451">
        <v>20.0</v>
      </c>
      <c r="E70" s="451">
        <v>0.0998931</v>
      </c>
      <c r="F70" s="451" t="s">
        <v>864</v>
      </c>
      <c r="G70" s="451">
        <v>22.5</v>
      </c>
      <c r="H70" s="451">
        <v>1137.73578</v>
      </c>
      <c r="I70" s="451">
        <v>0.999974</v>
      </c>
      <c r="J70" s="451">
        <v>0.412873</v>
      </c>
      <c r="K70" s="451">
        <v>2062.2</v>
      </c>
      <c r="L70" s="451">
        <v>1.9227</v>
      </c>
      <c r="M70" s="434" t="str">
        <f t="shared" si="1"/>
        <v>#VALUE!</v>
      </c>
      <c r="N70" s="435" t="str">
        <f t="shared" si="2"/>
        <v>#VALUE!</v>
      </c>
      <c r="O70" s="436" t="str">
        <f t="shared" si="3"/>
        <v>#VALUE!</v>
      </c>
      <c r="P70" s="437" t="s">
        <v>280</v>
      </c>
      <c r="Q70" s="454" t="s">
        <v>13</v>
      </c>
      <c r="R70" s="455"/>
      <c r="S70" s="85"/>
      <c r="T70" s="85"/>
      <c r="U70" s="85"/>
      <c r="V70" s="85"/>
      <c r="W70" s="85"/>
      <c r="X70" s="85"/>
      <c r="Y70" s="86"/>
      <c r="Z70" s="449"/>
      <c r="AA70" s="449"/>
      <c r="AB70" s="449"/>
      <c r="AC70" s="449"/>
      <c r="AD70" s="449"/>
      <c r="AE70" s="449"/>
    </row>
    <row r="71">
      <c r="A71" s="456" t="s">
        <v>896</v>
      </c>
      <c r="B71" s="456" t="s">
        <v>726</v>
      </c>
      <c r="C71" s="457">
        <v>45492.541666666664</v>
      </c>
      <c r="D71" s="456">
        <v>20.0</v>
      </c>
      <c r="E71" s="456">
        <v>0.0998931</v>
      </c>
      <c r="F71" s="456">
        <v>33.2</v>
      </c>
      <c r="G71" s="456">
        <v>22.5</v>
      </c>
      <c r="H71" s="456">
        <v>948.256162</v>
      </c>
      <c r="I71" s="456">
        <v>0.999788</v>
      </c>
      <c r="J71" s="456">
        <v>0.451171</v>
      </c>
      <c r="K71" s="456">
        <v>2253.4</v>
      </c>
      <c r="L71" s="453"/>
      <c r="M71" s="434">
        <f t="shared" si="1"/>
        <v>1.02271245</v>
      </c>
      <c r="N71" s="435">
        <f t="shared" si="2"/>
        <v>2203.356378</v>
      </c>
      <c r="O71" s="436">
        <f t="shared" si="3"/>
        <v>2203.356378</v>
      </c>
      <c r="P71" s="437" t="s">
        <v>12</v>
      </c>
      <c r="Q71" s="454" t="s">
        <v>13</v>
      </c>
      <c r="R71" s="455"/>
      <c r="S71" s="85"/>
      <c r="T71" s="85"/>
      <c r="U71" s="85"/>
      <c r="V71" s="85"/>
      <c r="W71" s="85"/>
      <c r="X71" s="85"/>
      <c r="Y71" s="86"/>
      <c r="Z71" s="449"/>
      <c r="AA71" s="449"/>
      <c r="AB71" s="449"/>
      <c r="AC71" s="449"/>
      <c r="AD71" s="449"/>
      <c r="AE71" s="449"/>
    </row>
    <row r="72">
      <c r="A72" s="451" t="s">
        <v>872</v>
      </c>
      <c r="B72" s="451">
        <v>300.0</v>
      </c>
      <c r="C72" s="452">
        <v>45492.56875</v>
      </c>
      <c r="D72" s="451">
        <v>20.0</v>
      </c>
      <c r="E72" s="451">
        <v>0.0998931</v>
      </c>
      <c r="F72" s="451">
        <v>37.4</v>
      </c>
      <c r="G72" s="451">
        <v>22.5</v>
      </c>
      <c r="H72" s="451">
        <v>968.159571</v>
      </c>
      <c r="I72" s="451">
        <v>0.999839</v>
      </c>
      <c r="J72" s="451">
        <v>0.483432</v>
      </c>
      <c r="K72" s="451">
        <v>2414.6</v>
      </c>
      <c r="L72" s="453"/>
      <c r="M72" s="434">
        <f t="shared" si="1"/>
        <v>1.025901482</v>
      </c>
      <c r="N72" s="435">
        <f t="shared" si="2"/>
        <v>2353.637307</v>
      </c>
      <c r="O72" s="436">
        <f t="shared" si="3"/>
        <v>2353.637307</v>
      </c>
      <c r="P72" s="437" t="s">
        <v>12</v>
      </c>
      <c r="Q72" s="454" t="s">
        <v>13</v>
      </c>
      <c r="R72" s="455"/>
      <c r="S72" s="85"/>
      <c r="T72" s="85"/>
      <c r="U72" s="85"/>
      <c r="V72" s="85"/>
      <c r="W72" s="85"/>
      <c r="X72" s="85"/>
      <c r="Y72" s="86"/>
      <c r="Z72" s="449"/>
      <c r="AA72" s="449"/>
      <c r="AB72" s="449"/>
      <c r="AC72" s="449"/>
      <c r="AD72" s="449"/>
      <c r="AE72" s="449"/>
    </row>
    <row r="73">
      <c r="A73" s="451" t="s">
        <v>873</v>
      </c>
      <c r="B73" s="451">
        <v>301.0</v>
      </c>
      <c r="C73" s="452">
        <v>45492.575694444444</v>
      </c>
      <c r="D73" s="451">
        <v>20.0</v>
      </c>
      <c r="E73" s="451">
        <v>0.0998931</v>
      </c>
      <c r="F73" s="451">
        <v>37.5</v>
      </c>
      <c r="G73" s="451">
        <v>22.5</v>
      </c>
      <c r="H73" s="451">
        <v>955.166602</v>
      </c>
      <c r="I73" s="451">
        <v>0.999881</v>
      </c>
      <c r="J73" s="451">
        <v>0.484277</v>
      </c>
      <c r="K73" s="451">
        <v>2418.8</v>
      </c>
      <c r="L73" s="453"/>
      <c r="M73" s="434">
        <f t="shared" si="1"/>
        <v>1.025977504</v>
      </c>
      <c r="N73" s="435">
        <f t="shared" si="2"/>
        <v>2357.556564</v>
      </c>
      <c r="O73" s="436">
        <f t="shared" si="3"/>
        <v>2357.556564</v>
      </c>
      <c r="P73" s="437" t="s">
        <v>12</v>
      </c>
      <c r="Q73" s="454" t="s">
        <v>13</v>
      </c>
      <c r="R73" s="455"/>
      <c r="S73" s="85"/>
      <c r="T73" s="85"/>
      <c r="U73" s="85"/>
      <c r="V73" s="85"/>
      <c r="W73" s="85"/>
      <c r="X73" s="85"/>
      <c r="Y73" s="86"/>
      <c r="Z73" s="449"/>
      <c r="AA73" s="449"/>
      <c r="AB73" s="449"/>
      <c r="AC73" s="449"/>
      <c r="AD73" s="449"/>
      <c r="AE73" s="449"/>
    </row>
    <row r="74">
      <c r="A74" s="451" t="s">
        <v>874</v>
      </c>
      <c r="B74" s="451">
        <v>196.0</v>
      </c>
      <c r="C74" s="452">
        <v>45492.58472222222</v>
      </c>
      <c r="D74" s="451">
        <v>20.0</v>
      </c>
      <c r="E74" s="451">
        <v>0.0998931</v>
      </c>
      <c r="F74" s="451">
        <v>37.4</v>
      </c>
      <c r="G74" s="451">
        <v>22.5</v>
      </c>
      <c r="H74" s="451">
        <v>973.308645</v>
      </c>
      <c r="I74" s="451">
        <v>0.999833</v>
      </c>
      <c r="J74" s="451">
        <v>0.482567</v>
      </c>
      <c r="K74" s="451">
        <v>2410.3</v>
      </c>
      <c r="L74" s="453"/>
      <c r="M74" s="434">
        <f t="shared" si="1"/>
        <v>1.025901482</v>
      </c>
      <c r="N74" s="435">
        <f t="shared" si="2"/>
        <v>2349.445871</v>
      </c>
      <c r="O74" s="436">
        <f t="shared" si="3"/>
        <v>2349.445871</v>
      </c>
      <c r="P74" s="437" t="s">
        <v>12</v>
      </c>
      <c r="Q74" s="454" t="s">
        <v>13</v>
      </c>
      <c r="R74" s="455"/>
      <c r="S74" s="85"/>
      <c r="T74" s="85"/>
      <c r="U74" s="85"/>
      <c r="V74" s="85"/>
      <c r="W74" s="85"/>
      <c r="X74" s="85"/>
      <c r="Y74" s="86"/>
      <c r="Z74" s="449"/>
      <c r="AA74" s="449"/>
      <c r="AB74" s="449"/>
      <c r="AC74" s="449"/>
      <c r="AD74" s="449"/>
      <c r="AE74" s="449"/>
    </row>
    <row r="75">
      <c r="A75" s="451" t="s">
        <v>875</v>
      </c>
      <c r="B75" s="451">
        <v>197.0</v>
      </c>
      <c r="C75" s="452">
        <v>45492.59097222222</v>
      </c>
      <c r="D75" s="451">
        <v>20.0</v>
      </c>
      <c r="E75" s="451">
        <v>0.0998931</v>
      </c>
      <c r="F75" s="451">
        <v>37.5</v>
      </c>
      <c r="G75" s="451">
        <v>22.5</v>
      </c>
      <c r="H75" s="451">
        <v>950.641272</v>
      </c>
      <c r="I75" s="451">
        <v>0.999797</v>
      </c>
      <c r="J75" s="451">
        <v>0.483184</v>
      </c>
      <c r="K75" s="451">
        <v>2413.3</v>
      </c>
      <c r="L75" s="453"/>
      <c r="M75" s="434">
        <f t="shared" si="1"/>
        <v>1.025977504</v>
      </c>
      <c r="N75" s="435">
        <f t="shared" si="2"/>
        <v>2352.195823</v>
      </c>
      <c r="O75" s="436">
        <f t="shared" si="3"/>
        <v>2352.195823</v>
      </c>
      <c r="P75" s="437" t="s">
        <v>12</v>
      </c>
      <c r="Q75" s="454" t="s">
        <v>13</v>
      </c>
      <c r="R75" s="455"/>
      <c r="S75" s="85"/>
      <c r="T75" s="85"/>
      <c r="U75" s="85"/>
      <c r="V75" s="85"/>
      <c r="W75" s="85"/>
      <c r="X75" s="85"/>
      <c r="Y75" s="86"/>
      <c r="Z75" s="449"/>
      <c r="AA75" s="449"/>
      <c r="AB75" s="449"/>
      <c r="AC75" s="449"/>
      <c r="AD75" s="449"/>
      <c r="AE75" s="449"/>
    </row>
    <row r="76">
      <c r="A76" s="451" t="s">
        <v>876</v>
      </c>
      <c r="B76" s="451">
        <v>339.0</v>
      </c>
      <c r="C76" s="452">
        <v>45492.59861111111</v>
      </c>
      <c r="D76" s="451">
        <v>20.0</v>
      </c>
      <c r="E76" s="451">
        <v>0.0998931</v>
      </c>
      <c r="F76" s="451">
        <v>37.4</v>
      </c>
      <c r="G76" s="451">
        <v>22.5</v>
      </c>
      <c r="H76" s="451">
        <v>951.9789</v>
      </c>
      <c r="I76" s="451">
        <v>0.999866</v>
      </c>
      <c r="J76" s="451">
        <v>0.487296</v>
      </c>
      <c r="K76" s="451">
        <v>2433.9</v>
      </c>
      <c r="L76" s="453"/>
      <c r="M76" s="434">
        <f t="shared" si="1"/>
        <v>1.025901482</v>
      </c>
      <c r="N76" s="435">
        <f t="shared" si="2"/>
        <v>2372.450029</v>
      </c>
      <c r="O76" s="436">
        <f t="shared" si="3"/>
        <v>2372.450029</v>
      </c>
      <c r="P76" s="437" t="s">
        <v>12</v>
      </c>
      <c r="Q76" s="454" t="s">
        <v>13</v>
      </c>
      <c r="R76" s="455"/>
      <c r="S76" s="85"/>
      <c r="T76" s="85"/>
      <c r="U76" s="85"/>
      <c r="V76" s="85"/>
      <c r="W76" s="85"/>
      <c r="X76" s="85"/>
      <c r="Y76" s="86"/>
      <c r="Z76" s="449"/>
      <c r="AA76" s="449"/>
      <c r="AB76" s="449"/>
      <c r="AC76" s="449"/>
      <c r="AD76" s="449"/>
      <c r="AE76" s="449"/>
    </row>
    <row r="77">
      <c r="A77" s="451" t="s">
        <v>877</v>
      </c>
      <c r="B77" s="451">
        <v>340.0</v>
      </c>
      <c r="C77" s="452">
        <v>45492.60625</v>
      </c>
      <c r="D77" s="451">
        <v>20.0</v>
      </c>
      <c r="E77" s="451">
        <v>0.0998931</v>
      </c>
      <c r="F77" s="451">
        <v>37.4</v>
      </c>
      <c r="G77" s="451">
        <v>22.5</v>
      </c>
      <c r="H77" s="451">
        <v>962.482813</v>
      </c>
      <c r="I77" s="451">
        <v>0.999758</v>
      </c>
      <c r="J77" s="451">
        <v>0.485644</v>
      </c>
      <c r="K77" s="451">
        <v>2425.6</v>
      </c>
      <c r="L77" s="453"/>
      <c r="M77" s="434">
        <f t="shared" si="1"/>
        <v>1.025901482</v>
      </c>
      <c r="N77" s="435">
        <f t="shared" si="2"/>
        <v>2364.359584</v>
      </c>
      <c r="O77" s="436">
        <f t="shared" si="3"/>
        <v>2364.359584</v>
      </c>
      <c r="P77" s="437" t="s">
        <v>12</v>
      </c>
      <c r="Q77" s="454" t="s">
        <v>13</v>
      </c>
      <c r="R77" s="455"/>
      <c r="S77" s="85"/>
      <c r="T77" s="85"/>
      <c r="U77" s="85"/>
      <c r="V77" s="85"/>
      <c r="W77" s="85"/>
      <c r="X77" s="85"/>
      <c r="Y77" s="86"/>
      <c r="Z77" s="449"/>
      <c r="AA77" s="449"/>
      <c r="AB77" s="449"/>
      <c r="AC77" s="449"/>
      <c r="AD77" s="449"/>
      <c r="AE77" s="449"/>
    </row>
    <row r="78">
      <c r="A78" s="451" t="s">
        <v>878</v>
      </c>
      <c r="B78" s="451">
        <v>248.0</v>
      </c>
      <c r="C78" s="452">
        <v>45492.614583333336</v>
      </c>
      <c r="D78" s="451">
        <v>20.0</v>
      </c>
      <c r="E78" s="451">
        <v>0.0998931</v>
      </c>
      <c r="F78" s="451">
        <v>37.4</v>
      </c>
      <c r="G78" s="451">
        <v>22.5</v>
      </c>
      <c r="H78" s="451">
        <v>947.324739</v>
      </c>
      <c r="I78" s="451">
        <v>0.999815</v>
      </c>
      <c r="J78" s="451">
        <v>0.486296</v>
      </c>
      <c r="K78" s="451">
        <v>2428.9</v>
      </c>
      <c r="L78" s="453"/>
      <c r="M78" s="434">
        <f t="shared" si="1"/>
        <v>1.025901482</v>
      </c>
      <c r="N78" s="435">
        <f t="shared" si="2"/>
        <v>2367.576267</v>
      </c>
      <c r="O78" s="436">
        <f t="shared" si="3"/>
        <v>2367.576267</v>
      </c>
      <c r="P78" s="437" t="s">
        <v>12</v>
      </c>
      <c r="Q78" s="454" t="s">
        <v>13</v>
      </c>
      <c r="R78" s="455"/>
      <c r="S78" s="85"/>
      <c r="T78" s="85"/>
      <c r="U78" s="85"/>
      <c r="V78" s="85"/>
      <c r="W78" s="85"/>
      <c r="X78" s="85"/>
      <c r="Y78" s="86"/>
      <c r="Z78" s="449"/>
      <c r="AA78" s="449"/>
      <c r="AB78" s="449"/>
      <c r="AC78" s="449"/>
      <c r="AD78" s="449"/>
      <c r="AE78" s="449"/>
    </row>
    <row r="79">
      <c r="A79" s="451" t="s">
        <v>879</v>
      </c>
      <c r="B79" s="451">
        <v>249.0</v>
      </c>
      <c r="C79" s="452">
        <v>45492.62152777778</v>
      </c>
      <c r="D79" s="451">
        <v>20.0</v>
      </c>
      <c r="E79" s="451">
        <v>0.0998931</v>
      </c>
      <c r="F79" s="451">
        <v>37.5</v>
      </c>
      <c r="G79" s="451">
        <v>22.5</v>
      </c>
      <c r="H79" s="451">
        <v>949.569487</v>
      </c>
      <c r="I79" s="451">
        <v>0.999791</v>
      </c>
      <c r="J79" s="451">
        <v>0.487069</v>
      </c>
      <c r="K79" s="451">
        <v>2432.7</v>
      </c>
      <c r="L79" s="453"/>
      <c r="M79" s="434">
        <f t="shared" si="1"/>
        <v>1.025977504</v>
      </c>
      <c r="N79" s="435">
        <f t="shared" si="2"/>
        <v>2371.10462</v>
      </c>
      <c r="O79" s="436">
        <f t="shared" si="3"/>
        <v>2371.10462</v>
      </c>
      <c r="P79" s="437" t="s">
        <v>12</v>
      </c>
      <c r="Q79" s="454" t="s">
        <v>13</v>
      </c>
      <c r="R79" s="455"/>
      <c r="S79" s="85"/>
      <c r="T79" s="85"/>
      <c r="U79" s="85"/>
      <c r="V79" s="85"/>
      <c r="W79" s="85"/>
      <c r="X79" s="85"/>
      <c r="Y79" s="86"/>
      <c r="Z79" s="449"/>
      <c r="AA79" s="449"/>
      <c r="AB79" s="449"/>
      <c r="AC79" s="449"/>
      <c r="AD79" s="449"/>
      <c r="AE79" s="449"/>
    </row>
    <row r="80">
      <c r="A80" s="451" t="s">
        <v>880</v>
      </c>
      <c r="B80" s="451">
        <v>313.0</v>
      </c>
      <c r="C80" s="452">
        <v>45492.629166666666</v>
      </c>
      <c r="D80" s="451">
        <v>20.0</v>
      </c>
      <c r="E80" s="451">
        <v>0.0998931</v>
      </c>
      <c r="F80" s="451">
        <v>37.5</v>
      </c>
      <c r="G80" s="451">
        <v>22.5</v>
      </c>
      <c r="H80" s="451">
        <v>945.002669</v>
      </c>
      <c r="I80" s="451">
        <v>0.999829</v>
      </c>
      <c r="J80" s="451">
        <v>0.483841</v>
      </c>
      <c r="K80" s="451">
        <v>2416.6</v>
      </c>
      <c r="L80" s="453"/>
      <c r="M80" s="434">
        <f t="shared" si="1"/>
        <v>1.025977504</v>
      </c>
      <c r="N80" s="435">
        <f t="shared" si="2"/>
        <v>2355.412268</v>
      </c>
      <c r="O80" s="436">
        <f t="shared" si="3"/>
        <v>2355.412268</v>
      </c>
      <c r="P80" s="437" t="s">
        <v>12</v>
      </c>
      <c r="Q80" s="454" t="s">
        <v>13</v>
      </c>
      <c r="R80" s="455"/>
      <c r="S80" s="85"/>
      <c r="T80" s="85"/>
      <c r="U80" s="85"/>
      <c r="V80" s="85"/>
      <c r="W80" s="85"/>
      <c r="X80" s="85"/>
      <c r="Y80" s="86"/>
      <c r="Z80" s="449"/>
      <c r="AA80" s="449"/>
      <c r="AB80" s="449"/>
      <c r="AC80" s="449"/>
      <c r="AD80" s="449"/>
      <c r="AE80" s="449"/>
    </row>
    <row r="81">
      <c r="A81" s="451" t="s">
        <v>881</v>
      </c>
      <c r="B81" s="451">
        <v>314.0</v>
      </c>
      <c r="C81" s="452">
        <v>45492.63680555556</v>
      </c>
      <c r="D81" s="451">
        <v>20.0</v>
      </c>
      <c r="E81" s="451">
        <v>0.0998931</v>
      </c>
      <c r="F81" s="451">
        <v>37.6</v>
      </c>
      <c r="G81" s="451">
        <v>22.5</v>
      </c>
      <c r="H81" s="451">
        <v>939.70498</v>
      </c>
      <c r="I81" s="451">
        <v>0.999866</v>
      </c>
      <c r="J81" s="451">
        <v>0.484305</v>
      </c>
      <c r="K81" s="451">
        <v>2418.9</v>
      </c>
      <c r="L81" s="453"/>
      <c r="M81" s="434">
        <f t="shared" si="1"/>
        <v>1.026053531</v>
      </c>
      <c r="N81" s="435">
        <f t="shared" si="2"/>
        <v>2357.479338</v>
      </c>
      <c r="O81" s="436">
        <f t="shared" si="3"/>
        <v>2357.479338</v>
      </c>
      <c r="P81" s="437" t="s">
        <v>12</v>
      </c>
      <c r="Q81" s="454" t="s">
        <v>13</v>
      </c>
      <c r="R81" s="455"/>
      <c r="S81" s="85"/>
      <c r="T81" s="85"/>
      <c r="U81" s="85"/>
      <c r="V81" s="85"/>
      <c r="W81" s="85"/>
      <c r="X81" s="85"/>
      <c r="Y81" s="86"/>
      <c r="Z81" s="449"/>
      <c r="AA81" s="449"/>
      <c r="AB81" s="449"/>
      <c r="AC81" s="449"/>
      <c r="AD81" s="449"/>
      <c r="AE81" s="449"/>
    </row>
    <row r="82">
      <c r="A82" s="456" t="s">
        <v>882</v>
      </c>
      <c r="B82" s="456" t="s">
        <v>726</v>
      </c>
      <c r="C82" s="457">
        <v>45492.64791666667</v>
      </c>
      <c r="D82" s="456">
        <v>20.0</v>
      </c>
      <c r="E82" s="456">
        <v>0.0998931</v>
      </c>
      <c r="F82" s="456">
        <v>33.2</v>
      </c>
      <c r="G82" s="456">
        <v>22.5</v>
      </c>
      <c r="H82" s="456">
        <v>928.550436</v>
      </c>
      <c r="I82" s="456">
        <v>0.999788</v>
      </c>
      <c r="J82" s="456">
        <v>0.451168</v>
      </c>
      <c r="K82" s="456">
        <v>2253.3</v>
      </c>
      <c r="L82" s="453"/>
      <c r="M82" s="434">
        <f t="shared" si="1"/>
        <v>1.02271245</v>
      </c>
      <c r="N82" s="435">
        <f t="shared" si="2"/>
        <v>2203.258599</v>
      </c>
      <c r="O82" s="436">
        <f t="shared" si="3"/>
        <v>2203.258599</v>
      </c>
      <c r="P82" s="437" t="s">
        <v>12</v>
      </c>
      <c r="Q82" s="454" t="s">
        <v>13</v>
      </c>
      <c r="R82" s="455"/>
      <c r="S82" s="85"/>
      <c r="T82" s="85"/>
      <c r="U82" s="85"/>
      <c r="V82" s="85"/>
      <c r="W82" s="85"/>
      <c r="X82" s="85"/>
      <c r="Y82" s="86"/>
      <c r="Z82" s="449"/>
      <c r="AA82" s="449"/>
      <c r="AB82" s="449"/>
      <c r="AC82" s="449"/>
      <c r="AD82" s="449"/>
      <c r="AE82" s="449"/>
    </row>
    <row r="83">
      <c r="A83" s="451" t="s">
        <v>862</v>
      </c>
      <c r="B83" s="451" t="s">
        <v>863</v>
      </c>
      <c r="C83" s="452">
        <v>45495.39791666667</v>
      </c>
      <c r="D83" s="451">
        <v>20.0</v>
      </c>
      <c r="E83" s="451">
        <v>0.0998931</v>
      </c>
      <c r="F83" s="451">
        <v>33.2</v>
      </c>
      <c r="G83" s="451">
        <v>22.5</v>
      </c>
      <c r="H83" s="451">
        <v>1096.77692</v>
      </c>
      <c r="I83" s="451">
        <v>0.999971</v>
      </c>
      <c r="J83" s="451">
        <v>0.413265</v>
      </c>
      <c r="K83" s="451">
        <v>2064.1</v>
      </c>
      <c r="L83" s="453"/>
      <c r="M83" s="434">
        <f t="shared" si="1"/>
        <v>1.02271245</v>
      </c>
      <c r="N83" s="435">
        <f t="shared" si="2"/>
        <v>2018.260362</v>
      </c>
      <c r="O83" s="436">
        <f t="shared" si="3"/>
        <v>2018.260362</v>
      </c>
      <c r="P83" s="437" t="s">
        <v>12</v>
      </c>
      <c r="Q83" s="454" t="s">
        <v>13</v>
      </c>
      <c r="R83" s="458"/>
      <c r="S83" s="85"/>
      <c r="T83" s="85"/>
      <c r="U83" s="85"/>
      <c r="V83" s="85"/>
      <c r="W83" s="85"/>
      <c r="X83" s="85"/>
      <c r="Y83" s="86"/>
      <c r="Z83" s="449"/>
      <c r="AA83" s="449"/>
      <c r="AB83" s="449"/>
      <c r="AC83" s="449"/>
      <c r="AD83" s="449"/>
      <c r="AE83" s="449"/>
    </row>
    <row r="84">
      <c r="A84" s="451" t="s">
        <v>866</v>
      </c>
      <c r="B84" s="451" t="s">
        <v>863</v>
      </c>
      <c r="C84" s="452">
        <v>45495.40555555555</v>
      </c>
      <c r="D84" s="451">
        <v>20.0</v>
      </c>
      <c r="E84" s="451">
        <v>0.0998931</v>
      </c>
      <c r="F84" s="451">
        <v>33.2</v>
      </c>
      <c r="G84" s="451">
        <v>22.5</v>
      </c>
      <c r="H84" s="451">
        <v>1100.59579</v>
      </c>
      <c r="I84" s="451">
        <v>0.999976</v>
      </c>
      <c r="J84" s="451">
        <v>0.411955</v>
      </c>
      <c r="K84" s="451">
        <v>2057.6</v>
      </c>
      <c r="L84" s="451">
        <v>4.6278</v>
      </c>
      <c r="M84" s="434">
        <f t="shared" si="1"/>
        <v>1.02271245</v>
      </c>
      <c r="N84" s="435">
        <f t="shared" si="2"/>
        <v>2011.904714</v>
      </c>
      <c r="O84" s="436">
        <f t="shared" si="3"/>
        <v>2011.904714</v>
      </c>
      <c r="P84" s="437" t="s">
        <v>12</v>
      </c>
      <c r="Q84" s="454" t="s">
        <v>13</v>
      </c>
      <c r="R84" s="458"/>
      <c r="S84" s="85"/>
      <c r="T84" s="85"/>
      <c r="U84" s="85"/>
      <c r="V84" s="85"/>
      <c r="W84" s="85"/>
      <c r="X84" s="85"/>
      <c r="Y84" s="86"/>
      <c r="Z84" s="449"/>
      <c r="AA84" s="449"/>
      <c r="AB84" s="449"/>
      <c r="AC84" s="449"/>
      <c r="AD84" s="449"/>
      <c r="AE84" s="449"/>
    </row>
    <row r="85">
      <c r="A85" s="451" t="s">
        <v>867</v>
      </c>
      <c r="B85" s="451" t="s">
        <v>863</v>
      </c>
      <c r="C85" s="452">
        <v>45495.413194444445</v>
      </c>
      <c r="D85" s="451">
        <v>20.0</v>
      </c>
      <c r="E85" s="451">
        <v>0.0998931</v>
      </c>
      <c r="F85" s="451">
        <v>33.2</v>
      </c>
      <c r="G85" s="451">
        <v>22.5</v>
      </c>
      <c r="H85" s="451">
        <v>1100.36145</v>
      </c>
      <c r="I85" s="451">
        <v>0.999985</v>
      </c>
      <c r="J85" s="451">
        <v>0.412586</v>
      </c>
      <c r="K85" s="451">
        <v>2060.7</v>
      </c>
      <c r="L85" s="451">
        <v>2.2315</v>
      </c>
      <c r="M85" s="434">
        <f t="shared" si="1"/>
        <v>1.02271245</v>
      </c>
      <c r="N85" s="435">
        <f t="shared" si="2"/>
        <v>2014.935869</v>
      </c>
      <c r="O85" s="436">
        <f t="shared" si="3"/>
        <v>2014.935869</v>
      </c>
      <c r="P85" s="437" t="s">
        <v>12</v>
      </c>
      <c r="Q85" s="454" t="s">
        <v>13</v>
      </c>
      <c r="R85" s="458"/>
      <c r="S85" s="85"/>
      <c r="T85" s="85"/>
      <c r="U85" s="85"/>
      <c r="V85" s="85"/>
      <c r="W85" s="85"/>
      <c r="X85" s="85"/>
      <c r="Y85" s="86"/>
      <c r="Z85" s="449"/>
      <c r="AA85" s="449"/>
      <c r="AB85" s="449"/>
      <c r="AC85" s="449"/>
      <c r="AD85" s="449"/>
      <c r="AE85" s="449"/>
    </row>
    <row r="86">
      <c r="A86" s="451" t="s">
        <v>908</v>
      </c>
      <c r="B86" s="451" t="s">
        <v>863</v>
      </c>
      <c r="C86" s="452">
        <v>45495.42013888889</v>
      </c>
      <c r="D86" s="451">
        <v>20.0</v>
      </c>
      <c r="E86" s="451">
        <v>0.0998931</v>
      </c>
      <c r="F86" s="451">
        <v>33.2</v>
      </c>
      <c r="G86" s="451">
        <v>22.5</v>
      </c>
      <c r="H86" s="451">
        <v>1107.15289</v>
      </c>
      <c r="I86" s="451">
        <v>0.999979</v>
      </c>
      <c r="J86" s="451">
        <v>0.412098</v>
      </c>
      <c r="K86" s="451">
        <v>2058.3</v>
      </c>
      <c r="L86" s="451">
        <v>1.7263</v>
      </c>
      <c r="M86" s="434">
        <f t="shared" si="1"/>
        <v>1.02271245</v>
      </c>
      <c r="N86" s="435">
        <f t="shared" si="2"/>
        <v>2012.589169</v>
      </c>
      <c r="O86" s="436">
        <f t="shared" si="3"/>
        <v>2012.589169</v>
      </c>
      <c r="P86" s="437" t="s">
        <v>12</v>
      </c>
      <c r="Q86" s="454" t="s">
        <v>13</v>
      </c>
      <c r="R86" s="458"/>
      <c r="S86" s="85"/>
      <c r="T86" s="85"/>
      <c r="U86" s="85"/>
      <c r="V86" s="85"/>
      <c r="W86" s="85"/>
      <c r="X86" s="85"/>
      <c r="Y86" s="86"/>
      <c r="Z86" s="449"/>
      <c r="AA86" s="449"/>
      <c r="AB86" s="449"/>
      <c r="AC86" s="449"/>
      <c r="AD86" s="449"/>
      <c r="AE86" s="449"/>
    </row>
    <row r="87">
      <c r="A87" s="456" t="s">
        <v>896</v>
      </c>
      <c r="B87" s="456" t="s">
        <v>911</v>
      </c>
      <c r="C87" s="457">
        <v>45495.43472222222</v>
      </c>
      <c r="D87" s="456">
        <v>20.0</v>
      </c>
      <c r="E87" s="456">
        <v>0.0998931</v>
      </c>
      <c r="F87" s="456">
        <v>33.2</v>
      </c>
      <c r="G87" s="456">
        <v>22.5</v>
      </c>
      <c r="H87" s="456">
        <v>1083.37881</v>
      </c>
      <c r="I87" s="456">
        <v>0.999856</v>
      </c>
      <c r="J87" s="456">
        <v>0.451357</v>
      </c>
      <c r="K87" s="456">
        <v>2252.2</v>
      </c>
      <c r="L87" s="453"/>
      <c r="M87" s="434">
        <f t="shared" si="1"/>
        <v>1.02271245</v>
      </c>
      <c r="N87" s="435">
        <f t="shared" si="2"/>
        <v>2202.183027</v>
      </c>
      <c r="O87" s="436">
        <f t="shared" si="3"/>
        <v>2202.183027</v>
      </c>
      <c r="P87" s="437" t="s">
        <v>12</v>
      </c>
      <c r="Q87" s="454" t="s">
        <v>13</v>
      </c>
      <c r="R87" s="458"/>
      <c r="S87" s="85"/>
      <c r="T87" s="85"/>
      <c r="U87" s="85"/>
      <c r="V87" s="85"/>
      <c r="W87" s="85"/>
      <c r="X87" s="85"/>
      <c r="Y87" s="86"/>
      <c r="Z87" s="449"/>
      <c r="AA87" s="449"/>
      <c r="AB87" s="449"/>
      <c r="AC87" s="449"/>
      <c r="AD87" s="449"/>
      <c r="AE87" s="449"/>
    </row>
    <row r="88">
      <c r="A88" s="451" t="s">
        <v>874</v>
      </c>
      <c r="B88" s="451">
        <v>326.0</v>
      </c>
      <c r="C88" s="452">
        <v>45495.53472222222</v>
      </c>
      <c r="D88" s="451">
        <v>20.0</v>
      </c>
      <c r="E88" s="451">
        <v>0.0998931</v>
      </c>
      <c r="F88" s="451">
        <v>36.9</v>
      </c>
      <c r="G88" s="451">
        <v>22.5</v>
      </c>
      <c r="H88" s="451">
        <v>926.929593</v>
      </c>
      <c r="I88" s="451">
        <v>0.999816</v>
      </c>
      <c r="J88" s="451">
        <v>0.483711</v>
      </c>
      <c r="K88" s="451">
        <v>2416.0</v>
      </c>
      <c r="L88" s="453"/>
      <c r="M88" s="434">
        <f t="shared" si="1"/>
        <v>1.025521435</v>
      </c>
      <c r="N88" s="435">
        <f t="shared" si="2"/>
        <v>2355.874697</v>
      </c>
      <c r="O88" s="436">
        <f t="shared" si="3"/>
        <v>2355.874697</v>
      </c>
      <c r="P88" s="437" t="s">
        <v>12</v>
      </c>
      <c r="Q88" s="454" t="s">
        <v>13</v>
      </c>
      <c r="R88" s="458"/>
      <c r="S88" s="85"/>
      <c r="T88" s="85"/>
      <c r="U88" s="85"/>
      <c r="V88" s="85"/>
      <c r="W88" s="85"/>
      <c r="X88" s="85"/>
      <c r="Y88" s="86"/>
      <c r="Z88" s="449"/>
      <c r="AA88" s="449"/>
      <c r="AB88" s="449"/>
      <c r="AC88" s="449"/>
      <c r="AD88" s="449"/>
      <c r="AE88" s="449"/>
    </row>
    <row r="89">
      <c r="A89" s="451" t="s">
        <v>875</v>
      </c>
      <c r="B89" s="451">
        <v>327.0</v>
      </c>
      <c r="C89" s="452">
        <v>45495.54375</v>
      </c>
      <c r="D89" s="451">
        <v>20.0</v>
      </c>
      <c r="E89" s="451">
        <v>0.0998931</v>
      </c>
      <c r="F89" s="451">
        <v>37.1</v>
      </c>
      <c r="G89" s="451">
        <v>22.5</v>
      </c>
      <c r="H89" s="451">
        <v>928.937955</v>
      </c>
      <c r="I89" s="451">
        <v>0.999807</v>
      </c>
      <c r="J89" s="451">
        <v>0.483023</v>
      </c>
      <c r="K89" s="451">
        <v>2412.5</v>
      </c>
      <c r="L89" s="453"/>
      <c r="M89" s="434">
        <f t="shared" si="1"/>
        <v>1.025673441</v>
      </c>
      <c r="N89" s="435">
        <f t="shared" si="2"/>
        <v>2352.113163</v>
      </c>
      <c r="O89" s="436">
        <f t="shared" si="3"/>
        <v>2352.113163</v>
      </c>
      <c r="P89" s="437" t="s">
        <v>12</v>
      </c>
      <c r="Q89" s="454" t="s">
        <v>13</v>
      </c>
      <c r="R89" s="458"/>
      <c r="S89" s="85"/>
      <c r="T89" s="85"/>
      <c r="U89" s="85"/>
      <c r="V89" s="85"/>
      <c r="W89" s="85"/>
      <c r="X89" s="85"/>
      <c r="Y89" s="86"/>
      <c r="Z89" s="449"/>
      <c r="AA89" s="449"/>
      <c r="AB89" s="449"/>
      <c r="AC89" s="449"/>
      <c r="AD89" s="449"/>
      <c r="AE89" s="449"/>
    </row>
    <row r="90">
      <c r="A90" s="451" t="s">
        <v>876</v>
      </c>
      <c r="B90" s="451">
        <v>391.0</v>
      </c>
      <c r="C90" s="452">
        <v>45495.55</v>
      </c>
      <c r="D90" s="451">
        <v>20.0</v>
      </c>
      <c r="E90" s="451">
        <v>0.0998931</v>
      </c>
      <c r="F90" s="451">
        <v>36.9</v>
      </c>
      <c r="G90" s="451">
        <v>22.5</v>
      </c>
      <c r="H90" s="451">
        <v>923.628126</v>
      </c>
      <c r="I90" s="451">
        <v>0.999794</v>
      </c>
      <c r="J90" s="451">
        <v>0.483813</v>
      </c>
      <c r="K90" s="451">
        <v>2416.5</v>
      </c>
      <c r="L90" s="453"/>
      <c r="M90" s="434">
        <f t="shared" si="1"/>
        <v>1.025521435</v>
      </c>
      <c r="N90" s="435">
        <f t="shared" si="2"/>
        <v>2356.362253</v>
      </c>
      <c r="O90" s="436">
        <f t="shared" si="3"/>
        <v>2356.362253</v>
      </c>
      <c r="P90" s="437" t="s">
        <v>12</v>
      </c>
      <c r="Q90" s="454" t="s">
        <v>13</v>
      </c>
      <c r="R90" s="458"/>
      <c r="S90" s="85"/>
      <c r="T90" s="85"/>
      <c r="U90" s="85"/>
      <c r="V90" s="85"/>
      <c r="W90" s="85"/>
      <c r="X90" s="85"/>
      <c r="Y90" s="86"/>
      <c r="Z90" s="449"/>
      <c r="AA90" s="449"/>
      <c r="AB90" s="449"/>
      <c r="AC90" s="449"/>
      <c r="AD90" s="449"/>
      <c r="AE90" s="449"/>
    </row>
    <row r="91">
      <c r="A91" s="451" t="s">
        <v>877</v>
      </c>
      <c r="B91" s="451">
        <v>392.0</v>
      </c>
      <c r="C91" s="452">
        <v>45495.55625</v>
      </c>
      <c r="D91" s="451">
        <v>20.0</v>
      </c>
      <c r="E91" s="451">
        <v>0.0998931</v>
      </c>
      <c r="F91" s="451">
        <v>37.1</v>
      </c>
      <c r="G91" s="451">
        <v>22.5</v>
      </c>
      <c r="H91" s="451">
        <v>925.897106</v>
      </c>
      <c r="I91" s="451">
        <v>0.999819</v>
      </c>
      <c r="J91" s="451">
        <v>0.48274</v>
      </c>
      <c r="K91" s="451">
        <v>2411.1</v>
      </c>
      <c r="L91" s="453"/>
      <c r="M91" s="434">
        <f t="shared" si="1"/>
        <v>1.025673441</v>
      </c>
      <c r="N91" s="435">
        <f t="shared" si="2"/>
        <v>2350.748206</v>
      </c>
      <c r="O91" s="436">
        <f t="shared" si="3"/>
        <v>2350.748206</v>
      </c>
      <c r="P91" s="437" t="s">
        <v>12</v>
      </c>
      <c r="Q91" s="454" t="s">
        <v>13</v>
      </c>
      <c r="R91" s="458"/>
      <c r="S91" s="85"/>
      <c r="T91" s="85"/>
      <c r="U91" s="85"/>
      <c r="V91" s="85"/>
      <c r="W91" s="85"/>
      <c r="X91" s="85"/>
      <c r="Y91" s="86"/>
      <c r="Z91" s="449"/>
      <c r="AA91" s="449"/>
      <c r="AB91" s="449"/>
      <c r="AC91" s="449"/>
      <c r="AD91" s="449"/>
      <c r="AE91" s="449"/>
    </row>
    <row r="92">
      <c r="A92" s="451" t="s">
        <v>878</v>
      </c>
      <c r="B92" s="451">
        <v>352.0</v>
      </c>
      <c r="C92" s="452">
        <v>45495.56597222222</v>
      </c>
      <c r="D92" s="451">
        <v>20.0</v>
      </c>
      <c r="E92" s="451">
        <v>0.0998931</v>
      </c>
      <c r="F92" s="451">
        <v>36.8</v>
      </c>
      <c r="G92" s="451">
        <v>22.5</v>
      </c>
      <c r="H92" s="451">
        <v>919.159247</v>
      </c>
      <c r="I92" s="451">
        <v>0.999787</v>
      </c>
      <c r="J92" s="451">
        <v>0.48036</v>
      </c>
      <c r="K92" s="451">
        <v>2399.2</v>
      </c>
      <c r="L92" s="453"/>
      <c r="M92" s="434">
        <f t="shared" si="1"/>
        <v>1.025445439</v>
      </c>
      <c r="N92" s="435">
        <f t="shared" si="2"/>
        <v>2339.666167</v>
      </c>
      <c r="O92" s="436">
        <f t="shared" si="3"/>
        <v>2339.666167</v>
      </c>
      <c r="P92" s="437" t="s">
        <v>12</v>
      </c>
      <c r="Q92" s="454" t="s">
        <v>13</v>
      </c>
      <c r="R92" s="458"/>
      <c r="S92" s="85"/>
      <c r="T92" s="85"/>
      <c r="U92" s="85"/>
      <c r="V92" s="85"/>
      <c r="W92" s="85"/>
      <c r="X92" s="85"/>
      <c r="Y92" s="86"/>
      <c r="Z92" s="449"/>
      <c r="AA92" s="449"/>
      <c r="AB92" s="449"/>
      <c r="AC92" s="449"/>
      <c r="AD92" s="449"/>
      <c r="AE92" s="449"/>
    </row>
    <row r="93">
      <c r="A93" s="451" t="s">
        <v>879</v>
      </c>
      <c r="B93" s="451">
        <v>353.0</v>
      </c>
      <c r="C93" s="452">
        <v>45495.57777777778</v>
      </c>
      <c r="D93" s="451">
        <v>20.0</v>
      </c>
      <c r="E93" s="451">
        <v>0.0998931</v>
      </c>
      <c r="F93" s="451">
        <v>37.2</v>
      </c>
      <c r="G93" s="451">
        <v>22.5</v>
      </c>
      <c r="H93" s="451">
        <v>927.520445</v>
      </c>
      <c r="I93" s="451">
        <v>0.999832</v>
      </c>
      <c r="J93" s="451">
        <v>0.483653</v>
      </c>
      <c r="K93" s="451">
        <v>2415.7</v>
      </c>
      <c r="L93" s="453"/>
      <c r="M93" s="434">
        <f t="shared" si="1"/>
        <v>1.02574945</v>
      </c>
      <c r="N93" s="435">
        <f t="shared" si="2"/>
        <v>2355.058538</v>
      </c>
      <c r="O93" s="436">
        <f t="shared" si="3"/>
        <v>2355.058538</v>
      </c>
      <c r="P93" s="437" t="s">
        <v>12</v>
      </c>
      <c r="Q93" s="454" t="s">
        <v>13</v>
      </c>
      <c r="R93" s="458"/>
      <c r="S93" s="85"/>
      <c r="T93" s="85"/>
      <c r="U93" s="85"/>
      <c r="V93" s="85"/>
      <c r="W93" s="85"/>
      <c r="X93" s="85"/>
      <c r="Y93" s="86"/>
      <c r="Z93" s="449"/>
      <c r="AA93" s="449"/>
      <c r="AB93" s="449"/>
      <c r="AC93" s="449"/>
      <c r="AD93" s="449"/>
      <c r="AE93" s="449"/>
    </row>
    <row r="94">
      <c r="A94" s="451" t="s">
        <v>880</v>
      </c>
      <c r="B94" s="451">
        <v>365.0</v>
      </c>
      <c r="C94" s="452">
        <v>45495.5875</v>
      </c>
      <c r="D94" s="451">
        <v>20.0</v>
      </c>
      <c r="E94" s="451">
        <v>0.0998931</v>
      </c>
      <c r="F94" s="451">
        <v>37.2</v>
      </c>
      <c r="G94" s="451">
        <v>22.5</v>
      </c>
      <c r="H94" s="451">
        <v>925.61801</v>
      </c>
      <c r="I94" s="451">
        <v>0.999793</v>
      </c>
      <c r="J94" s="451">
        <v>0.48348</v>
      </c>
      <c r="K94" s="451">
        <v>2414.8</v>
      </c>
      <c r="L94" s="453"/>
      <c r="M94" s="434">
        <f t="shared" si="1"/>
        <v>1.02574945</v>
      </c>
      <c r="N94" s="435">
        <f t="shared" si="2"/>
        <v>2354.181131</v>
      </c>
      <c r="O94" s="436">
        <f t="shared" si="3"/>
        <v>2354.181131</v>
      </c>
      <c r="P94" s="437" t="s">
        <v>12</v>
      </c>
      <c r="Q94" s="454" t="s">
        <v>13</v>
      </c>
      <c r="R94" s="458"/>
      <c r="S94" s="459"/>
      <c r="T94" s="459"/>
      <c r="U94" s="85"/>
      <c r="V94" s="85"/>
      <c r="W94" s="85"/>
      <c r="X94" s="85"/>
      <c r="Y94" s="86"/>
      <c r="Z94" s="86"/>
      <c r="AA94" s="86"/>
      <c r="AB94" s="86"/>
      <c r="AC94" s="86"/>
      <c r="AD94" s="86"/>
      <c r="AE94" s="86"/>
    </row>
    <row r="95">
      <c r="A95" s="451" t="s">
        <v>881</v>
      </c>
      <c r="B95" s="451">
        <v>366.0</v>
      </c>
      <c r="C95" s="452">
        <v>45495.595138888886</v>
      </c>
      <c r="D95" s="451">
        <v>20.0</v>
      </c>
      <c r="E95" s="451">
        <v>0.0998931</v>
      </c>
      <c r="F95" s="451">
        <v>37.3</v>
      </c>
      <c r="G95" s="451">
        <v>22.5</v>
      </c>
      <c r="H95" s="451">
        <v>925.824202</v>
      </c>
      <c r="I95" s="451">
        <v>0.999824</v>
      </c>
      <c r="J95" s="451">
        <v>0.484023</v>
      </c>
      <c r="K95" s="451">
        <v>2417.5</v>
      </c>
      <c r="L95" s="453"/>
      <c r="M95" s="434">
        <f t="shared" si="1"/>
        <v>1.025825464</v>
      </c>
      <c r="N95" s="435">
        <f t="shared" si="2"/>
        <v>2356.638713</v>
      </c>
      <c r="O95" s="436">
        <f t="shared" si="3"/>
        <v>2356.638713</v>
      </c>
      <c r="P95" s="437" t="s">
        <v>12</v>
      </c>
      <c r="Q95" s="454" t="s">
        <v>13</v>
      </c>
      <c r="R95" s="458"/>
      <c r="S95" s="459"/>
      <c r="T95" s="459"/>
      <c r="U95" s="85"/>
      <c r="V95" s="85"/>
      <c r="W95" s="85"/>
      <c r="X95" s="85"/>
      <c r="Y95" s="86"/>
      <c r="Z95" s="86"/>
      <c r="AA95" s="86"/>
      <c r="AB95" s="86"/>
      <c r="AC95" s="86"/>
      <c r="AD95" s="86"/>
      <c r="AE95" s="86"/>
    </row>
    <row r="96">
      <c r="A96" s="451" t="s">
        <v>882</v>
      </c>
      <c r="B96" s="451">
        <v>443.0</v>
      </c>
      <c r="C96" s="452">
        <v>45495.600694444445</v>
      </c>
      <c r="D96" s="451">
        <v>20.0</v>
      </c>
      <c r="E96" s="451">
        <v>0.0998931</v>
      </c>
      <c r="F96" s="451">
        <v>36.8</v>
      </c>
      <c r="G96" s="451">
        <v>22.5</v>
      </c>
      <c r="H96" s="451">
        <v>933.170487</v>
      </c>
      <c r="I96" s="451">
        <v>0.999807</v>
      </c>
      <c r="J96" s="451">
        <v>0.483272</v>
      </c>
      <c r="K96" s="451">
        <v>2413.8</v>
      </c>
      <c r="L96" s="453"/>
      <c r="M96" s="434">
        <f t="shared" si="1"/>
        <v>1.025445439</v>
      </c>
      <c r="N96" s="435">
        <f t="shared" si="2"/>
        <v>2353.903882</v>
      </c>
      <c r="O96" s="436">
        <f t="shared" si="3"/>
        <v>2353.903882</v>
      </c>
      <c r="P96" s="437" t="s">
        <v>12</v>
      </c>
      <c r="Q96" s="454" t="s">
        <v>13</v>
      </c>
      <c r="R96" s="458"/>
      <c r="S96" s="459"/>
      <c r="T96" s="459"/>
      <c r="U96" s="85"/>
      <c r="V96" s="85"/>
      <c r="W96" s="85"/>
      <c r="X96" s="85"/>
      <c r="Y96" s="86"/>
      <c r="Z96" s="86"/>
      <c r="AA96" s="86"/>
      <c r="AB96" s="86"/>
      <c r="AC96" s="86"/>
      <c r="AD96" s="86"/>
      <c r="AE96" s="86"/>
    </row>
    <row r="97">
      <c r="A97" s="451" t="s">
        <v>883</v>
      </c>
      <c r="B97" s="451">
        <v>444.0</v>
      </c>
      <c r="C97" s="452">
        <v>45495.61319444444</v>
      </c>
      <c r="D97" s="451">
        <v>20.0</v>
      </c>
      <c r="E97" s="451">
        <v>0.0998931</v>
      </c>
      <c r="F97" s="451">
        <v>36.9</v>
      </c>
      <c r="G97" s="451">
        <v>22.5</v>
      </c>
      <c r="H97" s="451">
        <v>924.906799</v>
      </c>
      <c r="I97" s="451">
        <v>0.999731</v>
      </c>
      <c r="J97" s="451">
        <v>0.484477</v>
      </c>
      <c r="K97" s="451">
        <v>2419.8</v>
      </c>
      <c r="L97" s="453"/>
      <c r="M97" s="434">
        <f t="shared" si="1"/>
        <v>1.025521435</v>
      </c>
      <c r="N97" s="435">
        <f t="shared" si="2"/>
        <v>2359.580129</v>
      </c>
      <c r="O97" s="436">
        <f t="shared" si="3"/>
        <v>2359.580129</v>
      </c>
      <c r="P97" s="437" t="s">
        <v>12</v>
      </c>
      <c r="Q97" s="454" t="s">
        <v>13</v>
      </c>
      <c r="R97" s="458"/>
      <c r="S97" s="459"/>
      <c r="T97" s="459"/>
      <c r="U97" s="85"/>
      <c r="V97" s="85"/>
      <c r="W97" s="85"/>
      <c r="X97" s="85"/>
      <c r="Y97" s="86"/>
      <c r="Z97" s="86"/>
      <c r="AA97" s="86"/>
      <c r="AB97" s="86"/>
      <c r="AC97" s="86"/>
      <c r="AD97" s="86"/>
      <c r="AE97" s="86"/>
    </row>
    <row r="98">
      <c r="A98" s="456" t="s">
        <v>884</v>
      </c>
      <c r="B98" s="456" t="s">
        <v>912</v>
      </c>
      <c r="C98" s="457">
        <v>45495.620833333334</v>
      </c>
      <c r="D98" s="456">
        <v>20.0</v>
      </c>
      <c r="E98" s="456">
        <v>0.0998931</v>
      </c>
      <c r="F98" s="456">
        <v>33.2</v>
      </c>
      <c r="G98" s="456">
        <v>22.5</v>
      </c>
      <c r="H98" s="456">
        <v>1083.38881</v>
      </c>
      <c r="I98" s="456">
        <v>0.999856</v>
      </c>
      <c r="J98" s="456">
        <v>0.451258</v>
      </c>
      <c r="K98" s="456">
        <v>2252.2</v>
      </c>
      <c r="L98" s="453"/>
      <c r="M98" s="434">
        <f t="shared" si="1"/>
        <v>1.02271245</v>
      </c>
      <c r="N98" s="435">
        <f t="shared" si="2"/>
        <v>2202.183027</v>
      </c>
      <c r="O98" s="436">
        <f t="shared" si="3"/>
        <v>2202.183027</v>
      </c>
      <c r="P98" s="437" t="s">
        <v>12</v>
      </c>
      <c r="Q98" s="454" t="s">
        <v>13</v>
      </c>
      <c r="R98" s="458"/>
      <c r="S98" s="459"/>
      <c r="T98" s="459"/>
      <c r="U98" s="85"/>
      <c r="V98" s="85"/>
      <c r="W98" s="85"/>
      <c r="X98" s="85"/>
      <c r="Y98" s="86"/>
      <c r="Z98" s="86"/>
      <c r="AA98" s="86"/>
      <c r="AB98" s="86"/>
      <c r="AC98" s="86"/>
      <c r="AD98" s="86"/>
      <c r="AE98" s="86"/>
    </row>
    <row r="99">
      <c r="A99" s="451" t="s">
        <v>885</v>
      </c>
      <c r="B99" s="451">
        <v>417.0</v>
      </c>
      <c r="C99" s="452">
        <v>45495.629166666666</v>
      </c>
      <c r="D99" s="451">
        <v>20.0</v>
      </c>
      <c r="E99" s="451">
        <v>0.0998931</v>
      </c>
      <c r="F99" s="451">
        <v>36.9</v>
      </c>
      <c r="G99" s="451">
        <v>22.5</v>
      </c>
      <c r="H99" s="451">
        <v>927.762339</v>
      </c>
      <c r="I99" s="451">
        <v>0.99978</v>
      </c>
      <c r="J99" s="451">
        <v>0.483498</v>
      </c>
      <c r="K99" s="451">
        <v>2414.9</v>
      </c>
      <c r="L99" s="453"/>
      <c r="M99" s="434">
        <f t="shared" si="1"/>
        <v>1.025521435</v>
      </c>
      <c r="N99" s="435">
        <f t="shared" si="2"/>
        <v>2354.802071</v>
      </c>
      <c r="O99" s="436">
        <f t="shared" si="3"/>
        <v>2354.802071</v>
      </c>
      <c r="P99" s="437" t="s">
        <v>12</v>
      </c>
      <c r="Q99" s="454" t="s">
        <v>13</v>
      </c>
      <c r="R99" s="458"/>
      <c r="S99" s="459"/>
      <c r="T99" s="459"/>
      <c r="U99" s="85"/>
      <c r="V99" s="85"/>
      <c r="W99" s="85"/>
      <c r="X99" s="85"/>
      <c r="Y99" s="86"/>
      <c r="Z99" s="86"/>
      <c r="AA99" s="86"/>
      <c r="AB99" s="86"/>
      <c r="AC99" s="86"/>
      <c r="AD99" s="86"/>
      <c r="AE99" s="86"/>
    </row>
    <row r="100">
      <c r="A100" s="451" t="s">
        <v>886</v>
      </c>
      <c r="B100" s="451">
        <v>418.0</v>
      </c>
      <c r="C100" s="452">
        <v>45495.63680555556</v>
      </c>
      <c r="D100" s="451">
        <v>20.0</v>
      </c>
      <c r="E100" s="451">
        <v>0.0998931</v>
      </c>
      <c r="F100" s="451">
        <v>37.0</v>
      </c>
      <c r="G100" s="451">
        <v>22.5</v>
      </c>
      <c r="H100" s="451">
        <v>930.459506</v>
      </c>
      <c r="I100" s="451">
        <v>0.999776</v>
      </c>
      <c r="J100" s="451">
        <v>0.482907</v>
      </c>
      <c r="K100" s="451">
        <v>2412.0</v>
      </c>
      <c r="L100" s="453"/>
      <c r="M100" s="434">
        <f t="shared" si="1"/>
        <v>1.025597436</v>
      </c>
      <c r="N100" s="435">
        <f t="shared" si="2"/>
        <v>2351.799952</v>
      </c>
      <c r="O100" s="436">
        <f t="shared" si="3"/>
        <v>2351.799952</v>
      </c>
      <c r="P100" s="437" t="s">
        <v>12</v>
      </c>
      <c r="Q100" s="454" t="s">
        <v>13</v>
      </c>
      <c r="R100" s="458"/>
      <c r="S100" s="459"/>
      <c r="T100" s="459"/>
      <c r="U100" s="85"/>
      <c r="V100" s="85"/>
      <c r="W100" s="85"/>
      <c r="X100" s="85"/>
      <c r="Y100" s="86"/>
      <c r="Z100" s="86"/>
      <c r="AA100" s="86"/>
      <c r="AB100" s="86"/>
      <c r="AC100" s="86"/>
      <c r="AD100" s="86"/>
      <c r="AE100" s="86"/>
    </row>
    <row r="101">
      <c r="A101" s="451" t="s">
        <v>887</v>
      </c>
      <c r="B101" s="451">
        <v>404.0</v>
      </c>
      <c r="C101" s="452">
        <v>45495.643055555556</v>
      </c>
      <c r="D101" s="451">
        <v>20.0</v>
      </c>
      <c r="E101" s="451">
        <v>0.0998931</v>
      </c>
      <c r="F101" s="451">
        <v>36.9</v>
      </c>
      <c r="G101" s="451">
        <v>22.5</v>
      </c>
      <c r="H101" s="451">
        <v>929.271761</v>
      </c>
      <c r="I101" s="451">
        <v>0.999827</v>
      </c>
      <c r="J101" s="451">
        <v>0.482443</v>
      </c>
      <c r="K101" s="451">
        <v>2409.6</v>
      </c>
      <c r="L101" s="453"/>
      <c r="M101" s="434">
        <f t="shared" si="1"/>
        <v>1.025521435</v>
      </c>
      <c r="N101" s="435">
        <f t="shared" si="2"/>
        <v>2349.633969</v>
      </c>
      <c r="O101" s="436">
        <f t="shared" si="3"/>
        <v>2349.633969</v>
      </c>
      <c r="P101" s="437" t="s">
        <v>12</v>
      </c>
      <c r="Q101" s="454" t="s">
        <v>13</v>
      </c>
      <c r="R101" s="458"/>
      <c r="S101" s="459"/>
      <c r="T101" s="459"/>
      <c r="U101" s="85"/>
      <c r="V101" s="85"/>
      <c r="W101" s="85"/>
      <c r="X101" s="85"/>
      <c r="Y101" s="86"/>
      <c r="Z101" s="86"/>
      <c r="AA101" s="86"/>
      <c r="AB101" s="86"/>
      <c r="AC101" s="86"/>
      <c r="AD101" s="86"/>
      <c r="AE101" s="86"/>
    </row>
    <row r="102">
      <c r="A102" s="451" t="s">
        <v>888</v>
      </c>
      <c r="B102" s="451">
        <v>405.0</v>
      </c>
      <c r="C102" s="452">
        <v>45495.65138888889</v>
      </c>
      <c r="D102" s="451">
        <v>20.0</v>
      </c>
      <c r="E102" s="451">
        <v>0.0998931</v>
      </c>
      <c r="F102" s="451">
        <v>37.0</v>
      </c>
      <c r="G102" s="451">
        <v>22.5</v>
      </c>
      <c r="H102" s="451">
        <v>927.55537</v>
      </c>
      <c r="I102" s="451">
        <v>0.999769</v>
      </c>
      <c r="J102" s="451">
        <v>0.484683</v>
      </c>
      <c r="K102" s="451">
        <v>2420.8</v>
      </c>
      <c r="L102" s="453"/>
      <c r="M102" s="434">
        <f t="shared" si="1"/>
        <v>1.025597436</v>
      </c>
      <c r="N102" s="435">
        <f t="shared" si="2"/>
        <v>2360.380317</v>
      </c>
      <c r="O102" s="436">
        <f t="shared" si="3"/>
        <v>2360.380317</v>
      </c>
      <c r="P102" s="437" t="s">
        <v>12</v>
      </c>
      <c r="Q102" s="454" t="s">
        <v>13</v>
      </c>
      <c r="R102" s="458"/>
      <c r="S102" s="460"/>
      <c r="U102" s="85"/>
      <c r="V102" s="85"/>
      <c r="W102" s="85"/>
      <c r="X102" s="85"/>
      <c r="Y102" s="86"/>
      <c r="Z102" s="86"/>
      <c r="AA102" s="86"/>
      <c r="AB102" s="86"/>
      <c r="AC102" s="86"/>
      <c r="AD102" s="86"/>
      <c r="AE102" s="86"/>
    </row>
    <row r="103">
      <c r="A103" s="451" t="s">
        <v>889</v>
      </c>
      <c r="B103" s="451">
        <v>456.0</v>
      </c>
      <c r="C103" s="452">
        <v>45495.66180555556</v>
      </c>
      <c r="D103" s="451">
        <v>20.0</v>
      </c>
      <c r="E103" s="451">
        <v>0.0998931</v>
      </c>
      <c r="F103" s="451">
        <v>37.1</v>
      </c>
      <c r="G103" s="451">
        <v>22.5</v>
      </c>
      <c r="H103" s="451">
        <v>919.235736</v>
      </c>
      <c r="I103" s="451">
        <v>0.999864</v>
      </c>
      <c r="J103" s="451">
        <v>0.484322</v>
      </c>
      <c r="K103" s="451">
        <v>2419.0</v>
      </c>
      <c r="L103" s="453"/>
      <c r="M103" s="434">
        <f t="shared" si="1"/>
        <v>1.025673441</v>
      </c>
      <c r="N103" s="435">
        <f t="shared" si="2"/>
        <v>2358.450462</v>
      </c>
      <c r="O103" s="436">
        <f t="shared" si="3"/>
        <v>2358.450462</v>
      </c>
      <c r="P103" s="437" t="s">
        <v>12</v>
      </c>
      <c r="Q103" s="454" t="s">
        <v>13</v>
      </c>
      <c r="R103" s="458"/>
      <c r="S103" s="460"/>
      <c r="U103" s="85"/>
      <c r="V103" s="85"/>
      <c r="W103" s="85"/>
      <c r="X103" s="85"/>
      <c r="Y103" s="86"/>
      <c r="Z103" s="86"/>
      <c r="AA103" s="86"/>
      <c r="AB103" s="86"/>
      <c r="AC103" s="86"/>
      <c r="AD103" s="86"/>
      <c r="AE103" s="86"/>
    </row>
    <row r="104">
      <c r="A104" s="451" t="s">
        <v>890</v>
      </c>
      <c r="B104" s="451">
        <v>457.0</v>
      </c>
      <c r="C104" s="452">
        <v>45495.67083333333</v>
      </c>
      <c r="D104" s="451">
        <v>20.0</v>
      </c>
      <c r="E104" s="451">
        <v>0.0998931</v>
      </c>
      <c r="F104" s="451">
        <v>37.2</v>
      </c>
      <c r="G104" s="451">
        <v>22.5</v>
      </c>
      <c r="H104" s="451">
        <v>922.02152</v>
      </c>
      <c r="I104" s="451">
        <v>0.999764</v>
      </c>
      <c r="J104" s="451">
        <v>0.484573</v>
      </c>
      <c r="K104" s="451">
        <v>2420.3</v>
      </c>
      <c r="L104" s="453"/>
      <c r="M104" s="434">
        <f t="shared" si="1"/>
        <v>1.02574945</v>
      </c>
      <c r="N104" s="435">
        <f t="shared" si="2"/>
        <v>2359.543064</v>
      </c>
      <c r="O104" s="436">
        <f t="shared" si="3"/>
        <v>2359.543064</v>
      </c>
      <c r="P104" s="437" t="s">
        <v>12</v>
      </c>
      <c r="Q104" s="454" t="s">
        <v>13</v>
      </c>
      <c r="R104" s="458"/>
      <c r="S104" s="460"/>
      <c r="U104" s="85"/>
      <c r="V104" s="85"/>
      <c r="W104" s="85"/>
      <c r="X104" s="85"/>
      <c r="Y104" s="86"/>
      <c r="Z104" s="86"/>
      <c r="AA104" s="86"/>
      <c r="AB104" s="86"/>
      <c r="AC104" s="86"/>
      <c r="AD104" s="86"/>
      <c r="AE104" s="86"/>
    </row>
    <row r="105">
      <c r="A105" s="451" t="s">
        <v>891</v>
      </c>
      <c r="B105" s="451">
        <v>482.0</v>
      </c>
      <c r="C105" s="452">
        <v>45495.677083333336</v>
      </c>
      <c r="D105" s="451">
        <v>20.0</v>
      </c>
      <c r="E105" s="451">
        <v>0.0998931</v>
      </c>
      <c r="F105" s="451">
        <v>37.2</v>
      </c>
      <c r="G105" s="451">
        <v>22.5</v>
      </c>
      <c r="H105" s="451">
        <v>919.797605</v>
      </c>
      <c r="I105" s="451">
        <v>0.999792</v>
      </c>
      <c r="J105" s="451">
        <v>0.484048</v>
      </c>
      <c r="K105" s="451">
        <v>2417.7</v>
      </c>
      <c r="L105" s="453"/>
      <c r="M105" s="434">
        <f t="shared" si="1"/>
        <v>1.02574945</v>
      </c>
      <c r="N105" s="435">
        <f t="shared" si="2"/>
        <v>2357.008332</v>
      </c>
      <c r="O105" s="436">
        <f t="shared" si="3"/>
        <v>2357.008332</v>
      </c>
      <c r="P105" s="437" t="s">
        <v>12</v>
      </c>
      <c r="Q105" s="454" t="s">
        <v>13</v>
      </c>
      <c r="R105" s="458"/>
      <c r="S105" s="460"/>
      <c r="U105" s="85"/>
      <c r="V105" s="85"/>
      <c r="W105" s="85"/>
      <c r="X105" s="85"/>
      <c r="Y105" s="86"/>
      <c r="Z105" s="86"/>
      <c r="AA105" s="86"/>
      <c r="AB105" s="86"/>
      <c r="AC105" s="86"/>
      <c r="AD105" s="86"/>
      <c r="AE105" s="86"/>
    </row>
    <row r="106">
      <c r="A106" s="451" t="s">
        <v>892</v>
      </c>
      <c r="B106" s="451">
        <v>483.0</v>
      </c>
      <c r="C106" s="452">
        <v>45495.68402777778</v>
      </c>
      <c r="D106" s="451">
        <v>20.0</v>
      </c>
      <c r="E106" s="451">
        <v>0.0998931</v>
      </c>
      <c r="F106" s="451">
        <v>37.2</v>
      </c>
      <c r="G106" s="451">
        <v>22.5</v>
      </c>
      <c r="H106" s="451">
        <v>921.812736</v>
      </c>
      <c r="I106" s="451">
        <v>0.999824</v>
      </c>
      <c r="J106" s="451">
        <v>0.484331</v>
      </c>
      <c r="K106" s="451">
        <v>2419.1</v>
      </c>
      <c r="L106" s="453"/>
      <c r="M106" s="434">
        <f t="shared" si="1"/>
        <v>1.02574945</v>
      </c>
      <c r="N106" s="435">
        <f t="shared" si="2"/>
        <v>2358.373188</v>
      </c>
      <c r="O106" s="436">
        <f t="shared" si="3"/>
        <v>2358.373188</v>
      </c>
      <c r="P106" s="437" t="s">
        <v>12</v>
      </c>
      <c r="Q106" s="454" t="s">
        <v>13</v>
      </c>
      <c r="R106" s="458"/>
      <c r="S106" s="460"/>
      <c r="U106" s="85"/>
      <c r="V106" s="85"/>
      <c r="W106" s="85"/>
      <c r="X106" s="85"/>
      <c r="Y106" s="86"/>
      <c r="Z106" s="86"/>
      <c r="AA106" s="86"/>
      <c r="AB106" s="86"/>
      <c r="AC106" s="86"/>
      <c r="AD106" s="86"/>
      <c r="AE106" s="86"/>
    </row>
    <row r="107">
      <c r="A107" s="451" t="s">
        <v>893</v>
      </c>
      <c r="B107" s="451">
        <v>378.0</v>
      </c>
      <c r="C107" s="452">
        <v>45495.69097222222</v>
      </c>
      <c r="D107" s="451">
        <v>20.0</v>
      </c>
      <c r="E107" s="451">
        <v>0.0998931</v>
      </c>
      <c r="F107" s="451">
        <v>37.3</v>
      </c>
      <c r="G107" s="451">
        <v>22.5</v>
      </c>
      <c r="H107" s="451">
        <v>956.706138</v>
      </c>
      <c r="I107" s="451">
        <v>0.999815</v>
      </c>
      <c r="J107" s="451">
        <v>0.467616</v>
      </c>
      <c r="K107" s="451">
        <v>2335.6</v>
      </c>
      <c r="L107" s="453"/>
      <c r="M107" s="434">
        <f t="shared" si="1"/>
        <v>1.025825464</v>
      </c>
      <c r="N107" s="435">
        <f t="shared" si="2"/>
        <v>2276.80057</v>
      </c>
      <c r="O107" s="436">
        <f t="shared" si="3"/>
        <v>2276.80057</v>
      </c>
      <c r="P107" s="437" t="s">
        <v>12</v>
      </c>
      <c r="Q107" s="454" t="s">
        <v>13</v>
      </c>
      <c r="R107" s="458"/>
      <c r="S107" s="460"/>
      <c r="U107" s="85"/>
      <c r="V107" s="85"/>
      <c r="W107" s="85"/>
      <c r="X107" s="85"/>
      <c r="Y107" s="86"/>
      <c r="Z107" s="86"/>
      <c r="AA107" s="86"/>
      <c r="AB107" s="86"/>
      <c r="AC107" s="86"/>
      <c r="AD107" s="86"/>
      <c r="AE107" s="86"/>
    </row>
    <row r="108">
      <c r="A108" s="451" t="s">
        <v>894</v>
      </c>
      <c r="B108" s="451">
        <v>379.0</v>
      </c>
      <c r="C108" s="452">
        <v>45495.697222222225</v>
      </c>
      <c r="D108" s="451">
        <v>20.0</v>
      </c>
      <c r="E108" s="451">
        <v>0.0998931</v>
      </c>
      <c r="F108" s="451">
        <v>37.3</v>
      </c>
      <c r="G108" s="451">
        <v>22.5</v>
      </c>
      <c r="H108" s="451">
        <v>924.849577</v>
      </c>
      <c r="I108" s="451">
        <v>0.999838</v>
      </c>
      <c r="J108" s="451">
        <v>0.48368</v>
      </c>
      <c r="K108" s="451">
        <v>2415.8</v>
      </c>
      <c r="L108" s="453"/>
      <c r="M108" s="434">
        <f t="shared" si="1"/>
        <v>1.025825464</v>
      </c>
      <c r="N108" s="435">
        <f t="shared" si="2"/>
        <v>2354.981511</v>
      </c>
      <c r="O108" s="436">
        <f t="shared" si="3"/>
        <v>2354.981511</v>
      </c>
      <c r="P108" s="437" t="s">
        <v>12</v>
      </c>
      <c r="Q108" s="454" t="s">
        <v>13</v>
      </c>
      <c r="R108" s="458"/>
      <c r="S108" s="460"/>
      <c r="U108" s="85"/>
      <c r="V108" s="85"/>
      <c r="W108" s="85"/>
      <c r="X108" s="85"/>
      <c r="Y108" s="86"/>
      <c r="Z108" s="86"/>
      <c r="AA108" s="86"/>
      <c r="AB108" s="86"/>
      <c r="AC108" s="86"/>
      <c r="AD108" s="86"/>
      <c r="AE108" s="86"/>
    </row>
    <row r="109">
      <c r="A109" s="456" t="s">
        <v>900</v>
      </c>
      <c r="B109" s="456" t="s">
        <v>913</v>
      </c>
      <c r="C109" s="457">
        <v>45495.70625</v>
      </c>
      <c r="D109" s="456">
        <v>20.0</v>
      </c>
      <c r="E109" s="456">
        <v>0.0998931</v>
      </c>
      <c r="F109" s="456">
        <v>33.2</v>
      </c>
      <c r="G109" s="456">
        <v>22.5</v>
      </c>
      <c r="H109" s="456">
        <v>1082.18589</v>
      </c>
      <c r="I109" s="456">
        <v>0.999809</v>
      </c>
      <c r="J109" s="456">
        <v>0.451134</v>
      </c>
      <c r="K109" s="456">
        <v>2251.0</v>
      </c>
      <c r="L109" s="453"/>
      <c r="M109" s="434">
        <f t="shared" si="1"/>
        <v>1.02271245</v>
      </c>
      <c r="N109" s="435">
        <f t="shared" si="2"/>
        <v>2201.009677</v>
      </c>
      <c r="O109" s="436">
        <f t="shared" si="3"/>
        <v>2201.009677</v>
      </c>
      <c r="P109" s="437" t="s">
        <v>12</v>
      </c>
      <c r="Q109" s="454" t="s">
        <v>13</v>
      </c>
      <c r="R109" s="461"/>
      <c r="S109" s="459"/>
      <c r="T109" s="459"/>
      <c r="U109" s="85"/>
      <c r="V109" s="85"/>
      <c r="W109" s="85"/>
      <c r="X109" s="85"/>
      <c r="Y109" s="86"/>
      <c r="Z109" s="449"/>
      <c r="AA109" s="449"/>
      <c r="AB109" s="449"/>
      <c r="AC109" s="449"/>
      <c r="AD109" s="449"/>
      <c r="AE109" s="449"/>
    </row>
    <row r="110">
      <c r="A110" s="451" t="s">
        <v>862</v>
      </c>
      <c r="B110" s="451" t="s">
        <v>863</v>
      </c>
      <c r="C110" s="452">
        <v>45496.37430555555</v>
      </c>
      <c r="D110" s="451">
        <v>20.0</v>
      </c>
      <c r="E110" s="451">
        <v>0.0998931</v>
      </c>
      <c r="F110" s="451" t="s">
        <v>864</v>
      </c>
      <c r="G110" s="451">
        <v>22.5</v>
      </c>
      <c r="H110" s="451">
        <v>1067.11855</v>
      </c>
      <c r="I110" s="451">
        <v>0.999963</v>
      </c>
      <c r="J110" s="451">
        <v>0.41468</v>
      </c>
      <c r="K110" s="451">
        <v>2071.2</v>
      </c>
      <c r="L110" s="453"/>
      <c r="M110" s="434" t="str">
        <f t="shared" si="1"/>
        <v>#VALUE!</v>
      </c>
      <c r="N110" s="435" t="str">
        <f t="shared" si="2"/>
        <v>#VALUE!</v>
      </c>
      <c r="O110" s="436" t="str">
        <f t="shared" si="3"/>
        <v>#VALUE!</v>
      </c>
      <c r="P110" s="437" t="s">
        <v>280</v>
      </c>
      <c r="Q110" s="454" t="s">
        <v>13</v>
      </c>
      <c r="R110" s="462"/>
      <c r="S110" s="459"/>
      <c r="T110" s="459"/>
      <c r="U110" s="85"/>
      <c r="V110" s="85"/>
      <c r="W110" s="85"/>
      <c r="X110" s="85"/>
      <c r="Y110" s="86"/>
      <c r="Z110" s="449"/>
      <c r="AA110" s="449"/>
      <c r="AB110" s="449"/>
      <c r="AC110" s="449"/>
      <c r="AD110" s="449"/>
      <c r="AE110" s="449"/>
    </row>
    <row r="111">
      <c r="A111" s="451" t="s">
        <v>866</v>
      </c>
      <c r="B111" s="451" t="s">
        <v>863</v>
      </c>
      <c r="C111" s="452">
        <v>45496.38402777778</v>
      </c>
      <c r="D111" s="451">
        <v>20.0</v>
      </c>
      <c r="E111" s="451">
        <v>0.0998931</v>
      </c>
      <c r="F111" s="451" t="s">
        <v>864</v>
      </c>
      <c r="G111" s="451">
        <v>22.5</v>
      </c>
      <c r="H111" s="451">
        <v>1072.46592</v>
      </c>
      <c r="I111" s="451">
        <v>0.999951</v>
      </c>
      <c r="J111" s="451">
        <v>0.411447</v>
      </c>
      <c r="K111" s="451">
        <v>2055.0</v>
      </c>
      <c r="L111" s="451">
        <v>11.4158</v>
      </c>
      <c r="M111" s="434" t="str">
        <f t="shared" si="1"/>
        <v>#VALUE!</v>
      </c>
      <c r="N111" s="435" t="str">
        <f t="shared" si="2"/>
        <v>#VALUE!</v>
      </c>
      <c r="O111" s="436" t="str">
        <f t="shared" si="3"/>
        <v>#VALUE!</v>
      </c>
      <c r="P111" s="437" t="s">
        <v>280</v>
      </c>
      <c r="Q111" s="454" t="s">
        <v>13</v>
      </c>
      <c r="R111" s="462"/>
      <c r="S111" s="459"/>
      <c r="T111" s="459"/>
      <c r="U111" s="85"/>
      <c r="V111" s="85"/>
      <c r="W111" s="85"/>
      <c r="X111" s="85"/>
      <c r="Y111" s="86"/>
      <c r="Z111" s="449"/>
      <c r="AA111" s="449"/>
      <c r="AB111" s="449"/>
      <c r="AC111" s="449"/>
      <c r="AD111" s="449"/>
      <c r="AE111" s="449"/>
    </row>
    <row r="112">
      <c r="A112" s="451" t="s">
        <v>867</v>
      </c>
      <c r="B112" s="451" t="s">
        <v>863</v>
      </c>
      <c r="C112" s="452">
        <v>45496.396527777775</v>
      </c>
      <c r="D112" s="451">
        <v>20.0</v>
      </c>
      <c r="E112" s="451">
        <v>0.0998931</v>
      </c>
      <c r="F112" s="451" t="s">
        <v>864</v>
      </c>
      <c r="G112" s="451">
        <v>22.5</v>
      </c>
      <c r="H112" s="451">
        <v>1074.25789</v>
      </c>
      <c r="I112" s="451">
        <v>0.999954</v>
      </c>
      <c r="J112" s="451">
        <v>0.41154</v>
      </c>
      <c r="K112" s="451">
        <v>2055.5</v>
      </c>
      <c r="L112" s="451">
        <v>0.3282</v>
      </c>
      <c r="M112" s="434" t="str">
        <f t="shared" si="1"/>
        <v>#VALUE!</v>
      </c>
      <c r="N112" s="435" t="str">
        <f t="shared" si="2"/>
        <v>#VALUE!</v>
      </c>
      <c r="O112" s="436" t="str">
        <f t="shared" si="3"/>
        <v>#VALUE!</v>
      </c>
      <c r="P112" s="437" t="s">
        <v>280</v>
      </c>
      <c r="Q112" s="454" t="s">
        <v>13</v>
      </c>
      <c r="R112" s="462"/>
      <c r="S112" s="459"/>
      <c r="T112" s="459"/>
      <c r="U112" s="85"/>
      <c r="V112" s="85"/>
      <c r="W112" s="85"/>
      <c r="X112" s="85"/>
      <c r="Y112" s="86"/>
      <c r="Z112" s="449"/>
      <c r="AA112" s="449"/>
      <c r="AB112" s="449"/>
      <c r="AC112" s="449"/>
      <c r="AD112" s="449"/>
      <c r="AE112" s="449"/>
    </row>
    <row r="113">
      <c r="A113" s="451" t="s">
        <v>908</v>
      </c>
      <c r="B113" s="451" t="s">
        <v>863</v>
      </c>
      <c r="C113" s="452">
        <v>45496.40694444445</v>
      </c>
      <c r="D113" s="451">
        <v>20.0</v>
      </c>
      <c r="E113" s="451">
        <v>0.0998931</v>
      </c>
      <c r="F113" s="451" t="s">
        <v>864</v>
      </c>
      <c r="G113" s="451">
        <v>22.5</v>
      </c>
      <c r="H113" s="451">
        <v>0.0</v>
      </c>
      <c r="I113" s="451">
        <v>0.0</v>
      </c>
      <c r="J113" s="451">
        <v>0.0</v>
      </c>
      <c r="K113" s="451">
        <v>0.0</v>
      </c>
      <c r="L113" s="451" t="s">
        <v>914</v>
      </c>
      <c r="M113" s="434" t="str">
        <f t="shared" si="1"/>
        <v>#VALUE!</v>
      </c>
      <c r="N113" s="435" t="str">
        <f t="shared" si="2"/>
        <v>#VALUE!</v>
      </c>
      <c r="O113" s="436" t="str">
        <f t="shared" si="3"/>
        <v>#VALUE!</v>
      </c>
      <c r="P113" s="437" t="s">
        <v>280</v>
      </c>
      <c r="Q113" s="454" t="s">
        <v>13</v>
      </c>
      <c r="R113" s="462"/>
      <c r="S113" s="459"/>
      <c r="T113" s="459"/>
      <c r="U113" s="85"/>
      <c r="V113" s="85"/>
      <c r="W113" s="85"/>
      <c r="X113" s="85"/>
      <c r="Y113" s="86"/>
      <c r="Z113" s="449"/>
      <c r="AA113" s="449"/>
      <c r="AB113" s="449"/>
      <c r="AC113" s="449"/>
      <c r="AD113" s="449"/>
      <c r="AE113" s="449"/>
    </row>
    <row r="114">
      <c r="A114" s="451" t="s">
        <v>909</v>
      </c>
      <c r="B114" s="451" t="s">
        <v>863</v>
      </c>
      <c r="C114" s="452">
        <v>45496.40833333333</v>
      </c>
      <c r="D114" s="451">
        <v>20.0</v>
      </c>
      <c r="E114" s="451">
        <v>0.0998931</v>
      </c>
      <c r="F114" s="451" t="s">
        <v>864</v>
      </c>
      <c r="G114" s="451">
        <v>22.5</v>
      </c>
      <c r="H114" s="451">
        <v>1077.76539</v>
      </c>
      <c r="I114" s="451">
        <v>0.999965</v>
      </c>
      <c r="J114" s="451">
        <v>0.411342</v>
      </c>
      <c r="K114" s="451">
        <v>2054.5</v>
      </c>
      <c r="L114" s="453"/>
      <c r="M114" s="434" t="str">
        <f t="shared" si="1"/>
        <v>#VALUE!</v>
      </c>
      <c r="N114" s="435" t="str">
        <f t="shared" si="2"/>
        <v>#VALUE!</v>
      </c>
      <c r="O114" s="436" t="str">
        <f t="shared" si="3"/>
        <v>#VALUE!</v>
      </c>
      <c r="P114" s="437" t="s">
        <v>280</v>
      </c>
      <c r="Q114" s="454" t="s">
        <v>13</v>
      </c>
      <c r="R114" s="462"/>
      <c r="S114" s="459"/>
      <c r="T114" s="459"/>
      <c r="U114" s="85"/>
      <c r="V114" s="85"/>
      <c r="W114" s="85"/>
      <c r="X114" s="85"/>
      <c r="Y114" s="86"/>
      <c r="Z114" s="449"/>
      <c r="AA114" s="449"/>
      <c r="AB114" s="449"/>
      <c r="AC114" s="449"/>
      <c r="AD114" s="449"/>
      <c r="AE114" s="449"/>
    </row>
    <row r="115">
      <c r="A115" s="456" t="s">
        <v>896</v>
      </c>
      <c r="B115" s="456" t="s">
        <v>776</v>
      </c>
      <c r="C115" s="457">
        <v>45496.42291666667</v>
      </c>
      <c r="D115" s="456">
        <v>20.0</v>
      </c>
      <c r="E115" s="456">
        <v>0.0998931</v>
      </c>
      <c r="F115" s="456">
        <v>33.2</v>
      </c>
      <c r="G115" s="456">
        <v>22.5</v>
      </c>
      <c r="H115" s="456">
        <v>905.423882</v>
      </c>
      <c r="I115" s="456">
        <v>0.999841</v>
      </c>
      <c r="J115" s="456">
        <v>0.450351</v>
      </c>
      <c r="K115" s="456">
        <v>2249.3</v>
      </c>
      <c r="L115" s="463"/>
      <c r="M115" s="434">
        <f t="shared" si="1"/>
        <v>1.02271245</v>
      </c>
      <c r="N115" s="435">
        <f t="shared" si="2"/>
        <v>2199.347431</v>
      </c>
      <c r="O115" s="436">
        <f t="shared" si="3"/>
        <v>2199.347431</v>
      </c>
      <c r="P115" s="437" t="s">
        <v>12</v>
      </c>
      <c r="Q115" s="464" t="s">
        <v>13</v>
      </c>
      <c r="R115" s="462"/>
      <c r="S115" s="459"/>
      <c r="T115" s="459"/>
      <c r="U115" s="85"/>
      <c r="V115" s="85"/>
      <c r="W115" s="85"/>
      <c r="X115" s="85"/>
      <c r="Y115" s="86"/>
      <c r="Z115" s="449"/>
      <c r="AA115" s="449"/>
      <c r="AB115" s="449"/>
      <c r="AC115" s="449"/>
      <c r="AD115" s="449"/>
      <c r="AE115" s="449"/>
    </row>
    <row r="116">
      <c r="A116" s="451" t="s">
        <v>873</v>
      </c>
      <c r="B116" s="451">
        <v>521.0</v>
      </c>
      <c r="C116" s="452">
        <v>45496.44583333333</v>
      </c>
      <c r="D116" s="451">
        <v>20.0</v>
      </c>
      <c r="E116" s="451">
        <v>0.0998931</v>
      </c>
      <c r="F116" s="451">
        <v>37.0</v>
      </c>
      <c r="G116" s="451">
        <v>22.5</v>
      </c>
      <c r="H116" s="451">
        <v>916.166236</v>
      </c>
      <c r="I116" s="451">
        <v>0.999736</v>
      </c>
      <c r="J116" s="451">
        <v>0.481337</v>
      </c>
      <c r="K116" s="451">
        <v>2404.1</v>
      </c>
      <c r="L116" s="453"/>
      <c r="M116" s="434">
        <f t="shared" si="1"/>
        <v>1.025597436</v>
      </c>
      <c r="N116" s="435">
        <f t="shared" si="2"/>
        <v>2344.097125</v>
      </c>
      <c r="O116" s="436">
        <f t="shared" si="3"/>
        <v>2344.097125</v>
      </c>
      <c r="P116" s="437" t="s">
        <v>12</v>
      </c>
      <c r="Q116" s="454" t="s">
        <v>13</v>
      </c>
      <c r="R116" s="462"/>
      <c r="S116" s="459"/>
      <c r="T116" s="459"/>
      <c r="U116" s="85"/>
      <c r="V116" s="85"/>
      <c r="W116" s="85"/>
      <c r="X116" s="85"/>
      <c r="Y116" s="86"/>
      <c r="Z116" s="449"/>
      <c r="AA116" s="449"/>
      <c r="AB116" s="449"/>
      <c r="AC116" s="449"/>
      <c r="AD116" s="449"/>
      <c r="AE116" s="449"/>
    </row>
    <row r="117">
      <c r="A117" s="451" t="s">
        <v>874</v>
      </c>
      <c r="B117" s="451">
        <v>522.0</v>
      </c>
      <c r="C117" s="452">
        <v>45496.45625</v>
      </c>
      <c r="D117" s="451">
        <v>20.0</v>
      </c>
      <c r="E117" s="451">
        <v>0.0998931</v>
      </c>
      <c r="F117" s="451">
        <v>37.0</v>
      </c>
      <c r="G117" s="451">
        <v>22.5</v>
      </c>
      <c r="H117" s="451">
        <v>912.852537</v>
      </c>
      <c r="I117" s="451">
        <v>0.999859</v>
      </c>
      <c r="J117" s="451">
        <v>0.480927</v>
      </c>
      <c r="K117" s="451">
        <v>2402.1</v>
      </c>
      <c r="L117" s="453"/>
      <c r="M117" s="434">
        <f t="shared" si="1"/>
        <v>1.025597436</v>
      </c>
      <c r="N117" s="435">
        <f t="shared" si="2"/>
        <v>2342.147042</v>
      </c>
      <c r="O117" s="436">
        <f t="shared" si="3"/>
        <v>2342.147042</v>
      </c>
      <c r="P117" s="437" t="s">
        <v>12</v>
      </c>
      <c r="Q117" s="454" t="s">
        <v>13</v>
      </c>
      <c r="R117" s="462"/>
      <c r="S117" s="459"/>
      <c r="T117" s="459"/>
      <c r="U117" s="85"/>
      <c r="V117" s="85"/>
      <c r="W117" s="85"/>
      <c r="X117" s="85"/>
      <c r="Y117" s="86"/>
      <c r="Z117" s="449"/>
      <c r="AA117" s="449"/>
      <c r="AB117" s="449"/>
      <c r="AC117" s="449"/>
      <c r="AD117" s="449"/>
      <c r="AE117" s="449"/>
    </row>
    <row r="118">
      <c r="A118" s="451" t="s">
        <v>875</v>
      </c>
      <c r="B118" s="451">
        <v>495.0</v>
      </c>
      <c r="C118" s="452">
        <v>45496.46597222222</v>
      </c>
      <c r="D118" s="451">
        <v>20.0</v>
      </c>
      <c r="E118" s="451">
        <v>0.0998931</v>
      </c>
      <c r="F118" s="451">
        <v>37.0</v>
      </c>
      <c r="G118" s="451">
        <v>22.5</v>
      </c>
      <c r="H118" s="451">
        <v>913.286601</v>
      </c>
      <c r="I118" s="451">
        <v>0.999779</v>
      </c>
      <c r="J118" s="451">
        <v>0.481193</v>
      </c>
      <c r="K118" s="451">
        <v>2403.4</v>
      </c>
      <c r="L118" s="453"/>
      <c r="M118" s="434">
        <f t="shared" si="1"/>
        <v>1.025597436</v>
      </c>
      <c r="N118" s="435">
        <f t="shared" si="2"/>
        <v>2343.414596</v>
      </c>
      <c r="O118" s="436">
        <f t="shared" si="3"/>
        <v>2343.414596</v>
      </c>
      <c r="P118" s="437" t="s">
        <v>12</v>
      </c>
      <c r="Q118" s="454" t="s">
        <v>13</v>
      </c>
      <c r="R118" s="462"/>
      <c r="S118" s="459"/>
      <c r="T118" s="459"/>
      <c r="U118" s="85"/>
      <c r="V118" s="85"/>
      <c r="W118" s="85"/>
      <c r="X118" s="85"/>
      <c r="Y118" s="86"/>
      <c r="Z118" s="449"/>
      <c r="AA118" s="449"/>
      <c r="AB118" s="449"/>
      <c r="AC118" s="449"/>
      <c r="AD118" s="449"/>
      <c r="AE118" s="449"/>
    </row>
    <row r="119">
      <c r="A119" s="451" t="s">
        <v>876</v>
      </c>
      <c r="B119" s="451">
        <v>496.0</v>
      </c>
      <c r="C119" s="452">
        <v>45496.48472222222</v>
      </c>
      <c r="D119" s="451">
        <v>20.0</v>
      </c>
      <c r="E119" s="451">
        <v>0.0998931</v>
      </c>
      <c r="F119" s="451">
        <v>37.0</v>
      </c>
      <c r="G119" s="451">
        <v>22.5</v>
      </c>
      <c r="H119" s="451">
        <v>915.364833</v>
      </c>
      <c r="I119" s="451">
        <v>0.999802</v>
      </c>
      <c r="J119" s="451">
        <v>0.481709</v>
      </c>
      <c r="K119" s="451">
        <v>2406.0</v>
      </c>
      <c r="L119" s="453"/>
      <c r="M119" s="434">
        <f t="shared" si="1"/>
        <v>1.025597436</v>
      </c>
      <c r="N119" s="435">
        <f t="shared" si="2"/>
        <v>2345.949703</v>
      </c>
      <c r="O119" s="436">
        <f t="shared" si="3"/>
        <v>2345.949703</v>
      </c>
      <c r="P119" s="437" t="s">
        <v>12</v>
      </c>
      <c r="Q119" s="454" t="s">
        <v>13</v>
      </c>
      <c r="R119" s="462"/>
      <c r="S119" s="85"/>
      <c r="T119" s="85"/>
      <c r="U119" s="85"/>
      <c r="V119" s="85"/>
      <c r="W119" s="85"/>
      <c r="X119" s="85"/>
      <c r="Y119" s="86"/>
      <c r="Z119" s="449"/>
      <c r="AA119" s="449"/>
      <c r="AB119" s="449"/>
      <c r="AC119" s="449"/>
      <c r="AD119" s="449"/>
      <c r="AE119" s="449"/>
    </row>
    <row r="120">
      <c r="A120" s="451" t="s">
        <v>877</v>
      </c>
      <c r="B120" s="451">
        <v>560.0</v>
      </c>
      <c r="C120" s="452">
        <v>45496.49166666667</v>
      </c>
      <c r="D120" s="451">
        <v>20.0</v>
      </c>
      <c r="E120" s="451">
        <v>0.0998931</v>
      </c>
      <c r="F120" s="451">
        <v>37.0</v>
      </c>
      <c r="G120" s="451">
        <v>22.5</v>
      </c>
      <c r="H120" s="451">
        <v>914.572924</v>
      </c>
      <c r="I120" s="451">
        <v>0.999823</v>
      </c>
      <c r="J120" s="451">
        <v>0.479944</v>
      </c>
      <c r="K120" s="451">
        <v>2397.2</v>
      </c>
      <c r="L120" s="453"/>
      <c r="M120" s="434">
        <f t="shared" si="1"/>
        <v>1.025597436</v>
      </c>
      <c r="N120" s="435">
        <f t="shared" si="2"/>
        <v>2337.369339</v>
      </c>
      <c r="O120" s="436">
        <f t="shared" si="3"/>
        <v>2337.369339</v>
      </c>
      <c r="P120" s="437" t="s">
        <v>12</v>
      </c>
      <c r="Q120" s="454" t="s">
        <v>13</v>
      </c>
      <c r="R120" s="462"/>
      <c r="S120" s="85"/>
      <c r="T120" s="85"/>
      <c r="U120" s="85"/>
      <c r="V120" s="85"/>
      <c r="W120" s="85"/>
      <c r="X120" s="85"/>
      <c r="Y120" s="86"/>
      <c r="Z120" s="449"/>
      <c r="AA120" s="449"/>
      <c r="AB120" s="449"/>
      <c r="AC120" s="449"/>
      <c r="AD120" s="449"/>
      <c r="AE120" s="449"/>
    </row>
    <row r="121">
      <c r="A121" s="451" t="s">
        <v>878</v>
      </c>
      <c r="B121" s="451">
        <v>561.0</v>
      </c>
      <c r="C121" s="452">
        <v>45496.5</v>
      </c>
      <c r="D121" s="451">
        <v>20.0</v>
      </c>
      <c r="E121" s="451">
        <v>0.0998931</v>
      </c>
      <c r="F121" s="451">
        <v>37.1</v>
      </c>
      <c r="G121" s="451">
        <v>22.5</v>
      </c>
      <c r="H121" s="451">
        <v>911.232972</v>
      </c>
      <c r="I121" s="451">
        <v>0.999857</v>
      </c>
      <c r="J121" s="451">
        <v>0.479088</v>
      </c>
      <c r="K121" s="451">
        <v>2392.9</v>
      </c>
      <c r="L121" s="453"/>
      <c r="M121" s="434">
        <f t="shared" si="1"/>
        <v>1.025673441</v>
      </c>
      <c r="N121" s="435">
        <f t="shared" si="2"/>
        <v>2333.003767</v>
      </c>
      <c r="O121" s="436">
        <f t="shared" si="3"/>
        <v>2333.003767</v>
      </c>
      <c r="P121" s="437" t="s">
        <v>12</v>
      </c>
      <c r="Q121" s="454" t="s">
        <v>13</v>
      </c>
      <c r="R121" s="462"/>
      <c r="S121" s="85"/>
      <c r="T121" s="85"/>
      <c r="U121" s="85"/>
      <c r="V121" s="85"/>
      <c r="W121" s="85"/>
      <c r="X121" s="85"/>
      <c r="Y121" s="86"/>
      <c r="Z121" s="449"/>
      <c r="AA121" s="449"/>
      <c r="AB121" s="449"/>
      <c r="AC121" s="449"/>
      <c r="AD121" s="449"/>
      <c r="AE121" s="449"/>
    </row>
    <row r="122">
      <c r="A122" s="451" t="s">
        <v>879</v>
      </c>
      <c r="B122" s="451">
        <v>430.0</v>
      </c>
      <c r="C122" s="452">
        <v>45496.506944444445</v>
      </c>
      <c r="D122" s="451">
        <v>20.0</v>
      </c>
      <c r="E122" s="451">
        <v>0.0998931</v>
      </c>
      <c r="F122" s="451">
        <v>36.8</v>
      </c>
      <c r="G122" s="451">
        <v>22.5</v>
      </c>
      <c r="H122" s="451">
        <v>919.897414</v>
      </c>
      <c r="I122" s="451">
        <v>0.999811</v>
      </c>
      <c r="J122" s="451">
        <v>0.479717</v>
      </c>
      <c r="K122" s="451">
        <v>2396.0</v>
      </c>
      <c r="L122" s="453"/>
      <c r="M122" s="434">
        <f t="shared" si="1"/>
        <v>1.025445439</v>
      </c>
      <c r="N122" s="435">
        <f t="shared" si="2"/>
        <v>2336.545572</v>
      </c>
      <c r="O122" s="436">
        <f t="shared" si="3"/>
        <v>2336.545572</v>
      </c>
      <c r="P122" s="437" t="s">
        <v>12</v>
      </c>
      <c r="Q122" s="454" t="s">
        <v>13</v>
      </c>
      <c r="R122" s="462"/>
      <c r="S122" s="85"/>
      <c r="T122" s="85"/>
      <c r="U122" s="85"/>
      <c r="V122" s="85"/>
      <c r="W122" s="85"/>
      <c r="X122" s="85"/>
      <c r="Y122" s="86"/>
      <c r="Z122" s="449"/>
      <c r="AA122" s="449"/>
      <c r="AB122" s="449"/>
      <c r="AC122" s="449"/>
      <c r="AD122" s="449"/>
      <c r="AE122" s="449"/>
    </row>
    <row r="123">
      <c r="A123" s="451" t="s">
        <v>880</v>
      </c>
      <c r="B123" s="451">
        <v>431.0</v>
      </c>
      <c r="C123" s="452">
        <v>45496.51527777778</v>
      </c>
      <c r="D123" s="451">
        <v>20.0</v>
      </c>
      <c r="E123" s="451">
        <v>0.0998931</v>
      </c>
      <c r="F123" s="451">
        <v>36.9</v>
      </c>
      <c r="G123" s="451">
        <v>22.5</v>
      </c>
      <c r="H123" s="451">
        <v>912.847716</v>
      </c>
      <c r="I123" s="451">
        <v>0.999879</v>
      </c>
      <c r="J123" s="451">
        <v>0.480098</v>
      </c>
      <c r="K123" s="451">
        <v>2397.9</v>
      </c>
      <c r="L123" s="453"/>
      <c r="M123" s="434">
        <f t="shared" si="1"/>
        <v>1.025521435</v>
      </c>
      <c r="N123" s="435">
        <f t="shared" si="2"/>
        <v>2338.225139</v>
      </c>
      <c r="O123" s="436">
        <f t="shared" si="3"/>
        <v>2338.225139</v>
      </c>
      <c r="P123" s="437" t="s">
        <v>12</v>
      </c>
      <c r="Q123" s="454" t="s">
        <v>13</v>
      </c>
      <c r="R123" s="462"/>
      <c r="S123" s="85"/>
      <c r="T123" s="85"/>
      <c r="U123" s="85"/>
      <c r="V123" s="85"/>
      <c r="W123" s="85"/>
      <c r="X123" s="85"/>
      <c r="Y123" s="86"/>
      <c r="Z123" s="449"/>
      <c r="AA123" s="449"/>
      <c r="AB123" s="449"/>
      <c r="AC123" s="449"/>
      <c r="AD123" s="449"/>
      <c r="AE123" s="449"/>
    </row>
    <row r="124">
      <c r="A124" s="451" t="s">
        <v>881</v>
      </c>
      <c r="B124" s="451">
        <v>534.0</v>
      </c>
      <c r="C124" s="452">
        <v>45496.54652777778</v>
      </c>
      <c r="D124" s="451">
        <v>20.0</v>
      </c>
      <c r="E124" s="451">
        <v>0.0998931</v>
      </c>
      <c r="F124" s="451">
        <v>37.0</v>
      </c>
      <c r="G124" s="451">
        <v>22.5</v>
      </c>
      <c r="H124" s="451">
        <v>908.268368</v>
      </c>
      <c r="I124" s="451">
        <v>0.99988</v>
      </c>
      <c r="J124" s="451">
        <v>0.478899</v>
      </c>
      <c r="K124" s="451">
        <v>2391.9</v>
      </c>
      <c r="L124" s="453"/>
      <c r="M124" s="434">
        <f t="shared" si="1"/>
        <v>1.025597436</v>
      </c>
      <c r="N124" s="435">
        <f t="shared" si="2"/>
        <v>2332.201619</v>
      </c>
      <c r="O124" s="436">
        <f t="shared" si="3"/>
        <v>2332.201619</v>
      </c>
      <c r="P124" s="437" t="s">
        <v>12</v>
      </c>
      <c r="Q124" s="454" t="s">
        <v>13</v>
      </c>
      <c r="R124" s="462"/>
      <c r="S124" s="85"/>
      <c r="T124" s="85"/>
      <c r="U124" s="85"/>
      <c r="V124" s="85"/>
      <c r="W124" s="85"/>
      <c r="X124" s="85"/>
      <c r="Y124" s="86"/>
      <c r="Z124" s="449"/>
      <c r="AA124" s="449"/>
      <c r="AB124" s="449"/>
      <c r="AC124" s="449"/>
      <c r="AD124" s="449"/>
      <c r="AE124" s="449"/>
    </row>
    <row r="125">
      <c r="A125" s="451" t="s">
        <v>882</v>
      </c>
      <c r="B125" s="451">
        <v>535.0</v>
      </c>
      <c r="C125" s="452">
        <v>45496.55486111111</v>
      </c>
      <c r="D125" s="451">
        <v>20.0</v>
      </c>
      <c r="E125" s="451">
        <v>0.0998931</v>
      </c>
      <c r="F125" s="451">
        <v>37.0</v>
      </c>
      <c r="G125" s="451">
        <v>22.5</v>
      </c>
      <c r="H125" s="451">
        <v>910.289663</v>
      </c>
      <c r="I125" s="451">
        <v>0.999816</v>
      </c>
      <c r="J125" s="451">
        <v>0.47873</v>
      </c>
      <c r="K125" s="451">
        <v>2391.1</v>
      </c>
      <c r="L125" s="465"/>
      <c r="M125" s="434">
        <f t="shared" si="1"/>
        <v>1.025597436</v>
      </c>
      <c r="N125" s="435">
        <f t="shared" si="2"/>
        <v>2331.421586</v>
      </c>
      <c r="O125" s="436">
        <f t="shared" si="3"/>
        <v>2331.421586</v>
      </c>
      <c r="P125" s="437" t="s">
        <v>12</v>
      </c>
      <c r="Q125" s="454" t="s">
        <v>13</v>
      </c>
      <c r="R125" s="462"/>
      <c r="S125" s="85"/>
      <c r="T125" s="85"/>
      <c r="U125" s="85"/>
      <c r="V125" s="85"/>
      <c r="W125" s="85"/>
      <c r="X125" s="85"/>
      <c r="Y125" s="86"/>
      <c r="Z125" s="449"/>
      <c r="AA125" s="449"/>
      <c r="AB125" s="449"/>
      <c r="AC125" s="449"/>
      <c r="AD125" s="449"/>
      <c r="AE125" s="449"/>
    </row>
    <row r="126">
      <c r="A126" s="456" t="s">
        <v>883</v>
      </c>
      <c r="B126" s="456" t="s">
        <v>776</v>
      </c>
      <c r="C126" s="457">
        <v>45496.56805555556</v>
      </c>
      <c r="D126" s="456">
        <v>20.0</v>
      </c>
      <c r="E126" s="456">
        <v>0.0998931</v>
      </c>
      <c r="F126" s="456">
        <v>33.2</v>
      </c>
      <c r="G126" s="456">
        <v>22.5</v>
      </c>
      <c r="H126" s="456">
        <v>901.479891</v>
      </c>
      <c r="I126" s="456">
        <v>0.999871</v>
      </c>
      <c r="J126" s="456">
        <v>0.45112</v>
      </c>
      <c r="K126" s="456">
        <v>2253.2</v>
      </c>
      <c r="L126" s="466"/>
      <c r="M126" s="434">
        <f t="shared" si="1"/>
        <v>1.02271245</v>
      </c>
      <c r="N126" s="435">
        <f t="shared" si="2"/>
        <v>2203.160819</v>
      </c>
      <c r="O126" s="436">
        <f t="shared" si="3"/>
        <v>2203.160819</v>
      </c>
      <c r="P126" s="437" t="s">
        <v>12</v>
      </c>
      <c r="Q126" s="464" t="s">
        <v>13</v>
      </c>
      <c r="R126" s="462"/>
      <c r="S126" s="85"/>
      <c r="T126" s="85"/>
      <c r="U126" s="85"/>
      <c r="V126" s="85"/>
      <c r="W126" s="85"/>
      <c r="X126" s="85"/>
      <c r="Y126" s="86"/>
      <c r="Z126" s="449"/>
      <c r="AA126" s="449"/>
      <c r="AB126" s="449"/>
      <c r="AC126" s="449"/>
      <c r="AD126" s="449"/>
      <c r="AE126" s="449"/>
    </row>
    <row r="127">
      <c r="A127" s="451" t="s">
        <v>884</v>
      </c>
      <c r="B127" s="451">
        <v>508.0</v>
      </c>
      <c r="C127" s="452">
        <v>45496.57986111111</v>
      </c>
      <c r="D127" s="451">
        <v>20.0</v>
      </c>
      <c r="E127" s="451">
        <v>0.0998931</v>
      </c>
      <c r="F127" s="451">
        <v>37.0</v>
      </c>
      <c r="G127" s="451">
        <v>22.5</v>
      </c>
      <c r="H127" s="451">
        <v>904.873172</v>
      </c>
      <c r="I127" s="451">
        <v>0.999749</v>
      </c>
      <c r="J127" s="451">
        <v>0.480247</v>
      </c>
      <c r="K127" s="451">
        <v>2398.7</v>
      </c>
      <c r="L127" s="453"/>
      <c r="M127" s="434">
        <f t="shared" si="1"/>
        <v>1.025597436</v>
      </c>
      <c r="N127" s="435">
        <f t="shared" si="2"/>
        <v>2338.831901</v>
      </c>
      <c r="O127" s="436">
        <f t="shared" si="3"/>
        <v>2338.831901</v>
      </c>
      <c r="P127" s="437" t="s">
        <v>12</v>
      </c>
      <c r="Q127" s="454" t="s">
        <v>13</v>
      </c>
      <c r="R127" s="462"/>
      <c r="S127" s="85"/>
      <c r="T127" s="85"/>
      <c r="U127" s="85"/>
      <c r="V127" s="85"/>
      <c r="W127" s="85"/>
      <c r="X127" s="85"/>
      <c r="Y127" s="86"/>
      <c r="Z127" s="449"/>
      <c r="AA127" s="449"/>
      <c r="AB127" s="449"/>
      <c r="AC127" s="449"/>
      <c r="AD127" s="449"/>
      <c r="AE127" s="449"/>
    </row>
    <row r="128">
      <c r="A128" s="451" t="s">
        <v>885</v>
      </c>
      <c r="B128" s="451">
        <v>509.0</v>
      </c>
      <c r="C128" s="452">
        <v>45496.59027777778</v>
      </c>
      <c r="D128" s="451">
        <v>20.0</v>
      </c>
      <c r="E128" s="451">
        <v>0.0998931</v>
      </c>
      <c r="F128" s="451">
        <v>37.0</v>
      </c>
      <c r="G128" s="451">
        <v>22.5</v>
      </c>
      <c r="H128" s="451">
        <v>912.941106</v>
      </c>
      <c r="I128" s="451">
        <v>0.999725</v>
      </c>
      <c r="J128" s="451">
        <v>0.481898</v>
      </c>
      <c r="K128" s="451">
        <v>2406.9</v>
      </c>
      <c r="L128" s="453"/>
      <c r="M128" s="434">
        <f t="shared" si="1"/>
        <v>1.025597436</v>
      </c>
      <c r="N128" s="435">
        <f t="shared" si="2"/>
        <v>2346.827241</v>
      </c>
      <c r="O128" s="436">
        <f t="shared" si="3"/>
        <v>2346.827241</v>
      </c>
      <c r="P128" s="437" t="s">
        <v>12</v>
      </c>
      <c r="Q128" s="454" t="s">
        <v>13</v>
      </c>
      <c r="R128" s="462"/>
      <c r="S128" s="85"/>
      <c r="T128" s="85"/>
      <c r="U128" s="85"/>
      <c r="V128" s="85"/>
      <c r="W128" s="85"/>
      <c r="X128" s="85"/>
      <c r="Y128" s="86"/>
      <c r="Z128" s="449"/>
      <c r="AA128" s="449"/>
      <c r="AB128" s="449"/>
      <c r="AC128" s="449"/>
      <c r="AD128" s="449"/>
      <c r="AE128" s="449"/>
    </row>
    <row r="129">
      <c r="A129" s="451" t="s">
        <v>886</v>
      </c>
      <c r="B129" s="451">
        <v>469.0</v>
      </c>
      <c r="C129" s="452">
        <v>45496.59861111111</v>
      </c>
      <c r="D129" s="451">
        <v>20.0</v>
      </c>
      <c r="E129" s="451">
        <v>0.0998931</v>
      </c>
      <c r="F129" s="451">
        <v>36.8</v>
      </c>
      <c r="G129" s="451">
        <v>22.5</v>
      </c>
      <c r="H129" s="451">
        <v>911.782474</v>
      </c>
      <c r="I129" s="451">
        <v>0.999815</v>
      </c>
      <c r="J129" s="451">
        <v>0.482343</v>
      </c>
      <c r="K129" s="451">
        <v>2409.1</v>
      </c>
      <c r="L129" s="453"/>
      <c r="M129" s="434">
        <f t="shared" si="1"/>
        <v>1.025445439</v>
      </c>
      <c r="N129" s="435">
        <f t="shared" si="2"/>
        <v>2349.320508</v>
      </c>
      <c r="O129" s="436">
        <f t="shared" si="3"/>
        <v>2349.320508</v>
      </c>
      <c r="P129" s="437" t="s">
        <v>12</v>
      </c>
      <c r="Q129" s="454" t="s">
        <v>13</v>
      </c>
      <c r="R129" s="462"/>
      <c r="S129" s="85"/>
      <c r="T129" s="85"/>
      <c r="U129" s="85"/>
      <c r="V129" s="85"/>
      <c r="W129" s="85"/>
      <c r="X129" s="85"/>
      <c r="Y129" s="86"/>
      <c r="Z129" s="449"/>
      <c r="AA129" s="449"/>
      <c r="AB129" s="449"/>
      <c r="AC129" s="449"/>
      <c r="AD129" s="449"/>
      <c r="AE129" s="449"/>
    </row>
    <row r="130">
      <c r="A130" s="451" t="s">
        <v>887</v>
      </c>
      <c r="B130" s="451">
        <v>470.0</v>
      </c>
      <c r="C130" s="452">
        <v>45496.606944444444</v>
      </c>
      <c r="D130" s="451">
        <v>20.0</v>
      </c>
      <c r="E130" s="451">
        <v>0.0998931</v>
      </c>
      <c r="F130" s="451">
        <v>36.9</v>
      </c>
      <c r="G130" s="451">
        <v>22.5</v>
      </c>
      <c r="H130" s="451">
        <v>906.739472</v>
      </c>
      <c r="I130" s="451">
        <v>0.999869</v>
      </c>
      <c r="J130" s="451">
        <v>0.479702</v>
      </c>
      <c r="K130" s="451">
        <v>2395.9</v>
      </c>
      <c r="L130" s="453"/>
      <c r="M130" s="434">
        <f t="shared" si="1"/>
        <v>1.025521435</v>
      </c>
      <c r="N130" s="435">
        <f t="shared" si="2"/>
        <v>2336.274911</v>
      </c>
      <c r="O130" s="436">
        <f t="shared" si="3"/>
        <v>2336.274911</v>
      </c>
      <c r="P130" s="437" t="s">
        <v>12</v>
      </c>
      <c r="Q130" s="454" t="s">
        <v>13</v>
      </c>
      <c r="R130" s="462"/>
      <c r="S130" s="85"/>
      <c r="T130" s="85"/>
      <c r="U130" s="85"/>
      <c r="V130" s="85"/>
      <c r="W130" s="85"/>
      <c r="X130" s="85"/>
      <c r="Y130" s="86"/>
      <c r="Z130" s="449"/>
      <c r="AA130" s="449"/>
      <c r="AB130" s="449"/>
      <c r="AC130" s="449"/>
      <c r="AD130" s="449"/>
      <c r="AE130" s="449"/>
    </row>
    <row r="131">
      <c r="A131" s="451" t="s">
        <v>888</v>
      </c>
      <c r="B131" s="451">
        <v>573.0</v>
      </c>
      <c r="C131" s="452">
        <v>45496.61597222222</v>
      </c>
      <c r="D131" s="451">
        <v>20.0</v>
      </c>
      <c r="E131" s="451">
        <v>0.0998931</v>
      </c>
      <c r="F131" s="451">
        <v>36.8</v>
      </c>
      <c r="G131" s="451">
        <v>22.5</v>
      </c>
      <c r="H131" s="451">
        <v>909.457692</v>
      </c>
      <c r="I131" s="451">
        <v>0.999942</v>
      </c>
      <c r="J131" s="451">
        <v>0.481873</v>
      </c>
      <c r="K131" s="451">
        <v>2406.8</v>
      </c>
      <c r="L131" s="453"/>
      <c r="M131" s="434">
        <f t="shared" si="1"/>
        <v>1.025445439</v>
      </c>
      <c r="N131" s="435">
        <f t="shared" si="2"/>
        <v>2347.07758</v>
      </c>
      <c r="O131" s="436">
        <f t="shared" si="3"/>
        <v>2347.07758</v>
      </c>
      <c r="P131" s="437" t="s">
        <v>12</v>
      </c>
      <c r="Q131" s="454" t="s">
        <v>13</v>
      </c>
      <c r="R131" s="462"/>
      <c r="S131" s="85"/>
      <c r="T131" s="85"/>
      <c r="U131" s="85"/>
      <c r="V131" s="85"/>
      <c r="W131" s="85"/>
      <c r="X131" s="85"/>
      <c r="Y131" s="86"/>
      <c r="Z131" s="449"/>
      <c r="AA131" s="449"/>
      <c r="AB131" s="449"/>
      <c r="AC131" s="449"/>
      <c r="AD131" s="449"/>
      <c r="AE131" s="449"/>
    </row>
    <row r="132">
      <c r="A132" s="451" t="s">
        <v>889</v>
      </c>
      <c r="B132" s="451">
        <v>574.0</v>
      </c>
      <c r="C132" s="452">
        <v>45496.62777777778</v>
      </c>
      <c r="D132" s="451">
        <v>20.0</v>
      </c>
      <c r="E132" s="451">
        <v>0.0998931</v>
      </c>
      <c r="F132" s="451">
        <v>36.9</v>
      </c>
      <c r="G132" s="451">
        <v>22.5</v>
      </c>
      <c r="H132" s="451">
        <v>904.073602</v>
      </c>
      <c r="I132" s="451">
        <v>0.999861</v>
      </c>
      <c r="J132" s="451">
        <v>0.480596</v>
      </c>
      <c r="K132" s="451">
        <v>2400.4</v>
      </c>
      <c r="L132" s="453"/>
      <c r="M132" s="434">
        <f t="shared" si="1"/>
        <v>1.025521435</v>
      </c>
      <c r="N132" s="435">
        <f t="shared" si="2"/>
        <v>2340.662923</v>
      </c>
      <c r="O132" s="436">
        <f t="shared" si="3"/>
        <v>2340.662923</v>
      </c>
      <c r="P132" s="437" t="s">
        <v>12</v>
      </c>
      <c r="Q132" s="454" t="s">
        <v>13</v>
      </c>
      <c r="R132" s="462"/>
      <c r="S132" s="85"/>
      <c r="T132" s="85"/>
      <c r="U132" s="85"/>
      <c r="V132" s="85"/>
      <c r="W132" s="85"/>
      <c r="X132" s="85"/>
      <c r="Y132" s="86"/>
      <c r="Z132" s="449"/>
      <c r="AA132" s="449"/>
      <c r="AB132" s="449"/>
      <c r="AC132" s="449"/>
      <c r="AD132" s="449"/>
      <c r="AE132" s="449"/>
    </row>
    <row r="133">
      <c r="A133" s="451" t="s">
        <v>890</v>
      </c>
      <c r="B133" s="451">
        <v>612.0</v>
      </c>
      <c r="C133" s="452">
        <v>45496.63611111111</v>
      </c>
      <c r="D133" s="451">
        <v>20.0</v>
      </c>
      <c r="E133" s="451">
        <v>0.0998931</v>
      </c>
      <c r="F133" s="451">
        <v>37.0</v>
      </c>
      <c r="G133" s="451">
        <v>22.5</v>
      </c>
      <c r="H133" s="451">
        <v>908.869274</v>
      </c>
      <c r="I133" s="451">
        <v>0.999917</v>
      </c>
      <c r="J133" s="451">
        <v>0.481438</v>
      </c>
      <c r="K133" s="451">
        <v>2404.6</v>
      </c>
      <c r="L133" s="453"/>
      <c r="M133" s="434">
        <f t="shared" si="1"/>
        <v>1.025597436</v>
      </c>
      <c r="N133" s="435">
        <f t="shared" si="2"/>
        <v>2344.584645</v>
      </c>
      <c r="O133" s="436">
        <f t="shared" si="3"/>
        <v>2344.584645</v>
      </c>
      <c r="P133" s="437" t="s">
        <v>12</v>
      </c>
      <c r="Q133" s="454" t="s">
        <v>13</v>
      </c>
      <c r="R133" s="462"/>
      <c r="S133" s="85"/>
      <c r="T133" s="85"/>
      <c r="U133" s="85"/>
      <c r="V133" s="85"/>
      <c r="W133" s="85"/>
      <c r="X133" s="85"/>
      <c r="Y133" s="86"/>
      <c r="Z133" s="449"/>
      <c r="AA133" s="449"/>
      <c r="AB133" s="449"/>
      <c r="AC133" s="449"/>
      <c r="AD133" s="449"/>
      <c r="AE133" s="449"/>
    </row>
    <row r="134">
      <c r="A134" s="451" t="s">
        <v>891</v>
      </c>
      <c r="B134" s="451">
        <v>613.0</v>
      </c>
      <c r="C134" s="452">
        <v>45496.64513888889</v>
      </c>
      <c r="D134" s="451">
        <v>20.0</v>
      </c>
      <c r="E134" s="451">
        <v>0.0998931</v>
      </c>
      <c r="F134" s="451">
        <v>37.0</v>
      </c>
      <c r="G134" s="451">
        <v>22.5</v>
      </c>
      <c r="H134" s="451">
        <v>908.209738</v>
      </c>
      <c r="I134" s="451">
        <v>0.999906</v>
      </c>
      <c r="J134" s="451">
        <v>0.482667</v>
      </c>
      <c r="K134" s="451">
        <v>2410.8</v>
      </c>
      <c r="L134" s="453"/>
      <c r="M134" s="434">
        <f t="shared" si="1"/>
        <v>1.025597436</v>
      </c>
      <c r="N134" s="435">
        <f t="shared" si="2"/>
        <v>2350.629902</v>
      </c>
      <c r="O134" s="436">
        <f t="shared" si="3"/>
        <v>2350.629902</v>
      </c>
      <c r="P134" s="437" t="s">
        <v>12</v>
      </c>
      <c r="Q134" s="454" t="s">
        <v>13</v>
      </c>
      <c r="R134" s="462"/>
      <c r="S134" s="85"/>
      <c r="T134" s="85"/>
      <c r="U134" s="85"/>
      <c r="V134" s="85"/>
      <c r="W134" s="85"/>
      <c r="X134" s="85"/>
      <c r="Y134" s="86"/>
      <c r="Z134" s="449"/>
      <c r="AA134" s="449"/>
      <c r="AB134" s="449"/>
      <c r="AC134" s="449"/>
      <c r="AD134" s="449"/>
      <c r="AE134" s="449"/>
    </row>
    <row r="135">
      <c r="A135" s="456" t="s">
        <v>892</v>
      </c>
      <c r="B135" s="456" t="s">
        <v>776</v>
      </c>
      <c r="C135" s="457">
        <v>45496.665972222225</v>
      </c>
      <c r="D135" s="456">
        <v>20.0</v>
      </c>
      <c r="E135" s="456">
        <v>0.0998931</v>
      </c>
      <c r="F135" s="456">
        <v>33.2</v>
      </c>
      <c r="G135" s="456">
        <v>22.5</v>
      </c>
      <c r="H135" s="456">
        <v>910.473199</v>
      </c>
      <c r="I135" s="456">
        <v>0.999856</v>
      </c>
      <c r="J135" s="456">
        <v>0.451357</v>
      </c>
      <c r="K135" s="456">
        <v>2251.9</v>
      </c>
      <c r="L135" s="463"/>
      <c r="M135" s="434">
        <f t="shared" si="1"/>
        <v>1.02271245</v>
      </c>
      <c r="N135" s="435">
        <f t="shared" si="2"/>
        <v>2201.88969</v>
      </c>
      <c r="O135" s="436">
        <f t="shared" si="3"/>
        <v>2201.88969</v>
      </c>
      <c r="P135" s="437" t="s">
        <v>12</v>
      </c>
      <c r="Q135" s="464" t="s">
        <v>13</v>
      </c>
      <c r="R135" s="462"/>
      <c r="S135" s="85"/>
      <c r="T135" s="85"/>
      <c r="U135" s="85"/>
      <c r="V135" s="85"/>
      <c r="W135" s="85"/>
      <c r="X135" s="85"/>
      <c r="Y135" s="86"/>
      <c r="Z135" s="449"/>
      <c r="AA135" s="449"/>
      <c r="AB135" s="449"/>
      <c r="AC135" s="449"/>
      <c r="AD135" s="449"/>
      <c r="AE135" s="449"/>
    </row>
    <row r="136">
      <c r="A136" s="451" t="s">
        <v>862</v>
      </c>
      <c r="B136" s="451" t="s">
        <v>726</v>
      </c>
      <c r="C136" s="452">
        <v>45503.555555555555</v>
      </c>
      <c r="D136" s="451">
        <v>20.0</v>
      </c>
      <c r="E136" s="451">
        <v>0.0998931</v>
      </c>
      <c r="F136" s="451">
        <v>33.2</v>
      </c>
      <c r="G136" s="451">
        <v>22.5</v>
      </c>
      <c r="H136" s="451">
        <v>0.0</v>
      </c>
      <c r="I136" s="451">
        <v>0.0</v>
      </c>
      <c r="J136" s="451">
        <v>0.0</v>
      </c>
      <c r="K136" s="451">
        <v>0.0</v>
      </c>
      <c r="L136" s="451" t="s">
        <v>914</v>
      </c>
      <c r="M136" s="434">
        <f t="shared" si="1"/>
        <v>1.02271245</v>
      </c>
      <c r="N136" s="435">
        <f t="shared" si="2"/>
        <v>0</v>
      </c>
      <c r="O136" s="436">
        <f t="shared" si="3"/>
        <v>0</v>
      </c>
      <c r="P136" s="437" t="s">
        <v>280</v>
      </c>
      <c r="Q136" s="454" t="s">
        <v>13</v>
      </c>
      <c r="R136" s="458"/>
      <c r="S136" s="85"/>
      <c r="T136" s="85"/>
      <c r="U136" s="85"/>
      <c r="V136" s="85"/>
      <c r="W136" s="85"/>
      <c r="X136" s="85"/>
      <c r="Y136" s="86"/>
      <c r="Z136" s="449"/>
      <c r="AA136" s="449"/>
      <c r="AB136" s="449"/>
      <c r="AC136" s="449"/>
      <c r="AD136" s="449"/>
      <c r="AE136" s="449"/>
    </row>
    <row r="137">
      <c r="A137" s="451" t="s">
        <v>866</v>
      </c>
      <c r="B137" s="451" t="s">
        <v>726</v>
      </c>
      <c r="C137" s="452">
        <v>45503.55972222222</v>
      </c>
      <c r="D137" s="451">
        <v>20.0</v>
      </c>
      <c r="E137" s="451">
        <v>0.0998931</v>
      </c>
      <c r="F137" s="451">
        <v>33.2</v>
      </c>
      <c r="G137" s="451">
        <v>22.5</v>
      </c>
      <c r="H137" s="451">
        <v>886.386821</v>
      </c>
      <c r="I137" s="451">
        <v>0.999798</v>
      </c>
      <c r="J137" s="451">
        <v>0.449431</v>
      </c>
      <c r="K137" s="451">
        <v>2244.8</v>
      </c>
      <c r="L137" s="453"/>
      <c r="M137" s="434">
        <f t="shared" si="1"/>
        <v>1.02271245</v>
      </c>
      <c r="N137" s="435">
        <f t="shared" si="2"/>
        <v>2194.947367</v>
      </c>
      <c r="O137" s="436">
        <f t="shared" si="3"/>
        <v>2194.947367</v>
      </c>
      <c r="P137" s="437" t="s">
        <v>12</v>
      </c>
      <c r="Q137" s="454" t="s">
        <v>13</v>
      </c>
      <c r="R137" s="458"/>
      <c r="S137" s="85"/>
      <c r="T137" s="85"/>
      <c r="U137" s="85"/>
      <c r="V137" s="85"/>
      <c r="W137" s="85"/>
      <c r="X137" s="85"/>
      <c r="Y137" s="86"/>
      <c r="Z137" s="449"/>
      <c r="AA137" s="449"/>
      <c r="AB137" s="449"/>
      <c r="AC137" s="449"/>
      <c r="AD137" s="449"/>
      <c r="AE137" s="449"/>
    </row>
    <row r="138">
      <c r="A138" s="451" t="s">
        <v>867</v>
      </c>
      <c r="B138" s="451" t="s">
        <v>726</v>
      </c>
      <c r="C138" s="452">
        <v>45503.569444444445</v>
      </c>
      <c r="D138" s="451">
        <v>20.0</v>
      </c>
      <c r="E138" s="451">
        <v>0.0998931</v>
      </c>
      <c r="F138" s="451">
        <v>33.2</v>
      </c>
      <c r="G138" s="451">
        <v>22.5</v>
      </c>
      <c r="H138" s="451">
        <v>888.323432</v>
      </c>
      <c r="I138" s="451">
        <v>0.999805</v>
      </c>
      <c r="J138" s="451">
        <v>0.449766</v>
      </c>
      <c r="K138" s="451">
        <v>2246.4</v>
      </c>
      <c r="L138" s="451">
        <v>1.1849</v>
      </c>
      <c r="M138" s="434">
        <f t="shared" si="1"/>
        <v>1.02271245</v>
      </c>
      <c r="N138" s="435">
        <f t="shared" si="2"/>
        <v>2196.511834</v>
      </c>
      <c r="O138" s="436">
        <f t="shared" si="3"/>
        <v>2196.511834</v>
      </c>
      <c r="P138" s="437" t="s">
        <v>12</v>
      </c>
      <c r="Q138" s="454" t="s">
        <v>13</v>
      </c>
      <c r="R138" s="458"/>
      <c r="S138" s="85"/>
      <c r="T138" s="85"/>
      <c r="U138" s="85"/>
      <c r="V138" s="85"/>
      <c r="W138" s="85"/>
      <c r="X138" s="85"/>
      <c r="Y138" s="86"/>
      <c r="Z138" s="449"/>
      <c r="AA138" s="449"/>
      <c r="AB138" s="449"/>
      <c r="AC138" s="449"/>
      <c r="AD138" s="449"/>
      <c r="AE138" s="449"/>
    </row>
    <row r="139">
      <c r="A139" s="451" t="s">
        <v>908</v>
      </c>
      <c r="B139" s="451" t="s">
        <v>726</v>
      </c>
      <c r="C139" s="452">
        <v>45503.58819444444</v>
      </c>
      <c r="D139" s="451">
        <v>20.0</v>
      </c>
      <c r="E139" s="451">
        <v>0.0998931</v>
      </c>
      <c r="F139" s="451">
        <v>33.2</v>
      </c>
      <c r="G139" s="451">
        <v>22.5</v>
      </c>
      <c r="H139" s="451">
        <v>883.473179</v>
      </c>
      <c r="I139" s="451">
        <v>0.999834</v>
      </c>
      <c r="J139" s="451">
        <v>0.449096</v>
      </c>
      <c r="K139" s="451">
        <v>2243.1</v>
      </c>
      <c r="L139" s="451">
        <v>2.3672</v>
      </c>
      <c r="M139" s="434">
        <f t="shared" si="1"/>
        <v>1.02271245</v>
      </c>
      <c r="N139" s="435">
        <f t="shared" si="2"/>
        <v>2193.285121</v>
      </c>
      <c r="O139" s="436">
        <f t="shared" si="3"/>
        <v>2193.285121</v>
      </c>
      <c r="P139" s="437" t="s">
        <v>12</v>
      </c>
      <c r="Q139" s="454" t="s">
        <v>13</v>
      </c>
      <c r="R139" s="458"/>
      <c r="S139" s="85"/>
      <c r="T139" s="85"/>
      <c r="U139" s="85"/>
      <c r="V139" s="85"/>
      <c r="W139" s="85"/>
      <c r="X139" s="85"/>
      <c r="Y139" s="86"/>
      <c r="Z139" s="449"/>
      <c r="AA139" s="449"/>
      <c r="AB139" s="449"/>
      <c r="AC139" s="449"/>
      <c r="AD139" s="449"/>
      <c r="AE139" s="449"/>
    </row>
    <row r="140">
      <c r="A140" s="451" t="s">
        <v>909</v>
      </c>
      <c r="B140" s="451" t="s">
        <v>726</v>
      </c>
      <c r="C140" s="452">
        <v>45503.61597222222</v>
      </c>
      <c r="D140" s="451">
        <v>20.0</v>
      </c>
      <c r="E140" s="451">
        <v>0.0998931</v>
      </c>
      <c r="F140" s="451">
        <v>33.2</v>
      </c>
      <c r="G140" s="451">
        <v>22.5</v>
      </c>
      <c r="H140" s="451">
        <v>883.169822</v>
      </c>
      <c r="I140" s="451">
        <v>0.999826</v>
      </c>
      <c r="J140" s="451">
        <v>0.449653</v>
      </c>
      <c r="K140" s="451">
        <v>2245.9</v>
      </c>
      <c r="L140" s="451">
        <v>1.9686</v>
      </c>
      <c r="M140" s="434">
        <f t="shared" si="1"/>
        <v>1.02271245</v>
      </c>
      <c r="N140" s="435">
        <f t="shared" si="2"/>
        <v>2196.022938</v>
      </c>
      <c r="O140" s="436">
        <f t="shared" si="3"/>
        <v>2196.022938</v>
      </c>
      <c r="P140" s="437" t="s">
        <v>12</v>
      </c>
      <c r="Q140" s="454" t="s">
        <v>13</v>
      </c>
      <c r="R140" s="458"/>
      <c r="S140" s="85"/>
      <c r="T140" s="85"/>
      <c r="U140" s="85"/>
      <c r="V140" s="85"/>
      <c r="W140" s="85"/>
      <c r="X140" s="85"/>
      <c r="Y140" s="86"/>
      <c r="Z140" s="449"/>
      <c r="AA140" s="449"/>
      <c r="AB140" s="449"/>
      <c r="AC140" s="449"/>
      <c r="AD140" s="449"/>
      <c r="AE140" s="449"/>
    </row>
    <row r="141">
      <c r="A141" s="451" t="s">
        <v>910</v>
      </c>
      <c r="B141" s="451" t="s">
        <v>726</v>
      </c>
      <c r="C141" s="452">
        <v>45503.62569444445</v>
      </c>
      <c r="D141" s="451">
        <v>20.0</v>
      </c>
      <c r="E141" s="451">
        <v>0.0998931</v>
      </c>
      <c r="F141" s="451">
        <v>33.2</v>
      </c>
      <c r="G141" s="451">
        <v>22.5</v>
      </c>
      <c r="H141" s="451">
        <v>884.617737</v>
      </c>
      <c r="I141" s="451">
        <v>0.999842</v>
      </c>
      <c r="J141" s="451">
        <v>0.448656</v>
      </c>
      <c r="K141" s="451">
        <v>2240.9</v>
      </c>
      <c r="L141" s="451">
        <v>3.5211</v>
      </c>
      <c r="M141" s="434">
        <f t="shared" si="1"/>
        <v>1.02271245</v>
      </c>
      <c r="N141" s="435">
        <f t="shared" si="2"/>
        <v>2191.133978</v>
      </c>
      <c r="O141" s="436">
        <f t="shared" si="3"/>
        <v>2191.133978</v>
      </c>
      <c r="P141" s="437" t="s">
        <v>12</v>
      </c>
      <c r="Q141" s="454" t="s">
        <v>13</v>
      </c>
      <c r="R141" s="458"/>
      <c r="S141" s="85"/>
      <c r="T141" s="85"/>
      <c r="U141" s="85"/>
      <c r="V141" s="85"/>
      <c r="W141" s="85"/>
      <c r="X141" s="85"/>
      <c r="Y141" s="86"/>
      <c r="Z141" s="449"/>
      <c r="AA141" s="449"/>
      <c r="AB141" s="449"/>
      <c r="AC141" s="449"/>
      <c r="AD141" s="449"/>
      <c r="AE141" s="449"/>
    </row>
    <row r="142">
      <c r="A142" s="451" t="s">
        <v>896</v>
      </c>
      <c r="B142" s="451" t="s">
        <v>915</v>
      </c>
      <c r="C142" s="452">
        <v>45503.63958333333</v>
      </c>
      <c r="D142" s="451">
        <v>20.0</v>
      </c>
      <c r="E142" s="451">
        <v>0.0998931</v>
      </c>
      <c r="F142" s="451">
        <v>33.2</v>
      </c>
      <c r="G142" s="451">
        <v>22.5</v>
      </c>
      <c r="H142" s="451">
        <v>890.905067</v>
      </c>
      <c r="I142" s="451">
        <v>0.999828</v>
      </c>
      <c r="J142" s="451">
        <v>0.449856</v>
      </c>
      <c r="K142" s="451">
        <v>2246.9</v>
      </c>
      <c r="L142" s="453"/>
      <c r="M142" s="434">
        <f t="shared" si="1"/>
        <v>1.02271245</v>
      </c>
      <c r="N142" s="435">
        <f t="shared" si="2"/>
        <v>2197.00073</v>
      </c>
      <c r="O142" s="436">
        <f t="shared" si="3"/>
        <v>2197.00073</v>
      </c>
      <c r="P142" s="437" t="s">
        <v>12</v>
      </c>
      <c r="Q142" s="454" t="s">
        <v>13</v>
      </c>
      <c r="R142" s="458"/>
      <c r="S142" s="85"/>
      <c r="T142" s="85"/>
      <c r="U142" s="85"/>
      <c r="V142" s="85"/>
      <c r="W142" s="85"/>
      <c r="X142" s="85"/>
      <c r="Y142" s="86"/>
      <c r="Z142" s="449"/>
      <c r="AA142" s="449"/>
      <c r="AB142" s="449"/>
      <c r="AC142" s="449"/>
      <c r="AD142" s="449"/>
      <c r="AE142" s="449"/>
    </row>
    <row r="143">
      <c r="A143" s="451" t="s">
        <v>872</v>
      </c>
      <c r="B143" s="451" t="s">
        <v>916</v>
      </c>
      <c r="C143" s="452">
        <v>45503.65069444444</v>
      </c>
      <c r="D143" s="451">
        <v>20.0</v>
      </c>
      <c r="E143" s="451">
        <v>0.0998931</v>
      </c>
      <c r="F143" s="451">
        <v>33.2</v>
      </c>
      <c r="G143" s="451">
        <v>22.5</v>
      </c>
      <c r="H143" s="451">
        <v>893.529754</v>
      </c>
      <c r="I143" s="451">
        <v>0.999779</v>
      </c>
      <c r="J143" s="451">
        <v>0.449522</v>
      </c>
      <c r="K143" s="451">
        <v>2245.2</v>
      </c>
      <c r="L143" s="453"/>
      <c r="M143" s="434">
        <f t="shared" si="1"/>
        <v>1.02271245</v>
      </c>
      <c r="N143" s="435">
        <f t="shared" si="2"/>
        <v>2195.338484</v>
      </c>
      <c r="O143" s="436">
        <f t="shared" si="3"/>
        <v>2195.338484</v>
      </c>
      <c r="P143" s="437" t="s">
        <v>12</v>
      </c>
      <c r="Q143" s="454" t="s">
        <v>13</v>
      </c>
      <c r="R143" s="458"/>
      <c r="S143" s="85"/>
      <c r="T143" s="85"/>
      <c r="U143" s="85"/>
      <c r="V143" s="85"/>
      <c r="W143" s="85"/>
      <c r="X143" s="85"/>
      <c r="Y143" s="86"/>
      <c r="Z143" s="449"/>
      <c r="AA143" s="449"/>
      <c r="AB143" s="449"/>
      <c r="AC143" s="449"/>
      <c r="AD143" s="449"/>
      <c r="AE143" s="449"/>
    </row>
    <row r="144">
      <c r="A144" s="456" t="s">
        <v>873</v>
      </c>
      <c r="B144" s="456" t="s">
        <v>678</v>
      </c>
      <c r="C144" s="457">
        <v>45503.65972222222</v>
      </c>
      <c r="D144" s="456">
        <v>20.0</v>
      </c>
      <c r="E144" s="456">
        <v>0.0998931</v>
      </c>
      <c r="F144" s="456">
        <v>33.2</v>
      </c>
      <c r="G144" s="456">
        <v>22.5</v>
      </c>
      <c r="H144" s="456">
        <v>893.797838</v>
      </c>
      <c r="I144" s="456">
        <v>0.99981</v>
      </c>
      <c r="J144" s="456">
        <v>0.449507</v>
      </c>
      <c r="K144" s="456">
        <v>2245.1</v>
      </c>
      <c r="L144" s="453"/>
      <c r="M144" s="434">
        <f t="shared" si="1"/>
        <v>1.02271245</v>
      </c>
      <c r="N144" s="435">
        <f t="shared" si="2"/>
        <v>2195.240705</v>
      </c>
      <c r="O144" s="467">
        <f t="shared" ref="O144:O150" si="4">(2203.7/AVERAGE(N$144,N$150))*N144</f>
        <v>2203.307446</v>
      </c>
      <c r="P144" s="437" t="s">
        <v>12</v>
      </c>
      <c r="Q144" s="454" t="s">
        <v>13</v>
      </c>
      <c r="R144" s="458"/>
      <c r="S144" s="439"/>
      <c r="T144" s="439"/>
      <c r="U144" s="85"/>
      <c r="V144" s="85"/>
      <c r="W144" s="85"/>
      <c r="X144" s="85"/>
      <c r="Y144" s="86"/>
      <c r="Z144" s="449"/>
      <c r="AA144" s="449"/>
      <c r="AB144" s="449"/>
      <c r="AC144" s="449"/>
      <c r="AD144" s="449"/>
      <c r="AE144" s="449"/>
    </row>
    <row r="145">
      <c r="A145" s="451" t="s">
        <v>874</v>
      </c>
      <c r="B145" s="451">
        <v>599.0</v>
      </c>
      <c r="C145" s="452">
        <v>45503.70347222222</v>
      </c>
      <c r="D145" s="451">
        <v>20.0</v>
      </c>
      <c r="E145" s="451">
        <v>0.0998931</v>
      </c>
      <c r="F145" s="451">
        <v>33.2</v>
      </c>
      <c r="G145" s="451">
        <v>22.5</v>
      </c>
      <c r="H145" s="451">
        <v>906.02958</v>
      </c>
      <c r="I145" s="451">
        <v>0.999836</v>
      </c>
      <c r="J145" s="451">
        <v>0.473756</v>
      </c>
      <c r="K145" s="451">
        <v>2366.2</v>
      </c>
      <c r="L145" s="453"/>
      <c r="M145" s="434">
        <f t="shared" si="1"/>
        <v>1.02271245</v>
      </c>
      <c r="N145" s="435">
        <f t="shared" si="2"/>
        <v>2313.65131</v>
      </c>
      <c r="O145" s="467">
        <f t="shared" si="4"/>
        <v>2322.153169</v>
      </c>
      <c r="P145" s="454" t="s">
        <v>280</v>
      </c>
      <c r="Q145" s="454" t="s">
        <v>13</v>
      </c>
      <c r="R145" s="468" t="s">
        <v>280</v>
      </c>
      <c r="S145" s="358"/>
      <c r="T145" s="358"/>
      <c r="U145" s="86"/>
      <c r="V145" s="86"/>
      <c r="W145" s="86"/>
      <c r="X145" s="86"/>
      <c r="Y145" s="86"/>
      <c r="Z145" s="449"/>
      <c r="AA145" s="449"/>
      <c r="AB145" s="449"/>
      <c r="AC145" s="449"/>
      <c r="AD145" s="449"/>
      <c r="AE145" s="449"/>
    </row>
    <row r="146">
      <c r="A146" s="451" t="s">
        <v>875</v>
      </c>
      <c r="B146" s="451">
        <v>600.0</v>
      </c>
      <c r="C146" s="452">
        <v>45503.711805555555</v>
      </c>
      <c r="D146" s="451">
        <v>20.0</v>
      </c>
      <c r="E146" s="451">
        <v>0.0998931</v>
      </c>
      <c r="F146" s="451">
        <v>37.2</v>
      </c>
      <c r="G146" s="451">
        <v>22.5</v>
      </c>
      <c r="H146" s="451">
        <v>881.386479</v>
      </c>
      <c r="I146" s="451">
        <v>0.999796</v>
      </c>
      <c r="J146" s="451">
        <v>0.484652</v>
      </c>
      <c r="K146" s="451">
        <v>2420.7</v>
      </c>
      <c r="L146" s="453"/>
      <c r="M146" s="434">
        <f t="shared" si="1"/>
        <v>1.02574945</v>
      </c>
      <c r="N146" s="435">
        <f t="shared" si="2"/>
        <v>2359.933023</v>
      </c>
      <c r="O146" s="467">
        <f t="shared" si="4"/>
        <v>2368.604951</v>
      </c>
      <c r="P146" s="437" t="s">
        <v>12</v>
      </c>
      <c r="Q146" s="454" t="s">
        <v>13</v>
      </c>
      <c r="R146" s="458"/>
      <c r="S146" s="439"/>
      <c r="T146" s="439"/>
      <c r="U146" s="85"/>
      <c r="V146" s="85"/>
      <c r="W146" s="85"/>
      <c r="X146" s="85"/>
      <c r="Y146" s="86"/>
      <c r="Z146" s="449"/>
      <c r="AA146" s="449"/>
      <c r="AB146" s="449"/>
      <c r="AC146" s="449"/>
      <c r="AD146" s="449"/>
      <c r="AE146" s="449"/>
    </row>
    <row r="147">
      <c r="A147" s="451" t="s">
        <v>876</v>
      </c>
      <c r="B147" s="451">
        <v>547.0</v>
      </c>
      <c r="C147" s="452">
        <v>45503.720138888886</v>
      </c>
      <c r="D147" s="451">
        <v>20.0</v>
      </c>
      <c r="E147" s="451">
        <v>0.0998931</v>
      </c>
      <c r="F147" s="451">
        <v>37.1</v>
      </c>
      <c r="G147" s="451">
        <v>22.5</v>
      </c>
      <c r="H147" s="451">
        <v>884.349639</v>
      </c>
      <c r="I147" s="451">
        <v>0.99982</v>
      </c>
      <c r="J147" s="451">
        <v>0.484637</v>
      </c>
      <c r="K147" s="451">
        <v>2420.6</v>
      </c>
      <c r="L147" s="453"/>
      <c r="M147" s="434">
        <f t="shared" si="1"/>
        <v>1.025673441</v>
      </c>
      <c r="N147" s="435">
        <f t="shared" si="2"/>
        <v>2360.010413</v>
      </c>
      <c r="O147" s="467">
        <f t="shared" si="4"/>
        <v>2368.682625</v>
      </c>
      <c r="P147" s="437" t="s">
        <v>12</v>
      </c>
      <c r="Q147" s="454" t="s">
        <v>13</v>
      </c>
      <c r="R147" s="458"/>
      <c r="S147" s="439"/>
      <c r="T147" s="439"/>
      <c r="U147" s="85"/>
      <c r="V147" s="85"/>
      <c r="W147" s="85"/>
      <c r="X147" s="85"/>
      <c r="Y147" s="86"/>
      <c r="Z147" s="449"/>
      <c r="AA147" s="449"/>
      <c r="AB147" s="449"/>
      <c r="AC147" s="449"/>
      <c r="AD147" s="449"/>
      <c r="AE147" s="449"/>
    </row>
    <row r="148">
      <c r="A148" s="451" t="s">
        <v>877</v>
      </c>
      <c r="B148" s="451">
        <v>548.0</v>
      </c>
      <c r="C148" s="469">
        <v>45503.72708333333</v>
      </c>
      <c r="D148" s="451">
        <v>20.0</v>
      </c>
      <c r="E148" s="451">
        <v>0.0998931</v>
      </c>
      <c r="F148" s="451">
        <v>37.2</v>
      </c>
      <c r="G148" s="451">
        <v>22.5</v>
      </c>
      <c r="H148" s="451">
        <v>885.871594</v>
      </c>
      <c r="I148" s="451">
        <v>0.999794</v>
      </c>
      <c r="J148" s="451">
        <v>0.484311</v>
      </c>
      <c r="K148" s="451">
        <v>2419.0</v>
      </c>
      <c r="L148" s="453"/>
      <c r="M148" s="434">
        <f t="shared" si="1"/>
        <v>1.02574945</v>
      </c>
      <c r="N148" s="435">
        <f t="shared" si="2"/>
        <v>2358.275698</v>
      </c>
      <c r="O148" s="467">
        <f t="shared" si="4"/>
        <v>2366.941536</v>
      </c>
      <c r="P148" s="437" t="s">
        <v>12</v>
      </c>
      <c r="Q148" s="454" t="s">
        <v>13</v>
      </c>
      <c r="R148" s="470"/>
      <c r="S148" s="439"/>
      <c r="T148" s="439"/>
      <c r="U148" s="85"/>
      <c r="V148" s="85"/>
      <c r="W148" s="85"/>
      <c r="X148" s="85"/>
      <c r="Y148" s="86"/>
      <c r="Z148" s="449"/>
      <c r="AA148" s="449"/>
      <c r="AB148" s="449"/>
      <c r="AC148" s="449"/>
      <c r="AD148" s="449"/>
      <c r="AE148" s="449"/>
    </row>
    <row r="149">
      <c r="A149" s="451" t="s">
        <v>878</v>
      </c>
      <c r="B149" s="451">
        <v>599.0</v>
      </c>
      <c r="C149" s="469">
        <v>45503.73541666667</v>
      </c>
      <c r="D149" s="451">
        <v>20.0</v>
      </c>
      <c r="E149" s="451">
        <v>0.0998931</v>
      </c>
      <c r="F149" s="451">
        <v>37.0</v>
      </c>
      <c r="G149" s="451">
        <v>22.5</v>
      </c>
      <c r="H149" s="451">
        <v>884.381733</v>
      </c>
      <c r="I149" s="451">
        <v>0.99982</v>
      </c>
      <c r="J149" s="451">
        <v>0.485396</v>
      </c>
      <c r="K149" s="451">
        <v>2424.4</v>
      </c>
      <c r="L149" s="453"/>
      <c r="M149" s="434">
        <f t="shared" si="1"/>
        <v>1.025597436</v>
      </c>
      <c r="N149" s="435">
        <f t="shared" si="2"/>
        <v>2363.890466</v>
      </c>
      <c r="O149" s="467">
        <f t="shared" si="4"/>
        <v>2372.576936</v>
      </c>
      <c r="P149" s="437" t="s">
        <v>12</v>
      </c>
      <c r="Q149" s="454" t="s">
        <v>13</v>
      </c>
      <c r="R149" s="470"/>
      <c r="S149" s="439"/>
      <c r="T149" s="439"/>
      <c r="U149" s="85"/>
      <c r="V149" s="85"/>
      <c r="W149" s="85"/>
      <c r="X149" s="85"/>
      <c r="Y149" s="86"/>
      <c r="Z149" s="449"/>
      <c r="AA149" s="449"/>
      <c r="AB149" s="449"/>
      <c r="AC149" s="449"/>
      <c r="AD149" s="449"/>
      <c r="AE149" s="449"/>
    </row>
    <row r="150">
      <c r="A150" s="456" t="s">
        <v>917</v>
      </c>
      <c r="B150" s="456" t="s">
        <v>821</v>
      </c>
      <c r="C150" s="471">
        <v>45503.75833333333</v>
      </c>
      <c r="D150" s="456">
        <v>20.0</v>
      </c>
      <c r="E150" s="456">
        <v>0.0998931</v>
      </c>
      <c r="F150" s="456">
        <v>33.2</v>
      </c>
      <c r="G150" s="456">
        <v>22.5</v>
      </c>
      <c r="H150" s="456">
        <v>883.169822</v>
      </c>
      <c r="I150" s="456">
        <v>0.999826</v>
      </c>
      <c r="J150" s="456">
        <v>0.449653</v>
      </c>
      <c r="K150" s="456">
        <v>2245.9</v>
      </c>
      <c r="L150" s="453"/>
      <c r="M150" s="434">
        <f t="shared" si="1"/>
        <v>1.02271245</v>
      </c>
      <c r="N150" s="435">
        <f t="shared" si="2"/>
        <v>2196.022938</v>
      </c>
      <c r="O150" s="467">
        <f t="shared" si="4"/>
        <v>2204.092554</v>
      </c>
      <c r="P150" s="437" t="s">
        <v>12</v>
      </c>
      <c r="Q150" s="454" t="s">
        <v>13</v>
      </c>
      <c r="R150" s="470"/>
      <c r="S150" s="439"/>
      <c r="T150" s="439"/>
      <c r="U150" s="85"/>
      <c r="V150" s="85"/>
      <c r="W150" s="85"/>
      <c r="X150" s="85"/>
      <c r="Y150" s="86"/>
      <c r="Z150" s="449"/>
      <c r="AA150" s="449"/>
      <c r="AB150" s="449"/>
      <c r="AC150" s="449"/>
      <c r="AD150" s="449"/>
      <c r="AE150" s="449"/>
    </row>
    <row r="151">
      <c r="A151" s="459"/>
      <c r="B151" s="472"/>
      <c r="C151" s="459"/>
      <c r="D151" s="459"/>
      <c r="E151" s="459"/>
      <c r="F151" s="459"/>
      <c r="G151" s="459"/>
      <c r="H151" s="459"/>
      <c r="I151" s="459"/>
      <c r="J151" s="459"/>
      <c r="K151" s="459"/>
      <c r="L151" s="473"/>
      <c r="M151" s="474"/>
      <c r="N151" s="470"/>
      <c r="O151" s="470"/>
      <c r="P151" s="470"/>
      <c r="Q151" s="470"/>
      <c r="R151" s="459"/>
      <c r="S151" s="439"/>
      <c r="T151" s="439"/>
      <c r="U151" s="85"/>
      <c r="V151" s="85"/>
      <c r="W151" s="85"/>
      <c r="X151" s="85"/>
      <c r="Y151" s="86"/>
      <c r="Z151" s="449"/>
      <c r="AA151" s="449"/>
      <c r="AB151" s="449"/>
      <c r="AC151" s="449"/>
      <c r="AD151" s="449"/>
      <c r="AE151" s="449"/>
    </row>
    <row r="152">
      <c r="A152" s="459"/>
      <c r="B152" s="472"/>
      <c r="C152" s="459"/>
      <c r="D152" s="459"/>
      <c r="E152" s="459"/>
      <c r="F152" s="459"/>
      <c r="G152" s="459"/>
      <c r="H152" s="459"/>
      <c r="I152" s="459"/>
      <c r="J152" s="459"/>
      <c r="K152" s="459"/>
      <c r="L152" s="473"/>
      <c r="M152" s="474"/>
      <c r="N152" s="470"/>
      <c r="O152" s="470"/>
      <c r="P152" s="470"/>
      <c r="Q152" s="470"/>
      <c r="R152" s="459"/>
      <c r="S152" s="439"/>
      <c r="T152" s="439"/>
      <c r="U152" s="85"/>
      <c r="V152" s="85"/>
      <c r="W152" s="85"/>
      <c r="X152" s="85"/>
      <c r="Y152" s="86"/>
      <c r="Z152" s="449"/>
      <c r="AA152" s="449"/>
      <c r="AB152" s="449"/>
      <c r="AC152" s="449"/>
      <c r="AD152" s="449"/>
      <c r="AE152" s="449"/>
    </row>
    <row r="153">
      <c r="A153" s="459"/>
      <c r="B153" s="472"/>
      <c r="C153" s="459"/>
      <c r="D153" s="459"/>
      <c r="E153" s="459"/>
      <c r="F153" s="459"/>
      <c r="G153" s="459"/>
      <c r="H153" s="459"/>
      <c r="I153" s="459"/>
      <c r="J153" s="459"/>
      <c r="K153" s="459"/>
      <c r="L153" s="473"/>
      <c r="M153" s="474"/>
      <c r="N153" s="470"/>
      <c r="O153" s="470"/>
      <c r="P153" s="470"/>
      <c r="Q153" s="470"/>
      <c r="R153" s="459"/>
      <c r="S153" s="439"/>
      <c r="T153" s="439"/>
      <c r="U153" s="85"/>
      <c r="V153" s="85"/>
      <c r="W153" s="85"/>
      <c r="X153" s="85"/>
      <c r="Y153" s="86"/>
      <c r="Z153" s="449"/>
      <c r="AA153" s="449"/>
      <c r="AB153" s="449"/>
      <c r="AC153" s="449"/>
      <c r="AD153" s="449"/>
      <c r="AE153" s="449"/>
    </row>
    <row r="154">
      <c r="A154" s="459"/>
      <c r="B154" s="472"/>
      <c r="C154" s="459"/>
      <c r="D154" s="459"/>
      <c r="E154" s="459"/>
      <c r="F154" s="459"/>
      <c r="G154" s="459"/>
      <c r="H154" s="459"/>
      <c r="I154" s="459"/>
      <c r="J154" s="459"/>
      <c r="K154" s="459"/>
      <c r="L154" s="473"/>
      <c r="M154" s="474"/>
      <c r="N154" s="470"/>
      <c r="O154" s="470"/>
      <c r="P154" s="470"/>
      <c r="Q154" s="470"/>
      <c r="R154" s="459"/>
      <c r="S154" s="439"/>
      <c r="T154" s="439"/>
      <c r="U154" s="85"/>
      <c r="V154" s="85"/>
      <c r="W154" s="85"/>
      <c r="X154" s="85"/>
      <c r="Y154" s="86"/>
      <c r="Z154" s="449"/>
      <c r="AA154" s="449"/>
      <c r="AB154" s="449"/>
      <c r="AC154" s="449"/>
      <c r="AD154" s="449"/>
      <c r="AE154" s="449"/>
    </row>
    <row r="155">
      <c r="A155" s="459"/>
      <c r="B155" s="472"/>
      <c r="C155" s="459"/>
      <c r="D155" s="459"/>
      <c r="E155" s="459"/>
      <c r="F155" s="459"/>
      <c r="G155" s="459"/>
      <c r="H155" s="459"/>
      <c r="I155" s="459"/>
      <c r="J155" s="459"/>
      <c r="K155" s="459"/>
      <c r="L155" s="473"/>
      <c r="M155" s="474"/>
      <c r="N155" s="470"/>
      <c r="O155" s="470"/>
      <c r="P155" s="470"/>
      <c r="Q155" s="470"/>
      <c r="R155" s="459"/>
      <c r="S155" s="439"/>
      <c r="T155" s="439"/>
      <c r="U155" s="85"/>
      <c r="V155" s="85"/>
      <c r="W155" s="85"/>
      <c r="X155" s="85"/>
      <c r="Y155" s="86"/>
      <c r="Z155" s="449"/>
      <c r="AA155" s="449"/>
      <c r="AB155" s="449"/>
      <c r="AC155" s="449"/>
      <c r="AD155" s="449"/>
      <c r="AE155" s="449"/>
    </row>
    <row r="156">
      <c r="A156" s="459"/>
      <c r="B156" s="472"/>
      <c r="C156" s="459"/>
      <c r="D156" s="459"/>
      <c r="E156" s="459"/>
      <c r="F156" s="459"/>
      <c r="G156" s="459"/>
      <c r="H156" s="459"/>
      <c r="I156" s="459"/>
      <c r="J156" s="459"/>
      <c r="K156" s="459"/>
      <c r="L156" s="473"/>
      <c r="M156" s="474"/>
      <c r="N156" s="470"/>
      <c r="O156" s="470"/>
      <c r="P156" s="470"/>
      <c r="Q156" s="470"/>
      <c r="R156" s="459"/>
      <c r="S156" s="439"/>
      <c r="T156" s="439"/>
      <c r="U156" s="85"/>
      <c r="V156" s="85"/>
      <c r="W156" s="85"/>
      <c r="X156" s="85"/>
      <c r="Y156" s="86"/>
      <c r="Z156" s="449"/>
      <c r="AA156" s="449"/>
      <c r="AB156" s="449"/>
      <c r="AC156" s="449"/>
      <c r="AD156" s="449"/>
      <c r="AE156" s="449"/>
    </row>
    <row r="157">
      <c r="A157" s="459"/>
      <c r="B157" s="472"/>
      <c r="C157" s="459"/>
      <c r="D157" s="459"/>
      <c r="E157" s="459"/>
      <c r="F157" s="459"/>
      <c r="G157" s="459"/>
      <c r="H157" s="459"/>
      <c r="I157" s="459"/>
      <c r="J157" s="459"/>
      <c r="K157" s="459"/>
      <c r="L157" s="473"/>
      <c r="M157" s="474"/>
      <c r="N157" s="470"/>
      <c r="O157" s="470"/>
      <c r="P157" s="470"/>
      <c r="Q157" s="470"/>
      <c r="R157" s="459"/>
      <c r="S157" s="439"/>
      <c r="T157" s="439"/>
      <c r="U157" s="85"/>
      <c r="V157" s="85"/>
      <c r="W157" s="85"/>
      <c r="X157" s="85"/>
      <c r="Y157" s="86"/>
      <c r="Z157" s="449"/>
      <c r="AA157" s="449"/>
      <c r="AB157" s="449"/>
      <c r="AC157" s="449"/>
      <c r="AD157" s="449"/>
      <c r="AE157" s="449"/>
    </row>
    <row r="158">
      <c r="A158" s="459"/>
      <c r="B158" s="472"/>
      <c r="C158" s="459"/>
      <c r="D158" s="459"/>
      <c r="E158" s="459"/>
      <c r="F158" s="459"/>
      <c r="G158" s="459"/>
      <c r="H158" s="459"/>
      <c r="I158" s="459"/>
      <c r="J158" s="459"/>
      <c r="K158" s="459"/>
      <c r="L158" s="473"/>
      <c r="M158" s="474"/>
      <c r="N158" s="470"/>
      <c r="O158" s="470"/>
      <c r="P158" s="470"/>
      <c r="Q158" s="470"/>
      <c r="R158" s="459"/>
      <c r="S158" s="439"/>
      <c r="T158" s="439"/>
      <c r="U158" s="85"/>
      <c r="V158" s="85"/>
      <c r="W158" s="85"/>
      <c r="X158" s="85"/>
      <c r="Y158" s="86"/>
      <c r="Z158" s="449"/>
      <c r="AA158" s="449"/>
      <c r="AB158" s="449"/>
      <c r="AC158" s="449"/>
      <c r="AD158" s="449"/>
      <c r="AE158" s="449"/>
    </row>
    <row r="159">
      <c r="A159" s="459"/>
      <c r="B159" s="472"/>
      <c r="C159" s="459"/>
      <c r="D159" s="459"/>
      <c r="E159" s="459"/>
      <c r="F159" s="459"/>
      <c r="G159" s="459"/>
      <c r="H159" s="459"/>
      <c r="I159" s="459"/>
      <c r="J159" s="459"/>
      <c r="K159" s="459"/>
      <c r="L159" s="473"/>
      <c r="M159" s="474"/>
      <c r="N159" s="470"/>
      <c r="O159" s="470"/>
      <c r="P159" s="470"/>
      <c r="Q159" s="470"/>
      <c r="R159" s="459"/>
      <c r="S159" s="439"/>
      <c r="T159" s="439"/>
      <c r="U159" s="85"/>
      <c r="V159" s="85"/>
      <c r="W159" s="85"/>
      <c r="X159" s="85"/>
      <c r="Y159" s="86"/>
      <c r="Z159" s="449"/>
      <c r="AA159" s="449"/>
      <c r="AB159" s="449"/>
      <c r="AC159" s="449"/>
      <c r="AD159" s="449"/>
      <c r="AE159" s="449"/>
    </row>
    <row r="160">
      <c r="A160" s="459"/>
      <c r="B160" s="472"/>
      <c r="C160" s="459"/>
      <c r="D160" s="459"/>
      <c r="E160" s="459"/>
      <c r="F160" s="459"/>
      <c r="G160" s="459"/>
      <c r="H160" s="459"/>
      <c r="I160" s="459"/>
      <c r="J160" s="459"/>
      <c r="K160" s="459"/>
      <c r="L160" s="473"/>
      <c r="M160" s="474"/>
      <c r="N160" s="470"/>
      <c r="O160" s="470"/>
      <c r="P160" s="470"/>
      <c r="Q160" s="470"/>
      <c r="R160" s="459"/>
      <c r="S160" s="439"/>
      <c r="T160" s="439"/>
      <c r="U160" s="85"/>
      <c r="V160" s="85"/>
      <c r="W160" s="85"/>
      <c r="X160" s="85"/>
      <c r="Y160" s="86"/>
      <c r="Z160" s="449"/>
      <c r="AA160" s="449"/>
      <c r="AB160" s="449"/>
      <c r="AC160" s="449"/>
      <c r="AD160" s="449"/>
      <c r="AE160" s="449"/>
    </row>
    <row r="161">
      <c r="A161" s="459"/>
      <c r="B161" s="472"/>
      <c r="C161" s="459"/>
      <c r="D161" s="459"/>
      <c r="E161" s="459"/>
      <c r="F161" s="459"/>
      <c r="G161" s="459"/>
      <c r="H161" s="459"/>
      <c r="I161" s="459"/>
      <c r="J161" s="459"/>
      <c r="K161" s="459"/>
      <c r="L161" s="473"/>
      <c r="M161" s="474"/>
      <c r="N161" s="470"/>
      <c r="O161" s="470"/>
      <c r="P161" s="470"/>
      <c r="Q161" s="470"/>
      <c r="R161" s="459"/>
      <c r="S161" s="439"/>
      <c r="T161" s="439"/>
      <c r="U161" s="85"/>
      <c r="V161" s="85"/>
      <c r="W161" s="85"/>
      <c r="X161" s="85"/>
      <c r="Y161" s="86"/>
      <c r="Z161" s="449"/>
      <c r="AA161" s="449"/>
      <c r="AB161" s="449"/>
      <c r="AC161" s="449"/>
      <c r="AD161" s="449"/>
      <c r="AE161" s="449"/>
    </row>
    <row r="162">
      <c r="A162" s="459"/>
      <c r="B162" s="472"/>
      <c r="C162" s="459"/>
      <c r="D162" s="459"/>
      <c r="E162" s="459"/>
      <c r="F162" s="459"/>
      <c r="G162" s="459"/>
      <c r="H162" s="459"/>
      <c r="I162" s="459"/>
      <c r="J162" s="459"/>
      <c r="K162" s="459"/>
      <c r="L162" s="473"/>
      <c r="M162" s="474"/>
      <c r="N162" s="470"/>
      <c r="O162" s="470"/>
      <c r="P162" s="470"/>
      <c r="Q162" s="470"/>
      <c r="R162" s="459"/>
      <c r="S162" s="439"/>
      <c r="T162" s="439"/>
      <c r="U162" s="85"/>
      <c r="V162" s="85"/>
      <c r="W162" s="85"/>
      <c r="X162" s="85"/>
      <c r="Y162" s="86"/>
      <c r="Z162" s="449"/>
      <c r="AA162" s="449"/>
      <c r="AB162" s="449"/>
      <c r="AC162" s="449"/>
      <c r="AD162" s="449"/>
      <c r="AE162" s="449"/>
    </row>
    <row r="163">
      <c r="A163" s="459"/>
      <c r="B163" s="472"/>
      <c r="C163" s="459"/>
      <c r="D163" s="459"/>
      <c r="E163" s="459"/>
      <c r="F163" s="459"/>
      <c r="G163" s="459"/>
      <c r="H163" s="459"/>
      <c r="I163" s="459"/>
      <c r="J163" s="459"/>
      <c r="K163" s="459"/>
      <c r="L163" s="473"/>
      <c r="M163" s="474"/>
      <c r="N163" s="470"/>
      <c r="O163" s="470"/>
      <c r="P163" s="470"/>
      <c r="Q163" s="470"/>
      <c r="R163" s="459"/>
      <c r="S163" s="439"/>
      <c r="T163" s="439"/>
      <c r="U163" s="85"/>
      <c r="V163" s="85"/>
      <c r="W163" s="85"/>
      <c r="X163" s="85"/>
      <c r="Y163" s="86"/>
      <c r="Z163" s="449"/>
      <c r="AA163" s="449"/>
      <c r="AB163" s="449"/>
      <c r="AC163" s="449"/>
      <c r="AD163" s="449"/>
      <c r="AE163" s="449"/>
    </row>
    <row r="164">
      <c r="A164" s="459"/>
      <c r="B164" s="472"/>
      <c r="C164" s="459"/>
      <c r="D164" s="459"/>
      <c r="E164" s="459"/>
      <c r="F164" s="459"/>
      <c r="G164" s="459"/>
      <c r="H164" s="459"/>
      <c r="I164" s="459"/>
      <c r="J164" s="459"/>
      <c r="K164" s="459"/>
      <c r="L164" s="473"/>
      <c r="M164" s="474"/>
      <c r="N164" s="470"/>
      <c r="O164" s="470"/>
      <c r="P164" s="470"/>
      <c r="Q164" s="470"/>
      <c r="R164" s="459"/>
      <c r="S164" s="439"/>
      <c r="T164" s="439"/>
      <c r="U164" s="85"/>
      <c r="V164" s="85"/>
      <c r="W164" s="85"/>
      <c r="X164" s="85"/>
      <c r="Y164" s="86"/>
      <c r="Z164" s="449"/>
      <c r="AA164" s="449"/>
      <c r="AB164" s="449"/>
      <c r="AC164" s="449"/>
      <c r="AD164" s="449"/>
      <c r="AE164" s="449"/>
    </row>
    <row r="165">
      <c r="A165" s="459"/>
      <c r="B165" s="472"/>
      <c r="C165" s="459"/>
      <c r="D165" s="459"/>
      <c r="E165" s="459"/>
      <c r="F165" s="459"/>
      <c r="G165" s="459"/>
      <c r="H165" s="459"/>
      <c r="I165" s="459"/>
      <c r="J165" s="459"/>
      <c r="K165" s="459"/>
      <c r="L165" s="473"/>
      <c r="M165" s="474"/>
      <c r="N165" s="470"/>
      <c r="O165" s="470"/>
      <c r="P165" s="470"/>
      <c r="Q165" s="470"/>
      <c r="R165" s="459"/>
      <c r="S165" s="439"/>
      <c r="T165" s="439"/>
      <c r="U165" s="85"/>
      <c r="V165" s="85"/>
      <c r="W165" s="85"/>
      <c r="X165" s="85"/>
      <c r="Y165" s="86"/>
      <c r="Z165" s="449"/>
      <c r="AA165" s="449"/>
      <c r="AB165" s="449"/>
      <c r="AC165" s="449"/>
      <c r="AD165" s="449"/>
      <c r="AE165" s="449"/>
    </row>
    <row r="166">
      <c r="A166" s="459"/>
      <c r="B166" s="472"/>
      <c r="C166" s="459"/>
      <c r="D166" s="459"/>
      <c r="E166" s="459"/>
      <c r="F166" s="459"/>
      <c r="G166" s="459"/>
      <c r="H166" s="459"/>
      <c r="I166" s="459"/>
      <c r="J166" s="459"/>
      <c r="K166" s="459"/>
      <c r="L166" s="473"/>
      <c r="M166" s="474"/>
      <c r="N166" s="470"/>
      <c r="O166" s="470"/>
      <c r="P166" s="470"/>
      <c r="Q166" s="470"/>
      <c r="R166" s="459"/>
      <c r="S166" s="439"/>
      <c r="T166" s="439"/>
      <c r="U166" s="85"/>
      <c r="V166" s="85"/>
      <c r="W166" s="85"/>
      <c r="X166" s="85"/>
      <c r="Y166" s="86"/>
      <c r="Z166" s="449"/>
      <c r="AA166" s="449"/>
      <c r="AB166" s="449"/>
      <c r="AC166" s="449"/>
      <c r="AD166" s="449"/>
      <c r="AE166" s="449"/>
    </row>
    <row r="167">
      <c r="A167" s="459"/>
      <c r="B167" s="472"/>
      <c r="C167" s="459"/>
      <c r="D167" s="459"/>
      <c r="E167" s="459"/>
      <c r="F167" s="459"/>
      <c r="G167" s="459"/>
      <c r="H167" s="459"/>
      <c r="I167" s="459"/>
      <c r="J167" s="459"/>
      <c r="K167" s="459"/>
      <c r="L167" s="473"/>
      <c r="M167" s="474"/>
      <c r="N167" s="470"/>
      <c r="O167" s="470"/>
      <c r="P167" s="470"/>
      <c r="Q167" s="470"/>
      <c r="R167" s="459"/>
      <c r="S167" s="439"/>
      <c r="T167" s="439"/>
      <c r="U167" s="85"/>
      <c r="V167" s="85"/>
      <c r="W167" s="85"/>
      <c r="X167" s="85"/>
      <c r="Y167" s="86"/>
      <c r="Z167" s="449"/>
      <c r="AA167" s="449"/>
      <c r="AB167" s="449"/>
      <c r="AC167" s="449"/>
      <c r="AD167" s="449"/>
      <c r="AE167" s="449"/>
    </row>
    <row r="168">
      <c r="A168" s="459"/>
      <c r="B168" s="472"/>
      <c r="C168" s="459"/>
      <c r="D168" s="459"/>
      <c r="E168" s="459"/>
      <c r="F168" s="459"/>
      <c r="G168" s="459"/>
      <c r="H168" s="459"/>
      <c r="I168" s="459"/>
      <c r="J168" s="459"/>
      <c r="K168" s="459"/>
      <c r="L168" s="473"/>
      <c r="M168" s="474"/>
      <c r="N168" s="470"/>
      <c r="O168" s="470"/>
      <c r="P168" s="470"/>
      <c r="Q168" s="470"/>
      <c r="R168" s="459"/>
      <c r="S168" s="439"/>
      <c r="T168" s="439"/>
      <c r="U168" s="85"/>
      <c r="V168" s="85"/>
      <c r="W168" s="85"/>
      <c r="X168" s="85"/>
      <c r="Y168" s="86"/>
      <c r="Z168" s="449"/>
      <c r="AA168" s="449"/>
      <c r="AB168" s="449"/>
      <c r="AC168" s="449"/>
      <c r="AD168" s="449"/>
      <c r="AE168" s="449"/>
    </row>
    <row r="169">
      <c r="A169" s="459"/>
      <c r="B169" s="472"/>
      <c r="C169" s="459"/>
      <c r="D169" s="459"/>
      <c r="E169" s="459"/>
      <c r="F169" s="459"/>
      <c r="G169" s="459"/>
      <c r="H169" s="459"/>
      <c r="I169" s="459"/>
      <c r="J169" s="459"/>
      <c r="K169" s="459"/>
      <c r="L169" s="473"/>
      <c r="M169" s="474"/>
      <c r="N169" s="470"/>
      <c r="O169" s="470"/>
      <c r="P169" s="470"/>
      <c r="Q169" s="470"/>
      <c r="R169" s="459"/>
      <c r="S169" s="439"/>
      <c r="T169" s="439"/>
      <c r="U169" s="85"/>
      <c r="V169" s="85"/>
      <c r="W169" s="85"/>
      <c r="X169" s="85"/>
      <c r="Y169" s="86"/>
      <c r="Z169" s="449"/>
      <c r="AA169" s="449"/>
      <c r="AB169" s="449"/>
      <c r="AC169" s="449"/>
      <c r="AD169" s="449"/>
      <c r="AE169" s="449"/>
    </row>
    <row r="170">
      <c r="A170" s="459"/>
      <c r="B170" s="472"/>
      <c r="C170" s="459"/>
      <c r="D170" s="459"/>
      <c r="E170" s="459"/>
      <c r="F170" s="459"/>
      <c r="G170" s="459"/>
      <c r="H170" s="459"/>
      <c r="I170" s="459"/>
      <c r="J170" s="459"/>
      <c r="K170" s="459"/>
      <c r="L170" s="473"/>
      <c r="M170" s="474"/>
      <c r="N170" s="470"/>
      <c r="O170" s="470"/>
      <c r="P170" s="470"/>
      <c r="Q170" s="470"/>
      <c r="R170" s="459"/>
      <c r="S170" s="439"/>
      <c r="T170" s="439"/>
      <c r="U170" s="85"/>
      <c r="V170" s="85"/>
      <c r="W170" s="85"/>
      <c r="X170" s="85"/>
      <c r="Y170" s="86"/>
      <c r="Z170" s="449"/>
      <c r="AA170" s="449"/>
      <c r="AB170" s="449"/>
      <c r="AC170" s="449"/>
      <c r="AD170" s="449"/>
      <c r="AE170" s="449"/>
    </row>
    <row r="171">
      <c r="A171" s="459"/>
      <c r="B171" s="472"/>
      <c r="C171" s="459"/>
      <c r="D171" s="459"/>
      <c r="E171" s="459"/>
      <c r="F171" s="459"/>
      <c r="G171" s="459"/>
      <c r="H171" s="459"/>
      <c r="I171" s="459"/>
      <c r="J171" s="459"/>
      <c r="K171" s="459"/>
      <c r="L171" s="473"/>
      <c r="M171" s="474"/>
      <c r="N171" s="470"/>
      <c r="O171" s="470"/>
      <c r="P171" s="470"/>
      <c r="Q171" s="470"/>
      <c r="R171" s="459"/>
      <c r="S171" s="439"/>
      <c r="T171" s="439"/>
      <c r="U171" s="85"/>
      <c r="V171" s="85"/>
      <c r="W171" s="85"/>
      <c r="X171" s="85"/>
      <c r="Y171" s="86"/>
      <c r="Z171" s="449"/>
      <c r="AA171" s="449"/>
      <c r="AB171" s="449"/>
      <c r="AC171" s="449"/>
      <c r="AD171" s="449"/>
      <c r="AE171" s="449"/>
    </row>
    <row r="172">
      <c r="A172" s="459"/>
      <c r="B172" s="472"/>
      <c r="C172" s="459"/>
      <c r="D172" s="459"/>
      <c r="E172" s="459"/>
      <c r="F172" s="459"/>
      <c r="G172" s="459"/>
      <c r="H172" s="459"/>
      <c r="I172" s="459"/>
      <c r="J172" s="459"/>
      <c r="K172" s="459"/>
      <c r="L172" s="473"/>
      <c r="M172" s="474"/>
      <c r="N172" s="470"/>
      <c r="O172" s="470"/>
      <c r="P172" s="470"/>
      <c r="Q172" s="470"/>
      <c r="R172" s="459"/>
      <c r="S172" s="439"/>
      <c r="T172" s="439"/>
      <c r="U172" s="85"/>
      <c r="V172" s="85"/>
      <c r="W172" s="85"/>
      <c r="X172" s="85"/>
      <c r="Y172" s="86"/>
      <c r="Z172" s="449"/>
      <c r="AA172" s="449"/>
      <c r="AB172" s="449"/>
      <c r="AC172" s="449"/>
      <c r="AD172" s="449"/>
      <c r="AE172" s="449"/>
    </row>
    <row r="173">
      <c r="A173" s="459"/>
      <c r="B173" s="472"/>
      <c r="C173" s="459"/>
      <c r="D173" s="459"/>
      <c r="E173" s="459"/>
      <c r="F173" s="459"/>
      <c r="G173" s="459"/>
      <c r="H173" s="459"/>
      <c r="I173" s="459"/>
      <c r="J173" s="459"/>
      <c r="K173" s="459"/>
      <c r="L173" s="473"/>
      <c r="M173" s="474"/>
      <c r="N173" s="470"/>
      <c r="O173" s="470"/>
      <c r="P173" s="470"/>
      <c r="Q173" s="470"/>
      <c r="R173" s="459"/>
      <c r="S173" s="439"/>
      <c r="T173" s="439"/>
      <c r="U173" s="85"/>
      <c r="V173" s="85"/>
      <c r="W173" s="85"/>
      <c r="X173" s="85"/>
      <c r="Y173" s="86"/>
      <c r="Z173" s="449"/>
      <c r="AA173" s="449"/>
      <c r="AB173" s="449"/>
      <c r="AC173" s="449"/>
      <c r="AD173" s="449"/>
      <c r="AE173" s="449"/>
    </row>
    <row r="174">
      <c r="A174" s="459"/>
      <c r="B174" s="472"/>
      <c r="C174" s="459"/>
      <c r="D174" s="459"/>
      <c r="E174" s="459"/>
      <c r="F174" s="459"/>
      <c r="G174" s="459"/>
      <c r="H174" s="459"/>
      <c r="I174" s="459"/>
      <c r="J174" s="459"/>
      <c r="K174" s="459"/>
      <c r="L174" s="473"/>
      <c r="M174" s="474"/>
      <c r="N174" s="470"/>
      <c r="O174" s="470"/>
      <c r="P174" s="470"/>
      <c r="Q174" s="470"/>
      <c r="R174" s="459"/>
      <c r="S174" s="439"/>
      <c r="U174" s="85"/>
      <c r="V174" s="85"/>
      <c r="W174" s="85"/>
      <c r="X174" s="85"/>
      <c r="Y174" s="86"/>
      <c r="Z174" s="449"/>
      <c r="AA174" s="449"/>
      <c r="AB174" s="449"/>
      <c r="AC174" s="449"/>
      <c r="AD174" s="449"/>
      <c r="AE174" s="449"/>
    </row>
    <row r="175">
      <c r="A175" s="459"/>
      <c r="B175" s="472"/>
      <c r="C175" s="459"/>
      <c r="D175" s="459"/>
      <c r="E175" s="459"/>
      <c r="F175" s="459"/>
      <c r="G175" s="459"/>
      <c r="H175" s="459"/>
      <c r="I175" s="459"/>
      <c r="J175" s="459"/>
      <c r="K175" s="459"/>
      <c r="L175" s="473"/>
      <c r="M175" s="474"/>
      <c r="N175" s="470"/>
      <c r="O175" s="470"/>
      <c r="P175" s="470"/>
      <c r="Q175" s="470"/>
      <c r="R175" s="459"/>
      <c r="S175" s="439"/>
      <c r="T175" s="439"/>
      <c r="U175" s="85"/>
      <c r="V175" s="85"/>
      <c r="W175" s="85"/>
      <c r="X175" s="85"/>
      <c r="Y175" s="86"/>
      <c r="Z175" s="449"/>
      <c r="AA175" s="449"/>
      <c r="AB175" s="449"/>
      <c r="AC175" s="449"/>
      <c r="AD175" s="449"/>
      <c r="AE175" s="449"/>
    </row>
    <row r="176">
      <c r="A176" s="459"/>
      <c r="B176" s="472"/>
      <c r="C176" s="459"/>
      <c r="D176" s="459"/>
      <c r="E176" s="459"/>
      <c r="F176" s="459"/>
      <c r="G176" s="459"/>
      <c r="H176" s="459"/>
      <c r="I176" s="459"/>
      <c r="J176" s="459"/>
      <c r="K176" s="459"/>
      <c r="L176" s="473"/>
      <c r="M176" s="474"/>
      <c r="N176" s="470"/>
      <c r="O176" s="470"/>
      <c r="P176" s="470"/>
      <c r="Q176" s="470"/>
      <c r="R176" s="459"/>
      <c r="S176" s="439"/>
      <c r="T176" s="439"/>
      <c r="U176" s="85"/>
      <c r="V176" s="85"/>
      <c r="W176" s="85"/>
      <c r="X176" s="85"/>
      <c r="Y176" s="86"/>
      <c r="Z176" s="449"/>
      <c r="AA176" s="449"/>
      <c r="AB176" s="449"/>
      <c r="AC176" s="449"/>
      <c r="AD176" s="449"/>
      <c r="AE176" s="449"/>
    </row>
    <row r="177">
      <c r="A177" s="459"/>
      <c r="B177" s="472"/>
      <c r="C177" s="459"/>
      <c r="D177" s="459"/>
      <c r="E177" s="459"/>
      <c r="F177" s="459"/>
      <c r="G177" s="459"/>
      <c r="H177" s="459"/>
      <c r="I177" s="459"/>
      <c r="J177" s="459"/>
      <c r="K177" s="459"/>
      <c r="L177" s="473"/>
      <c r="M177" s="474"/>
      <c r="N177" s="470"/>
      <c r="O177" s="470"/>
      <c r="P177" s="470"/>
      <c r="Q177" s="470"/>
      <c r="R177" s="459"/>
      <c r="S177" s="439"/>
      <c r="T177" s="439"/>
      <c r="U177" s="85"/>
      <c r="V177" s="85"/>
      <c r="W177" s="85"/>
      <c r="X177" s="85"/>
      <c r="Y177" s="86"/>
      <c r="Z177" s="449"/>
      <c r="AA177" s="449"/>
      <c r="AB177" s="449"/>
      <c r="AC177" s="449"/>
      <c r="AD177" s="449"/>
      <c r="AE177" s="449"/>
    </row>
    <row r="178">
      <c r="A178" s="459"/>
      <c r="B178" s="472"/>
      <c r="C178" s="459"/>
      <c r="D178" s="459"/>
      <c r="E178" s="459"/>
      <c r="F178" s="459"/>
      <c r="G178" s="459"/>
      <c r="H178" s="459"/>
      <c r="I178" s="459"/>
      <c r="J178" s="459"/>
      <c r="K178" s="459"/>
      <c r="L178" s="473"/>
      <c r="M178" s="474"/>
      <c r="N178" s="470"/>
      <c r="O178" s="470"/>
      <c r="P178" s="470"/>
      <c r="Q178" s="470"/>
      <c r="R178" s="459"/>
      <c r="S178" s="439"/>
      <c r="T178" s="439"/>
      <c r="U178" s="85"/>
      <c r="V178" s="85"/>
      <c r="W178" s="85"/>
      <c r="X178" s="85"/>
      <c r="Y178" s="86"/>
      <c r="Z178" s="449"/>
      <c r="AA178" s="449"/>
      <c r="AB178" s="449"/>
      <c r="AC178" s="449"/>
      <c r="AD178" s="449"/>
      <c r="AE178" s="449"/>
    </row>
    <row r="179">
      <c r="A179" s="459"/>
      <c r="B179" s="472"/>
      <c r="C179" s="459"/>
      <c r="D179" s="459"/>
      <c r="E179" s="459"/>
      <c r="F179" s="459"/>
      <c r="G179" s="459"/>
      <c r="H179" s="459"/>
      <c r="I179" s="459"/>
      <c r="J179" s="459"/>
      <c r="K179" s="459"/>
      <c r="L179" s="473"/>
      <c r="M179" s="474"/>
      <c r="N179" s="470"/>
      <c r="O179" s="470"/>
      <c r="P179" s="470"/>
      <c r="Q179" s="470"/>
      <c r="R179" s="459"/>
      <c r="S179" s="439"/>
      <c r="T179" s="439"/>
      <c r="U179" s="85"/>
      <c r="V179" s="85"/>
      <c r="W179" s="85"/>
      <c r="X179" s="85"/>
      <c r="Y179" s="86"/>
      <c r="Z179" s="449"/>
      <c r="AA179" s="449"/>
      <c r="AB179" s="449"/>
      <c r="AC179" s="449"/>
      <c r="AD179" s="449"/>
      <c r="AE179" s="449"/>
    </row>
    <row r="180">
      <c r="A180" s="459"/>
      <c r="B180" s="472"/>
      <c r="C180" s="459"/>
      <c r="D180" s="459"/>
      <c r="E180" s="459"/>
      <c r="F180" s="459"/>
      <c r="G180" s="459"/>
      <c r="H180" s="459"/>
      <c r="I180" s="459"/>
      <c r="J180" s="459"/>
      <c r="K180" s="459"/>
      <c r="L180" s="473"/>
      <c r="M180" s="474"/>
      <c r="N180" s="470"/>
      <c r="O180" s="470"/>
      <c r="P180" s="470"/>
      <c r="Q180" s="470"/>
      <c r="R180" s="459"/>
      <c r="S180" s="439"/>
      <c r="T180" s="439"/>
      <c r="U180" s="85"/>
      <c r="V180" s="85"/>
      <c r="W180" s="85"/>
      <c r="X180" s="85"/>
      <c r="Y180" s="86"/>
      <c r="Z180" s="449"/>
      <c r="AA180" s="449"/>
      <c r="AB180" s="449"/>
      <c r="AC180" s="449"/>
      <c r="AD180" s="449"/>
      <c r="AE180" s="449"/>
    </row>
    <row r="181">
      <c r="A181" s="459"/>
      <c r="B181" s="472"/>
      <c r="C181" s="459"/>
      <c r="D181" s="459"/>
      <c r="E181" s="459"/>
      <c r="F181" s="459"/>
      <c r="G181" s="459"/>
      <c r="H181" s="459"/>
      <c r="I181" s="459"/>
      <c r="J181" s="459"/>
      <c r="K181" s="459"/>
      <c r="L181" s="473"/>
      <c r="M181" s="474"/>
      <c r="N181" s="470"/>
      <c r="O181" s="470"/>
      <c r="P181" s="470"/>
      <c r="Q181" s="470"/>
      <c r="R181" s="459"/>
      <c r="S181" s="439"/>
      <c r="T181" s="439"/>
      <c r="U181" s="85"/>
      <c r="V181" s="85"/>
      <c r="W181" s="85"/>
      <c r="X181" s="85"/>
      <c r="Y181" s="86"/>
      <c r="Z181" s="449"/>
      <c r="AA181" s="449"/>
      <c r="AB181" s="449"/>
      <c r="AC181" s="449"/>
      <c r="AD181" s="449"/>
      <c r="AE181" s="449"/>
    </row>
    <row r="182">
      <c r="A182" s="459"/>
      <c r="B182" s="472"/>
      <c r="C182" s="459"/>
      <c r="D182" s="459"/>
      <c r="E182" s="459"/>
      <c r="F182" s="459"/>
      <c r="G182" s="459"/>
      <c r="H182" s="459"/>
      <c r="I182" s="459"/>
      <c r="J182" s="459"/>
      <c r="K182" s="459"/>
      <c r="L182" s="473"/>
      <c r="M182" s="474"/>
      <c r="N182" s="470"/>
      <c r="O182" s="470"/>
      <c r="P182" s="470"/>
      <c r="Q182" s="470"/>
      <c r="R182" s="459"/>
      <c r="S182" s="439"/>
      <c r="T182" s="439"/>
      <c r="U182" s="85"/>
      <c r="V182" s="85"/>
      <c r="W182" s="85"/>
      <c r="X182" s="85"/>
      <c r="Y182" s="86"/>
      <c r="Z182" s="449"/>
      <c r="AA182" s="449"/>
      <c r="AB182" s="449"/>
      <c r="AC182" s="449"/>
      <c r="AD182" s="449"/>
      <c r="AE182" s="449"/>
    </row>
    <row r="183">
      <c r="A183" s="459"/>
      <c r="B183" s="472"/>
      <c r="C183" s="459"/>
      <c r="D183" s="459"/>
      <c r="E183" s="459"/>
      <c r="F183" s="459"/>
      <c r="G183" s="459"/>
      <c r="H183" s="459"/>
      <c r="I183" s="459"/>
      <c r="J183" s="459"/>
      <c r="K183" s="459"/>
      <c r="L183" s="473"/>
      <c r="M183" s="474"/>
      <c r="N183" s="470"/>
      <c r="O183" s="470"/>
      <c r="P183" s="470"/>
      <c r="Q183" s="470"/>
      <c r="R183" s="459"/>
      <c r="S183" s="439"/>
      <c r="T183" s="439"/>
      <c r="U183" s="85"/>
      <c r="V183" s="85"/>
      <c r="W183" s="85"/>
      <c r="X183" s="85"/>
      <c r="Y183" s="86"/>
      <c r="Z183" s="449"/>
      <c r="AA183" s="449"/>
      <c r="AB183" s="449"/>
      <c r="AC183" s="449"/>
      <c r="AD183" s="449"/>
      <c r="AE183" s="449"/>
    </row>
    <row r="184">
      <c r="A184" s="459"/>
      <c r="B184" s="472"/>
      <c r="C184" s="459"/>
      <c r="D184" s="459"/>
      <c r="E184" s="459"/>
      <c r="F184" s="459"/>
      <c r="G184" s="459"/>
      <c r="H184" s="459"/>
      <c r="I184" s="459"/>
      <c r="J184" s="459"/>
      <c r="K184" s="459"/>
      <c r="L184" s="473"/>
      <c r="M184" s="474"/>
      <c r="N184" s="470"/>
      <c r="O184" s="470"/>
      <c r="P184" s="470"/>
      <c r="Q184" s="470"/>
      <c r="R184" s="459"/>
      <c r="S184" s="439"/>
      <c r="T184" s="439"/>
      <c r="U184" s="85"/>
      <c r="V184" s="85"/>
      <c r="W184" s="85"/>
      <c r="X184" s="85"/>
      <c r="Y184" s="86"/>
      <c r="Z184" s="449"/>
      <c r="AA184" s="449"/>
      <c r="AB184" s="449"/>
      <c r="AC184" s="449"/>
      <c r="AD184" s="449"/>
      <c r="AE184" s="449"/>
    </row>
    <row r="185">
      <c r="A185" s="459"/>
      <c r="B185" s="472"/>
      <c r="C185" s="459"/>
      <c r="D185" s="459"/>
      <c r="E185" s="459"/>
      <c r="F185" s="459"/>
      <c r="G185" s="459"/>
      <c r="H185" s="459"/>
      <c r="I185" s="459"/>
      <c r="J185" s="459"/>
      <c r="K185" s="459"/>
      <c r="L185" s="473"/>
      <c r="M185" s="474"/>
      <c r="N185" s="470"/>
      <c r="O185" s="470"/>
      <c r="P185" s="470"/>
      <c r="Q185" s="470"/>
      <c r="R185" s="459"/>
      <c r="S185" s="439"/>
      <c r="T185" s="439"/>
      <c r="U185" s="85"/>
      <c r="V185" s="85"/>
      <c r="W185" s="85"/>
      <c r="X185" s="85"/>
      <c r="Y185" s="86"/>
      <c r="Z185" s="449"/>
      <c r="AA185" s="449"/>
      <c r="AB185" s="449"/>
      <c r="AC185" s="449"/>
      <c r="AD185" s="449"/>
      <c r="AE185" s="449"/>
    </row>
    <row r="186">
      <c r="A186" s="459"/>
      <c r="B186" s="472"/>
      <c r="C186" s="459"/>
      <c r="D186" s="459"/>
      <c r="E186" s="459"/>
      <c r="F186" s="459"/>
      <c r="G186" s="459"/>
      <c r="H186" s="459"/>
      <c r="I186" s="459"/>
      <c r="J186" s="459"/>
      <c r="K186" s="459"/>
      <c r="L186" s="473"/>
      <c r="M186" s="474"/>
      <c r="N186" s="470"/>
      <c r="O186" s="470"/>
      <c r="P186" s="470"/>
      <c r="Q186" s="470"/>
      <c r="R186" s="459"/>
      <c r="S186" s="439"/>
      <c r="T186" s="439"/>
      <c r="U186" s="85"/>
      <c r="V186" s="85"/>
      <c r="W186" s="85"/>
      <c r="X186" s="85"/>
      <c r="Y186" s="86"/>
      <c r="Z186" s="449"/>
      <c r="AA186" s="449"/>
      <c r="AB186" s="449"/>
      <c r="AC186" s="449"/>
      <c r="AD186" s="449"/>
      <c r="AE186" s="449"/>
    </row>
    <row r="187">
      <c r="A187" s="459"/>
      <c r="B187" s="472"/>
      <c r="C187" s="459"/>
      <c r="D187" s="459"/>
      <c r="E187" s="459"/>
      <c r="F187" s="459"/>
      <c r="G187" s="459"/>
      <c r="H187" s="459"/>
      <c r="I187" s="459"/>
      <c r="J187" s="459"/>
      <c r="K187" s="459"/>
      <c r="L187" s="473"/>
      <c r="M187" s="474"/>
      <c r="N187" s="470"/>
      <c r="O187" s="470"/>
      <c r="P187" s="470"/>
      <c r="Q187" s="470"/>
      <c r="R187" s="459"/>
      <c r="S187" s="439"/>
      <c r="T187" s="439"/>
      <c r="U187" s="85"/>
      <c r="V187" s="85"/>
      <c r="W187" s="85"/>
      <c r="X187" s="85"/>
      <c r="Y187" s="86"/>
      <c r="Z187" s="449"/>
      <c r="AA187" s="449"/>
      <c r="AB187" s="449"/>
      <c r="AC187" s="449"/>
      <c r="AD187" s="449"/>
      <c r="AE187" s="449"/>
    </row>
    <row r="188">
      <c r="A188" s="459"/>
      <c r="B188" s="472"/>
      <c r="C188" s="459"/>
      <c r="D188" s="459"/>
      <c r="E188" s="459"/>
      <c r="F188" s="459"/>
      <c r="G188" s="459"/>
      <c r="H188" s="459"/>
      <c r="I188" s="459"/>
      <c r="J188" s="459"/>
      <c r="K188" s="459"/>
      <c r="L188" s="473"/>
      <c r="M188" s="474"/>
      <c r="N188" s="470"/>
      <c r="O188" s="470"/>
      <c r="P188" s="470"/>
      <c r="Q188" s="470"/>
      <c r="R188" s="459"/>
      <c r="S188" s="439"/>
      <c r="T188" s="439"/>
      <c r="U188" s="85"/>
      <c r="V188" s="85"/>
      <c r="W188" s="85"/>
      <c r="X188" s="85"/>
      <c r="Y188" s="86"/>
      <c r="Z188" s="449"/>
      <c r="AA188" s="449"/>
      <c r="AB188" s="449"/>
      <c r="AC188" s="449"/>
      <c r="AD188" s="449"/>
      <c r="AE188" s="449"/>
    </row>
    <row r="189">
      <c r="A189" s="459"/>
      <c r="B189" s="472"/>
      <c r="C189" s="459"/>
      <c r="D189" s="459"/>
      <c r="E189" s="459"/>
      <c r="F189" s="459"/>
      <c r="G189" s="459"/>
      <c r="H189" s="459"/>
      <c r="I189" s="459"/>
      <c r="J189" s="459"/>
      <c r="K189" s="459"/>
      <c r="L189" s="473"/>
      <c r="M189" s="474"/>
      <c r="N189" s="470"/>
      <c r="O189" s="470"/>
      <c r="P189" s="470"/>
      <c r="Q189" s="470"/>
      <c r="R189" s="459"/>
      <c r="S189" s="439"/>
      <c r="T189" s="439"/>
      <c r="U189" s="85"/>
      <c r="V189" s="85"/>
      <c r="W189" s="85"/>
      <c r="X189" s="85"/>
      <c r="Y189" s="86"/>
      <c r="Z189" s="449"/>
      <c r="AA189" s="449"/>
      <c r="AB189" s="449"/>
      <c r="AC189" s="449"/>
      <c r="AD189" s="449"/>
      <c r="AE189" s="449"/>
    </row>
    <row r="190">
      <c r="A190" s="459"/>
      <c r="B190" s="472"/>
      <c r="C190" s="459"/>
      <c r="D190" s="459"/>
      <c r="E190" s="459"/>
      <c r="F190" s="459"/>
      <c r="G190" s="459"/>
      <c r="H190" s="459"/>
      <c r="I190" s="459"/>
      <c r="J190" s="459"/>
      <c r="K190" s="459"/>
      <c r="L190" s="473"/>
      <c r="M190" s="474"/>
      <c r="N190" s="470"/>
      <c r="O190" s="470"/>
      <c r="P190" s="470"/>
      <c r="Q190" s="470"/>
      <c r="R190" s="459"/>
      <c r="S190" s="439"/>
      <c r="U190" s="85"/>
      <c r="V190" s="85"/>
      <c r="W190" s="85"/>
      <c r="X190" s="85"/>
      <c r="Y190" s="86"/>
      <c r="Z190" s="449"/>
      <c r="AA190" s="449"/>
      <c r="AB190" s="449"/>
      <c r="AC190" s="449"/>
      <c r="AD190" s="449"/>
      <c r="AE190" s="449"/>
    </row>
    <row r="191">
      <c r="A191" s="459"/>
      <c r="B191" s="472"/>
      <c r="C191" s="459"/>
      <c r="D191" s="459"/>
      <c r="E191" s="459"/>
      <c r="F191" s="459"/>
      <c r="G191" s="459"/>
      <c r="H191" s="459"/>
      <c r="I191" s="459"/>
      <c r="J191" s="459"/>
      <c r="K191" s="459"/>
      <c r="L191" s="473"/>
      <c r="M191" s="474"/>
      <c r="N191" s="470"/>
      <c r="O191" s="470"/>
      <c r="P191" s="470"/>
      <c r="Q191" s="470"/>
      <c r="R191" s="459"/>
      <c r="S191" s="439"/>
      <c r="U191" s="85"/>
      <c r="V191" s="85"/>
      <c r="W191" s="85"/>
      <c r="X191" s="85"/>
      <c r="Y191" s="86"/>
      <c r="Z191" s="449"/>
      <c r="AA191" s="449"/>
      <c r="AB191" s="449"/>
      <c r="AC191" s="449"/>
      <c r="AD191" s="449"/>
      <c r="AE191" s="449"/>
    </row>
    <row r="192">
      <c r="A192" s="459"/>
      <c r="B192" s="472"/>
      <c r="C192" s="459"/>
      <c r="D192" s="459"/>
      <c r="E192" s="459"/>
      <c r="F192" s="459"/>
      <c r="G192" s="459"/>
      <c r="H192" s="459"/>
      <c r="I192" s="459"/>
      <c r="J192" s="459"/>
      <c r="K192" s="459"/>
      <c r="L192" s="473"/>
      <c r="M192" s="474"/>
      <c r="N192" s="470"/>
      <c r="O192" s="470"/>
      <c r="P192" s="470"/>
      <c r="Q192" s="470"/>
      <c r="R192" s="475"/>
      <c r="S192" s="439"/>
      <c r="U192" s="85"/>
      <c r="V192" s="85"/>
      <c r="W192" s="85"/>
      <c r="X192" s="85"/>
      <c r="Y192" s="86"/>
      <c r="Z192" s="449"/>
      <c r="AA192" s="449"/>
      <c r="AB192" s="449"/>
      <c r="AC192" s="449"/>
      <c r="AD192" s="449"/>
      <c r="AE192" s="449"/>
    </row>
    <row r="193">
      <c r="A193" s="459"/>
      <c r="B193" s="472"/>
      <c r="C193" s="459"/>
      <c r="D193" s="459"/>
      <c r="E193" s="459"/>
      <c r="F193" s="459"/>
      <c r="G193" s="459"/>
      <c r="H193" s="459"/>
      <c r="I193" s="459"/>
      <c r="J193" s="459"/>
      <c r="K193" s="459"/>
      <c r="L193" s="473"/>
      <c r="M193" s="474"/>
      <c r="N193" s="470"/>
      <c r="O193" s="470"/>
      <c r="P193" s="470"/>
      <c r="Q193" s="470"/>
      <c r="R193" s="475"/>
      <c r="S193" s="439"/>
      <c r="U193" s="85"/>
      <c r="V193" s="85"/>
      <c r="W193" s="85"/>
      <c r="X193" s="85"/>
      <c r="Y193" s="86"/>
      <c r="Z193" s="449"/>
      <c r="AA193" s="449"/>
      <c r="AB193" s="449"/>
      <c r="AC193" s="449"/>
      <c r="AD193" s="449"/>
      <c r="AE193" s="449"/>
    </row>
    <row r="194">
      <c r="A194" s="459"/>
      <c r="B194" s="472"/>
      <c r="C194" s="459"/>
      <c r="D194" s="459"/>
      <c r="E194" s="459"/>
      <c r="F194" s="459"/>
      <c r="G194" s="459"/>
      <c r="H194" s="459"/>
      <c r="I194" s="459"/>
      <c r="J194" s="459"/>
      <c r="K194" s="459"/>
      <c r="L194" s="473"/>
      <c r="M194" s="474"/>
      <c r="N194" s="470"/>
      <c r="O194" s="470"/>
      <c r="P194" s="470"/>
      <c r="Q194" s="470"/>
      <c r="R194" s="459"/>
      <c r="S194" s="439"/>
      <c r="T194" s="439"/>
      <c r="U194" s="85"/>
      <c r="V194" s="85"/>
      <c r="W194" s="85"/>
      <c r="X194" s="85"/>
      <c r="Y194" s="86"/>
      <c r="Z194" s="449"/>
      <c r="AA194" s="449"/>
      <c r="AB194" s="449"/>
      <c r="AC194" s="449"/>
      <c r="AD194" s="449"/>
      <c r="AE194" s="449"/>
    </row>
    <row r="195">
      <c r="A195" s="459"/>
      <c r="B195" s="472"/>
      <c r="C195" s="459"/>
      <c r="D195" s="459"/>
      <c r="E195" s="459"/>
      <c r="F195" s="459"/>
      <c r="G195" s="459"/>
      <c r="H195" s="459"/>
      <c r="I195" s="459"/>
      <c r="J195" s="459"/>
      <c r="K195" s="459"/>
      <c r="L195" s="473"/>
      <c r="M195" s="474"/>
      <c r="N195" s="470"/>
      <c r="O195" s="470"/>
      <c r="P195" s="470"/>
      <c r="Q195" s="470"/>
      <c r="R195" s="459"/>
      <c r="S195" s="439"/>
      <c r="T195" s="439"/>
      <c r="U195" s="85"/>
      <c r="V195" s="85"/>
      <c r="W195" s="85"/>
      <c r="X195" s="85"/>
      <c r="Y195" s="86"/>
      <c r="Z195" s="449"/>
      <c r="AA195" s="449"/>
      <c r="AB195" s="449"/>
      <c r="AC195" s="449"/>
      <c r="AD195" s="449"/>
      <c r="AE195" s="449"/>
    </row>
    <row r="196">
      <c r="A196" s="459"/>
      <c r="B196" s="472"/>
      <c r="C196" s="459"/>
      <c r="D196" s="459"/>
      <c r="E196" s="459"/>
      <c r="F196" s="459"/>
      <c r="G196" s="459"/>
      <c r="H196" s="459"/>
      <c r="I196" s="459"/>
      <c r="J196" s="459"/>
      <c r="K196" s="459"/>
      <c r="L196" s="473"/>
      <c r="M196" s="474"/>
      <c r="N196" s="470"/>
      <c r="O196" s="470"/>
      <c r="P196" s="470"/>
      <c r="Q196" s="470"/>
      <c r="R196" s="459"/>
      <c r="S196" s="439"/>
      <c r="T196" s="439"/>
      <c r="U196" s="85"/>
      <c r="V196" s="85"/>
      <c r="W196" s="85"/>
      <c r="X196" s="85"/>
      <c r="Y196" s="86"/>
      <c r="Z196" s="449"/>
      <c r="AA196" s="449"/>
      <c r="AB196" s="449"/>
      <c r="AC196" s="449"/>
      <c r="AD196" s="449"/>
      <c r="AE196" s="449"/>
    </row>
    <row r="197">
      <c r="A197" s="459"/>
      <c r="B197" s="472"/>
      <c r="C197" s="459"/>
      <c r="D197" s="459"/>
      <c r="E197" s="459"/>
      <c r="F197" s="459"/>
      <c r="G197" s="459"/>
      <c r="H197" s="459"/>
      <c r="I197" s="459"/>
      <c r="J197" s="459"/>
      <c r="K197" s="459"/>
      <c r="L197" s="473"/>
      <c r="M197" s="474"/>
      <c r="N197" s="470"/>
      <c r="O197" s="470"/>
      <c r="P197" s="470"/>
      <c r="Q197" s="470"/>
      <c r="R197" s="459"/>
      <c r="S197" s="439"/>
      <c r="U197" s="85"/>
      <c r="V197" s="85"/>
      <c r="W197" s="85"/>
      <c r="X197" s="85"/>
      <c r="Y197" s="86"/>
      <c r="Z197" s="449"/>
      <c r="AA197" s="449"/>
      <c r="AB197" s="449"/>
      <c r="AC197" s="449"/>
      <c r="AD197" s="449"/>
      <c r="AE197" s="449"/>
    </row>
    <row r="198">
      <c r="A198" s="459"/>
      <c r="B198" s="472"/>
      <c r="C198" s="459"/>
      <c r="D198" s="459"/>
      <c r="E198" s="459"/>
      <c r="F198" s="459"/>
      <c r="G198" s="459"/>
      <c r="H198" s="459"/>
      <c r="I198" s="459"/>
      <c r="J198" s="459"/>
      <c r="K198" s="459"/>
      <c r="L198" s="473"/>
      <c r="M198" s="474"/>
      <c r="N198" s="470"/>
      <c r="O198" s="470"/>
      <c r="P198" s="470"/>
      <c r="Q198" s="470"/>
      <c r="R198" s="459"/>
      <c r="S198" s="439"/>
      <c r="U198" s="85"/>
      <c r="V198" s="85"/>
      <c r="W198" s="85"/>
      <c r="X198" s="85"/>
      <c r="Y198" s="86"/>
      <c r="Z198" s="449"/>
      <c r="AA198" s="449"/>
      <c r="AB198" s="449"/>
      <c r="AC198" s="449"/>
      <c r="AD198" s="449"/>
      <c r="AE198" s="449"/>
    </row>
    <row r="199">
      <c r="A199" s="459"/>
      <c r="B199" s="472"/>
      <c r="C199" s="459"/>
      <c r="D199" s="459"/>
      <c r="E199" s="459"/>
      <c r="F199" s="459"/>
      <c r="G199" s="459"/>
      <c r="H199" s="459"/>
      <c r="I199" s="459"/>
      <c r="J199" s="459"/>
      <c r="K199" s="459"/>
      <c r="L199" s="473"/>
      <c r="M199" s="474"/>
      <c r="N199" s="470"/>
      <c r="O199" s="470"/>
      <c r="P199" s="470"/>
      <c r="Q199" s="470"/>
      <c r="R199" s="459"/>
      <c r="S199" s="439"/>
      <c r="U199" s="85"/>
      <c r="V199" s="85"/>
      <c r="W199" s="85"/>
      <c r="X199" s="85"/>
      <c r="Y199" s="86"/>
      <c r="Z199" s="449"/>
      <c r="AA199" s="449"/>
      <c r="AB199" s="449"/>
      <c r="AC199" s="449"/>
      <c r="AD199" s="449"/>
      <c r="AE199" s="449"/>
    </row>
    <row r="200">
      <c r="A200" s="459"/>
      <c r="B200" s="472"/>
      <c r="C200" s="459"/>
      <c r="D200" s="459"/>
      <c r="E200" s="459"/>
      <c r="F200" s="459"/>
      <c r="G200" s="459"/>
      <c r="H200" s="459"/>
      <c r="I200" s="459"/>
      <c r="J200" s="459"/>
      <c r="K200" s="459"/>
      <c r="L200" s="473"/>
      <c r="M200" s="474"/>
      <c r="N200" s="470"/>
      <c r="O200" s="470"/>
      <c r="P200" s="470"/>
      <c r="Q200" s="470"/>
      <c r="R200" s="459"/>
      <c r="S200" s="439"/>
      <c r="T200" s="439"/>
      <c r="U200" s="85"/>
      <c r="V200" s="85"/>
      <c r="W200" s="85"/>
      <c r="X200" s="85"/>
      <c r="Y200" s="86"/>
      <c r="Z200" s="449"/>
      <c r="AA200" s="449"/>
      <c r="AB200" s="449"/>
      <c r="AC200" s="449"/>
      <c r="AD200" s="449"/>
      <c r="AE200" s="449"/>
    </row>
    <row r="201">
      <c r="A201" s="459"/>
      <c r="B201" s="472"/>
      <c r="C201" s="459"/>
      <c r="D201" s="459"/>
      <c r="E201" s="459"/>
      <c r="F201" s="459"/>
      <c r="G201" s="459"/>
      <c r="H201" s="459"/>
      <c r="I201" s="459"/>
      <c r="J201" s="459"/>
      <c r="K201" s="459"/>
      <c r="L201" s="473"/>
      <c r="M201" s="474"/>
      <c r="N201" s="470"/>
      <c r="O201" s="470"/>
      <c r="P201" s="470"/>
      <c r="Q201" s="470"/>
      <c r="R201" s="459"/>
      <c r="S201" s="439"/>
      <c r="T201" s="439"/>
      <c r="U201" s="85"/>
      <c r="V201" s="85"/>
      <c r="W201" s="85"/>
      <c r="X201" s="85"/>
      <c r="Y201" s="86"/>
      <c r="Z201" s="449"/>
      <c r="AA201" s="449"/>
      <c r="AB201" s="449"/>
      <c r="AC201" s="449"/>
      <c r="AD201" s="449"/>
      <c r="AE201" s="449"/>
    </row>
    <row r="202">
      <c r="A202" s="459"/>
      <c r="B202" s="472"/>
      <c r="C202" s="459"/>
      <c r="D202" s="459"/>
      <c r="E202" s="459"/>
      <c r="F202" s="459"/>
      <c r="G202" s="459"/>
      <c r="H202" s="459"/>
      <c r="I202" s="459"/>
      <c r="J202" s="459"/>
      <c r="K202" s="459"/>
      <c r="L202" s="473"/>
      <c r="M202" s="474"/>
      <c r="N202" s="470"/>
      <c r="O202" s="470"/>
      <c r="P202" s="470"/>
      <c r="Q202" s="470"/>
      <c r="R202" s="459"/>
      <c r="S202" s="439"/>
      <c r="T202" s="439"/>
      <c r="U202" s="85"/>
      <c r="V202" s="85"/>
      <c r="W202" s="85"/>
      <c r="X202" s="85"/>
      <c r="Y202" s="86"/>
      <c r="Z202" s="449"/>
      <c r="AA202" s="449"/>
      <c r="AB202" s="449"/>
      <c r="AC202" s="449"/>
      <c r="AD202" s="449"/>
      <c r="AE202" s="449"/>
    </row>
    <row r="203">
      <c r="A203" s="459"/>
      <c r="B203" s="472"/>
      <c r="C203" s="459"/>
      <c r="D203" s="459"/>
      <c r="E203" s="459"/>
      <c r="F203" s="459"/>
      <c r="G203" s="459"/>
      <c r="H203" s="459"/>
      <c r="I203" s="459"/>
      <c r="J203" s="459"/>
      <c r="K203" s="459"/>
      <c r="L203" s="473"/>
      <c r="M203" s="474"/>
      <c r="N203" s="470"/>
      <c r="O203" s="470"/>
      <c r="P203" s="470"/>
      <c r="Q203" s="470"/>
      <c r="R203" s="459"/>
      <c r="S203" s="439"/>
      <c r="T203" s="439"/>
      <c r="U203" s="85"/>
      <c r="V203" s="85"/>
      <c r="W203" s="85"/>
      <c r="X203" s="85"/>
      <c r="Y203" s="86"/>
      <c r="Z203" s="449"/>
      <c r="AA203" s="449"/>
      <c r="AB203" s="449"/>
      <c r="AC203" s="449"/>
      <c r="AD203" s="449"/>
      <c r="AE203" s="449"/>
    </row>
    <row r="204">
      <c r="A204" s="459"/>
      <c r="B204" s="472"/>
      <c r="C204" s="459"/>
      <c r="D204" s="459"/>
      <c r="E204" s="459"/>
      <c r="F204" s="459"/>
      <c r="G204" s="459"/>
      <c r="H204" s="459"/>
      <c r="I204" s="459"/>
      <c r="J204" s="459"/>
      <c r="K204" s="459"/>
      <c r="L204" s="473"/>
      <c r="M204" s="474"/>
      <c r="N204" s="470"/>
      <c r="O204" s="470"/>
      <c r="P204" s="470"/>
      <c r="Q204" s="470"/>
      <c r="R204" s="459"/>
      <c r="S204" s="439"/>
      <c r="T204" s="439"/>
      <c r="U204" s="85"/>
      <c r="V204" s="85"/>
      <c r="W204" s="85"/>
      <c r="X204" s="85"/>
      <c r="Y204" s="86"/>
      <c r="Z204" s="449"/>
      <c r="AA204" s="449"/>
      <c r="AB204" s="449"/>
      <c r="AC204" s="449"/>
      <c r="AD204" s="449"/>
      <c r="AE204" s="449"/>
    </row>
    <row r="205">
      <c r="A205" s="459"/>
      <c r="B205" s="472"/>
      <c r="C205" s="459"/>
      <c r="D205" s="459"/>
      <c r="E205" s="459"/>
      <c r="F205" s="459"/>
      <c r="G205" s="459"/>
      <c r="H205" s="459"/>
      <c r="I205" s="459"/>
      <c r="J205" s="459"/>
      <c r="K205" s="459"/>
      <c r="L205" s="473"/>
      <c r="M205" s="474"/>
      <c r="N205" s="470"/>
      <c r="O205" s="470"/>
      <c r="P205" s="470"/>
      <c r="Q205" s="470"/>
      <c r="R205" s="459"/>
      <c r="S205" s="439"/>
      <c r="T205" s="439"/>
      <c r="U205" s="85"/>
      <c r="V205" s="85"/>
      <c r="W205" s="85"/>
      <c r="X205" s="85"/>
      <c r="Y205" s="86"/>
      <c r="Z205" s="449"/>
      <c r="AA205" s="449"/>
      <c r="AB205" s="449"/>
      <c r="AC205" s="449"/>
      <c r="AD205" s="449"/>
      <c r="AE205" s="449"/>
    </row>
    <row r="206">
      <c r="A206" s="459"/>
      <c r="B206" s="472"/>
      <c r="C206" s="459"/>
      <c r="D206" s="459"/>
      <c r="E206" s="459"/>
      <c r="F206" s="459"/>
      <c r="G206" s="459"/>
      <c r="H206" s="459"/>
      <c r="I206" s="459"/>
      <c r="J206" s="459"/>
      <c r="K206" s="459"/>
      <c r="L206" s="473"/>
      <c r="M206" s="474"/>
      <c r="N206" s="470"/>
      <c r="O206" s="470"/>
      <c r="P206" s="470"/>
      <c r="Q206" s="470"/>
      <c r="R206" s="459"/>
      <c r="S206" s="439"/>
      <c r="T206" s="439"/>
      <c r="U206" s="85"/>
      <c r="V206" s="85"/>
      <c r="W206" s="85"/>
      <c r="X206" s="85"/>
      <c r="Y206" s="86"/>
      <c r="Z206" s="449"/>
      <c r="AA206" s="449"/>
      <c r="AB206" s="449"/>
      <c r="AC206" s="449"/>
      <c r="AD206" s="449"/>
      <c r="AE206" s="449"/>
    </row>
    <row r="207">
      <c r="A207" s="459"/>
      <c r="B207" s="472"/>
      <c r="C207" s="459"/>
      <c r="D207" s="459"/>
      <c r="E207" s="459"/>
      <c r="F207" s="459"/>
      <c r="G207" s="459"/>
      <c r="H207" s="459"/>
      <c r="I207" s="459"/>
      <c r="J207" s="459"/>
      <c r="K207" s="459"/>
      <c r="L207" s="473"/>
      <c r="M207" s="474"/>
      <c r="N207" s="470"/>
      <c r="O207" s="470"/>
      <c r="P207" s="470"/>
      <c r="Q207" s="470"/>
      <c r="R207" s="459"/>
      <c r="S207" s="439"/>
      <c r="T207" s="439"/>
      <c r="U207" s="85"/>
      <c r="V207" s="85"/>
      <c r="W207" s="85"/>
      <c r="X207" s="85"/>
      <c r="Y207" s="86"/>
      <c r="Z207" s="449"/>
      <c r="AA207" s="449"/>
      <c r="AB207" s="449"/>
      <c r="AC207" s="449"/>
      <c r="AD207" s="449"/>
      <c r="AE207" s="449"/>
    </row>
    <row r="208">
      <c r="A208" s="459"/>
      <c r="B208" s="472"/>
      <c r="C208" s="459"/>
      <c r="D208" s="459"/>
      <c r="E208" s="459"/>
      <c r="F208" s="459"/>
      <c r="G208" s="459"/>
      <c r="H208" s="459"/>
      <c r="I208" s="459"/>
      <c r="J208" s="459"/>
      <c r="K208" s="459"/>
      <c r="L208" s="473"/>
      <c r="M208" s="474"/>
      <c r="N208" s="470"/>
      <c r="O208" s="470"/>
      <c r="P208" s="470"/>
      <c r="Q208" s="470"/>
      <c r="R208" s="459"/>
      <c r="S208" s="439"/>
      <c r="T208" s="439"/>
      <c r="U208" s="85"/>
      <c r="V208" s="85"/>
      <c r="W208" s="85"/>
      <c r="X208" s="85"/>
      <c r="Y208" s="86"/>
      <c r="Z208" s="449"/>
      <c r="AA208" s="449"/>
      <c r="AB208" s="449"/>
      <c r="AC208" s="449"/>
      <c r="AD208" s="449"/>
      <c r="AE208" s="449"/>
    </row>
    <row r="209">
      <c r="A209" s="459"/>
      <c r="B209" s="472"/>
      <c r="C209" s="459"/>
      <c r="D209" s="459"/>
      <c r="E209" s="459"/>
      <c r="F209" s="459"/>
      <c r="G209" s="459"/>
      <c r="H209" s="459"/>
      <c r="I209" s="459"/>
      <c r="J209" s="459"/>
      <c r="K209" s="459"/>
      <c r="L209" s="473"/>
      <c r="M209" s="474"/>
      <c r="N209" s="470"/>
      <c r="O209" s="470"/>
      <c r="P209" s="470"/>
      <c r="Q209" s="470"/>
      <c r="R209" s="459"/>
      <c r="S209" s="439"/>
      <c r="U209" s="85"/>
      <c r="V209" s="85"/>
      <c r="W209" s="85"/>
      <c r="X209" s="85"/>
      <c r="Y209" s="86"/>
      <c r="Z209" s="449"/>
      <c r="AA209" s="449"/>
      <c r="AB209" s="449"/>
      <c r="AC209" s="449"/>
      <c r="AD209" s="449"/>
      <c r="AE209" s="449"/>
    </row>
    <row r="210">
      <c r="A210" s="459"/>
      <c r="B210" s="472"/>
      <c r="C210" s="459"/>
      <c r="D210" s="459"/>
      <c r="E210" s="459"/>
      <c r="F210" s="459"/>
      <c r="G210" s="459"/>
      <c r="H210" s="459"/>
      <c r="I210" s="459"/>
      <c r="J210" s="459"/>
      <c r="K210" s="459"/>
      <c r="L210" s="473"/>
      <c r="M210" s="474"/>
      <c r="N210" s="470"/>
      <c r="O210" s="470"/>
      <c r="P210" s="470"/>
      <c r="Q210" s="470"/>
      <c r="R210" s="459"/>
      <c r="S210" s="439"/>
      <c r="U210" s="85"/>
      <c r="V210" s="85"/>
      <c r="W210" s="85"/>
      <c r="X210" s="85"/>
      <c r="Y210" s="86"/>
      <c r="Z210" s="449"/>
      <c r="AA210" s="449"/>
      <c r="AB210" s="449"/>
      <c r="AC210" s="449"/>
      <c r="AD210" s="449"/>
      <c r="AE210" s="449"/>
    </row>
    <row r="211">
      <c r="A211" s="459"/>
      <c r="B211" s="472"/>
      <c r="C211" s="459"/>
      <c r="D211" s="459"/>
      <c r="E211" s="459"/>
      <c r="F211" s="459"/>
      <c r="G211" s="459"/>
      <c r="H211" s="459"/>
      <c r="I211" s="459"/>
      <c r="J211" s="459"/>
      <c r="K211" s="459"/>
      <c r="L211" s="473"/>
      <c r="M211" s="474"/>
      <c r="N211" s="470"/>
      <c r="O211" s="470"/>
      <c r="P211" s="470"/>
      <c r="Q211" s="470"/>
      <c r="R211" s="475"/>
      <c r="S211" s="439"/>
      <c r="U211" s="85"/>
      <c r="V211" s="85"/>
      <c r="W211" s="85"/>
      <c r="X211" s="85"/>
      <c r="Y211" s="86"/>
      <c r="Z211" s="449"/>
      <c r="AA211" s="449"/>
      <c r="AB211" s="449"/>
      <c r="AC211" s="449"/>
      <c r="AD211" s="449"/>
      <c r="AE211" s="449"/>
    </row>
    <row r="212">
      <c r="A212" s="459"/>
      <c r="B212" s="472"/>
      <c r="C212" s="459"/>
      <c r="D212" s="459"/>
      <c r="E212" s="459"/>
      <c r="F212" s="459"/>
      <c r="G212" s="459"/>
      <c r="H212" s="459"/>
      <c r="I212" s="459"/>
      <c r="J212" s="459"/>
      <c r="K212" s="459"/>
      <c r="L212" s="473"/>
      <c r="M212" s="474"/>
      <c r="N212" s="470"/>
      <c r="O212" s="470"/>
      <c r="P212" s="470"/>
      <c r="Q212" s="470"/>
      <c r="R212" s="475"/>
      <c r="S212" s="439"/>
      <c r="U212" s="85"/>
      <c r="V212" s="85"/>
      <c r="W212" s="85"/>
      <c r="X212" s="85"/>
      <c r="Y212" s="86"/>
      <c r="Z212" s="449"/>
      <c r="AA212" s="449"/>
      <c r="AB212" s="449"/>
      <c r="AC212" s="449"/>
      <c r="AD212" s="449"/>
      <c r="AE212" s="449"/>
    </row>
    <row r="213">
      <c r="A213" s="459"/>
      <c r="B213" s="472"/>
      <c r="C213" s="459"/>
      <c r="D213" s="459"/>
      <c r="E213" s="459"/>
      <c r="F213" s="459"/>
      <c r="G213" s="459"/>
      <c r="H213" s="459"/>
      <c r="I213" s="459"/>
      <c r="J213" s="459"/>
      <c r="K213" s="459"/>
      <c r="L213" s="473"/>
      <c r="M213" s="474"/>
      <c r="N213" s="470"/>
      <c r="O213" s="470"/>
      <c r="P213" s="470"/>
      <c r="Q213" s="470"/>
      <c r="R213" s="459"/>
      <c r="S213" s="439"/>
      <c r="T213" s="439"/>
      <c r="U213" s="85"/>
      <c r="V213" s="85"/>
      <c r="W213" s="85"/>
      <c r="X213" s="85"/>
      <c r="Y213" s="86"/>
      <c r="Z213" s="449"/>
      <c r="AA213" s="449"/>
      <c r="AB213" s="449"/>
      <c r="AC213" s="449"/>
      <c r="AD213" s="449"/>
      <c r="AE213" s="449"/>
    </row>
    <row r="214">
      <c r="A214" s="459"/>
      <c r="B214" s="472"/>
      <c r="C214" s="459"/>
      <c r="D214" s="459"/>
      <c r="E214" s="459"/>
      <c r="F214" s="459"/>
      <c r="G214" s="459"/>
      <c r="H214" s="459"/>
      <c r="I214" s="459"/>
      <c r="J214" s="459"/>
      <c r="K214" s="459"/>
      <c r="L214" s="473"/>
      <c r="M214" s="474"/>
      <c r="N214" s="470"/>
      <c r="O214" s="470"/>
      <c r="P214" s="470"/>
      <c r="Q214" s="470"/>
      <c r="R214" s="459"/>
      <c r="S214" s="439"/>
      <c r="T214" s="439"/>
      <c r="U214" s="85"/>
      <c r="V214" s="85"/>
      <c r="W214" s="85"/>
      <c r="X214" s="85"/>
      <c r="Y214" s="86"/>
      <c r="Z214" s="449"/>
      <c r="AA214" s="449"/>
      <c r="AB214" s="449"/>
      <c r="AC214" s="449"/>
      <c r="AD214" s="449"/>
      <c r="AE214" s="449"/>
    </row>
    <row r="215">
      <c r="A215" s="459"/>
      <c r="B215" s="472"/>
      <c r="C215" s="459"/>
      <c r="D215" s="459"/>
      <c r="E215" s="459"/>
      <c r="F215" s="459"/>
      <c r="G215" s="459"/>
      <c r="H215" s="459"/>
      <c r="I215" s="459"/>
      <c r="J215" s="459"/>
      <c r="K215" s="459"/>
      <c r="L215" s="473"/>
      <c r="M215" s="474"/>
      <c r="N215" s="470"/>
      <c r="O215" s="470"/>
      <c r="P215" s="470"/>
      <c r="Q215" s="470"/>
      <c r="R215" s="459"/>
      <c r="S215" s="439"/>
      <c r="T215" s="439"/>
      <c r="U215" s="85"/>
      <c r="V215" s="85"/>
      <c r="W215" s="85"/>
      <c r="X215" s="85"/>
      <c r="Y215" s="86"/>
      <c r="Z215" s="449"/>
      <c r="AA215" s="449"/>
      <c r="AB215" s="449"/>
      <c r="AC215" s="449"/>
      <c r="AD215" s="449"/>
      <c r="AE215" s="449"/>
    </row>
    <row r="216">
      <c r="A216" s="459"/>
      <c r="B216" s="472"/>
      <c r="C216" s="459"/>
      <c r="D216" s="459"/>
      <c r="E216" s="459"/>
      <c r="F216" s="459"/>
      <c r="G216" s="459"/>
      <c r="H216" s="459"/>
      <c r="I216" s="459"/>
      <c r="J216" s="459"/>
      <c r="K216" s="459"/>
      <c r="L216" s="473"/>
      <c r="M216" s="474"/>
      <c r="N216" s="470"/>
      <c r="O216" s="470"/>
      <c r="P216" s="470"/>
      <c r="Q216" s="470"/>
      <c r="R216" s="459"/>
      <c r="S216" s="439"/>
      <c r="T216" s="439"/>
      <c r="U216" s="85"/>
      <c r="V216" s="85"/>
      <c r="W216" s="85"/>
      <c r="X216" s="85"/>
      <c r="Y216" s="86"/>
      <c r="Z216" s="449"/>
      <c r="AA216" s="449"/>
      <c r="AB216" s="449"/>
      <c r="AC216" s="449"/>
      <c r="AD216" s="449"/>
      <c r="AE216" s="449"/>
    </row>
    <row r="217">
      <c r="A217" s="459"/>
      <c r="B217" s="472"/>
      <c r="C217" s="459"/>
      <c r="D217" s="459"/>
      <c r="E217" s="459"/>
      <c r="F217" s="459"/>
      <c r="G217" s="459"/>
      <c r="H217" s="459"/>
      <c r="I217" s="459"/>
      <c r="J217" s="459"/>
      <c r="K217" s="459"/>
      <c r="L217" s="473"/>
      <c r="M217" s="474"/>
      <c r="N217" s="470"/>
      <c r="O217" s="470"/>
      <c r="P217" s="470"/>
      <c r="Q217" s="470"/>
      <c r="R217" s="459"/>
      <c r="S217" s="439"/>
      <c r="T217" s="439"/>
      <c r="U217" s="85"/>
      <c r="V217" s="85"/>
      <c r="W217" s="85"/>
      <c r="X217" s="85"/>
      <c r="Y217" s="86"/>
      <c r="Z217" s="449"/>
      <c r="AA217" s="449"/>
      <c r="AB217" s="449"/>
      <c r="AC217" s="449"/>
      <c r="AD217" s="449"/>
      <c r="AE217" s="449"/>
    </row>
    <row r="218">
      <c r="A218" s="459"/>
      <c r="B218" s="472"/>
      <c r="C218" s="459"/>
      <c r="D218" s="459"/>
      <c r="E218" s="459"/>
      <c r="F218" s="459"/>
      <c r="G218" s="459"/>
      <c r="H218" s="459"/>
      <c r="I218" s="459"/>
      <c r="J218" s="459"/>
      <c r="K218" s="459"/>
      <c r="L218" s="473"/>
      <c r="M218" s="474"/>
      <c r="N218" s="470"/>
      <c r="O218" s="470"/>
      <c r="P218" s="470"/>
      <c r="Q218" s="470"/>
      <c r="R218" s="459"/>
      <c r="S218" s="439"/>
      <c r="T218" s="439"/>
      <c r="U218" s="85"/>
      <c r="V218" s="85"/>
      <c r="W218" s="85"/>
      <c r="X218" s="85"/>
      <c r="Y218" s="86"/>
      <c r="Z218" s="449"/>
      <c r="AA218" s="449"/>
      <c r="AB218" s="449"/>
      <c r="AC218" s="449"/>
      <c r="AD218" s="449"/>
      <c r="AE218" s="449"/>
    </row>
    <row r="219">
      <c r="A219" s="459"/>
      <c r="B219" s="472"/>
      <c r="C219" s="459"/>
      <c r="D219" s="459"/>
      <c r="E219" s="459"/>
      <c r="F219" s="459"/>
      <c r="G219" s="459"/>
      <c r="H219" s="459"/>
      <c r="I219" s="459"/>
      <c r="J219" s="459"/>
      <c r="K219" s="459"/>
      <c r="L219" s="473"/>
      <c r="M219" s="474"/>
      <c r="N219" s="470"/>
      <c r="O219" s="470"/>
      <c r="P219" s="470"/>
      <c r="Q219" s="470"/>
      <c r="R219" s="459"/>
      <c r="S219" s="439"/>
      <c r="T219" s="439"/>
      <c r="U219" s="85"/>
      <c r="V219" s="85"/>
      <c r="W219" s="85"/>
      <c r="X219" s="85"/>
      <c r="Y219" s="86"/>
      <c r="Z219" s="449"/>
      <c r="AA219" s="449"/>
      <c r="AB219" s="449"/>
      <c r="AC219" s="449"/>
      <c r="AD219" s="449"/>
      <c r="AE219" s="449"/>
    </row>
    <row r="220">
      <c r="A220" s="459"/>
      <c r="B220" s="472"/>
      <c r="C220" s="459"/>
      <c r="D220" s="459"/>
      <c r="E220" s="459"/>
      <c r="F220" s="459"/>
      <c r="G220" s="459"/>
      <c r="H220" s="459"/>
      <c r="I220" s="459"/>
      <c r="J220" s="459"/>
      <c r="K220" s="459"/>
      <c r="L220" s="473"/>
      <c r="M220" s="474"/>
      <c r="N220" s="470"/>
      <c r="O220" s="470"/>
      <c r="P220" s="470"/>
      <c r="Q220" s="470"/>
      <c r="R220" s="459"/>
      <c r="S220" s="439"/>
      <c r="T220" s="439"/>
      <c r="U220" s="85"/>
      <c r="V220" s="85"/>
      <c r="W220" s="85"/>
      <c r="X220" s="85"/>
      <c r="Y220" s="86"/>
      <c r="Z220" s="449"/>
      <c r="AA220" s="449"/>
      <c r="AB220" s="449"/>
      <c r="AC220" s="449"/>
      <c r="AD220" s="449"/>
      <c r="AE220" s="449"/>
    </row>
    <row r="221">
      <c r="A221" s="459"/>
      <c r="B221" s="472"/>
      <c r="C221" s="459"/>
      <c r="D221" s="459"/>
      <c r="E221" s="459"/>
      <c r="F221" s="459"/>
      <c r="G221" s="459"/>
      <c r="H221" s="459"/>
      <c r="I221" s="459"/>
      <c r="J221" s="459"/>
      <c r="K221" s="459"/>
      <c r="L221" s="473"/>
      <c r="M221" s="474"/>
      <c r="N221" s="470"/>
      <c r="O221" s="470"/>
      <c r="P221" s="470"/>
      <c r="Q221" s="470"/>
      <c r="R221" s="459"/>
      <c r="S221" s="439"/>
      <c r="T221" s="439"/>
      <c r="U221" s="85"/>
      <c r="V221" s="85"/>
      <c r="W221" s="85"/>
      <c r="X221" s="85"/>
      <c r="Y221" s="86"/>
      <c r="Z221" s="449"/>
      <c r="AA221" s="449"/>
      <c r="AB221" s="449"/>
      <c r="AC221" s="449"/>
      <c r="AD221" s="449"/>
      <c r="AE221" s="449"/>
    </row>
    <row r="222">
      <c r="A222" s="459"/>
      <c r="B222" s="472"/>
      <c r="C222" s="459"/>
      <c r="D222" s="459"/>
      <c r="E222" s="459"/>
      <c r="F222" s="459"/>
      <c r="G222" s="459"/>
      <c r="H222" s="459"/>
      <c r="I222" s="459"/>
      <c r="J222" s="459"/>
      <c r="K222" s="459"/>
      <c r="L222" s="473"/>
      <c r="M222" s="474"/>
      <c r="N222" s="470"/>
      <c r="O222" s="470"/>
      <c r="P222" s="470"/>
      <c r="Q222" s="470"/>
      <c r="R222" s="459"/>
      <c r="S222" s="439"/>
      <c r="T222" s="439"/>
      <c r="U222" s="85"/>
      <c r="V222" s="85"/>
      <c r="W222" s="85"/>
      <c r="X222" s="85"/>
      <c r="Y222" s="86"/>
      <c r="Z222" s="449"/>
      <c r="AA222" s="449"/>
      <c r="AB222" s="449"/>
      <c r="AC222" s="449"/>
      <c r="AD222" s="449"/>
      <c r="AE222" s="449"/>
    </row>
    <row r="223">
      <c r="A223" s="459"/>
      <c r="B223" s="472"/>
      <c r="C223" s="459"/>
      <c r="D223" s="459"/>
      <c r="E223" s="459"/>
      <c r="F223" s="459"/>
      <c r="G223" s="459"/>
      <c r="H223" s="459"/>
      <c r="I223" s="459"/>
      <c r="J223" s="459"/>
      <c r="K223" s="459"/>
      <c r="L223" s="473"/>
      <c r="M223" s="474"/>
      <c r="N223" s="470"/>
      <c r="O223" s="470"/>
      <c r="P223" s="470"/>
      <c r="Q223" s="470"/>
      <c r="R223" s="459"/>
      <c r="S223" s="439"/>
      <c r="T223" s="439"/>
      <c r="U223" s="85"/>
      <c r="V223" s="85"/>
      <c r="W223" s="85"/>
      <c r="X223" s="85"/>
      <c r="Y223" s="86"/>
      <c r="Z223" s="449"/>
      <c r="AA223" s="449"/>
      <c r="AB223" s="449"/>
      <c r="AC223" s="449"/>
      <c r="AD223" s="449"/>
      <c r="AE223" s="449"/>
    </row>
    <row r="224">
      <c r="A224" s="459"/>
      <c r="B224" s="472"/>
      <c r="C224" s="459"/>
      <c r="D224" s="459"/>
      <c r="E224" s="459"/>
      <c r="F224" s="459"/>
      <c r="G224" s="459"/>
      <c r="H224" s="459"/>
      <c r="I224" s="459"/>
      <c r="J224" s="459"/>
      <c r="K224" s="459"/>
      <c r="L224" s="473"/>
      <c r="M224" s="474"/>
      <c r="N224" s="470"/>
      <c r="O224" s="470"/>
      <c r="P224" s="470"/>
      <c r="Q224" s="470"/>
      <c r="R224" s="459"/>
      <c r="S224" s="439"/>
      <c r="T224" s="439"/>
      <c r="U224" s="85"/>
      <c r="V224" s="85"/>
      <c r="W224" s="85"/>
      <c r="X224" s="85"/>
      <c r="Y224" s="86"/>
      <c r="Z224" s="449"/>
      <c r="AA224" s="449"/>
      <c r="AB224" s="449"/>
      <c r="AC224" s="449"/>
      <c r="AD224" s="449"/>
      <c r="AE224" s="449"/>
    </row>
    <row r="225">
      <c r="A225" s="459"/>
      <c r="B225" s="472"/>
      <c r="C225" s="459"/>
      <c r="D225" s="459"/>
      <c r="E225" s="459"/>
      <c r="F225" s="459"/>
      <c r="G225" s="459"/>
      <c r="H225" s="459"/>
      <c r="I225" s="459"/>
      <c r="J225" s="459"/>
      <c r="K225" s="459"/>
      <c r="L225" s="473"/>
      <c r="M225" s="474"/>
      <c r="N225" s="470"/>
      <c r="O225" s="470"/>
      <c r="P225" s="470"/>
      <c r="Q225" s="470"/>
      <c r="R225" s="459"/>
      <c r="S225" s="439"/>
      <c r="T225" s="439"/>
      <c r="U225" s="85"/>
      <c r="V225" s="85"/>
      <c r="W225" s="85"/>
      <c r="X225" s="85"/>
      <c r="Y225" s="86"/>
      <c r="Z225" s="449"/>
      <c r="AA225" s="449"/>
      <c r="AB225" s="449"/>
      <c r="AC225" s="449"/>
      <c r="AD225" s="449"/>
      <c r="AE225" s="449"/>
    </row>
    <row r="226">
      <c r="A226" s="459"/>
      <c r="B226" s="472"/>
      <c r="C226" s="459"/>
      <c r="D226" s="459"/>
      <c r="E226" s="459"/>
      <c r="F226" s="459"/>
      <c r="G226" s="459"/>
      <c r="H226" s="459"/>
      <c r="I226" s="459"/>
      <c r="J226" s="459"/>
      <c r="K226" s="459"/>
      <c r="L226" s="473"/>
      <c r="M226" s="474"/>
      <c r="N226" s="470"/>
      <c r="O226" s="470"/>
      <c r="P226" s="470"/>
      <c r="Q226" s="470"/>
      <c r="R226" s="459"/>
      <c r="S226" s="439"/>
      <c r="T226" s="439"/>
      <c r="U226" s="85"/>
      <c r="V226" s="85"/>
      <c r="W226" s="85"/>
      <c r="X226" s="85"/>
      <c r="Y226" s="86"/>
      <c r="Z226" s="449"/>
      <c r="AA226" s="449"/>
      <c r="AB226" s="449"/>
      <c r="AC226" s="449"/>
      <c r="AD226" s="449"/>
      <c r="AE226" s="449"/>
    </row>
    <row r="227">
      <c r="A227" s="459"/>
      <c r="B227" s="472"/>
      <c r="C227" s="459"/>
      <c r="D227" s="459"/>
      <c r="E227" s="459"/>
      <c r="F227" s="459"/>
      <c r="G227" s="459"/>
      <c r="H227" s="459"/>
      <c r="I227" s="459"/>
      <c r="J227" s="459"/>
      <c r="K227" s="459"/>
      <c r="L227" s="473"/>
      <c r="M227" s="474"/>
      <c r="N227" s="470"/>
      <c r="O227" s="470"/>
      <c r="P227" s="470"/>
      <c r="Q227" s="470"/>
      <c r="R227" s="459"/>
      <c r="S227" s="439"/>
      <c r="T227" s="439"/>
      <c r="U227" s="85"/>
      <c r="V227" s="85"/>
      <c r="W227" s="85"/>
      <c r="X227" s="85"/>
      <c r="Y227" s="86"/>
      <c r="Z227" s="449"/>
      <c r="AA227" s="449"/>
      <c r="AB227" s="449"/>
      <c r="AC227" s="449"/>
      <c r="AD227" s="449"/>
      <c r="AE227" s="449"/>
    </row>
    <row r="228">
      <c r="A228" s="459"/>
      <c r="B228" s="472"/>
      <c r="C228" s="459"/>
      <c r="D228" s="459"/>
      <c r="E228" s="459"/>
      <c r="F228" s="459"/>
      <c r="G228" s="459"/>
      <c r="H228" s="459"/>
      <c r="I228" s="459"/>
      <c r="J228" s="459"/>
      <c r="K228" s="459"/>
      <c r="L228" s="473"/>
      <c r="M228" s="474"/>
      <c r="N228" s="470"/>
      <c r="O228" s="470"/>
      <c r="P228" s="470"/>
      <c r="Q228" s="470"/>
      <c r="R228" s="459"/>
      <c r="S228" s="439"/>
      <c r="T228" s="439"/>
      <c r="U228" s="85"/>
      <c r="V228" s="85"/>
      <c r="W228" s="85"/>
      <c r="X228" s="85"/>
      <c r="Y228" s="86"/>
      <c r="Z228" s="449"/>
      <c r="AA228" s="449"/>
      <c r="AB228" s="449"/>
      <c r="AC228" s="449"/>
      <c r="AD228" s="449"/>
      <c r="AE228" s="449"/>
    </row>
    <row r="229">
      <c r="A229" s="459"/>
      <c r="B229" s="472"/>
      <c r="C229" s="459"/>
      <c r="D229" s="459"/>
      <c r="E229" s="459"/>
      <c r="F229" s="459"/>
      <c r="G229" s="459"/>
      <c r="H229" s="459"/>
      <c r="I229" s="459"/>
      <c r="J229" s="459"/>
      <c r="K229" s="459"/>
      <c r="L229" s="473"/>
      <c r="M229" s="474"/>
      <c r="N229" s="470"/>
      <c r="O229" s="470"/>
      <c r="P229" s="470"/>
      <c r="Q229" s="470"/>
      <c r="R229" s="459"/>
      <c r="S229" s="439"/>
      <c r="T229" s="439"/>
      <c r="U229" s="85"/>
      <c r="V229" s="85"/>
      <c r="W229" s="85"/>
      <c r="X229" s="85"/>
      <c r="Y229" s="86"/>
      <c r="Z229" s="449"/>
      <c r="AA229" s="449"/>
      <c r="AB229" s="449"/>
      <c r="AC229" s="449"/>
      <c r="AD229" s="449"/>
      <c r="AE229" s="449"/>
    </row>
    <row r="230">
      <c r="A230" s="459"/>
      <c r="B230" s="472"/>
      <c r="C230" s="459"/>
      <c r="D230" s="459"/>
      <c r="E230" s="459"/>
      <c r="F230" s="459"/>
      <c r="G230" s="459"/>
      <c r="H230" s="459"/>
      <c r="I230" s="459"/>
      <c r="J230" s="459"/>
      <c r="K230" s="459"/>
      <c r="L230" s="473"/>
      <c r="M230" s="474"/>
      <c r="N230" s="470"/>
      <c r="O230" s="470"/>
      <c r="P230" s="470"/>
      <c r="Q230" s="470"/>
      <c r="R230" s="459"/>
      <c r="S230" s="439"/>
      <c r="T230" s="439"/>
      <c r="U230" s="85"/>
      <c r="V230" s="85"/>
      <c r="W230" s="85"/>
      <c r="X230" s="85"/>
      <c r="Y230" s="86"/>
      <c r="Z230" s="449"/>
      <c r="AA230" s="449"/>
      <c r="AB230" s="449"/>
      <c r="AC230" s="449"/>
      <c r="AD230" s="449"/>
      <c r="AE230" s="449"/>
    </row>
    <row r="231">
      <c r="A231" s="459"/>
      <c r="B231" s="472"/>
      <c r="C231" s="459"/>
      <c r="D231" s="459"/>
      <c r="E231" s="459"/>
      <c r="F231" s="459"/>
      <c r="G231" s="459"/>
      <c r="H231" s="459"/>
      <c r="I231" s="459"/>
      <c r="J231" s="459"/>
      <c r="K231" s="459"/>
      <c r="L231" s="473"/>
      <c r="M231" s="474"/>
      <c r="N231" s="470"/>
      <c r="O231" s="470"/>
      <c r="P231" s="470"/>
      <c r="Q231" s="470"/>
      <c r="R231" s="459"/>
      <c r="S231" s="439"/>
      <c r="T231" s="439"/>
      <c r="U231" s="85"/>
      <c r="V231" s="85"/>
      <c r="W231" s="85"/>
      <c r="X231" s="85"/>
      <c r="Y231" s="86"/>
      <c r="Z231" s="449"/>
      <c r="AA231" s="449"/>
      <c r="AB231" s="449"/>
      <c r="AC231" s="449"/>
      <c r="AD231" s="449"/>
      <c r="AE231" s="449"/>
    </row>
    <row r="232">
      <c r="A232" s="459"/>
      <c r="B232" s="472"/>
      <c r="C232" s="459"/>
      <c r="D232" s="459"/>
      <c r="E232" s="459"/>
      <c r="F232" s="459"/>
      <c r="G232" s="459"/>
      <c r="H232" s="459"/>
      <c r="I232" s="459"/>
      <c r="J232" s="459"/>
      <c r="K232" s="459"/>
      <c r="L232" s="473"/>
      <c r="M232" s="474"/>
      <c r="N232" s="470"/>
      <c r="O232" s="470"/>
      <c r="P232" s="470"/>
      <c r="Q232" s="470"/>
      <c r="R232" s="459"/>
      <c r="S232" s="439"/>
      <c r="T232" s="439"/>
      <c r="U232" s="85"/>
      <c r="V232" s="85"/>
      <c r="W232" s="85"/>
      <c r="X232" s="85"/>
      <c r="Y232" s="86"/>
      <c r="Z232" s="449"/>
      <c r="AA232" s="449"/>
      <c r="AB232" s="449"/>
      <c r="AC232" s="449"/>
      <c r="AD232" s="449"/>
      <c r="AE232" s="449"/>
    </row>
    <row r="233">
      <c r="A233" s="459"/>
      <c r="B233" s="472"/>
      <c r="C233" s="459"/>
      <c r="D233" s="459"/>
      <c r="E233" s="459"/>
      <c r="F233" s="459"/>
      <c r="G233" s="459"/>
      <c r="H233" s="459"/>
      <c r="I233" s="459"/>
      <c r="J233" s="459"/>
      <c r="K233" s="459"/>
      <c r="L233" s="473"/>
      <c r="M233" s="474"/>
      <c r="N233" s="470"/>
      <c r="O233" s="470"/>
      <c r="P233" s="470"/>
      <c r="Q233" s="470"/>
      <c r="R233" s="459"/>
      <c r="S233" s="439"/>
      <c r="T233" s="439"/>
      <c r="U233" s="85"/>
      <c r="V233" s="85"/>
      <c r="W233" s="85"/>
      <c r="X233" s="85"/>
      <c r="Y233" s="86"/>
      <c r="Z233" s="449"/>
      <c r="AA233" s="449"/>
      <c r="AB233" s="449"/>
      <c r="AC233" s="449"/>
      <c r="AD233" s="449"/>
      <c r="AE233" s="449"/>
    </row>
    <row r="234">
      <c r="A234" s="459"/>
      <c r="B234" s="472"/>
      <c r="C234" s="459"/>
      <c r="D234" s="459"/>
      <c r="E234" s="459"/>
      <c r="F234" s="459"/>
      <c r="G234" s="459"/>
      <c r="H234" s="459"/>
      <c r="I234" s="459"/>
      <c r="J234" s="459"/>
      <c r="K234" s="459"/>
      <c r="L234" s="473"/>
      <c r="M234" s="474"/>
      <c r="N234" s="470"/>
      <c r="O234" s="470"/>
      <c r="P234" s="470"/>
      <c r="Q234" s="470"/>
      <c r="R234" s="459"/>
      <c r="S234" s="439"/>
      <c r="T234" s="439"/>
      <c r="U234" s="85"/>
      <c r="V234" s="85"/>
      <c r="W234" s="85"/>
      <c r="X234" s="85"/>
      <c r="Y234" s="86"/>
      <c r="Z234" s="449"/>
      <c r="AA234" s="449"/>
      <c r="AB234" s="449"/>
      <c r="AC234" s="449"/>
      <c r="AD234" s="449"/>
      <c r="AE234" s="449"/>
    </row>
    <row r="235">
      <c r="A235" s="459"/>
      <c r="B235" s="472"/>
      <c r="C235" s="459"/>
      <c r="D235" s="459"/>
      <c r="E235" s="459"/>
      <c r="F235" s="459"/>
      <c r="G235" s="459"/>
      <c r="H235" s="459"/>
      <c r="I235" s="459"/>
      <c r="J235" s="459"/>
      <c r="K235" s="459"/>
      <c r="L235" s="473"/>
      <c r="M235" s="474"/>
      <c r="N235" s="470"/>
      <c r="O235" s="470"/>
      <c r="P235" s="470"/>
      <c r="Q235" s="470"/>
      <c r="R235" s="459"/>
      <c r="S235" s="439"/>
      <c r="T235" s="439"/>
      <c r="U235" s="85"/>
      <c r="V235" s="85"/>
      <c r="W235" s="85"/>
      <c r="X235" s="85"/>
      <c r="Y235" s="86"/>
      <c r="Z235" s="449"/>
      <c r="AA235" s="449"/>
      <c r="AB235" s="449"/>
      <c r="AC235" s="449"/>
      <c r="AD235" s="449"/>
      <c r="AE235" s="449"/>
    </row>
    <row r="236">
      <c r="A236" s="459"/>
      <c r="B236" s="472"/>
      <c r="C236" s="459"/>
      <c r="D236" s="459"/>
      <c r="E236" s="459"/>
      <c r="F236" s="459"/>
      <c r="G236" s="459"/>
      <c r="H236" s="459"/>
      <c r="I236" s="459"/>
      <c r="J236" s="459"/>
      <c r="K236" s="459"/>
      <c r="L236" s="473"/>
      <c r="M236" s="474"/>
      <c r="N236" s="470"/>
      <c r="O236" s="470"/>
      <c r="P236" s="470"/>
      <c r="Q236" s="470"/>
      <c r="R236" s="459"/>
      <c r="S236" s="439"/>
      <c r="T236" s="439"/>
      <c r="U236" s="85"/>
      <c r="V236" s="85"/>
      <c r="W236" s="85"/>
      <c r="X236" s="85"/>
      <c r="Y236" s="86"/>
      <c r="Z236" s="449"/>
      <c r="AA236" s="449"/>
      <c r="AB236" s="449"/>
      <c r="AC236" s="449"/>
      <c r="AD236" s="449"/>
      <c r="AE236" s="449"/>
    </row>
    <row r="237">
      <c r="A237" s="459"/>
      <c r="B237" s="472"/>
      <c r="C237" s="459"/>
      <c r="D237" s="459"/>
      <c r="E237" s="459"/>
      <c r="F237" s="459"/>
      <c r="G237" s="459"/>
      <c r="H237" s="459"/>
      <c r="I237" s="459"/>
      <c r="J237" s="459"/>
      <c r="K237" s="459"/>
      <c r="L237" s="473"/>
      <c r="M237" s="474"/>
      <c r="N237" s="470"/>
      <c r="O237" s="470"/>
      <c r="P237" s="470"/>
      <c r="Q237" s="470"/>
      <c r="R237" s="459"/>
      <c r="S237" s="439"/>
      <c r="T237" s="439"/>
      <c r="U237" s="85"/>
      <c r="V237" s="85"/>
      <c r="W237" s="85"/>
      <c r="X237" s="85"/>
      <c r="Y237" s="86"/>
      <c r="Z237" s="449"/>
      <c r="AA237" s="449"/>
      <c r="AB237" s="449"/>
      <c r="AC237" s="449"/>
      <c r="AD237" s="449"/>
      <c r="AE237" s="449"/>
    </row>
    <row r="238">
      <c r="A238" s="459"/>
      <c r="B238" s="472"/>
      <c r="C238" s="459"/>
      <c r="D238" s="459"/>
      <c r="E238" s="459"/>
      <c r="F238" s="459"/>
      <c r="G238" s="459"/>
      <c r="H238" s="459"/>
      <c r="I238" s="459"/>
      <c r="J238" s="459"/>
      <c r="K238" s="459"/>
      <c r="L238" s="473"/>
      <c r="M238" s="474"/>
      <c r="N238" s="470"/>
      <c r="O238" s="470"/>
      <c r="P238" s="470"/>
      <c r="Q238" s="470"/>
      <c r="R238" s="459"/>
      <c r="S238" s="439"/>
      <c r="T238" s="439"/>
      <c r="U238" s="85"/>
      <c r="V238" s="85"/>
      <c r="W238" s="85"/>
      <c r="X238" s="85"/>
      <c r="Y238" s="86"/>
      <c r="Z238" s="449"/>
      <c r="AA238" s="449"/>
      <c r="AB238" s="449"/>
      <c r="AC238" s="449"/>
      <c r="AD238" s="449"/>
      <c r="AE238" s="449"/>
    </row>
    <row r="239">
      <c r="A239" s="459"/>
      <c r="B239" s="472"/>
      <c r="C239" s="459"/>
      <c r="D239" s="459"/>
      <c r="E239" s="459"/>
      <c r="F239" s="459"/>
      <c r="G239" s="459"/>
      <c r="H239" s="459"/>
      <c r="I239" s="459"/>
      <c r="J239" s="459"/>
      <c r="K239" s="459"/>
      <c r="L239" s="473"/>
      <c r="M239" s="474"/>
      <c r="N239" s="470"/>
      <c r="O239" s="470"/>
      <c r="P239" s="470"/>
      <c r="Q239" s="470"/>
      <c r="R239" s="459"/>
      <c r="S239" s="439"/>
      <c r="T239" s="439"/>
      <c r="U239" s="85"/>
      <c r="V239" s="85"/>
      <c r="W239" s="85"/>
      <c r="X239" s="85"/>
      <c r="Y239" s="86"/>
      <c r="Z239" s="449"/>
      <c r="AA239" s="449"/>
      <c r="AB239" s="449"/>
      <c r="AC239" s="449"/>
      <c r="AD239" s="449"/>
      <c r="AE239" s="449"/>
    </row>
    <row r="240">
      <c r="A240" s="459"/>
      <c r="B240" s="472"/>
      <c r="C240" s="459"/>
      <c r="D240" s="459"/>
      <c r="E240" s="459"/>
      <c r="F240" s="459"/>
      <c r="G240" s="459"/>
      <c r="H240" s="459"/>
      <c r="I240" s="459"/>
      <c r="J240" s="459"/>
      <c r="K240" s="459"/>
      <c r="L240" s="473"/>
      <c r="M240" s="474"/>
      <c r="N240" s="470"/>
      <c r="O240" s="470"/>
      <c r="P240" s="470"/>
      <c r="Q240" s="470"/>
      <c r="R240" s="459"/>
      <c r="S240" s="439"/>
      <c r="U240" s="85"/>
      <c r="V240" s="85"/>
      <c r="W240" s="85"/>
      <c r="X240" s="85"/>
      <c r="Y240" s="86"/>
      <c r="Z240" s="449"/>
      <c r="AA240" s="449"/>
      <c r="AB240" s="449"/>
      <c r="AC240" s="449"/>
      <c r="AD240" s="449"/>
      <c r="AE240" s="449"/>
    </row>
    <row r="241">
      <c r="A241" s="459"/>
      <c r="B241" s="472"/>
      <c r="C241" s="459"/>
      <c r="D241" s="459"/>
      <c r="E241" s="459"/>
      <c r="F241" s="459"/>
      <c r="G241" s="459"/>
      <c r="H241" s="459"/>
      <c r="I241" s="459"/>
      <c r="J241" s="459"/>
      <c r="K241" s="459"/>
      <c r="L241" s="473"/>
      <c r="M241" s="474"/>
      <c r="N241" s="470"/>
      <c r="O241" s="470"/>
      <c r="P241" s="470"/>
      <c r="Q241" s="470"/>
      <c r="R241" s="459"/>
      <c r="S241" s="439"/>
      <c r="U241" s="85"/>
      <c r="V241" s="85"/>
      <c r="W241" s="85"/>
      <c r="X241" s="85"/>
      <c r="Y241" s="86"/>
      <c r="Z241" s="449"/>
      <c r="AA241" s="449"/>
      <c r="AB241" s="449"/>
      <c r="AC241" s="449"/>
      <c r="AD241" s="449"/>
      <c r="AE241" s="449"/>
    </row>
    <row r="242">
      <c r="A242" s="459"/>
      <c r="B242" s="472"/>
      <c r="C242" s="459"/>
      <c r="D242" s="459"/>
      <c r="E242" s="459"/>
      <c r="F242" s="459"/>
      <c r="G242" s="459"/>
      <c r="H242" s="459"/>
      <c r="I242" s="459"/>
      <c r="J242" s="459"/>
      <c r="K242" s="459"/>
      <c r="L242" s="473"/>
      <c r="M242" s="474"/>
      <c r="N242" s="470"/>
      <c r="O242" s="470"/>
      <c r="P242" s="470"/>
      <c r="Q242" s="470"/>
      <c r="R242" s="475"/>
      <c r="S242" s="439"/>
      <c r="U242" s="85"/>
      <c r="V242" s="85"/>
      <c r="W242" s="85"/>
      <c r="X242" s="85"/>
      <c r="Y242" s="86"/>
      <c r="Z242" s="449"/>
      <c r="AA242" s="449"/>
      <c r="AB242" s="449"/>
      <c r="AC242" s="449"/>
      <c r="AD242" s="449"/>
      <c r="AE242" s="449"/>
    </row>
    <row r="243">
      <c r="A243" s="459"/>
      <c r="B243" s="472"/>
      <c r="C243" s="459"/>
      <c r="D243" s="459"/>
      <c r="E243" s="459"/>
      <c r="F243" s="459"/>
      <c r="G243" s="459"/>
      <c r="H243" s="459"/>
      <c r="I243" s="459"/>
      <c r="J243" s="459"/>
      <c r="K243" s="459"/>
      <c r="L243" s="473"/>
      <c r="M243" s="474"/>
      <c r="N243" s="470"/>
      <c r="O243" s="470"/>
      <c r="P243" s="470"/>
      <c r="Q243" s="470"/>
      <c r="R243" s="475"/>
      <c r="S243" s="439"/>
      <c r="U243" s="85"/>
      <c r="V243" s="85"/>
      <c r="W243" s="85"/>
      <c r="X243" s="85"/>
      <c r="Y243" s="86"/>
      <c r="Z243" s="449"/>
      <c r="AA243" s="449"/>
      <c r="AB243" s="449"/>
      <c r="AC243" s="449"/>
      <c r="AD243" s="449"/>
      <c r="AE243" s="449"/>
    </row>
    <row r="244">
      <c r="A244" s="459"/>
      <c r="B244" s="472"/>
      <c r="C244" s="459"/>
      <c r="D244" s="459"/>
      <c r="E244" s="459"/>
      <c r="F244" s="459"/>
      <c r="G244" s="459"/>
      <c r="H244" s="459"/>
      <c r="I244" s="459"/>
      <c r="J244" s="459"/>
      <c r="K244" s="459"/>
      <c r="L244" s="473"/>
      <c r="M244" s="474"/>
      <c r="N244" s="470"/>
      <c r="O244" s="470"/>
      <c r="P244" s="470"/>
      <c r="Q244" s="470"/>
      <c r="R244" s="459"/>
      <c r="S244" s="439"/>
      <c r="T244" s="439"/>
      <c r="U244" s="85"/>
      <c r="V244" s="85"/>
      <c r="W244" s="85"/>
      <c r="X244" s="85"/>
      <c r="Y244" s="86"/>
      <c r="Z244" s="449"/>
      <c r="AA244" s="449"/>
      <c r="AB244" s="449"/>
      <c r="AC244" s="449"/>
      <c r="AD244" s="449"/>
      <c r="AE244" s="449"/>
    </row>
    <row r="245">
      <c r="A245" s="459"/>
      <c r="B245" s="472"/>
      <c r="C245" s="459"/>
      <c r="D245" s="459"/>
      <c r="E245" s="459"/>
      <c r="F245" s="459"/>
      <c r="G245" s="459"/>
      <c r="H245" s="459"/>
      <c r="I245" s="459"/>
      <c r="J245" s="459"/>
      <c r="K245" s="459"/>
      <c r="L245" s="473"/>
      <c r="M245" s="474"/>
      <c r="N245" s="470"/>
      <c r="O245" s="470"/>
      <c r="P245" s="470"/>
      <c r="Q245" s="470"/>
      <c r="R245" s="459"/>
      <c r="S245" s="439"/>
      <c r="T245" s="439"/>
      <c r="U245" s="85"/>
      <c r="V245" s="85"/>
      <c r="W245" s="85"/>
      <c r="X245" s="85"/>
      <c r="Y245" s="86"/>
      <c r="Z245" s="449"/>
      <c r="AA245" s="449"/>
      <c r="AB245" s="449"/>
      <c r="AC245" s="449"/>
      <c r="AD245" s="449"/>
      <c r="AE245" s="449"/>
    </row>
    <row r="246">
      <c r="A246" s="459"/>
      <c r="B246" s="472"/>
      <c r="C246" s="459"/>
      <c r="D246" s="459"/>
      <c r="E246" s="459"/>
      <c r="F246" s="459"/>
      <c r="G246" s="459"/>
      <c r="H246" s="459"/>
      <c r="I246" s="459"/>
      <c r="J246" s="459"/>
      <c r="K246" s="459"/>
      <c r="L246" s="473"/>
      <c r="M246" s="474"/>
      <c r="N246" s="470"/>
      <c r="O246" s="470"/>
      <c r="P246" s="470"/>
      <c r="Q246" s="470"/>
      <c r="R246" s="459"/>
      <c r="S246" s="439"/>
      <c r="T246" s="439"/>
      <c r="U246" s="85"/>
      <c r="V246" s="85"/>
      <c r="W246" s="85"/>
      <c r="X246" s="85"/>
      <c r="Y246" s="86"/>
      <c r="Z246" s="449"/>
      <c r="AA246" s="449"/>
      <c r="AB246" s="449"/>
      <c r="AC246" s="449"/>
      <c r="AD246" s="449"/>
      <c r="AE246" s="449"/>
    </row>
    <row r="247">
      <c r="A247" s="459"/>
      <c r="B247" s="472"/>
      <c r="C247" s="459"/>
      <c r="D247" s="459"/>
      <c r="E247" s="459"/>
      <c r="F247" s="459"/>
      <c r="G247" s="459"/>
      <c r="H247" s="459"/>
      <c r="I247" s="459"/>
      <c r="J247" s="459"/>
      <c r="K247" s="459"/>
      <c r="L247" s="473"/>
      <c r="M247" s="474"/>
      <c r="N247" s="470"/>
      <c r="O247" s="470"/>
      <c r="P247" s="470"/>
      <c r="Q247" s="470"/>
      <c r="R247" s="459"/>
      <c r="S247" s="439"/>
      <c r="T247" s="439"/>
      <c r="U247" s="85"/>
      <c r="V247" s="85"/>
      <c r="W247" s="85"/>
      <c r="X247" s="85"/>
      <c r="Y247" s="86"/>
      <c r="Z247" s="449"/>
      <c r="AA247" s="449"/>
      <c r="AB247" s="449"/>
      <c r="AC247" s="449"/>
      <c r="AD247" s="449"/>
      <c r="AE247" s="449"/>
    </row>
    <row r="248">
      <c r="A248" s="459"/>
      <c r="B248" s="472"/>
      <c r="C248" s="459"/>
      <c r="D248" s="459"/>
      <c r="E248" s="459"/>
      <c r="F248" s="459"/>
      <c r="G248" s="459"/>
      <c r="H248" s="459"/>
      <c r="I248" s="459"/>
      <c r="J248" s="459"/>
      <c r="K248" s="459"/>
      <c r="L248" s="473"/>
      <c r="M248" s="474"/>
      <c r="N248" s="470"/>
      <c r="O248" s="470"/>
      <c r="P248" s="470"/>
      <c r="Q248" s="470"/>
      <c r="R248" s="459"/>
      <c r="S248" s="439"/>
      <c r="T248" s="439"/>
      <c r="U248" s="85"/>
      <c r="V248" s="85"/>
      <c r="W248" s="85"/>
      <c r="X248" s="85"/>
      <c r="Y248" s="86"/>
      <c r="Z248" s="449"/>
      <c r="AA248" s="449"/>
      <c r="AB248" s="449"/>
      <c r="AC248" s="449"/>
      <c r="AD248" s="449"/>
      <c r="AE248" s="449"/>
    </row>
    <row r="249">
      <c r="A249" s="459"/>
      <c r="B249" s="472"/>
      <c r="C249" s="459"/>
      <c r="D249" s="459"/>
      <c r="E249" s="459"/>
      <c r="F249" s="459"/>
      <c r="G249" s="459"/>
      <c r="H249" s="459"/>
      <c r="I249" s="459"/>
      <c r="J249" s="459"/>
      <c r="K249" s="459"/>
      <c r="L249" s="473"/>
      <c r="M249" s="474"/>
      <c r="N249" s="470"/>
      <c r="O249" s="470"/>
      <c r="P249" s="470"/>
      <c r="Q249" s="470"/>
      <c r="R249" s="459"/>
      <c r="S249" s="439"/>
      <c r="T249" s="439"/>
      <c r="U249" s="85"/>
      <c r="V249" s="85"/>
      <c r="W249" s="85"/>
      <c r="X249" s="85"/>
      <c r="Y249" s="86"/>
      <c r="Z249" s="449"/>
      <c r="AA249" s="449"/>
      <c r="AB249" s="449"/>
      <c r="AC249" s="449"/>
      <c r="AD249" s="449"/>
      <c r="AE249" s="449"/>
    </row>
    <row r="250">
      <c r="A250" s="459"/>
      <c r="B250" s="472"/>
      <c r="C250" s="459"/>
      <c r="D250" s="459"/>
      <c r="E250" s="459"/>
      <c r="F250" s="459"/>
      <c r="G250" s="459"/>
      <c r="H250" s="459"/>
      <c r="I250" s="459"/>
      <c r="J250" s="459"/>
      <c r="K250" s="459"/>
      <c r="L250" s="473"/>
      <c r="M250" s="474"/>
      <c r="N250" s="470"/>
      <c r="O250" s="470"/>
      <c r="P250" s="470"/>
      <c r="Q250" s="470"/>
      <c r="R250" s="459"/>
      <c r="S250" s="439"/>
      <c r="T250" s="439"/>
      <c r="U250" s="85"/>
      <c r="V250" s="85"/>
      <c r="W250" s="85"/>
      <c r="X250" s="85"/>
      <c r="Y250" s="86"/>
      <c r="Z250" s="449"/>
      <c r="AA250" s="449"/>
      <c r="AB250" s="449"/>
      <c r="AC250" s="449"/>
      <c r="AD250" s="449"/>
      <c r="AE250" s="449"/>
    </row>
    <row r="251">
      <c r="A251" s="459"/>
      <c r="B251" s="472"/>
      <c r="C251" s="459"/>
      <c r="D251" s="459"/>
      <c r="E251" s="459"/>
      <c r="F251" s="459"/>
      <c r="G251" s="459"/>
      <c r="H251" s="459"/>
      <c r="I251" s="459"/>
      <c r="J251" s="459"/>
      <c r="K251" s="459"/>
      <c r="L251" s="473"/>
      <c r="M251" s="474"/>
      <c r="N251" s="470"/>
      <c r="O251" s="470"/>
      <c r="P251" s="470"/>
      <c r="Q251" s="470"/>
      <c r="R251" s="459"/>
      <c r="S251" s="439"/>
      <c r="T251" s="439"/>
      <c r="U251" s="85"/>
      <c r="V251" s="85"/>
      <c r="W251" s="85"/>
      <c r="X251" s="85"/>
      <c r="Y251" s="86"/>
      <c r="Z251" s="449"/>
      <c r="AA251" s="449"/>
      <c r="AB251" s="449"/>
      <c r="AC251" s="449"/>
      <c r="AD251" s="449"/>
      <c r="AE251" s="449"/>
    </row>
    <row r="252">
      <c r="A252" s="459"/>
      <c r="B252" s="472"/>
      <c r="C252" s="459"/>
      <c r="D252" s="459"/>
      <c r="E252" s="459"/>
      <c r="F252" s="459"/>
      <c r="G252" s="459"/>
      <c r="H252" s="459"/>
      <c r="I252" s="459"/>
      <c r="J252" s="459"/>
      <c r="K252" s="459"/>
      <c r="L252" s="473"/>
      <c r="M252" s="474"/>
      <c r="N252" s="470"/>
      <c r="O252" s="470"/>
      <c r="P252" s="470"/>
      <c r="Q252" s="470"/>
      <c r="R252" s="459"/>
      <c r="S252" s="439"/>
      <c r="T252" s="439"/>
      <c r="U252" s="85"/>
      <c r="V252" s="85"/>
      <c r="W252" s="85"/>
      <c r="X252" s="85"/>
      <c r="Y252" s="86"/>
      <c r="Z252" s="449"/>
      <c r="AA252" s="449"/>
      <c r="AB252" s="449"/>
      <c r="AC252" s="449"/>
      <c r="AD252" s="449"/>
      <c r="AE252" s="449"/>
    </row>
    <row r="253">
      <c r="A253" s="459"/>
      <c r="B253" s="472"/>
      <c r="C253" s="459"/>
      <c r="D253" s="459"/>
      <c r="E253" s="459"/>
      <c r="F253" s="459"/>
      <c r="G253" s="459"/>
      <c r="H253" s="459"/>
      <c r="I253" s="459"/>
      <c r="J253" s="459"/>
      <c r="K253" s="459"/>
      <c r="L253" s="473"/>
      <c r="M253" s="474"/>
      <c r="N253" s="470"/>
      <c r="O253" s="470"/>
      <c r="P253" s="470"/>
      <c r="Q253" s="470"/>
      <c r="R253" s="459"/>
      <c r="S253" s="439"/>
      <c r="T253" s="439"/>
      <c r="U253" s="85"/>
      <c r="V253" s="85"/>
      <c r="W253" s="85"/>
      <c r="X253" s="85"/>
      <c r="Y253" s="86"/>
      <c r="Z253" s="449"/>
      <c r="AA253" s="449"/>
      <c r="AB253" s="449"/>
      <c r="AC253" s="449"/>
      <c r="AD253" s="449"/>
      <c r="AE253" s="449"/>
    </row>
    <row r="254">
      <c r="A254" s="459"/>
      <c r="B254" s="472"/>
      <c r="C254" s="459"/>
      <c r="D254" s="459"/>
      <c r="E254" s="459"/>
      <c r="F254" s="459"/>
      <c r="G254" s="459"/>
      <c r="H254" s="459"/>
      <c r="I254" s="459"/>
      <c r="J254" s="459"/>
      <c r="K254" s="459"/>
      <c r="L254" s="473"/>
      <c r="M254" s="474"/>
      <c r="N254" s="470"/>
      <c r="O254" s="470"/>
      <c r="P254" s="470"/>
      <c r="Q254" s="470"/>
      <c r="R254" s="459"/>
      <c r="S254" s="439"/>
      <c r="T254" s="439"/>
      <c r="U254" s="85"/>
      <c r="V254" s="85"/>
      <c r="W254" s="85"/>
      <c r="X254" s="85"/>
      <c r="Y254" s="86"/>
      <c r="Z254" s="449"/>
      <c r="AA254" s="449"/>
      <c r="AB254" s="449"/>
      <c r="AC254" s="449"/>
      <c r="AD254" s="449"/>
      <c r="AE254" s="449"/>
    </row>
    <row r="255">
      <c r="A255" s="459"/>
      <c r="B255" s="472"/>
      <c r="C255" s="459"/>
      <c r="D255" s="459"/>
      <c r="E255" s="459"/>
      <c r="F255" s="459"/>
      <c r="G255" s="459"/>
      <c r="H255" s="459"/>
      <c r="I255" s="459"/>
      <c r="J255" s="459"/>
      <c r="K255" s="459"/>
      <c r="L255" s="473"/>
      <c r="M255" s="474"/>
      <c r="N255" s="470"/>
      <c r="O255" s="470"/>
      <c r="P255" s="470"/>
      <c r="Q255" s="470"/>
      <c r="R255" s="459"/>
      <c r="S255" s="439"/>
      <c r="T255" s="439"/>
      <c r="U255" s="85"/>
      <c r="V255" s="85"/>
      <c r="W255" s="85"/>
      <c r="X255" s="85"/>
      <c r="Y255" s="86"/>
      <c r="Z255" s="449"/>
      <c r="AA255" s="449"/>
      <c r="AB255" s="449"/>
      <c r="AC255" s="449"/>
      <c r="AD255" s="449"/>
      <c r="AE255" s="449"/>
    </row>
    <row r="256">
      <c r="A256" s="459"/>
      <c r="B256" s="472"/>
      <c r="C256" s="459"/>
      <c r="D256" s="459"/>
      <c r="E256" s="459"/>
      <c r="F256" s="459"/>
      <c r="G256" s="459"/>
      <c r="H256" s="459"/>
      <c r="I256" s="459"/>
      <c r="J256" s="459"/>
      <c r="K256" s="459"/>
      <c r="L256" s="473"/>
      <c r="M256" s="474"/>
      <c r="N256" s="470"/>
      <c r="O256" s="470"/>
      <c r="P256" s="470"/>
      <c r="Q256" s="470"/>
      <c r="R256" s="459"/>
      <c r="S256" s="439"/>
      <c r="T256" s="439"/>
      <c r="U256" s="85"/>
      <c r="V256" s="85"/>
      <c r="W256" s="85"/>
      <c r="X256" s="85"/>
      <c r="Y256" s="86"/>
      <c r="Z256" s="449"/>
      <c r="AA256" s="449"/>
      <c r="AB256" s="449"/>
      <c r="AC256" s="449"/>
      <c r="AD256" s="449"/>
      <c r="AE256" s="449"/>
    </row>
    <row r="257">
      <c r="A257" s="459"/>
      <c r="B257" s="472"/>
      <c r="C257" s="459"/>
      <c r="D257" s="459"/>
      <c r="E257" s="459"/>
      <c r="F257" s="459"/>
      <c r="G257" s="459"/>
      <c r="H257" s="459"/>
      <c r="I257" s="459"/>
      <c r="J257" s="459"/>
      <c r="K257" s="459"/>
      <c r="L257" s="473"/>
      <c r="M257" s="474"/>
      <c r="N257" s="470"/>
      <c r="O257" s="470"/>
      <c r="P257" s="470"/>
      <c r="Q257" s="470"/>
      <c r="R257" s="459"/>
      <c r="S257" s="439"/>
      <c r="T257" s="439"/>
      <c r="U257" s="85"/>
      <c r="V257" s="85"/>
      <c r="W257" s="85"/>
      <c r="X257" s="85"/>
      <c r="Y257" s="86"/>
      <c r="Z257" s="449"/>
      <c r="AA257" s="449"/>
      <c r="AB257" s="449"/>
      <c r="AC257" s="449"/>
      <c r="AD257" s="449"/>
      <c r="AE257" s="449"/>
    </row>
    <row r="258">
      <c r="A258" s="459"/>
      <c r="B258" s="476"/>
      <c r="C258" s="459"/>
      <c r="D258" s="459"/>
      <c r="E258" s="459"/>
      <c r="F258" s="459"/>
      <c r="G258" s="459"/>
      <c r="H258" s="459"/>
      <c r="I258" s="459"/>
      <c r="J258" s="459"/>
      <c r="K258" s="459"/>
      <c r="L258" s="473"/>
      <c r="M258" s="474"/>
      <c r="N258" s="470"/>
      <c r="O258" s="470"/>
      <c r="P258" s="470"/>
      <c r="Q258" s="470"/>
      <c r="R258" s="459"/>
      <c r="S258" s="459"/>
      <c r="T258" s="85"/>
      <c r="U258" s="85"/>
      <c r="V258" s="85"/>
      <c r="W258" s="85"/>
      <c r="X258" s="85"/>
      <c r="Y258" s="86"/>
      <c r="Z258" s="449"/>
      <c r="AA258" s="449"/>
      <c r="AB258" s="449"/>
      <c r="AC258" s="449"/>
      <c r="AD258" s="449"/>
      <c r="AE258" s="449"/>
    </row>
    <row r="259">
      <c r="A259" s="459"/>
      <c r="B259" s="476"/>
      <c r="C259" s="459"/>
      <c r="D259" s="459"/>
      <c r="E259" s="459"/>
      <c r="F259" s="459"/>
      <c r="G259" s="459"/>
      <c r="H259" s="459"/>
      <c r="I259" s="459"/>
      <c r="J259" s="459"/>
      <c r="K259" s="459"/>
      <c r="L259" s="473"/>
      <c r="M259" s="474"/>
      <c r="N259" s="470"/>
      <c r="O259" s="470"/>
      <c r="P259" s="470"/>
      <c r="Q259" s="470"/>
      <c r="R259" s="459"/>
      <c r="S259" s="459"/>
      <c r="T259" s="85"/>
      <c r="U259" s="85"/>
      <c r="V259" s="85"/>
      <c r="W259" s="85"/>
      <c r="X259" s="85"/>
      <c r="Y259" s="86"/>
      <c r="Z259" s="449"/>
      <c r="AA259" s="449"/>
      <c r="AB259" s="449"/>
      <c r="AC259" s="449"/>
      <c r="AD259" s="449"/>
      <c r="AE259" s="449"/>
    </row>
    <row r="260">
      <c r="A260" s="459"/>
      <c r="B260" s="476"/>
      <c r="C260" s="459"/>
      <c r="D260" s="459"/>
      <c r="E260" s="459"/>
      <c r="F260" s="459"/>
      <c r="G260" s="459"/>
      <c r="H260" s="459"/>
      <c r="I260" s="459"/>
      <c r="J260" s="459"/>
      <c r="K260" s="459"/>
      <c r="L260" s="473"/>
      <c r="M260" s="474"/>
      <c r="N260" s="470"/>
      <c r="O260" s="470"/>
      <c r="P260" s="470"/>
      <c r="Q260" s="470"/>
      <c r="R260" s="459"/>
      <c r="S260" s="459"/>
      <c r="T260" s="85"/>
      <c r="U260" s="85"/>
      <c r="V260" s="85"/>
      <c r="W260" s="85"/>
      <c r="X260" s="85"/>
      <c r="Y260" s="86"/>
      <c r="Z260" s="449"/>
      <c r="AA260" s="449"/>
      <c r="AB260" s="449"/>
      <c r="AC260" s="449"/>
      <c r="AD260" s="449"/>
      <c r="AE260" s="449"/>
    </row>
    <row r="261">
      <c r="A261" s="459"/>
      <c r="B261" s="476"/>
      <c r="C261" s="459"/>
      <c r="D261" s="459"/>
      <c r="E261" s="459"/>
      <c r="F261" s="459"/>
      <c r="G261" s="459"/>
      <c r="H261" s="459"/>
      <c r="I261" s="459"/>
      <c r="J261" s="459"/>
      <c r="K261" s="459"/>
      <c r="L261" s="473"/>
      <c r="M261" s="474"/>
      <c r="N261" s="470"/>
      <c r="O261" s="470"/>
      <c r="P261" s="470"/>
      <c r="Q261" s="470"/>
      <c r="R261" s="459"/>
      <c r="S261" s="459"/>
      <c r="T261" s="85"/>
      <c r="U261" s="85"/>
      <c r="V261" s="85"/>
      <c r="W261" s="85"/>
      <c r="X261" s="85"/>
      <c r="Y261" s="86"/>
      <c r="Z261" s="449"/>
      <c r="AA261" s="449"/>
      <c r="AB261" s="449"/>
      <c r="AC261" s="449"/>
      <c r="AD261" s="449"/>
      <c r="AE261" s="449"/>
    </row>
    <row r="262">
      <c r="A262" s="459"/>
      <c r="B262" s="476"/>
      <c r="C262" s="459"/>
      <c r="D262" s="459"/>
      <c r="E262" s="459"/>
      <c r="F262" s="459"/>
      <c r="G262" s="459"/>
      <c r="H262" s="459"/>
      <c r="I262" s="459"/>
      <c r="J262" s="459"/>
      <c r="K262" s="459"/>
      <c r="L262" s="473"/>
      <c r="M262" s="474"/>
      <c r="N262" s="470"/>
      <c r="O262" s="470"/>
      <c r="P262" s="470"/>
      <c r="Q262" s="470"/>
      <c r="R262" s="459"/>
      <c r="S262" s="459"/>
      <c r="T262" s="85"/>
      <c r="U262" s="85"/>
      <c r="V262" s="85"/>
      <c r="W262" s="85"/>
      <c r="X262" s="85"/>
      <c r="Y262" s="86"/>
      <c r="Z262" s="449"/>
      <c r="AA262" s="449"/>
      <c r="AB262" s="449"/>
      <c r="AC262" s="449"/>
      <c r="AD262" s="449"/>
      <c r="AE262" s="449"/>
    </row>
    <row r="263">
      <c r="A263" s="459"/>
      <c r="B263" s="476"/>
      <c r="C263" s="459"/>
      <c r="D263" s="459"/>
      <c r="E263" s="459"/>
      <c r="F263" s="459"/>
      <c r="G263" s="459"/>
      <c r="H263" s="459"/>
      <c r="I263" s="459"/>
      <c r="J263" s="459"/>
      <c r="K263" s="459"/>
      <c r="L263" s="473"/>
      <c r="M263" s="474"/>
      <c r="N263" s="470"/>
      <c r="O263" s="470"/>
      <c r="P263" s="470"/>
      <c r="Q263" s="470"/>
      <c r="R263" s="459"/>
      <c r="S263" s="459"/>
      <c r="T263" s="85"/>
      <c r="U263" s="85"/>
      <c r="V263" s="85"/>
      <c r="W263" s="85"/>
      <c r="X263" s="85"/>
      <c r="Y263" s="86"/>
      <c r="Z263" s="449"/>
      <c r="AA263" s="449"/>
      <c r="AB263" s="449"/>
      <c r="AC263" s="449"/>
      <c r="AD263" s="449"/>
      <c r="AE263" s="449"/>
    </row>
    <row r="264">
      <c r="A264" s="459"/>
      <c r="B264" s="476"/>
      <c r="C264" s="459"/>
      <c r="D264" s="459"/>
      <c r="E264" s="459"/>
      <c r="F264" s="459"/>
      <c r="G264" s="459"/>
      <c r="H264" s="459"/>
      <c r="I264" s="459"/>
      <c r="J264" s="459"/>
      <c r="K264" s="459"/>
      <c r="L264" s="473"/>
      <c r="M264" s="474"/>
      <c r="N264" s="470"/>
      <c r="O264" s="470"/>
      <c r="P264" s="470"/>
      <c r="Q264" s="470"/>
      <c r="R264" s="459"/>
      <c r="S264" s="459"/>
      <c r="T264" s="85"/>
      <c r="U264" s="85"/>
      <c r="V264" s="85"/>
      <c r="W264" s="85"/>
      <c r="X264" s="85"/>
      <c r="Y264" s="86"/>
      <c r="Z264" s="449"/>
      <c r="AA264" s="449"/>
      <c r="AB264" s="449"/>
      <c r="AC264" s="449"/>
      <c r="AD264" s="449"/>
      <c r="AE264" s="449"/>
    </row>
    <row r="265">
      <c r="A265" s="459"/>
      <c r="B265" s="476"/>
      <c r="C265" s="459"/>
      <c r="D265" s="459"/>
      <c r="E265" s="459"/>
      <c r="F265" s="459"/>
      <c r="G265" s="459"/>
      <c r="H265" s="459"/>
      <c r="I265" s="459"/>
      <c r="J265" s="459"/>
      <c r="K265" s="459"/>
      <c r="L265" s="473"/>
      <c r="M265" s="474"/>
      <c r="N265" s="470"/>
      <c r="O265" s="470"/>
      <c r="P265" s="470"/>
      <c r="Q265" s="470"/>
      <c r="R265" s="459"/>
      <c r="S265" s="459"/>
      <c r="T265" s="85"/>
      <c r="U265" s="85"/>
      <c r="V265" s="85"/>
      <c r="W265" s="85"/>
      <c r="X265" s="85"/>
      <c r="Y265" s="86"/>
      <c r="Z265" s="449"/>
      <c r="AA265" s="449"/>
      <c r="AB265" s="449"/>
      <c r="AC265" s="449"/>
      <c r="AD265" s="449"/>
      <c r="AE265" s="449"/>
    </row>
    <row r="266">
      <c r="A266" s="459"/>
      <c r="B266" s="476"/>
      <c r="C266" s="459"/>
      <c r="D266" s="459"/>
      <c r="E266" s="459"/>
      <c r="F266" s="459"/>
      <c r="G266" s="459"/>
      <c r="H266" s="459"/>
      <c r="I266" s="459"/>
      <c r="J266" s="477"/>
      <c r="K266" s="459"/>
      <c r="L266" s="473"/>
      <c r="M266" s="474"/>
      <c r="N266" s="470"/>
      <c r="O266" s="470"/>
      <c r="P266" s="470"/>
      <c r="Q266" s="470"/>
      <c r="R266" s="459"/>
      <c r="S266" s="459"/>
      <c r="T266" s="85"/>
      <c r="U266" s="85"/>
      <c r="V266" s="85"/>
      <c r="W266" s="85"/>
      <c r="X266" s="85"/>
      <c r="Y266" s="86"/>
      <c r="Z266" s="449"/>
      <c r="AA266" s="449"/>
      <c r="AB266" s="449"/>
      <c r="AC266" s="449"/>
      <c r="AD266" s="449"/>
      <c r="AE266" s="449"/>
    </row>
    <row r="267">
      <c r="A267" s="459"/>
      <c r="B267" s="476"/>
      <c r="C267" s="459"/>
      <c r="D267" s="459"/>
      <c r="E267" s="459"/>
      <c r="F267" s="459"/>
      <c r="G267" s="459"/>
      <c r="H267" s="459"/>
      <c r="I267" s="459"/>
      <c r="J267" s="459"/>
      <c r="K267" s="459"/>
      <c r="L267" s="473"/>
      <c r="M267" s="474"/>
      <c r="N267" s="470"/>
      <c r="O267" s="470"/>
      <c r="P267" s="470"/>
      <c r="Q267" s="470"/>
      <c r="R267" s="459"/>
      <c r="S267" s="459"/>
      <c r="T267" s="85"/>
      <c r="U267" s="85"/>
      <c r="V267" s="85"/>
      <c r="W267" s="85"/>
      <c r="X267" s="85"/>
      <c r="Y267" s="86"/>
      <c r="Z267" s="449"/>
      <c r="AA267" s="449"/>
      <c r="AB267" s="449"/>
      <c r="AC267" s="449"/>
      <c r="AD267" s="449"/>
      <c r="AE267" s="449"/>
    </row>
    <row r="268">
      <c r="A268" s="459"/>
      <c r="B268" s="476"/>
      <c r="C268" s="459"/>
      <c r="D268" s="459"/>
      <c r="E268" s="459"/>
      <c r="F268" s="459"/>
      <c r="G268" s="459"/>
      <c r="H268" s="459"/>
      <c r="I268" s="459"/>
      <c r="J268" s="459"/>
      <c r="K268" s="459"/>
      <c r="L268" s="473"/>
      <c r="M268" s="474"/>
      <c r="N268" s="470"/>
      <c r="O268" s="470"/>
      <c r="P268" s="470"/>
      <c r="Q268" s="470"/>
      <c r="R268" s="459"/>
      <c r="S268" s="459"/>
      <c r="T268" s="85"/>
      <c r="U268" s="85"/>
      <c r="V268" s="85"/>
      <c r="W268" s="85"/>
      <c r="X268" s="85"/>
      <c r="Y268" s="86"/>
      <c r="Z268" s="449"/>
      <c r="AA268" s="449"/>
      <c r="AB268" s="449"/>
      <c r="AC268" s="449"/>
      <c r="AD268" s="449"/>
      <c r="AE268" s="449"/>
    </row>
    <row r="269">
      <c r="A269" s="459"/>
      <c r="B269" s="476"/>
      <c r="C269" s="459"/>
      <c r="D269" s="459"/>
      <c r="E269" s="459"/>
      <c r="F269" s="459"/>
      <c r="G269" s="459"/>
      <c r="H269" s="459"/>
      <c r="I269" s="459"/>
      <c r="J269" s="459"/>
      <c r="K269" s="459"/>
      <c r="L269" s="473"/>
      <c r="M269" s="474"/>
      <c r="N269" s="470"/>
      <c r="O269" s="470"/>
      <c r="P269" s="470"/>
      <c r="Q269" s="470"/>
      <c r="R269" s="459"/>
      <c r="S269" s="459"/>
      <c r="T269" s="85"/>
      <c r="U269" s="85"/>
      <c r="V269" s="85"/>
      <c r="W269" s="85"/>
      <c r="X269" s="85"/>
      <c r="Y269" s="86"/>
      <c r="Z269" s="449"/>
      <c r="AA269" s="449"/>
      <c r="AB269" s="449"/>
      <c r="AC269" s="449"/>
      <c r="AD269" s="449"/>
      <c r="AE269" s="449"/>
    </row>
    <row r="270">
      <c r="A270" s="459"/>
      <c r="B270" s="476"/>
      <c r="C270" s="459"/>
      <c r="D270" s="459"/>
      <c r="E270" s="459"/>
      <c r="F270" s="459"/>
      <c r="G270" s="459"/>
      <c r="H270" s="459"/>
      <c r="I270" s="459"/>
      <c r="J270" s="459"/>
      <c r="K270" s="459"/>
      <c r="L270" s="473"/>
      <c r="M270" s="474"/>
      <c r="N270" s="470"/>
      <c r="O270" s="470"/>
      <c r="P270" s="470"/>
      <c r="Q270" s="470"/>
      <c r="R270" s="459"/>
      <c r="S270" s="459"/>
      <c r="T270" s="85"/>
      <c r="U270" s="85"/>
      <c r="V270" s="85"/>
      <c r="W270" s="85"/>
      <c r="X270" s="85"/>
      <c r="Y270" s="86"/>
      <c r="Z270" s="449"/>
      <c r="AA270" s="449"/>
      <c r="AB270" s="449"/>
      <c r="AC270" s="449"/>
      <c r="AD270" s="449"/>
      <c r="AE270" s="449"/>
    </row>
    <row r="271">
      <c r="A271" s="459"/>
      <c r="B271" s="476"/>
      <c r="C271" s="459"/>
      <c r="D271" s="459"/>
      <c r="E271" s="459"/>
      <c r="F271" s="459"/>
      <c r="G271" s="459"/>
      <c r="H271" s="459"/>
      <c r="I271" s="459"/>
      <c r="J271" s="459"/>
      <c r="K271" s="459"/>
      <c r="L271" s="473"/>
      <c r="M271" s="474"/>
      <c r="N271" s="470"/>
      <c r="O271" s="470"/>
      <c r="P271" s="470"/>
      <c r="Q271" s="470"/>
      <c r="R271" s="459"/>
      <c r="S271" s="459"/>
      <c r="T271" s="85"/>
      <c r="U271" s="85"/>
      <c r="V271" s="85"/>
      <c r="W271" s="85"/>
      <c r="X271" s="85"/>
      <c r="Y271" s="86"/>
      <c r="Z271" s="449"/>
      <c r="AA271" s="449"/>
      <c r="AB271" s="449"/>
      <c r="AC271" s="449"/>
      <c r="AD271" s="449"/>
      <c r="AE271" s="449"/>
    </row>
    <row r="272">
      <c r="A272" s="459"/>
      <c r="B272" s="476"/>
      <c r="C272" s="459"/>
      <c r="D272" s="459"/>
      <c r="E272" s="459"/>
      <c r="F272" s="459"/>
      <c r="G272" s="459"/>
      <c r="H272" s="459"/>
      <c r="I272" s="459"/>
      <c r="J272" s="459"/>
      <c r="K272" s="459"/>
      <c r="L272" s="473"/>
      <c r="M272" s="474"/>
      <c r="N272" s="470"/>
      <c r="O272" s="470"/>
      <c r="P272" s="470"/>
      <c r="Q272" s="470"/>
      <c r="R272" s="459"/>
      <c r="S272" s="459"/>
      <c r="T272" s="85"/>
      <c r="U272" s="85"/>
      <c r="V272" s="85"/>
      <c r="W272" s="85"/>
      <c r="X272" s="85"/>
      <c r="Y272" s="86"/>
      <c r="Z272" s="449"/>
      <c r="AA272" s="449"/>
      <c r="AB272" s="449"/>
      <c r="AC272" s="449"/>
      <c r="AD272" s="449"/>
      <c r="AE272" s="449"/>
    </row>
    <row r="273">
      <c r="A273" s="459"/>
      <c r="B273" s="476"/>
      <c r="C273" s="459"/>
      <c r="D273" s="459"/>
      <c r="E273" s="459"/>
      <c r="F273" s="459"/>
      <c r="G273" s="459"/>
      <c r="H273" s="459"/>
      <c r="I273" s="459"/>
      <c r="J273" s="459"/>
      <c r="K273" s="459"/>
      <c r="L273" s="473"/>
      <c r="M273" s="474"/>
      <c r="N273" s="470"/>
      <c r="O273" s="470"/>
      <c r="P273" s="470"/>
      <c r="Q273" s="470"/>
      <c r="R273" s="459"/>
      <c r="S273" s="459"/>
      <c r="T273" s="85"/>
      <c r="U273" s="85"/>
      <c r="V273" s="85"/>
      <c r="W273" s="85"/>
      <c r="X273" s="85"/>
      <c r="Y273" s="86"/>
      <c r="Z273" s="449"/>
      <c r="AA273" s="449"/>
      <c r="AB273" s="449"/>
      <c r="AC273" s="449"/>
      <c r="AD273" s="449"/>
      <c r="AE273" s="449"/>
    </row>
    <row r="274">
      <c r="A274" s="459"/>
      <c r="B274" s="476"/>
      <c r="C274" s="459"/>
      <c r="D274" s="459"/>
      <c r="E274" s="459"/>
      <c r="F274" s="459"/>
      <c r="G274" s="459"/>
      <c r="H274" s="459"/>
      <c r="I274" s="459"/>
      <c r="J274" s="459"/>
      <c r="K274" s="459"/>
      <c r="L274" s="473"/>
      <c r="M274" s="474"/>
      <c r="N274" s="470"/>
      <c r="O274" s="470"/>
      <c r="P274" s="470"/>
      <c r="Q274" s="470"/>
      <c r="R274" s="459"/>
      <c r="S274" s="459"/>
      <c r="T274" s="85"/>
      <c r="U274" s="85"/>
      <c r="V274" s="85"/>
      <c r="W274" s="85"/>
      <c r="X274" s="85"/>
      <c r="Y274" s="86"/>
      <c r="Z274" s="449"/>
      <c r="AA274" s="449"/>
      <c r="AB274" s="449"/>
      <c r="AC274" s="449"/>
      <c r="AD274" s="449"/>
      <c r="AE274" s="449"/>
    </row>
    <row r="275">
      <c r="A275" s="459"/>
      <c r="B275" s="476"/>
      <c r="C275" s="459"/>
      <c r="D275" s="459"/>
      <c r="E275" s="459"/>
      <c r="F275" s="459"/>
      <c r="G275" s="459"/>
      <c r="H275" s="459"/>
      <c r="I275" s="459"/>
      <c r="J275" s="459"/>
      <c r="K275" s="459"/>
      <c r="L275" s="473"/>
      <c r="M275" s="474"/>
      <c r="N275" s="470"/>
      <c r="O275" s="470"/>
      <c r="P275" s="470"/>
      <c r="Q275" s="470"/>
      <c r="R275" s="459"/>
      <c r="S275" s="459"/>
      <c r="T275" s="85"/>
      <c r="U275" s="85"/>
      <c r="V275" s="85"/>
      <c r="W275" s="85"/>
      <c r="X275" s="85"/>
      <c r="Y275" s="86"/>
      <c r="Z275" s="449"/>
      <c r="AA275" s="449"/>
      <c r="AB275" s="449"/>
      <c r="AC275" s="449"/>
      <c r="AD275" s="449"/>
      <c r="AE275" s="449"/>
    </row>
    <row r="276">
      <c r="A276" s="459"/>
      <c r="B276" s="476"/>
      <c r="C276" s="459"/>
      <c r="D276" s="459"/>
      <c r="E276" s="459"/>
      <c r="F276" s="459"/>
      <c r="G276" s="459"/>
      <c r="H276" s="459"/>
      <c r="I276" s="459"/>
      <c r="J276" s="459"/>
      <c r="K276" s="459"/>
      <c r="L276" s="473"/>
      <c r="M276" s="474"/>
      <c r="N276" s="470"/>
      <c r="O276" s="470"/>
      <c r="P276" s="470"/>
      <c r="Q276" s="470"/>
      <c r="R276" s="459"/>
      <c r="S276" s="459"/>
      <c r="T276" s="85"/>
      <c r="U276" s="85"/>
      <c r="V276" s="85"/>
      <c r="W276" s="85"/>
      <c r="X276" s="85"/>
      <c r="Y276" s="86"/>
      <c r="Z276" s="449"/>
      <c r="AA276" s="449"/>
      <c r="AB276" s="449"/>
      <c r="AC276" s="449"/>
      <c r="AD276" s="449"/>
      <c r="AE276" s="449"/>
    </row>
    <row r="277">
      <c r="A277" s="459"/>
      <c r="B277" s="476"/>
      <c r="C277" s="459"/>
      <c r="D277" s="459"/>
      <c r="E277" s="459"/>
      <c r="F277" s="459"/>
      <c r="G277" s="459"/>
      <c r="H277" s="459"/>
      <c r="I277" s="459"/>
      <c r="J277" s="459"/>
      <c r="K277" s="459"/>
      <c r="L277" s="473"/>
      <c r="M277" s="474"/>
      <c r="N277" s="470"/>
      <c r="O277" s="470"/>
      <c r="P277" s="470"/>
      <c r="Q277" s="470"/>
      <c r="R277" s="459"/>
      <c r="S277" s="459"/>
      <c r="T277" s="85"/>
      <c r="U277" s="85"/>
      <c r="V277" s="85"/>
      <c r="W277" s="85"/>
      <c r="X277" s="85"/>
      <c r="Y277" s="86"/>
      <c r="Z277" s="449"/>
      <c r="AA277" s="449"/>
      <c r="AB277" s="449"/>
      <c r="AC277" s="449"/>
      <c r="AD277" s="449"/>
      <c r="AE277" s="449"/>
    </row>
    <row r="278">
      <c r="A278" s="459"/>
      <c r="B278" s="476"/>
      <c r="C278" s="459"/>
      <c r="D278" s="459"/>
      <c r="E278" s="459"/>
      <c r="F278" s="459"/>
      <c r="G278" s="459"/>
      <c r="H278" s="459"/>
      <c r="I278" s="459"/>
      <c r="J278" s="459"/>
      <c r="K278" s="459"/>
      <c r="L278" s="473"/>
      <c r="M278" s="474"/>
      <c r="N278" s="470"/>
      <c r="O278" s="470"/>
      <c r="P278" s="470"/>
      <c r="Q278" s="470"/>
      <c r="R278" s="459"/>
      <c r="S278" s="459"/>
      <c r="T278" s="85"/>
      <c r="U278" s="85"/>
      <c r="V278" s="85"/>
      <c r="W278" s="85"/>
      <c r="X278" s="85"/>
      <c r="Y278" s="86"/>
      <c r="Z278" s="449"/>
      <c r="AA278" s="449"/>
      <c r="AB278" s="449"/>
      <c r="AC278" s="449"/>
      <c r="AD278" s="449"/>
      <c r="AE278" s="449"/>
    </row>
    <row r="279">
      <c r="A279" s="459"/>
      <c r="B279" s="476"/>
      <c r="C279" s="459"/>
      <c r="D279" s="459"/>
      <c r="E279" s="459"/>
      <c r="F279" s="459"/>
      <c r="G279" s="459"/>
      <c r="H279" s="459"/>
      <c r="I279" s="459"/>
      <c r="J279" s="459"/>
      <c r="K279" s="459"/>
      <c r="L279" s="473"/>
      <c r="M279" s="474"/>
      <c r="N279" s="470"/>
      <c r="O279" s="470"/>
      <c r="P279" s="470"/>
      <c r="Q279" s="470"/>
      <c r="R279" s="459"/>
      <c r="S279" s="459"/>
      <c r="T279" s="85"/>
      <c r="U279" s="85"/>
      <c r="V279" s="85"/>
      <c r="W279" s="85"/>
      <c r="X279" s="85"/>
      <c r="Y279" s="86"/>
      <c r="Z279" s="449"/>
      <c r="AA279" s="449"/>
      <c r="AB279" s="449"/>
      <c r="AC279" s="449"/>
      <c r="AD279" s="449"/>
      <c r="AE279" s="449"/>
    </row>
    <row r="280">
      <c r="A280" s="459"/>
      <c r="B280" s="476"/>
      <c r="C280" s="459"/>
      <c r="D280" s="459"/>
      <c r="E280" s="459"/>
      <c r="F280" s="459"/>
      <c r="G280" s="459"/>
      <c r="H280" s="459"/>
      <c r="I280" s="459"/>
      <c r="J280" s="459"/>
      <c r="K280" s="459"/>
      <c r="L280" s="473"/>
      <c r="M280" s="474"/>
      <c r="N280" s="470"/>
      <c r="O280" s="470"/>
      <c r="P280" s="470"/>
      <c r="Q280" s="470"/>
      <c r="R280" s="459"/>
      <c r="S280" s="459"/>
      <c r="T280" s="85"/>
      <c r="U280" s="85"/>
      <c r="V280" s="85"/>
      <c r="W280" s="85"/>
      <c r="X280" s="85"/>
      <c r="Y280" s="86"/>
      <c r="Z280" s="449"/>
      <c r="AA280" s="449"/>
      <c r="AB280" s="449"/>
      <c r="AC280" s="449"/>
      <c r="AD280" s="449"/>
      <c r="AE280" s="449"/>
    </row>
    <row r="281">
      <c r="A281" s="459"/>
      <c r="B281" s="476"/>
      <c r="C281" s="459"/>
      <c r="D281" s="459"/>
      <c r="E281" s="459"/>
      <c r="F281" s="459"/>
      <c r="G281" s="459"/>
      <c r="H281" s="459"/>
      <c r="I281" s="459"/>
      <c r="J281" s="459"/>
      <c r="K281" s="459"/>
      <c r="L281" s="473"/>
      <c r="M281" s="474"/>
      <c r="N281" s="470"/>
      <c r="O281" s="470"/>
      <c r="P281" s="470"/>
      <c r="Q281" s="470"/>
      <c r="R281" s="459"/>
      <c r="S281" s="459"/>
      <c r="T281" s="85"/>
      <c r="U281" s="85"/>
      <c r="V281" s="85"/>
      <c r="W281" s="85"/>
      <c r="X281" s="85"/>
      <c r="Y281" s="86"/>
      <c r="Z281" s="449"/>
      <c r="AA281" s="449"/>
      <c r="AB281" s="449"/>
      <c r="AC281" s="449"/>
      <c r="AD281" s="449"/>
      <c r="AE281" s="449"/>
    </row>
    <row r="282">
      <c r="A282" s="459"/>
      <c r="B282" s="472"/>
      <c r="C282" s="459"/>
      <c r="D282" s="459"/>
      <c r="E282" s="459"/>
      <c r="F282" s="459"/>
      <c r="G282" s="459"/>
      <c r="H282" s="459"/>
      <c r="I282" s="459"/>
      <c r="J282" s="459"/>
      <c r="K282" s="459"/>
      <c r="L282" s="473"/>
      <c r="M282" s="474"/>
      <c r="N282" s="470"/>
      <c r="O282" s="470"/>
      <c r="P282" s="470"/>
      <c r="Q282" s="470"/>
      <c r="R282" s="459"/>
      <c r="S282" s="478"/>
      <c r="T282" s="85"/>
      <c r="U282" s="85"/>
      <c r="V282" s="85"/>
      <c r="W282" s="85"/>
      <c r="X282" s="85"/>
      <c r="Y282" s="86"/>
      <c r="Z282" s="449"/>
      <c r="AA282" s="449"/>
      <c r="AB282" s="449"/>
      <c r="AC282" s="449"/>
      <c r="AD282" s="449"/>
      <c r="AE282" s="449"/>
    </row>
    <row r="283">
      <c r="A283" s="459"/>
      <c r="B283" s="472"/>
      <c r="C283" s="459"/>
      <c r="D283" s="459"/>
      <c r="E283" s="459"/>
      <c r="F283" s="459"/>
      <c r="G283" s="459"/>
      <c r="H283" s="459"/>
      <c r="I283" s="459"/>
      <c r="J283" s="459"/>
      <c r="K283" s="459"/>
      <c r="L283" s="473"/>
      <c r="M283" s="474"/>
      <c r="N283" s="470"/>
      <c r="O283" s="470"/>
      <c r="P283" s="470"/>
      <c r="Q283" s="470"/>
      <c r="R283" s="459"/>
      <c r="S283" s="478"/>
      <c r="T283" s="85"/>
      <c r="U283" s="85"/>
      <c r="V283" s="85"/>
      <c r="W283" s="85"/>
      <c r="X283" s="85"/>
      <c r="Y283" s="86"/>
      <c r="Z283" s="449"/>
      <c r="AA283" s="449"/>
      <c r="AB283" s="449"/>
      <c r="AC283" s="449"/>
      <c r="AD283" s="449"/>
      <c r="AE283" s="449"/>
    </row>
    <row r="284">
      <c r="A284" s="459"/>
      <c r="B284" s="472"/>
      <c r="C284" s="459"/>
      <c r="D284" s="459"/>
      <c r="E284" s="459"/>
      <c r="F284" s="459"/>
      <c r="G284" s="459"/>
      <c r="H284" s="459"/>
      <c r="I284" s="459"/>
      <c r="J284" s="459"/>
      <c r="K284" s="459"/>
      <c r="L284" s="473"/>
      <c r="M284" s="474"/>
      <c r="N284" s="470"/>
      <c r="O284" s="470"/>
      <c r="P284" s="470"/>
      <c r="Q284" s="470"/>
      <c r="R284" s="459"/>
      <c r="S284" s="478"/>
      <c r="T284" s="85"/>
      <c r="U284" s="85"/>
      <c r="V284" s="85"/>
      <c r="W284" s="85"/>
      <c r="X284" s="85"/>
      <c r="Y284" s="86"/>
      <c r="Z284" s="449"/>
      <c r="AA284" s="449"/>
      <c r="AB284" s="449"/>
      <c r="AC284" s="449"/>
      <c r="AD284" s="449"/>
      <c r="AE284" s="449"/>
    </row>
    <row r="285">
      <c r="A285" s="459"/>
      <c r="B285" s="472"/>
      <c r="C285" s="459"/>
      <c r="D285" s="459"/>
      <c r="E285" s="459"/>
      <c r="F285" s="459"/>
      <c r="G285" s="459"/>
      <c r="H285" s="459"/>
      <c r="I285" s="459"/>
      <c r="J285" s="459"/>
      <c r="K285" s="459"/>
      <c r="L285" s="473"/>
      <c r="M285" s="474"/>
      <c r="N285" s="470"/>
      <c r="O285" s="470"/>
      <c r="P285" s="470"/>
      <c r="Q285" s="470"/>
      <c r="R285" s="459"/>
      <c r="S285" s="478"/>
      <c r="T285" s="85"/>
      <c r="U285" s="85"/>
      <c r="V285" s="85"/>
      <c r="W285" s="85"/>
      <c r="X285" s="85"/>
      <c r="Y285" s="86"/>
      <c r="Z285" s="449"/>
      <c r="AA285" s="449"/>
      <c r="AB285" s="449"/>
      <c r="AC285" s="449"/>
      <c r="AD285" s="449"/>
      <c r="AE285" s="449"/>
    </row>
    <row r="286">
      <c r="A286" s="459"/>
      <c r="B286" s="472"/>
      <c r="C286" s="459"/>
      <c r="D286" s="459"/>
      <c r="E286" s="459"/>
      <c r="F286" s="459"/>
      <c r="G286" s="459"/>
      <c r="H286" s="459"/>
      <c r="I286" s="459"/>
      <c r="J286" s="459"/>
      <c r="K286" s="459"/>
      <c r="L286" s="473"/>
      <c r="M286" s="474"/>
      <c r="N286" s="470"/>
      <c r="O286" s="470"/>
      <c r="P286" s="470"/>
      <c r="Q286" s="470"/>
      <c r="R286" s="459"/>
      <c r="S286" s="478"/>
      <c r="T286" s="85"/>
      <c r="U286" s="85"/>
      <c r="V286" s="85"/>
      <c r="W286" s="85"/>
      <c r="X286" s="85"/>
      <c r="Y286" s="86"/>
      <c r="Z286" s="449"/>
      <c r="AA286" s="449"/>
      <c r="AB286" s="449"/>
      <c r="AC286" s="449"/>
      <c r="AD286" s="449"/>
      <c r="AE286" s="449"/>
    </row>
    <row r="287">
      <c r="A287" s="459"/>
      <c r="B287" s="472"/>
      <c r="C287" s="459"/>
      <c r="D287" s="459"/>
      <c r="E287" s="459"/>
      <c r="F287" s="459"/>
      <c r="G287" s="459"/>
      <c r="H287" s="459"/>
      <c r="I287" s="459"/>
      <c r="J287" s="459"/>
      <c r="K287" s="459"/>
      <c r="L287" s="473"/>
      <c r="M287" s="474"/>
      <c r="N287" s="470"/>
      <c r="O287" s="470"/>
      <c r="P287" s="470"/>
      <c r="Q287" s="470"/>
      <c r="R287" s="459"/>
      <c r="S287" s="478"/>
      <c r="T287" s="85"/>
      <c r="U287" s="85"/>
      <c r="V287" s="85"/>
      <c r="W287" s="85"/>
      <c r="X287" s="85"/>
      <c r="Y287" s="86"/>
      <c r="Z287" s="449"/>
      <c r="AA287" s="449"/>
      <c r="AB287" s="449"/>
      <c r="AC287" s="449"/>
      <c r="AD287" s="449"/>
      <c r="AE287" s="449"/>
    </row>
    <row r="288">
      <c r="A288" s="459"/>
      <c r="B288" s="472"/>
      <c r="C288" s="459"/>
      <c r="D288" s="459"/>
      <c r="E288" s="459"/>
      <c r="F288" s="459"/>
      <c r="G288" s="459"/>
      <c r="H288" s="459"/>
      <c r="I288" s="459"/>
      <c r="J288" s="459"/>
      <c r="K288" s="459"/>
      <c r="L288" s="473"/>
      <c r="M288" s="474"/>
      <c r="N288" s="470"/>
      <c r="O288" s="470"/>
      <c r="P288" s="470"/>
      <c r="Q288" s="470"/>
      <c r="R288" s="459"/>
      <c r="S288" s="478"/>
      <c r="T288" s="85"/>
      <c r="U288" s="85"/>
      <c r="V288" s="85"/>
      <c r="W288" s="85"/>
      <c r="X288" s="85"/>
      <c r="Y288" s="86"/>
      <c r="Z288" s="449"/>
      <c r="AA288" s="449"/>
      <c r="AB288" s="449"/>
      <c r="AC288" s="449"/>
      <c r="AD288" s="449"/>
      <c r="AE288" s="449"/>
    </row>
    <row r="289">
      <c r="A289" s="459"/>
      <c r="B289" s="472"/>
      <c r="C289" s="459"/>
      <c r="D289" s="459"/>
      <c r="E289" s="459"/>
      <c r="F289" s="459"/>
      <c r="G289" s="459"/>
      <c r="H289" s="459"/>
      <c r="I289" s="459"/>
      <c r="J289" s="459"/>
      <c r="K289" s="459"/>
      <c r="L289" s="473"/>
      <c r="M289" s="474"/>
      <c r="N289" s="470"/>
      <c r="O289" s="470"/>
      <c r="P289" s="470"/>
      <c r="Q289" s="470"/>
      <c r="R289" s="459"/>
      <c r="S289" s="478"/>
      <c r="T289" s="85"/>
      <c r="U289" s="85"/>
      <c r="V289" s="85"/>
      <c r="W289" s="85"/>
      <c r="X289" s="85"/>
      <c r="Y289" s="86"/>
      <c r="Z289" s="449"/>
      <c r="AA289" s="449"/>
      <c r="AB289" s="449"/>
      <c r="AC289" s="449"/>
      <c r="AD289" s="449"/>
      <c r="AE289" s="449"/>
    </row>
    <row r="290">
      <c r="A290" s="459"/>
      <c r="B290" s="472"/>
      <c r="C290" s="459"/>
      <c r="D290" s="459"/>
      <c r="E290" s="459"/>
      <c r="F290" s="459"/>
      <c r="G290" s="459"/>
      <c r="H290" s="459"/>
      <c r="I290" s="459"/>
      <c r="J290" s="459"/>
      <c r="K290" s="459"/>
      <c r="L290" s="473"/>
      <c r="M290" s="474"/>
      <c r="N290" s="470"/>
      <c r="O290" s="470"/>
      <c r="P290" s="470"/>
      <c r="Q290" s="470"/>
      <c r="R290" s="459"/>
      <c r="S290" s="478"/>
      <c r="T290" s="85"/>
      <c r="U290" s="85"/>
      <c r="V290" s="85"/>
      <c r="W290" s="85"/>
      <c r="X290" s="85"/>
      <c r="Y290" s="86"/>
      <c r="Z290" s="449"/>
      <c r="AA290" s="449"/>
      <c r="AB290" s="449"/>
      <c r="AC290" s="449"/>
      <c r="AD290" s="449"/>
      <c r="AE290" s="449"/>
    </row>
    <row r="291">
      <c r="A291" s="459"/>
      <c r="B291" s="472"/>
      <c r="C291" s="459"/>
      <c r="D291" s="459"/>
      <c r="E291" s="459"/>
      <c r="F291" s="459"/>
      <c r="G291" s="459"/>
      <c r="H291" s="459"/>
      <c r="I291" s="459"/>
      <c r="J291" s="459"/>
      <c r="K291" s="459"/>
      <c r="L291" s="473"/>
      <c r="M291" s="474"/>
      <c r="N291" s="470"/>
      <c r="O291" s="470"/>
      <c r="P291" s="470"/>
      <c r="Q291" s="470"/>
      <c r="R291" s="459"/>
      <c r="S291" s="478"/>
      <c r="T291" s="85"/>
      <c r="U291" s="85"/>
      <c r="V291" s="85"/>
      <c r="W291" s="85"/>
      <c r="X291" s="85"/>
      <c r="Y291" s="86"/>
      <c r="Z291" s="449"/>
      <c r="AA291" s="449"/>
      <c r="AB291" s="449"/>
      <c r="AC291" s="449"/>
      <c r="AD291" s="449"/>
      <c r="AE291" s="449"/>
    </row>
    <row r="292">
      <c r="A292" s="459"/>
      <c r="B292" s="472"/>
      <c r="C292" s="459"/>
      <c r="D292" s="459"/>
      <c r="E292" s="459"/>
      <c r="F292" s="459"/>
      <c r="G292" s="459"/>
      <c r="H292" s="459"/>
      <c r="I292" s="459"/>
      <c r="J292" s="459"/>
      <c r="K292" s="459"/>
      <c r="L292" s="473"/>
      <c r="M292" s="474"/>
      <c r="N292" s="470"/>
      <c r="O292" s="470"/>
      <c r="P292" s="470"/>
      <c r="Q292" s="470"/>
      <c r="R292" s="459"/>
      <c r="S292" s="478"/>
      <c r="T292" s="85"/>
      <c r="U292" s="85"/>
      <c r="V292" s="85"/>
      <c r="W292" s="85"/>
      <c r="X292" s="85"/>
      <c r="Y292" s="86"/>
      <c r="Z292" s="449"/>
      <c r="AA292" s="449"/>
      <c r="AB292" s="449"/>
      <c r="AC292" s="449"/>
      <c r="AD292" s="449"/>
      <c r="AE292" s="449"/>
    </row>
    <row r="293">
      <c r="A293" s="459"/>
      <c r="B293" s="472"/>
      <c r="C293" s="459"/>
      <c r="D293" s="459"/>
      <c r="E293" s="459"/>
      <c r="F293" s="459"/>
      <c r="G293" s="459"/>
      <c r="H293" s="459"/>
      <c r="I293" s="459"/>
      <c r="J293" s="459"/>
      <c r="K293" s="459"/>
      <c r="L293" s="473"/>
      <c r="M293" s="474"/>
      <c r="N293" s="470"/>
      <c r="O293" s="470"/>
      <c r="P293" s="470"/>
      <c r="Q293" s="470"/>
      <c r="R293" s="459"/>
      <c r="S293" s="478"/>
      <c r="T293" s="85"/>
      <c r="U293" s="85"/>
      <c r="V293" s="85"/>
      <c r="W293" s="85"/>
      <c r="X293" s="85"/>
      <c r="Y293" s="86"/>
      <c r="Z293" s="449"/>
      <c r="AA293" s="449"/>
      <c r="AB293" s="449"/>
      <c r="AC293" s="449"/>
      <c r="AD293" s="449"/>
      <c r="AE293" s="449"/>
    </row>
    <row r="294">
      <c r="A294" s="459"/>
      <c r="B294" s="472"/>
      <c r="C294" s="459"/>
      <c r="D294" s="459"/>
      <c r="E294" s="459"/>
      <c r="F294" s="459"/>
      <c r="G294" s="459"/>
      <c r="H294" s="459"/>
      <c r="I294" s="459"/>
      <c r="J294" s="459"/>
      <c r="K294" s="459"/>
      <c r="L294" s="473"/>
      <c r="M294" s="474"/>
      <c r="N294" s="470"/>
      <c r="O294" s="470"/>
      <c r="P294" s="470"/>
      <c r="Q294" s="470"/>
      <c r="R294" s="459"/>
      <c r="S294" s="478"/>
      <c r="T294" s="85"/>
      <c r="U294" s="85"/>
      <c r="V294" s="85"/>
      <c r="W294" s="85"/>
      <c r="X294" s="85"/>
      <c r="Y294" s="86"/>
      <c r="Z294" s="449"/>
      <c r="AA294" s="449"/>
      <c r="AB294" s="449"/>
      <c r="AC294" s="449"/>
      <c r="AD294" s="449"/>
      <c r="AE294" s="449"/>
    </row>
    <row r="295">
      <c r="A295" s="459"/>
      <c r="B295" s="472"/>
      <c r="C295" s="459"/>
      <c r="D295" s="459"/>
      <c r="E295" s="459"/>
      <c r="F295" s="459"/>
      <c r="G295" s="459"/>
      <c r="H295" s="459"/>
      <c r="I295" s="459"/>
      <c r="J295" s="459"/>
      <c r="K295" s="459"/>
      <c r="L295" s="473"/>
      <c r="M295" s="474"/>
      <c r="N295" s="470"/>
      <c r="O295" s="470"/>
      <c r="P295" s="470"/>
      <c r="Q295" s="470"/>
      <c r="R295" s="459"/>
      <c r="S295" s="478"/>
      <c r="T295" s="85"/>
      <c r="U295" s="85"/>
      <c r="V295" s="85"/>
      <c r="W295" s="85"/>
      <c r="X295" s="85"/>
      <c r="Y295" s="86"/>
      <c r="Z295" s="449"/>
      <c r="AA295" s="449"/>
      <c r="AB295" s="449"/>
      <c r="AC295" s="449"/>
      <c r="AD295" s="449"/>
      <c r="AE295" s="449"/>
    </row>
    <row r="296">
      <c r="A296" s="459"/>
      <c r="B296" s="472"/>
      <c r="C296" s="459"/>
      <c r="D296" s="459"/>
      <c r="E296" s="459"/>
      <c r="F296" s="459"/>
      <c r="G296" s="459"/>
      <c r="H296" s="459"/>
      <c r="I296" s="459"/>
      <c r="J296" s="459"/>
      <c r="K296" s="459"/>
      <c r="L296" s="473"/>
      <c r="M296" s="474"/>
      <c r="N296" s="470"/>
      <c r="O296" s="470"/>
      <c r="P296" s="470"/>
      <c r="Q296" s="470"/>
      <c r="R296" s="459"/>
      <c r="S296" s="478"/>
      <c r="T296" s="85"/>
      <c r="U296" s="85"/>
      <c r="V296" s="85"/>
      <c r="W296" s="85"/>
      <c r="X296" s="85"/>
      <c r="Y296" s="86"/>
      <c r="Z296" s="449"/>
      <c r="AA296" s="449"/>
      <c r="AB296" s="449"/>
      <c r="AC296" s="449"/>
      <c r="AD296" s="449"/>
      <c r="AE296" s="449"/>
    </row>
    <row r="297">
      <c r="A297" s="479"/>
      <c r="B297" s="85"/>
      <c r="C297" s="480"/>
      <c r="D297" s="480"/>
      <c r="E297" s="480"/>
      <c r="F297" s="480"/>
      <c r="G297" s="480"/>
      <c r="H297" s="480"/>
      <c r="I297" s="480"/>
      <c r="J297" s="480"/>
      <c r="K297" s="480"/>
      <c r="L297" s="480"/>
      <c r="M297" s="481"/>
      <c r="N297" s="482"/>
      <c r="O297" s="482"/>
      <c r="P297" s="482"/>
      <c r="Q297" s="482"/>
      <c r="R297" s="480"/>
      <c r="S297" s="85"/>
      <c r="T297" s="85"/>
      <c r="U297" s="85"/>
      <c r="V297" s="85"/>
      <c r="W297" s="85"/>
      <c r="X297" s="85"/>
      <c r="Y297" s="86"/>
      <c r="Z297" s="449"/>
      <c r="AA297" s="449"/>
      <c r="AB297" s="449"/>
      <c r="AC297" s="449"/>
      <c r="AD297" s="449"/>
      <c r="AE297" s="449"/>
    </row>
    <row r="298">
      <c r="A298" s="479"/>
      <c r="B298" s="85"/>
      <c r="C298" s="480"/>
      <c r="D298" s="480"/>
      <c r="E298" s="480"/>
      <c r="F298" s="480"/>
      <c r="G298" s="480"/>
      <c r="H298" s="480"/>
      <c r="I298" s="480"/>
      <c r="J298" s="480"/>
      <c r="K298" s="480"/>
      <c r="L298" s="480"/>
      <c r="M298" s="481"/>
      <c r="N298" s="482"/>
      <c r="O298" s="482"/>
      <c r="P298" s="482"/>
      <c r="Q298" s="482"/>
      <c r="R298" s="480"/>
      <c r="S298" s="85"/>
      <c r="T298" s="85"/>
      <c r="U298" s="85"/>
      <c r="V298" s="85"/>
      <c r="W298" s="85"/>
      <c r="X298" s="85"/>
      <c r="Y298" s="86"/>
      <c r="Z298" s="449"/>
      <c r="AA298" s="449"/>
      <c r="AB298" s="449"/>
      <c r="AC298" s="449"/>
      <c r="AD298" s="449"/>
      <c r="AE298" s="449"/>
    </row>
    <row r="299">
      <c r="A299" s="479"/>
      <c r="B299" s="85"/>
      <c r="C299" s="480"/>
      <c r="D299" s="480"/>
      <c r="E299" s="480"/>
      <c r="F299" s="480"/>
      <c r="G299" s="480"/>
      <c r="H299" s="480"/>
      <c r="I299" s="480"/>
      <c r="J299" s="480"/>
      <c r="K299" s="480"/>
      <c r="L299" s="480"/>
      <c r="M299" s="481"/>
      <c r="N299" s="482"/>
      <c r="O299" s="482"/>
      <c r="P299" s="482"/>
      <c r="Q299" s="482"/>
      <c r="R299" s="480"/>
      <c r="S299" s="85"/>
      <c r="T299" s="85"/>
      <c r="U299" s="85"/>
      <c r="V299" s="85"/>
      <c r="W299" s="85"/>
      <c r="X299" s="85"/>
      <c r="Y299" s="86"/>
      <c r="Z299" s="449"/>
      <c r="AA299" s="449"/>
      <c r="AB299" s="449"/>
      <c r="AC299" s="449"/>
      <c r="AD299" s="449"/>
      <c r="AE299" s="449"/>
    </row>
    <row r="300">
      <c r="A300" s="479"/>
      <c r="B300" s="85"/>
      <c r="C300" s="480"/>
      <c r="D300" s="480"/>
      <c r="E300" s="480"/>
      <c r="F300" s="480"/>
      <c r="G300" s="480"/>
      <c r="H300" s="480"/>
      <c r="I300" s="480"/>
      <c r="J300" s="480"/>
      <c r="K300" s="480"/>
      <c r="L300" s="480"/>
      <c r="M300" s="481"/>
      <c r="N300" s="482"/>
      <c r="O300" s="482"/>
      <c r="P300" s="482"/>
      <c r="Q300" s="482"/>
      <c r="R300" s="480"/>
      <c r="S300" s="85"/>
      <c r="T300" s="85"/>
      <c r="U300" s="85"/>
      <c r="V300" s="85"/>
      <c r="W300" s="85"/>
      <c r="X300" s="85"/>
      <c r="Y300" s="86"/>
      <c r="Z300" s="449"/>
      <c r="AA300" s="449"/>
      <c r="AB300" s="449"/>
      <c r="AC300" s="449"/>
      <c r="AD300" s="449"/>
      <c r="AE300" s="449"/>
    </row>
    <row r="301">
      <c r="A301" s="479"/>
      <c r="B301" s="85"/>
      <c r="C301" s="480"/>
      <c r="D301" s="480"/>
      <c r="E301" s="480"/>
      <c r="F301" s="480"/>
      <c r="G301" s="480"/>
      <c r="H301" s="480"/>
      <c r="I301" s="480"/>
      <c r="J301" s="480"/>
      <c r="K301" s="480"/>
      <c r="L301" s="480"/>
      <c r="M301" s="481"/>
      <c r="N301" s="482"/>
      <c r="O301" s="482"/>
      <c r="P301" s="482"/>
      <c r="Q301" s="482"/>
      <c r="R301" s="480"/>
      <c r="S301" s="85"/>
      <c r="T301" s="85"/>
      <c r="U301" s="85"/>
      <c r="V301" s="85"/>
      <c r="W301" s="85"/>
      <c r="X301" s="85"/>
      <c r="Y301" s="86"/>
      <c r="Z301" s="449"/>
      <c r="AA301" s="449"/>
      <c r="AB301" s="449"/>
      <c r="AC301" s="449"/>
      <c r="AD301" s="449"/>
      <c r="AE301" s="449"/>
    </row>
    <row r="302">
      <c r="A302" s="479"/>
      <c r="B302" s="85"/>
      <c r="C302" s="480"/>
      <c r="D302" s="480"/>
      <c r="E302" s="480"/>
      <c r="F302" s="480"/>
      <c r="G302" s="480"/>
      <c r="H302" s="480"/>
      <c r="I302" s="480"/>
      <c r="J302" s="480"/>
      <c r="K302" s="480"/>
      <c r="L302" s="480"/>
      <c r="M302" s="481"/>
      <c r="N302" s="482"/>
      <c r="O302" s="482"/>
      <c r="P302" s="482"/>
      <c r="Q302" s="482"/>
      <c r="R302" s="480"/>
      <c r="S302" s="85"/>
      <c r="T302" s="85"/>
      <c r="U302" s="85"/>
      <c r="V302" s="85"/>
      <c r="W302" s="85"/>
      <c r="X302" s="85"/>
      <c r="Y302" s="86"/>
      <c r="Z302" s="449"/>
      <c r="AA302" s="449"/>
      <c r="AB302" s="449"/>
      <c r="AC302" s="449"/>
      <c r="AD302" s="449"/>
      <c r="AE302" s="449"/>
    </row>
    <row r="303">
      <c r="A303" s="479"/>
      <c r="B303" s="85"/>
      <c r="C303" s="480"/>
      <c r="D303" s="480"/>
      <c r="E303" s="480"/>
      <c r="F303" s="480"/>
      <c r="G303" s="480"/>
      <c r="H303" s="480"/>
      <c r="I303" s="480"/>
      <c r="J303" s="480"/>
      <c r="K303" s="480"/>
      <c r="L303" s="480"/>
      <c r="M303" s="481"/>
      <c r="N303" s="482"/>
      <c r="O303" s="482"/>
      <c r="P303" s="482"/>
      <c r="Q303" s="482"/>
      <c r="R303" s="480"/>
      <c r="S303" s="85"/>
      <c r="T303" s="85"/>
      <c r="U303" s="85"/>
      <c r="V303" s="85"/>
      <c r="W303" s="85"/>
      <c r="X303" s="85"/>
      <c r="Y303" s="86"/>
      <c r="Z303" s="449"/>
      <c r="AA303" s="449"/>
      <c r="AB303" s="449"/>
      <c r="AC303" s="449"/>
      <c r="AD303" s="449"/>
      <c r="AE303" s="449"/>
    </row>
    <row r="304">
      <c r="A304" s="479"/>
      <c r="B304" s="85"/>
      <c r="C304" s="480"/>
      <c r="D304" s="480"/>
      <c r="E304" s="480"/>
      <c r="F304" s="480"/>
      <c r="G304" s="480"/>
      <c r="H304" s="480"/>
      <c r="I304" s="480"/>
      <c r="J304" s="480"/>
      <c r="K304" s="480"/>
      <c r="L304" s="480"/>
      <c r="M304" s="481"/>
      <c r="N304" s="482"/>
      <c r="O304" s="482"/>
      <c r="P304" s="482"/>
      <c r="Q304" s="482"/>
      <c r="R304" s="480"/>
      <c r="S304" s="85"/>
      <c r="T304" s="85"/>
      <c r="U304" s="85"/>
      <c r="V304" s="85"/>
      <c r="W304" s="85"/>
      <c r="X304" s="85"/>
      <c r="Y304" s="86"/>
      <c r="Z304" s="449"/>
      <c r="AA304" s="449"/>
      <c r="AB304" s="449"/>
      <c r="AC304" s="449"/>
      <c r="AD304" s="449"/>
      <c r="AE304" s="449"/>
    </row>
    <row r="305">
      <c r="A305" s="479"/>
      <c r="B305" s="85"/>
      <c r="C305" s="480"/>
      <c r="D305" s="480"/>
      <c r="E305" s="480"/>
      <c r="F305" s="480"/>
      <c r="G305" s="480"/>
      <c r="H305" s="480"/>
      <c r="I305" s="480"/>
      <c r="J305" s="480"/>
      <c r="K305" s="480"/>
      <c r="L305" s="480"/>
      <c r="M305" s="481"/>
      <c r="N305" s="482"/>
      <c r="O305" s="482"/>
      <c r="P305" s="482"/>
      <c r="Q305" s="482"/>
      <c r="R305" s="480"/>
      <c r="S305" s="85"/>
      <c r="T305" s="85"/>
      <c r="U305" s="85"/>
      <c r="V305" s="85"/>
      <c r="W305" s="85"/>
      <c r="X305" s="85"/>
      <c r="Y305" s="86"/>
      <c r="Z305" s="449"/>
      <c r="AA305" s="449"/>
      <c r="AB305" s="449"/>
      <c r="AC305" s="449"/>
      <c r="AD305" s="449"/>
      <c r="AE305" s="449"/>
    </row>
    <row r="306">
      <c r="A306" s="479"/>
      <c r="B306" s="85"/>
      <c r="C306" s="480"/>
      <c r="D306" s="480"/>
      <c r="E306" s="480"/>
      <c r="F306" s="480"/>
      <c r="G306" s="480"/>
      <c r="H306" s="480"/>
      <c r="I306" s="480"/>
      <c r="J306" s="480"/>
      <c r="K306" s="480"/>
      <c r="L306" s="480"/>
      <c r="M306" s="481"/>
      <c r="N306" s="482"/>
      <c r="O306" s="482"/>
      <c r="P306" s="482"/>
      <c r="Q306" s="482"/>
      <c r="R306" s="480"/>
      <c r="S306" s="85"/>
      <c r="T306" s="85"/>
      <c r="U306" s="85"/>
      <c r="V306" s="85"/>
      <c r="W306" s="85"/>
      <c r="X306" s="85"/>
      <c r="Y306" s="86"/>
      <c r="Z306" s="449"/>
      <c r="AA306" s="449"/>
      <c r="AB306" s="449"/>
      <c r="AC306" s="449"/>
      <c r="AD306" s="449"/>
      <c r="AE306" s="449"/>
    </row>
    <row r="307">
      <c r="A307" s="479"/>
      <c r="B307" s="85"/>
      <c r="C307" s="480"/>
      <c r="D307" s="480"/>
      <c r="E307" s="480"/>
      <c r="F307" s="480"/>
      <c r="G307" s="480"/>
      <c r="H307" s="480"/>
      <c r="I307" s="480"/>
      <c r="J307" s="480"/>
      <c r="K307" s="480"/>
      <c r="L307" s="480"/>
      <c r="M307" s="481"/>
      <c r="N307" s="482"/>
      <c r="O307" s="482"/>
      <c r="P307" s="482"/>
      <c r="Q307" s="482"/>
      <c r="R307" s="480"/>
      <c r="S307" s="85"/>
      <c r="T307" s="85"/>
      <c r="U307" s="85"/>
      <c r="V307" s="85"/>
      <c r="W307" s="85"/>
      <c r="X307" s="85"/>
      <c r="Y307" s="86"/>
      <c r="Z307" s="449"/>
      <c r="AA307" s="449"/>
      <c r="AB307" s="449"/>
      <c r="AC307" s="449"/>
      <c r="AD307" s="449"/>
      <c r="AE307" s="449"/>
    </row>
    <row r="308">
      <c r="A308" s="479"/>
      <c r="B308" s="85"/>
      <c r="C308" s="480"/>
      <c r="D308" s="480"/>
      <c r="E308" s="480"/>
      <c r="F308" s="480"/>
      <c r="G308" s="480"/>
      <c r="H308" s="480"/>
      <c r="I308" s="480"/>
      <c r="J308" s="480"/>
      <c r="K308" s="480"/>
      <c r="L308" s="480"/>
      <c r="M308" s="481"/>
      <c r="N308" s="482"/>
      <c r="O308" s="482"/>
      <c r="P308" s="482"/>
      <c r="Q308" s="482"/>
      <c r="R308" s="480"/>
      <c r="S308" s="85"/>
      <c r="T308" s="85"/>
      <c r="U308" s="85"/>
      <c r="V308" s="85"/>
      <c r="W308" s="85"/>
      <c r="X308" s="85"/>
      <c r="Y308" s="86"/>
      <c r="Z308" s="449"/>
      <c r="AA308" s="449"/>
      <c r="AB308" s="449"/>
      <c r="AC308" s="449"/>
      <c r="AD308" s="449"/>
      <c r="AE308" s="449"/>
    </row>
    <row r="309">
      <c r="A309" s="479"/>
      <c r="B309" s="85"/>
      <c r="C309" s="480"/>
      <c r="D309" s="480"/>
      <c r="E309" s="480"/>
      <c r="F309" s="480"/>
      <c r="G309" s="480"/>
      <c r="H309" s="480"/>
      <c r="I309" s="480"/>
      <c r="J309" s="480"/>
      <c r="K309" s="480"/>
      <c r="L309" s="480"/>
      <c r="M309" s="481"/>
      <c r="N309" s="482"/>
      <c r="O309" s="482"/>
      <c r="P309" s="482"/>
      <c r="Q309" s="482"/>
      <c r="R309" s="480"/>
      <c r="S309" s="85"/>
      <c r="T309" s="85"/>
      <c r="U309" s="85"/>
      <c r="V309" s="85"/>
      <c r="W309" s="85"/>
      <c r="X309" s="85"/>
      <c r="Y309" s="86"/>
      <c r="Z309" s="449"/>
      <c r="AA309" s="449"/>
      <c r="AB309" s="449"/>
      <c r="AC309" s="449"/>
      <c r="AD309" s="449"/>
      <c r="AE309" s="449"/>
    </row>
    <row r="310">
      <c r="A310" s="479"/>
      <c r="B310" s="85"/>
      <c r="C310" s="480"/>
      <c r="D310" s="480"/>
      <c r="E310" s="480"/>
      <c r="F310" s="480"/>
      <c r="G310" s="480"/>
      <c r="H310" s="480"/>
      <c r="I310" s="480"/>
      <c r="J310" s="480"/>
      <c r="K310" s="480"/>
      <c r="L310" s="480"/>
      <c r="M310" s="481"/>
      <c r="N310" s="482"/>
      <c r="O310" s="482"/>
      <c r="P310" s="482"/>
      <c r="Q310" s="482"/>
      <c r="R310" s="480"/>
      <c r="S310" s="85"/>
      <c r="T310" s="85"/>
      <c r="U310" s="85"/>
      <c r="V310" s="85"/>
      <c r="W310" s="85"/>
      <c r="X310" s="85"/>
      <c r="Y310" s="86"/>
      <c r="Z310" s="449"/>
      <c r="AA310" s="449"/>
      <c r="AB310" s="449"/>
      <c r="AC310" s="449"/>
      <c r="AD310" s="449"/>
      <c r="AE310" s="449"/>
    </row>
    <row r="311">
      <c r="A311" s="479"/>
      <c r="B311" s="85"/>
      <c r="C311" s="480"/>
      <c r="D311" s="480"/>
      <c r="E311" s="480"/>
      <c r="F311" s="480"/>
      <c r="G311" s="480"/>
      <c r="H311" s="480"/>
      <c r="I311" s="480"/>
      <c r="J311" s="480"/>
      <c r="K311" s="480"/>
      <c r="L311" s="480"/>
      <c r="M311" s="481"/>
      <c r="N311" s="482"/>
      <c r="O311" s="482"/>
      <c r="P311" s="482"/>
      <c r="Q311" s="482"/>
      <c r="R311" s="480"/>
      <c r="S311" s="85"/>
      <c r="T311" s="85"/>
      <c r="U311" s="85"/>
      <c r="V311" s="85"/>
      <c r="W311" s="85"/>
      <c r="X311" s="85"/>
      <c r="Y311" s="86"/>
      <c r="Z311" s="449"/>
      <c r="AA311" s="449"/>
      <c r="AB311" s="449"/>
      <c r="AC311" s="449"/>
      <c r="AD311" s="449"/>
      <c r="AE311" s="449"/>
    </row>
    <row r="312">
      <c r="A312" s="479"/>
      <c r="B312" s="85"/>
      <c r="C312" s="480"/>
      <c r="D312" s="480"/>
      <c r="E312" s="480"/>
      <c r="F312" s="480"/>
      <c r="G312" s="480"/>
      <c r="H312" s="480"/>
      <c r="I312" s="480"/>
      <c r="J312" s="480"/>
      <c r="K312" s="480"/>
      <c r="L312" s="480"/>
      <c r="M312" s="481"/>
      <c r="N312" s="482"/>
      <c r="O312" s="482"/>
      <c r="P312" s="482"/>
      <c r="Q312" s="482"/>
      <c r="R312" s="480"/>
      <c r="S312" s="85"/>
      <c r="T312" s="85"/>
      <c r="U312" s="85"/>
      <c r="V312" s="85"/>
      <c r="W312" s="85"/>
      <c r="X312" s="85"/>
      <c r="Y312" s="86"/>
      <c r="Z312" s="449"/>
      <c r="AA312" s="449"/>
      <c r="AB312" s="449"/>
      <c r="AC312" s="449"/>
      <c r="AD312" s="449"/>
      <c r="AE312" s="449"/>
    </row>
    <row r="313">
      <c r="A313" s="479"/>
      <c r="B313" s="480"/>
      <c r="C313" s="480"/>
      <c r="D313" s="480"/>
      <c r="E313" s="480"/>
      <c r="F313" s="480"/>
      <c r="G313" s="480"/>
      <c r="H313" s="480"/>
      <c r="I313" s="480"/>
      <c r="J313" s="480"/>
      <c r="K313" s="480"/>
      <c r="L313" s="480"/>
      <c r="M313" s="481"/>
      <c r="N313" s="482"/>
      <c r="O313" s="482"/>
      <c r="P313" s="482"/>
      <c r="Q313" s="482"/>
      <c r="R313" s="480"/>
      <c r="S313" s="85"/>
      <c r="T313" s="85"/>
      <c r="U313" s="85"/>
      <c r="V313" s="85"/>
      <c r="W313" s="85"/>
      <c r="X313" s="85"/>
      <c r="Y313" s="86"/>
      <c r="Z313" s="449"/>
      <c r="AA313" s="449"/>
      <c r="AB313" s="449"/>
      <c r="AC313" s="449"/>
      <c r="AD313" s="449"/>
      <c r="AE313" s="449"/>
    </row>
    <row r="314">
      <c r="A314" s="479"/>
      <c r="B314" s="480"/>
      <c r="C314" s="480"/>
      <c r="D314" s="480"/>
      <c r="E314" s="480"/>
      <c r="F314" s="480"/>
      <c r="G314" s="480"/>
      <c r="H314" s="480"/>
      <c r="I314" s="480"/>
      <c r="J314" s="480"/>
      <c r="K314" s="480"/>
      <c r="L314" s="480"/>
      <c r="M314" s="481"/>
      <c r="N314" s="482"/>
      <c r="O314" s="482"/>
      <c r="P314" s="482"/>
      <c r="Q314" s="482"/>
      <c r="R314" s="480"/>
      <c r="S314" s="85"/>
      <c r="T314" s="85"/>
      <c r="U314" s="85"/>
      <c r="V314" s="85"/>
      <c r="W314" s="85"/>
      <c r="X314" s="85"/>
      <c r="Y314" s="86"/>
      <c r="Z314" s="449"/>
      <c r="AA314" s="449"/>
      <c r="AB314" s="449"/>
      <c r="AC314" s="449"/>
      <c r="AD314" s="449"/>
      <c r="AE314" s="449"/>
    </row>
    <row r="315">
      <c r="A315" s="479"/>
      <c r="B315" s="480"/>
      <c r="C315" s="480"/>
      <c r="D315" s="480"/>
      <c r="E315" s="480"/>
      <c r="F315" s="480"/>
      <c r="G315" s="480"/>
      <c r="H315" s="480"/>
      <c r="I315" s="480"/>
      <c r="J315" s="480"/>
      <c r="K315" s="480"/>
      <c r="L315" s="480"/>
      <c r="M315" s="481"/>
      <c r="N315" s="482"/>
      <c r="O315" s="482"/>
      <c r="P315" s="482"/>
      <c r="Q315" s="482"/>
      <c r="R315" s="480"/>
      <c r="S315" s="85"/>
      <c r="T315" s="85"/>
      <c r="U315" s="85"/>
      <c r="V315" s="85"/>
      <c r="W315" s="85"/>
      <c r="X315" s="85"/>
      <c r="Y315" s="86"/>
      <c r="Z315" s="449"/>
      <c r="AA315" s="449"/>
      <c r="AB315" s="449"/>
      <c r="AC315" s="449"/>
      <c r="AD315" s="449"/>
      <c r="AE315" s="449"/>
    </row>
    <row r="316">
      <c r="A316" s="479"/>
      <c r="B316" s="480"/>
      <c r="C316" s="480"/>
      <c r="D316" s="480"/>
      <c r="E316" s="480"/>
      <c r="F316" s="480"/>
      <c r="G316" s="480"/>
      <c r="H316" s="480"/>
      <c r="I316" s="480"/>
      <c r="J316" s="480"/>
      <c r="K316" s="480"/>
      <c r="L316" s="480"/>
      <c r="M316" s="481"/>
      <c r="N316" s="482"/>
      <c r="O316" s="482"/>
      <c r="P316" s="482"/>
      <c r="Q316" s="482"/>
      <c r="R316" s="480"/>
      <c r="S316" s="85"/>
      <c r="T316" s="85"/>
      <c r="U316" s="85"/>
      <c r="V316" s="85"/>
      <c r="W316" s="85"/>
      <c r="X316" s="85"/>
      <c r="Y316" s="86"/>
      <c r="Z316" s="449"/>
      <c r="AA316" s="449"/>
      <c r="AB316" s="449"/>
      <c r="AC316" s="449"/>
      <c r="AD316" s="449"/>
      <c r="AE316" s="449"/>
    </row>
    <row r="317">
      <c r="A317" s="479"/>
      <c r="B317" s="480"/>
      <c r="C317" s="480"/>
      <c r="D317" s="480"/>
      <c r="E317" s="480"/>
      <c r="F317" s="480"/>
      <c r="G317" s="480"/>
      <c r="H317" s="480"/>
      <c r="I317" s="480"/>
      <c r="J317" s="480"/>
      <c r="K317" s="480"/>
      <c r="L317" s="480"/>
      <c r="M317" s="481"/>
      <c r="N317" s="482"/>
      <c r="O317" s="482"/>
      <c r="P317" s="482"/>
      <c r="Q317" s="482"/>
      <c r="R317" s="480"/>
      <c r="S317" s="85"/>
      <c r="T317" s="85"/>
      <c r="U317" s="85"/>
      <c r="V317" s="85"/>
      <c r="W317" s="85"/>
      <c r="X317" s="85"/>
      <c r="Y317" s="86"/>
      <c r="Z317" s="449"/>
      <c r="AA317" s="449"/>
      <c r="AB317" s="449"/>
      <c r="AC317" s="449"/>
      <c r="AD317" s="449"/>
      <c r="AE317" s="449"/>
    </row>
    <row r="318">
      <c r="A318" s="479"/>
      <c r="B318" s="480"/>
      <c r="C318" s="480"/>
      <c r="D318" s="480"/>
      <c r="E318" s="480"/>
      <c r="F318" s="480"/>
      <c r="G318" s="480"/>
      <c r="H318" s="480"/>
      <c r="I318" s="480"/>
      <c r="J318" s="480"/>
      <c r="K318" s="480"/>
      <c r="L318" s="480"/>
      <c r="M318" s="481"/>
      <c r="N318" s="482"/>
      <c r="O318" s="482"/>
      <c r="P318" s="482"/>
      <c r="Q318" s="482"/>
      <c r="R318" s="480"/>
      <c r="S318" s="85"/>
      <c r="T318" s="85"/>
      <c r="U318" s="85"/>
      <c r="V318" s="85"/>
      <c r="W318" s="85"/>
      <c r="X318" s="85"/>
      <c r="Y318" s="86"/>
      <c r="Z318" s="449"/>
      <c r="AA318" s="449"/>
      <c r="AB318" s="449"/>
      <c r="AC318" s="449"/>
      <c r="AD318" s="449"/>
      <c r="AE318" s="449"/>
    </row>
    <row r="319">
      <c r="A319" s="479"/>
      <c r="B319" s="480"/>
      <c r="C319" s="480"/>
      <c r="D319" s="480"/>
      <c r="E319" s="480"/>
      <c r="F319" s="480"/>
      <c r="G319" s="480"/>
      <c r="H319" s="480"/>
      <c r="I319" s="480"/>
      <c r="J319" s="480"/>
      <c r="K319" s="480"/>
      <c r="L319" s="480"/>
      <c r="M319" s="481"/>
      <c r="N319" s="482"/>
      <c r="O319" s="482"/>
      <c r="P319" s="482"/>
      <c r="Q319" s="482"/>
      <c r="R319" s="480"/>
      <c r="S319" s="85"/>
      <c r="T319" s="85"/>
      <c r="U319" s="85"/>
      <c r="V319" s="85"/>
      <c r="W319" s="85"/>
      <c r="X319" s="85"/>
      <c r="Y319" s="86"/>
      <c r="Z319" s="449"/>
      <c r="AA319" s="449"/>
      <c r="AB319" s="449"/>
      <c r="AC319" s="449"/>
      <c r="AD319" s="449"/>
      <c r="AE319" s="449"/>
    </row>
    <row r="320">
      <c r="A320" s="479"/>
      <c r="B320" s="480"/>
      <c r="C320" s="480"/>
      <c r="D320" s="480"/>
      <c r="E320" s="480"/>
      <c r="F320" s="480"/>
      <c r="G320" s="480"/>
      <c r="H320" s="480"/>
      <c r="I320" s="480"/>
      <c r="J320" s="480"/>
      <c r="K320" s="480"/>
      <c r="L320" s="480"/>
      <c r="M320" s="481"/>
      <c r="N320" s="482"/>
      <c r="O320" s="482"/>
      <c r="P320" s="482"/>
      <c r="Q320" s="482"/>
      <c r="R320" s="480"/>
      <c r="S320" s="85"/>
      <c r="T320" s="85"/>
      <c r="U320" s="85"/>
      <c r="V320" s="85"/>
      <c r="W320" s="85"/>
      <c r="X320" s="85"/>
      <c r="Y320" s="86"/>
      <c r="Z320" s="449"/>
      <c r="AA320" s="449"/>
      <c r="AB320" s="449"/>
      <c r="AC320" s="449"/>
      <c r="AD320" s="449"/>
      <c r="AE320" s="449"/>
    </row>
    <row r="321">
      <c r="A321" s="479"/>
      <c r="B321" s="480"/>
      <c r="C321" s="480"/>
      <c r="D321" s="480"/>
      <c r="E321" s="480"/>
      <c r="F321" s="480"/>
      <c r="G321" s="480"/>
      <c r="H321" s="480"/>
      <c r="I321" s="480"/>
      <c r="J321" s="480"/>
      <c r="K321" s="480"/>
      <c r="L321" s="480"/>
      <c r="M321" s="481"/>
      <c r="N321" s="482"/>
      <c r="O321" s="482"/>
      <c r="P321" s="482"/>
      <c r="Q321" s="482"/>
      <c r="R321" s="480"/>
      <c r="S321" s="85"/>
      <c r="T321" s="85"/>
      <c r="U321" s="85"/>
      <c r="V321" s="85"/>
      <c r="W321" s="85"/>
      <c r="X321" s="85"/>
      <c r="Y321" s="86"/>
      <c r="Z321" s="449"/>
      <c r="AA321" s="449"/>
      <c r="AB321" s="449"/>
      <c r="AC321" s="449"/>
      <c r="AD321" s="449"/>
      <c r="AE321" s="449"/>
    </row>
    <row r="322">
      <c r="A322" s="479"/>
      <c r="B322" s="480"/>
      <c r="C322" s="480"/>
      <c r="D322" s="480"/>
      <c r="E322" s="480"/>
      <c r="F322" s="480"/>
      <c r="G322" s="480"/>
      <c r="H322" s="480"/>
      <c r="I322" s="480"/>
      <c r="J322" s="480"/>
      <c r="K322" s="480"/>
      <c r="L322" s="480"/>
      <c r="M322" s="481"/>
      <c r="N322" s="482"/>
      <c r="O322" s="482"/>
      <c r="P322" s="482"/>
      <c r="Q322" s="482"/>
      <c r="R322" s="480"/>
      <c r="S322" s="85"/>
      <c r="T322" s="85"/>
      <c r="U322" s="85"/>
      <c r="V322" s="85"/>
      <c r="W322" s="85"/>
      <c r="X322" s="85"/>
      <c r="Y322" s="86"/>
      <c r="Z322" s="449"/>
      <c r="AA322" s="449"/>
      <c r="AB322" s="449"/>
      <c r="AC322" s="449"/>
      <c r="AD322" s="449"/>
      <c r="AE322" s="449"/>
    </row>
    <row r="323">
      <c r="A323" s="479"/>
      <c r="B323" s="480"/>
      <c r="C323" s="480"/>
      <c r="D323" s="480"/>
      <c r="E323" s="480"/>
      <c r="F323" s="480"/>
      <c r="G323" s="480"/>
      <c r="H323" s="480"/>
      <c r="I323" s="480"/>
      <c r="J323" s="480"/>
      <c r="K323" s="480"/>
      <c r="L323" s="480"/>
      <c r="M323" s="481"/>
      <c r="N323" s="482"/>
      <c r="O323" s="482"/>
      <c r="P323" s="482"/>
      <c r="Q323" s="482"/>
      <c r="R323" s="480"/>
      <c r="S323" s="85"/>
      <c r="T323" s="85"/>
      <c r="U323" s="85"/>
      <c r="V323" s="85"/>
      <c r="W323" s="85"/>
      <c r="X323" s="85"/>
      <c r="Y323" s="86"/>
      <c r="Z323" s="449"/>
      <c r="AA323" s="449"/>
      <c r="AB323" s="449"/>
      <c r="AC323" s="449"/>
      <c r="AD323" s="449"/>
      <c r="AE323" s="449"/>
    </row>
    <row r="324">
      <c r="A324" s="479"/>
      <c r="B324" s="480"/>
      <c r="C324" s="480"/>
      <c r="D324" s="480"/>
      <c r="E324" s="480"/>
      <c r="F324" s="480"/>
      <c r="G324" s="480"/>
      <c r="H324" s="480"/>
      <c r="I324" s="480"/>
      <c r="J324" s="480"/>
      <c r="K324" s="480"/>
      <c r="L324" s="480"/>
      <c r="M324" s="481"/>
      <c r="N324" s="482"/>
      <c r="O324" s="482"/>
      <c r="P324" s="482"/>
      <c r="Q324" s="482"/>
      <c r="R324" s="480"/>
      <c r="S324" s="85"/>
      <c r="T324" s="85"/>
      <c r="U324" s="85"/>
      <c r="V324" s="85"/>
      <c r="W324" s="85"/>
      <c r="X324" s="85"/>
      <c r="Y324" s="86"/>
      <c r="Z324" s="449"/>
      <c r="AA324" s="449"/>
      <c r="AB324" s="449"/>
      <c r="AC324" s="449"/>
      <c r="AD324" s="449"/>
      <c r="AE324" s="449"/>
    </row>
    <row r="325">
      <c r="A325" s="479"/>
      <c r="B325" s="480"/>
      <c r="C325" s="480"/>
      <c r="D325" s="480"/>
      <c r="E325" s="480"/>
      <c r="F325" s="480"/>
      <c r="G325" s="480"/>
      <c r="H325" s="480"/>
      <c r="I325" s="480"/>
      <c r="J325" s="480"/>
      <c r="K325" s="480"/>
      <c r="L325" s="480"/>
      <c r="M325" s="481"/>
      <c r="N325" s="482"/>
      <c r="O325" s="482"/>
      <c r="P325" s="482"/>
      <c r="Q325" s="482"/>
      <c r="R325" s="480"/>
      <c r="S325" s="85"/>
      <c r="T325" s="85"/>
      <c r="U325" s="85"/>
      <c r="V325" s="85"/>
      <c r="W325" s="85"/>
      <c r="X325" s="85"/>
      <c r="Y325" s="86"/>
      <c r="Z325" s="449"/>
      <c r="AA325" s="449"/>
      <c r="AB325" s="449"/>
      <c r="AC325" s="449"/>
      <c r="AD325" s="449"/>
      <c r="AE325" s="449"/>
    </row>
    <row r="326">
      <c r="A326" s="479"/>
      <c r="B326" s="480"/>
      <c r="C326" s="480"/>
      <c r="D326" s="480"/>
      <c r="E326" s="480"/>
      <c r="F326" s="480"/>
      <c r="G326" s="480"/>
      <c r="H326" s="480"/>
      <c r="I326" s="480"/>
      <c r="J326" s="480"/>
      <c r="K326" s="480"/>
      <c r="L326" s="480"/>
      <c r="M326" s="481"/>
      <c r="N326" s="482"/>
      <c r="O326" s="482"/>
      <c r="P326" s="482"/>
      <c r="Q326" s="482"/>
      <c r="R326" s="480"/>
      <c r="S326" s="85"/>
      <c r="T326" s="85"/>
      <c r="U326" s="85"/>
      <c r="V326" s="85"/>
      <c r="W326" s="85"/>
      <c r="X326" s="85"/>
      <c r="Y326" s="86"/>
      <c r="Z326" s="449"/>
      <c r="AA326" s="449"/>
      <c r="AB326" s="449"/>
      <c r="AC326" s="449"/>
      <c r="AD326" s="449"/>
      <c r="AE326" s="449"/>
    </row>
    <row r="327">
      <c r="A327" s="479"/>
      <c r="B327" s="480"/>
      <c r="C327" s="480"/>
      <c r="D327" s="480"/>
      <c r="E327" s="480"/>
      <c r="F327" s="480"/>
      <c r="G327" s="480"/>
      <c r="H327" s="480"/>
      <c r="I327" s="480"/>
      <c r="J327" s="480"/>
      <c r="K327" s="480"/>
      <c r="L327" s="480"/>
      <c r="M327" s="481"/>
      <c r="N327" s="482"/>
      <c r="O327" s="482"/>
      <c r="P327" s="482"/>
      <c r="Q327" s="482"/>
      <c r="R327" s="480"/>
      <c r="S327" s="85"/>
      <c r="T327" s="85"/>
      <c r="U327" s="85"/>
      <c r="V327" s="85"/>
      <c r="W327" s="85"/>
      <c r="X327" s="85"/>
      <c r="Y327" s="86"/>
      <c r="Z327" s="449"/>
      <c r="AA327" s="449"/>
      <c r="AB327" s="449"/>
      <c r="AC327" s="449"/>
      <c r="AD327" s="449"/>
      <c r="AE327" s="449"/>
    </row>
    <row r="328">
      <c r="A328" s="479"/>
      <c r="B328" s="480"/>
      <c r="C328" s="480"/>
      <c r="D328" s="480"/>
      <c r="E328" s="480"/>
      <c r="F328" s="480"/>
      <c r="G328" s="480"/>
      <c r="H328" s="480"/>
      <c r="I328" s="480"/>
      <c r="J328" s="480"/>
      <c r="K328" s="480"/>
      <c r="L328" s="480"/>
      <c r="M328" s="481"/>
      <c r="N328" s="482"/>
      <c r="O328" s="482"/>
      <c r="P328" s="482"/>
      <c r="Q328" s="482"/>
      <c r="R328" s="480"/>
      <c r="S328" s="85"/>
      <c r="T328" s="85"/>
      <c r="U328" s="85"/>
      <c r="V328" s="85"/>
      <c r="W328" s="85"/>
      <c r="X328" s="85"/>
      <c r="Y328" s="86"/>
      <c r="Z328" s="449"/>
      <c r="AA328" s="449"/>
      <c r="AB328" s="449"/>
      <c r="AC328" s="449"/>
      <c r="AD328" s="449"/>
      <c r="AE328" s="449"/>
    </row>
    <row r="329">
      <c r="A329" s="479"/>
      <c r="B329" s="480"/>
      <c r="C329" s="480"/>
      <c r="D329" s="480"/>
      <c r="E329" s="480"/>
      <c r="F329" s="480"/>
      <c r="G329" s="480"/>
      <c r="H329" s="480"/>
      <c r="I329" s="480"/>
      <c r="J329" s="480"/>
      <c r="K329" s="480"/>
      <c r="L329" s="480"/>
      <c r="M329" s="481"/>
      <c r="N329" s="482"/>
      <c r="O329" s="482"/>
      <c r="P329" s="482"/>
      <c r="Q329" s="482"/>
      <c r="R329" s="480"/>
      <c r="S329" s="85"/>
      <c r="T329" s="85"/>
      <c r="U329" s="85"/>
      <c r="V329" s="85"/>
      <c r="W329" s="85"/>
      <c r="X329" s="85"/>
      <c r="Y329" s="86"/>
      <c r="Z329" s="449"/>
      <c r="AA329" s="449"/>
      <c r="AB329" s="449"/>
      <c r="AC329" s="449"/>
      <c r="AD329" s="449"/>
      <c r="AE329" s="449"/>
    </row>
    <row r="330">
      <c r="A330" s="479"/>
      <c r="B330" s="480"/>
      <c r="C330" s="480"/>
      <c r="D330" s="480"/>
      <c r="E330" s="480"/>
      <c r="F330" s="480"/>
      <c r="G330" s="480"/>
      <c r="H330" s="480"/>
      <c r="I330" s="480"/>
      <c r="J330" s="480"/>
      <c r="K330" s="480"/>
      <c r="L330" s="480"/>
      <c r="M330" s="481"/>
      <c r="N330" s="482"/>
      <c r="O330" s="482"/>
      <c r="P330" s="482"/>
      <c r="Q330" s="482"/>
      <c r="R330" s="480"/>
      <c r="S330" s="85"/>
      <c r="T330" s="85"/>
      <c r="U330" s="85"/>
      <c r="V330" s="85"/>
      <c r="W330" s="85"/>
      <c r="X330" s="85"/>
      <c r="Y330" s="86"/>
      <c r="Z330" s="449"/>
      <c r="AA330" s="449"/>
      <c r="AB330" s="449"/>
      <c r="AC330" s="449"/>
      <c r="AD330" s="449"/>
      <c r="AE330" s="449"/>
    </row>
    <row r="331">
      <c r="A331" s="479"/>
      <c r="B331" s="480"/>
      <c r="C331" s="480"/>
      <c r="D331" s="480"/>
      <c r="E331" s="480"/>
      <c r="F331" s="480"/>
      <c r="G331" s="480"/>
      <c r="H331" s="480"/>
      <c r="I331" s="480"/>
      <c r="J331" s="480"/>
      <c r="K331" s="480"/>
      <c r="L331" s="480"/>
      <c r="M331" s="481"/>
      <c r="N331" s="482"/>
      <c r="O331" s="482"/>
      <c r="P331" s="482"/>
      <c r="Q331" s="482"/>
      <c r="R331" s="480"/>
      <c r="S331" s="85"/>
      <c r="T331" s="85"/>
      <c r="U331" s="85"/>
      <c r="V331" s="85"/>
      <c r="W331" s="85"/>
      <c r="X331" s="85"/>
      <c r="Y331" s="86"/>
      <c r="Z331" s="449"/>
      <c r="AA331" s="449"/>
      <c r="AB331" s="449"/>
      <c r="AC331" s="449"/>
      <c r="AD331" s="449"/>
      <c r="AE331" s="449"/>
    </row>
    <row r="332">
      <c r="A332" s="479"/>
      <c r="B332" s="480"/>
      <c r="C332" s="480"/>
      <c r="D332" s="480"/>
      <c r="E332" s="480"/>
      <c r="F332" s="480"/>
      <c r="G332" s="480"/>
      <c r="H332" s="480"/>
      <c r="I332" s="480"/>
      <c r="J332" s="480"/>
      <c r="K332" s="480"/>
      <c r="L332" s="480"/>
      <c r="M332" s="481"/>
      <c r="N332" s="482"/>
      <c r="O332" s="482"/>
      <c r="P332" s="482"/>
      <c r="Q332" s="482"/>
      <c r="R332" s="480"/>
      <c r="S332" s="85"/>
      <c r="T332" s="85"/>
      <c r="U332" s="85"/>
      <c r="V332" s="85"/>
      <c r="W332" s="85"/>
      <c r="X332" s="85"/>
      <c r="Y332" s="86"/>
      <c r="Z332" s="449"/>
      <c r="AA332" s="449"/>
      <c r="AB332" s="449"/>
      <c r="AC332" s="449"/>
      <c r="AD332" s="449"/>
      <c r="AE332" s="449"/>
    </row>
    <row r="333">
      <c r="A333" s="479"/>
      <c r="B333" s="480"/>
      <c r="C333" s="480"/>
      <c r="D333" s="480"/>
      <c r="E333" s="480"/>
      <c r="F333" s="480"/>
      <c r="G333" s="480"/>
      <c r="H333" s="480"/>
      <c r="I333" s="480"/>
      <c r="J333" s="480"/>
      <c r="K333" s="480"/>
      <c r="L333" s="480"/>
      <c r="M333" s="481"/>
      <c r="N333" s="482"/>
      <c r="O333" s="482"/>
      <c r="P333" s="482"/>
      <c r="Q333" s="482"/>
      <c r="R333" s="480"/>
      <c r="S333" s="85"/>
      <c r="T333" s="85"/>
      <c r="U333" s="85"/>
      <c r="V333" s="85"/>
      <c r="W333" s="85"/>
      <c r="X333" s="85"/>
      <c r="Y333" s="86"/>
      <c r="Z333" s="449"/>
      <c r="AA333" s="449"/>
      <c r="AB333" s="449"/>
      <c r="AC333" s="449"/>
      <c r="AD333" s="449"/>
      <c r="AE333" s="449"/>
    </row>
    <row r="334">
      <c r="A334" s="479"/>
      <c r="B334" s="480"/>
      <c r="C334" s="480"/>
      <c r="D334" s="480"/>
      <c r="E334" s="480"/>
      <c r="F334" s="480"/>
      <c r="G334" s="480"/>
      <c r="H334" s="480"/>
      <c r="I334" s="480"/>
      <c r="J334" s="480"/>
      <c r="K334" s="480"/>
      <c r="L334" s="480"/>
      <c r="M334" s="481"/>
      <c r="N334" s="482"/>
      <c r="O334" s="482"/>
      <c r="P334" s="482"/>
      <c r="Q334" s="482"/>
      <c r="R334" s="480"/>
      <c r="S334" s="85"/>
      <c r="T334" s="85"/>
      <c r="U334" s="85"/>
      <c r="V334" s="85"/>
      <c r="W334" s="85"/>
      <c r="X334" s="85"/>
      <c r="Y334" s="86"/>
      <c r="Z334" s="449"/>
      <c r="AA334" s="449"/>
      <c r="AB334" s="449"/>
      <c r="AC334" s="449"/>
      <c r="AD334" s="449"/>
      <c r="AE334" s="449"/>
    </row>
    <row r="335">
      <c r="A335" s="479"/>
      <c r="B335" s="480"/>
      <c r="C335" s="480"/>
      <c r="D335" s="480"/>
      <c r="E335" s="480"/>
      <c r="F335" s="480"/>
      <c r="G335" s="480"/>
      <c r="H335" s="480"/>
      <c r="I335" s="480"/>
      <c r="J335" s="480"/>
      <c r="K335" s="480"/>
      <c r="L335" s="480"/>
      <c r="M335" s="481"/>
      <c r="N335" s="482"/>
      <c r="O335" s="482"/>
      <c r="P335" s="482"/>
      <c r="Q335" s="482"/>
      <c r="R335" s="480"/>
      <c r="S335" s="85"/>
      <c r="T335" s="85"/>
      <c r="U335" s="85"/>
      <c r="V335" s="85"/>
      <c r="W335" s="85"/>
      <c r="X335" s="85"/>
      <c r="Y335" s="86"/>
      <c r="Z335" s="449"/>
      <c r="AA335" s="449"/>
      <c r="AB335" s="449"/>
      <c r="AC335" s="449"/>
      <c r="AD335" s="449"/>
      <c r="AE335" s="449"/>
    </row>
    <row r="336">
      <c r="A336" s="479"/>
      <c r="B336" s="480"/>
      <c r="C336" s="480"/>
      <c r="D336" s="480"/>
      <c r="E336" s="480"/>
      <c r="F336" s="480"/>
      <c r="G336" s="480"/>
      <c r="H336" s="480"/>
      <c r="I336" s="480"/>
      <c r="J336" s="480"/>
      <c r="K336" s="480"/>
      <c r="L336" s="480"/>
      <c r="M336" s="481"/>
      <c r="N336" s="482"/>
      <c r="O336" s="482"/>
      <c r="P336" s="482"/>
      <c r="Q336" s="482"/>
      <c r="R336" s="480"/>
      <c r="S336" s="85"/>
      <c r="T336" s="85"/>
      <c r="U336" s="85"/>
      <c r="V336" s="85"/>
      <c r="W336" s="85"/>
      <c r="X336" s="85"/>
      <c r="Y336" s="86"/>
      <c r="Z336" s="449"/>
      <c r="AA336" s="449"/>
      <c r="AB336" s="449"/>
      <c r="AC336" s="449"/>
      <c r="AD336" s="449"/>
      <c r="AE336" s="449"/>
    </row>
    <row r="337">
      <c r="A337" s="479"/>
      <c r="B337" s="480"/>
      <c r="C337" s="480"/>
      <c r="D337" s="480"/>
      <c r="E337" s="480"/>
      <c r="F337" s="480"/>
      <c r="G337" s="480"/>
      <c r="H337" s="480"/>
      <c r="I337" s="480"/>
      <c r="J337" s="480"/>
      <c r="K337" s="480"/>
      <c r="L337" s="480"/>
      <c r="M337" s="481"/>
      <c r="N337" s="482"/>
      <c r="O337" s="482"/>
      <c r="P337" s="482"/>
      <c r="Q337" s="482"/>
      <c r="R337" s="480"/>
      <c r="S337" s="85"/>
      <c r="T337" s="85"/>
      <c r="U337" s="85"/>
      <c r="V337" s="85"/>
      <c r="W337" s="85"/>
      <c r="X337" s="85"/>
      <c r="Y337" s="86"/>
      <c r="Z337" s="449"/>
      <c r="AA337" s="449"/>
      <c r="AB337" s="449"/>
      <c r="AC337" s="449"/>
      <c r="AD337" s="449"/>
      <c r="AE337" s="449"/>
    </row>
    <row r="338">
      <c r="A338" s="479"/>
      <c r="B338" s="480"/>
      <c r="C338" s="480"/>
      <c r="D338" s="480"/>
      <c r="E338" s="480"/>
      <c r="F338" s="480"/>
      <c r="G338" s="480"/>
      <c r="H338" s="480"/>
      <c r="I338" s="480"/>
      <c r="J338" s="480"/>
      <c r="K338" s="480"/>
      <c r="L338" s="480"/>
      <c r="M338" s="481"/>
      <c r="N338" s="482"/>
      <c r="O338" s="482"/>
      <c r="P338" s="482"/>
      <c r="Q338" s="482"/>
      <c r="R338" s="480"/>
      <c r="S338" s="85"/>
      <c r="T338" s="85"/>
      <c r="U338" s="85"/>
      <c r="V338" s="85"/>
      <c r="W338" s="85"/>
      <c r="X338" s="85"/>
      <c r="Y338" s="86"/>
      <c r="Z338" s="449"/>
      <c r="AA338" s="449"/>
      <c r="AB338" s="449"/>
      <c r="AC338" s="449"/>
      <c r="AD338" s="449"/>
      <c r="AE338" s="449"/>
    </row>
    <row r="339">
      <c r="A339" s="479"/>
      <c r="B339" s="480"/>
      <c r="C339" s="480"/>
      <c r="D339" s="480"/>
      <c r="E339" s="480"/>
      <c r="F339" s="480"/>
      <c r="G339" s="480"/>
      <c r="H339" s="480"/>
      <c r="I339" s="480"/>
      <c r="J339" s="480"/>
      <c r="K339" s="480"/>
      <c r="L339" s="480"/>
      <c r="M339" s="481"/>
      <c r="N339" s="482"/>
      <c r="O339" s="482"/>
      <c r="P339" s="482"/>
      <c r="Q339" s="482"/>
      <c r="R339" s="480"/>
      <c r="S339" s="85"/>
      <c r="T339" s="85"/>
      <c r="U339" s="85"/>
      <c r="V339" s="85"/>
      <c r="W339" s="85"/>
      <c r="X339" s="85"/>
      <c r="Y339" s="86"/>
      <c r="Z339" s="449"/>
      <c r="AA339" s="449"/>
      <c r="AB339" s="449"/>
      <c r="AC339" s="449"/>
      <c r="AD339" s="449"/>
      <c r="AE339" s="449"/>
    </row>
    <row r="340">
      <c r="A340" s="479"/>
      <c r="B340" s="480"/>
      <c r="C340" s="480"/>
      <c r="D340" s="480"/>
      <c r="E340" s="480"/>
      <c r="F340" s="480"/>
      <c r="G340" s="480"/>
      <c r="H340" s="480"/>
      <c r="I340" s="480"/>
      <c r="J340" s="480"/>
      <c r="K340" s="480"/>
      <c r="L340" s="480"/>
      <c r="M340" s="481"/>
      <c r="N340" s="482"/>
      <c r="O340" s="482"/>
      <c r="P340" s="482"/>
      <c r="Q340" s="482"/>
      <c r="R340" s="480"/>
      <c r="S340" s="85"/>
      <c r="T340" s="85"/>
      <c r="U340" s="85"/>
      <c r="V340" s="85"/>
      <c r="W340" s="85"/>
      <c r="X340" s="85"/>
      <c r="Y340" s="86"/>
      <c r="Z340" s="449"/>
      <c r="AA340" s="449"/>
      <c r="AB340" s="449"/>
      <c r="AC340" s="449"/>
      <c r="AD340" s="449"/>
      <c r="AE340" s="449"/>
    </row>
    <row r="341">
      <c r="A341" s="479"/>
      <c r="B341" s="480"/>
      <c r="C341" s="480"/>
      <c r="D341" s="480"/>
      <c r="E341" s="480"/>
      <c r="F341" s="480"/>
      <c r="G341" s="480"/>
      <c r="H341" s="480"/>
      <c r="I341" s="480"/>
      <c r="J341" s="480"/>
      <c r="K341" s="480"/>
      <c r="L341" s="480"/>
      <c r="M341" s="481"/>
      <c r="N341" s="482"/>
      <c r="O341" s="482"/>
      <c r="P341" s="482"/>
      <c r="Q341" s="482"/>
      <c r="R341" s="480"/>
      <c r="S341" s="85"/>
      <c r="T341" s="85"/>
      <c r="U341" s="85"/>
      <c r="V341" s="85"/>
      <c r="W341" s="85"/>
      <c r="X341" s="85"/>
      <c r="Y341" s="86"/>
      <c r="Z341" s="449"/>
      <c r="AA341" s="449"/>
      <c r="AB341" s="449"/>
      <c r="AC341" s="449"/>
      <c r="AD341" s="449"/>
      <c r="AE341" s="449"/>
    </row>
    <row r="342">
      <c r="A342" s="479"/>
      <c r="B342" s="480"/>
      <c r="C342" s="480"/>
      <c r="D342" s="480"/>
      <c r="E342" s="480"/>
      <c r="F342" s="480"/>
      <c r="G342" s="480"/>
      <c r="H342" s="480"/>
      <c r="I342" s="480"/>
      <c r="J342" s="480"/>
      <c r="K342" s="480"/>
      <c r="L342" s="480"/>
      <c r="M342" s="481"/>
      <c r="N342" s="482"/>
      <c r="O342" s="482"/>
      <c r="P342" s="482"/>
      <c r="Q342" s="482"/>
      <c r="R342" s="298"/>
      <c r="S342" s="86"/>
      <c r="T342" s="86"/>
      <c r="U342" s="86"/>
      <c r="V342" s="86"/>
      <c r="W342" s="86"/>
      <c r="X342" s="86"/>
      <c r="Y342" s="86"/>
      <c r="Z342" s="449"/>
      <c r="AA342" s="449"/>
      <c r="AB342" s="449"/>
      <c r="AC342" s="449"/>
      <c r="AD342" s="449"/>
      <c r="AE342" s="449"/>
    </row>
    <row r="343">
      <c r="A343" s="479"/>
      <c r="B343" s="480"/>
      <c r="C343" s="480"/>
      <c r="D343" s="480"/>
      <c r="E343" s="480"/>
      <c r="F343" s="480"/>
      <c r="G343" s="480"/>
      <c r="H343" s="480"/>
      <c r="I343" s="480"/>
      <c r="J343" s="480"/>
      <c r="K343" s="480"/>
      <c r="L343" s="480"/>
      <c r="M343" s="481"/>
      <c r="N343" s="482"/>
      <c r="O343" s="482"/>
      <c r="P343" s="482"/>
      <c r="Q343" s="482"/>
      <c r="R343" s="298"/>
      <c r="S343" s="86"/>
      <c r="T343" s="86"/>
      <c r="U343" s="86"/>
      <c r="V343" s="86"/>
      <c r="W343" s="86"/>
      <c r="X343" s="86"/>
      <c r="Y343" s="86"/>
      <c r="Z343" s="449"/>
      <c r="AA343" s="449"/>
      <c r="AB343" s="449"/>
      <c r="AC343" s="449"/>
      <c r="AD343" s="449"/>
      <c r="AE343" s="449"/>
    </row>
    <row r="344">
      <c r="A344" s="479"/>
      <c r="B344" s="480"/>
      <c r="C344" s="480"/>
      <c r="D344" s="480"/>
      <c r="E344" s="480"/>
      <c r="F344" s="480"/>
      <c r="G344" s="480"/>
      <c r="H344" s="480"/>
      <c r="I344" s="480"/>
      <c r="J344" s="480"/>
      <c r="K344" s="480"/>
      <c r="L344" s="480"/>
      <c r="M344" s="481"/>
      <c r="N344" s="482"/>
      <c r="O344" s="482"/>
      <c r="P344" s="482"/>
      <c r="Q344" s="482"/>
      <c r="R344" s="298"/>
      <c r="S344" s="86"/>
      <c r="T344" s="86"/>
      <c r="U344" s="86"/>
      <c r="V344" s="86"/>
      <c r="W344" s="86"/>
      <c r="X344" s="86"/>
      <c r="Y344" s="86"/>
      <c r="Z344" s="449"/>
      <c r="AA344" s="449"/>
      <c r="AB344" s="449"/>
      <c r="AC344" s="449"/>
      <c r="AD344" s="449"/>
      <c r="AE344" s="449"/>
    </row>
    <row r="345">
      <c r="A345" s="479"/>
      <c r="B345" s="480"/>
      <c r="C345" s="480"/>
      <c r="D345" s="480"/>
      <c r="E345" s="480"/>
      <c r="F345" s="480"/>
      <c r="G345" s="480"/>
      <c r="H345" s="480"/>
      <c r="I345" s="480"/>
      <c r="J345" s="480"/>
      <c r="K345" s="480"/>
      <c r="L345" s="480"/>
      <c r="M345" s="481"/>
      <c r="N345" s="482"/>
      <c r="O345" s="482"/>
      <c r="P345" s="482"/>
      <c r="Q345" s="482"/>
      <c r="R345" s="298"/>
      <c r="S345" s="86"/>
      <c r="T345" s="86"/>
      <c r="U345" s="86"/>
      <c r="V345" s="86"/>
      <c r="W345" s="86"/>
      <c r="X345" s="86"/>
      <c r="Y345" s="86"/>
      <c r="Z345" s="449"/>
      <c r="AA345" s="449"/>
      <c r="AB345" s="449"/>
      <c r="AC345" s="449"/>
      <c r="AD345" s="449"/>
      <c r="AE345" s="449"/>
    </row>
    <row r="346">
      <c r="A346" s="479"/>
      <c r="B346" s="480"/>
      <c r="C346" s="480"/>
      <c r="D346" s="480"/>
      <c r="E346" s="480"/>
      <c r="F346" s="480"/>
      <c r="G346" s="480"/>
      <c r="H346" s="480"/>
      <c r="I346" s="480"/>
      <c r="J346" s="480"/>
      <c r="K346" s="480"/>
      <c r="L346" s="480"/>
      <c r="M346" s="481"/>
      <c r="N346" s="482"/>
      <c r="O346" s="482"/>
      <c r="P346" s="482"/>
      <c r="Q346" s="482"/>
      <c r="R346" s="298"/>
      <c r="S346" s="86"/>
      <c r="T346" s="86"/>
      <c r="U346" s="86"/>
      <c r="V346" s="86"/>
      <c r="W346" s="86"/>
      <c r="X346" s="86"/>
      <c r="Y346" s="86"/>
      <c r="Z346" s="449"/>
      <c r="AA346" s="449"/>
      <c r="AB346" s="449"/>
      <c r="AC346" s="449"/>
      <c r="AD346" s="449"/>
      <c r="AE346" s="449"/>
    </row>
    <row r="347">
      <c r="A347" s="479"/>
      <c r="B347" s="480"/>
      <c r="C347" s="480"/>
      <c r="D347" s="480"/>
      <c r="E347" s="480"/>
      <c r="F347" s="480"/>
      <c r="G347" s="480"/>
      <c r="H347" s="480"/>
      <c r="I347" s="480"/>
      <c r="J347" s="480"/>
      <c r="K347" s="480"/>
      <c r="L347" s="480"/>
      <c r="M347" s="481"/>
      <c r="N347" s="482"/>
      <c r="O347" s="482"/>
      <c r="P347" s="482"/>
      <c r="Q347" s="482"/>
      <c r="R347" s="298"/>
      <c r="S347" s="86"/>
      <c r="T347" s="86"/>
      <c r="U347" s="86"/>
      <c r="V347" s="86"/>
      <c r="W347" s="86"/>
      <c r="X347" s="86"/>
      <c r="Y347" s="86"/>
      <c r="Z347" s="449"/>
      <c r="AA347" s="449"/>
      <c r="AB347" s="449"/>
      <c r="AC347" s="449"/>
      <c r="AD347" s="449"/>
      <c r="AE347" s="449"/>
    </row>
    <row r="348">
      <c r="A348" s="479"/>
      <c r="B348" s="480"/>
      <c r="C348" s="480"/>
      <c r="D348" s="480"/>
      <c r="E348" s="480"/>
      <c r="F348" s="480"/>
      <c r="G348" s="480"/>
      <c r="H348" s="480"/>
      <c r="I348" s="480"/>
      <c r="J348" s="480"/>
      <c r="K348" s="480"/>
      <c r="L348" s="480"/>
      <c r="M348" s="481"/>
      <c r="N348" s="482"/>
      <c r="O348" s="482"/>
      <c r="P348" s="482"/>
      <c r="Q348" s="482"/>
      <c r="R348" s="298"/>
      <c r="S348" s="86"/>
      <c r="T348" s="86"/>
      <c r="U348" s="86"/>
      <c r="V348" s="86"/>
      <c r="W348" s="86"/>
      <c r="X348" s="86"/>
      <c r="Y348" s="86"/>
      <c r="Z348" s="449"/>
      <c r="AA348" s="449"/>
      <c r="AB348" s="449"/>
      <c r="AC348" s="449"/>
      <c r="AD348" s="449"/>
      <c r="AE348" s="449"/>
    </row>
    <row r="349">
      <c r="A349" s="479"/>
      <c r="B349" s="480"/>
      <c r="C349" s="480"/>
      <c r="D349" s="480"/>
      <c r="E349" s="480"/>
      <c r="F349" s="480"/>
      <c r="G349" s="480"/>
      <c r="H349" s="480"/>
      <c r="I349" s="480"/>
      <c r="J349" s="480"/>
      <c r="K349" s="480"/>
      <c r="L349" s="480"/>
      <c r="M349" s="481"/>
      <c r="N349" s="482"/>
      <c r="O349" s="482"/>
      <c r="P349" s="482"/>
      <c r="Q349" s="482"/>
      <c r="R349" s="298"/>
      <c r="S349" s="86"/>
      <c r="T349" s="86"/>
      <c r="U349" s="86"/>
      <c r="V349" s="86"/>
      <c r="W349" s="86"/>
      <c r="X349" s="86"/>
      <c r="Y349" s="86"/>
      <c r="Z349" s="449"/>
      <c r="AA349" s="449"/>
      <c r="AB349" s="449"/>
      <c r="AC349" s="449"/>
      <c r="AD349" s="449"/>
      <c r="AE349" s="449"/>
    </row>
    <row r="350">
      <c r="A350" s="479"/>
      <c r="B350" s="480"/>
      <c r="C350" s="480"/>
      <c r="D350" s="480"/>
      <c r="E350" s="480"/>
      <c r="F350" s="480"/>
      <c r="G350" s="480"/>
      <c r="H350" s="480"/>
      <c r="I350" s="480"/>
      <c r="J350" s="480"/>
      <c r="K350" s="480"/>
      <c r="L350" s="480"/>
      <c r="M350" s="481"/>
      <c r="N350" s="482"/>
      <c r="O350" s="482"/>
      <c r="P350" s="482"/>
      <c r="Q350" s="482"/>
      <c r="R350" s="298"/>
      <c r="S350" s="86"/>
      <c r="T350" s="86"/>
      <c r="U350" s="86"/>
      <c r="V350" s="86"/>
      <c r="W350" s="86"/>
      <c r="X350" s="86"/>
      <c r="Y350" s="86"/>
      <c r="Z350" s="449"/>
      <c r="AA350" s="449"/>
      <c r="AB350" s="449"/>
      <c r="AC350" s="449"/>
      <c r="AD350" s="449"/>
      <c r="AE350" s="449"/>
    </row>
    <row r="351">
      <c r="A351" s="479"/>
      <c r="B351" s="480"/>
      <c r="C351" s="480"/>
      <c r="D351" s="480"/>
      <c r="E351" s="480"/>
      <c r="F351" s="480"/>
      <c r="G351" s="480"/>
      <c r="H351" s="480"/>
      <c r="I351" s="480"/>
      <c r="J351" s="480"/>
      <c r="K351" s="480"/>
      <c r="L351" s="480"/>
      <c r="M351" s="481"/>
      <c r="N351" s="482"/>
      <c r="O351" s="482"/>
      <c r="P351" s="482"/>
      <c r="Q351" s="482"/>
      <c r="R351" s="298"/>
      <c r="S351" s="86"/>
      <c r="T351" s="86"/>
      <c r="U351" s="86"/>
      <c r="V351" s="86"/>
      <c r="W351" s="86"/>
      <c r="X351" s="86"/>
      <c r="Y351" s="86"/>
      <c r="Z351" s="449"/>
      <c r="AA351" s="449"/>
      <c r="AB351" s="449"/>
      <c r="AC351" s="449"/>
      <c r="AD351" s="449"/>
      <c r="AE351" s="449"/>
    </row>
    <row r="352">
      <c r="A352" s="479"/>
      <c r="B352" s="480"/>
      <c r="C352" s="480"/>
      <c r="D352" s="480"/>
      <c r="E352" s="480"/>
      <c r="F352" s="480"/>
      <c r="G352" s="480"/>
      <c r="H352" s="480"/>
      <c r="I352" s="480"/>
      <c r="J352" s="480"/>
      <c r="K352" s="480"/>
      <c r="L352" s="480"/>
      <c r="M352" s="481"/>
      <c r="N352" s="482"/>
      <c r="O352" s="482"/>
      <c r="P352" s="482"/>
      <c r="Q352" s="482"/>
      <c r="R352" s="298"/>
      <c r="S352" s="86"/>
      <c r="T352" s="86"/>
      <c r="U352" s="86"/>
      <c r="V352" s="86"/>
      <c r="W352" s="86"/>
      <c r="X352" s="86"/>
      <c r="Y352" s="86"/>
      <c r="Z352" s="449"/>
      <c r="AA352" s="449"/>
      <c r="AB352" s="449"/>
      <c r="AC352" s="449"/>
      <c r="AD352" s="449"/>
      <c r="AE352" s="449"/>
    </row>
    <row r="353">
      <c r="A353" s="479"/>
      <c r="B353" s="480"/>
      <c r="C353" s="480"/>
      <c r="D353" s="480"/>
      <c r="E353" s="480"/>
      <c r="F353" s="480"/>
      <c r="G353" s="480"/>
      <c r="H353" s="480"/>
      <c r="I353" s="480"/>
      <c r="J353" s="480"/>
      <c r="K353" s="480"/>
      <c r="L353" s="480"/>
      <c r="M353" s="481"/>
      <c r="N353" s="482"/>
      <c r="O353" s="482"/>
      <c r="P353" s="482"/>
      <c r="Q353" s="482"/>
      <c r="R353" s="298"/>
      <c r="S353" s="86"/>
      <c r="T353" s="86"/>
      <c r="U353" s="86"/>
      <c r="V353" s="86"/>
      <c r="W353" s="86"/>
      <c r="X353" s="86"/>
      <c r="Y353" s="86"/>
      <c r="Z353" s="449"/>
      <c r="AA353" s="449"/>
      <c r="AB353" s="449"/>
      <c r="AC353" s="449"/>
      <c r="AD353" s="449"/>
      <c r="AE353" s="449"/>
    </row>
    <row r="354">
      <c r="A354" s="479"/>
      <c r="B354" s="480"/>
      <c r="C354" s="480"/>
      <c r="D354" s="480"/>
      <c r="E354" s="480"/>
      <c r="F354" s="480"/>
      <c r="G354" s="480"/>
      <c r="H354" s="480"/>
      <c r="I354" s="480"/>
      <c r="J354" s="480"/>
      <c r="K354" s="480"/>
      <c r="L354" s="480"/>
      <c r="M354" s="481"/>
      <c r="N354" s="482"/>
      <c r="O354" s="482"/>
      <c r="P354" s="482"/>
      <c r="Q354" s="482"/>
      <c r="R354" s="298"/>
      <c r="S354" s="86"/>
      <c r="T354" s="86"/>
      <c r="U354" s="86"/>
      <c r="V354" s="86"/>
      <c r="W354" s="86"/>
      <c r="X354" s="86"/>
      <c r="Y354" s="86"/>
      <c r="Z354" s="449"/>
      <c r="AA354" s="449"/>
      <c r="AB354" s="449"/>
      <c r="AC354" s="449"/>
      <c r="AD354" s="449"/>
      <c r="AE354" s="449"/>
    </row>
    <row r="355">
      <c r="A355" s="479"/>
      <c r="B355" s="480"/>
      <c r="C355" s="480"/>
      <c r="D355" s="480"/>
      <c r="E355" s="480"/>
      <c r="F355" s="480"/>
      <c r="G355" s="480"/>
      <c r="H355" s="480"/>
      <c r="I355" s="480"/>
      <c r="J355" s="480"/>
      <c r="K355" s="480"/>
      <c r="L355" s="480"/>
      <c r="M355" s="481"/>
      <c r="N355" s="482"/>
      <c r="O355" s="482"/>
      <c r="P355" s="482"/>
      <c r="Q355" s="482"/>
      <c r="R355" s="298"/>
      <c r="S355" s="86"/>
      <c r="T355" s="86"/>
      <c r="U355" s="86"/>
      <c r="V355" s="86"/>
      <c r="W355" s="86"/>
      <c r="X355" s="86"/>
      <c r="Y355" s="86"/>
      <c r="Z355" s="449"/>
      <c r="AA355" s="449"/>
      <c r="AB355" s="449"/>
      <c r="AC355" s="449"/>
      <c r="AD355" s="449"/>
      <c r="AE355" s="449"/>
    </row>
    <row r="356">
      <c r="A356" s="479"/>
      <c r="B356" s="480"/>
      <c r="C356" s="480"/>
      <c r="D356" s="480"/>
      <c r="E356" s="480"/>
      <c r="F356" s="480"/>
      <c r="G356" s="480"/>
      <c r="H356" s="480"/>
      <c r="I356" s="480"/>
      <c r="J356" s="480"/>
      <c r="K356" s="480"/>
      <c r="L356" s="480"/>
      <c r="M356" s="481"/>
      <c r="N356" s="482"/>
      <c r="O356" s="482"/>
      <c r="P356" s="482"/>
      <c r="Q356" s="482"/>
      <c r="R356" s="298"/>
      <c r="S356" s="86"/>
      <c r="T356" s="86"/>
      <c r="U356" s="86"/>
      <c r="V356" s="86"/>
      <c r="W356" s="86"/>
      <c r="X356" s="86"/>
      <c r="Y356" s="86"/>
      <c r="Z356" s="449"/>
      <c r="AA356" s="449"/>
      <c r="AB356" s="449"/>
      <c r="AC356" s="449"/>
      <c r="AD356" s="449"/>
      <c r="AE356" s="449"/>
    </row>
    <row r="357">
      <c r="A357" s="479"/>
      <c r="B357" s="480"/>
      <c r="C357" s="480"/>
      <c r="D357" s="480"/>
      <c r="E357" s="480"/>
      <c r="F357" s="480"/>
      <c r="G357" s="480"/>
      <c r="H357" s="480"/>
      <c r="I357" s="480"/>
      <c r="J357" s="480"/>
      <c r="K357" s="480"/>
      <c r="L357" s="480"/>
      <c r="M357" s="481"/>
      <c r="N357" s="482"/>
      <c r="O357" s="482"/>
      <c r="P357" s="482"/>
      <c r="Q357" s="482"/>
      <c r="R357" s="298"/>
      <c r="S357" s="86"/>
      <c r="T357" s="86"/>
      <c r="U357" s="86"/>
      <c r="V357" s="86"/>
      <c r="W357" s="86"/>
      <c r="X357" s="86"/>
      <c r="Y357" s="86"/>
      <c r="Z357" s="449"/>
      <c r="AA357" s="449"/>
      <c r="AB357" s="449"/>
      <c r="AC357" s="449"/>
      <c r="AD357" s="449"/>
      <c r="AE357" s="449"/>
    </row>
    <row r="358">
      <c r="A358" s="479"/>
      <c r="B358" s="480"/>
      <c r="C358" s="480"/>
      <c r="D358" s="480"/>
      <c r="E358" s="480"/>
      <c r="F358" s="480"/>
      <c r="G358" s="480"/>
      <c r="H358" s="480"/>
      <c r="I358" s="480"/>
      <c r="J358" s="480"/>
      <c r="K358" s="480"/>
      <c r="L358" s="480"/>
      <c r="M358" s="481"/>
      <c r="N358" s="482"/>
      <c r="O358" s="482"/>
      <c r="P358" s="482"/>
      <c r="Q358" s="482"/>
      <c r="R358" s="298"/>
      <c r="S358" s="86"/>
      <c r="T358" s="86"/>
      <c r="U358" s="86"/>
      <c r="V358" s="86"/>
      <c r="W358" s="86"/>
      <c r="X358" s="86"/>
      <c r="Y358" s="86"/>
      <c r="Z358" s="449"/>
      <c r="AA358" s="449"/>
      <c r="AB358" s="449"/>
      <c r="AC358" s="449"/>
      <c r="AD358" s="449"/>
      <c r="AE358" s="449"/>
    </row>
    <row r="359">
      <c r="A359" s="479"/>
      <c r="B359" s="480"/>
      <c r="C359" s="480"/>
      <c r="D359" s="480"/>
      <c r="E359" s="480"/>
      <c r="F359" s="480"/>
      <c r="G359" s="480"/>
      <c r="H359" s="480"/>
      <c r="I359" s="480"/>
      <c r="J359" s="480"/>
      <c r="K359" s="480"/>
      <c r="L359" s="480"/>
      <c r="M359" s="481"/>
      <c r="N359" s="482"/>
      <c r="O359" s="482"/>
      <c r="P359" s="482"/>
      <c r="Q359" s="482"/>
      <c r="R359" s="298"/>
      <c r="S359" s="86"/>
      <c r="T359" s="86"/>
      <c r="U359" s="86"/>
      <c r="V359" s="86"/>
      <c r="W359" s="86"/>
      <c r="X359" s="86"/>
      <c r="Y359" s="86"/>
      <c r="Z359" s="449"/>
      <c r="AA359" s="449"/>
      <c r="AB359" s="449"/>
      <c r="AC359" s="449"/>
      <c r="AD359" s="449"/>
      <c r="AE359" s="449"/>
    </row>
    <row r="360">
      <c r="A360" s="479"/>
      <c r="B360" s="480"/>
      <c r="C360" s="480"/>
      <c r="D360" s="480"/>
      <c r="E360" s="480"/>
      <c r="F360" s="480"/>
      <c r="G360" s="480"/>
      <c r="H360" s="480"/>
      <c r="I360" s="480"/>
      <c r="J360" s="480"/>
      <c r="K360" s="480"/>
      <c r="L360" s="480"/>
      <c r="M360" s="481"/>
      <c r="N360" s="482"/>
      <c r="O360" s="482"/>
      <c r="P360" s="482"/>
      <c r="Q360" s="482"/>
      <c r="R360" s="298"/>
      <c r="S360" s="86"/>
      <c r="T360" s="86"/>
      <c r="U360" s="86"/>
      <c r="V360" s="86"/>
      <c r="W360" s="86"/>
      <c r="X360" s="86"/>
      <c r="Y360" s="86"/>
      <c r="Z360" s="449"/>
      <c r="AA360" s="449"/>
      <c r="AB360" s="449"/>
      <c r="AC360" s="449"/>
      <c r="AD360" s="449"/>
      <c r="AE360" s="449"/>
    </row>
    <row r="361">
      <c r="A361" s="479"/>
      <c r="B361" s="480"/>
      <c r="C361" s="480"/>
      <c r="D361" s="480"/>
      <c r="E361" s="480"/>
      <c r="F361" s="480"/>
      <c r="G361" s="480"/>
      <c r="H361" s="480"/>
      <c r="I361" s="480"/>
      <c r="J361" s="480"/>
      <c r="K361" s="480"/>
      <c r="L361" s="480"/>
      <c r="M361" s="481"/>
      <c r="N361" s="482"/>
      <c r="O361" s="482"/>
      <c r="P361" s="482"/>
      <c r="Q361" s="482"/>
      <c r="R361" s="298"/>
      <c r="S361" s="86"/>
      <c r="T361" s="86"/>
      <c r="U361" s="86"/>
      <c r="V361" s="86"/>
      <c r="W361" s="86"/>
      <c r="X361" s="86"/>
      <c r="Y361" s="86"/>
      <c r="Z361" s="449"/>
      <c r="AA361" s="449"/>
      <c r="AB361" s="449"/>
      <c r="AC361" s="449"/>
      <c r="AD361" s="449"/>
      <c r="AE361" s="449"/>
    </row>
    <row r="362">
      <c r="A362" s="479"/>
      <c r="B362" s="480"/>
      <c r="C362" s="480"/>
      <c r="D362" s="480"/>
      <c r="E362" s="480"/>
      <c r="F362" s="480"/>
      <c r="G362" s="480"/>
      <c r="H362" s="480"/>
      <c r="I362" s="480"/>
      <c r="J362" s="480"/>
      <c r="K362" s="480"/>
      <c r="L362" s="480"/>
      <c r="M362" s="481"/>
      <c r="N362" s="482"/>
      <c r="O362" s="482"/>
      <c r="P362" s="482"/>
      <c r="Q362" s="482"/>
      <c r="R362" s="298"/>
      <c r="S362" s="86"/>
      <c r="T362" s="86"/>
      <c r="U362" s="86"/>
      <c r="V362" s="86"/>
      <c r="W362" s="86"/>
      <c r="X362" s="86"/>
      <c r="Y362" s="86"/>
      <c r="Z362" s="449"/>
      <c r="AA362" s="449"/>
      <c r="AB362" s="449"/>
      <c r="AC362" s="449"/>
      <c r="AD362" s="449"/>
      <c r="AE362" s="449"/>
    </row>
    <row r="363">
      <c r="A363" s="479"/>
      <c r="B363" s="480"/>
      <c r="C363" s="480"/>
      <c r="D363" s="480"/>
      <c r="E363" s="480"/>
      <c r="F363" s="480"/>
      <c r="G363" s="480"/>
      <c r="H363" s="480"/>
      <c r="I363" s="480"/>
      <c r="J363" s="480"/>
      <c r="K363" s="480"/>
      <c r="L363" s="480"/>
      <c r="M363" s="481"/>
      <c r="N363" s="482"/>
      <c r="O363" s="482"/>
      <c r="P363" s="482"/>
      <c r="Q363" s="482"/>
      <c r="R363" s="298"/>
      <c r="S363" s="86"/>
      <c r="T363" s="86"/>
      <c r="U363" s="86"/>
      <c r="V363" s="86"/>
      <c r="W363" s="86"/>
      <c r="X363" s="86"/>
      <c r="Y363" s="86"/>
      <c r="Z363" s="449"/>
      <c r="AA363" s="449"/>
      <c r="AB363" s="449"/>
      <c r="AC363" s="449"/>
      <c r="AD363" s="449"/>
      <c r="AE363" s="449"/>
    </row>
    <row r="364">
      <c r="A364" s="479"/>
      <c r="B364" s="480"/>
      <c r="C364" s="480"/>
      <c r="D364" s="480"/>
      <c r="E364" s="480"/>
      <c r="F364" s="480"/>
      <c r="G364" s="480"/>
      <c r="H364" s="480"/>
      <c r="I364" s="480"/>
      <c r="J364" s="480"/>
      <c r="K364" s="480"/>
      <c r="L364" s="480"/>
      <c r="M364" s="481"/>
      <c r="N364" s="482"/>
      <c r="O364" s="482"/>
      <c r="P364" s="482"/>
      <c r="Q364" s="482"/>
      <c r="R364" s="298"/>
      <c r="S364" s="86"/>
      <c r="T364" s="86"/>
      <c r="U364" s="86"/>
      <c r="V364" s="86"/>
      <c r="W364" s="86"/>
      <c r="X364" s="86"/>
      <c r="Y364" s="86"/>
      <c r="Z364" s="449"/>
      <c r="AA364" s="449"/>
      <c r="AB364" s="449"/>
      <c r="AC364" s="449"/>
      <c r="AD364" s="449"/>
      <c r="AE364" s="449"/>
    </row>
    <row r="365">
      <c r="A365" s="479"/>
      <c r="B365" s="480"/>
      <c r="C365" s="480"/>
      <c r="D365" s="480"/>
      <c r="E365" s="480"/>
      <c r="F365" s="480"/>
      <c r="G365" s="480"/>
      <c r="H365" s="480"/>
      <c r="I365" s="480"/>
      <c r="J365" s="480"/>
      <c r="K365" s="480"/>
      <c r="L365" s="480"/>
      <c r="M365" s="481"/>
      <c r="N365" s="482"/>
      <c r="O365" s="482"/>
      <c r="P365" s="482"/>
      <c r="Q365" s="482"/>
      <c r="R365" s="298"/>
      <c r="S365" s="86"/>
      <c r="T365" s="86"/>
      <c r="U365" s="86"/>
      <c r="V365" s="86"/>
      <c r="W365" s="86"/>
      <c r="X365" s="86"/>
      <c r="Y365" s="86"/>
      <c r="Z365" s="449"/>
      <c r="AA365" s="449"/>
      <c r="AB365" s="449"/>
      <c r="AC365" s="449"/>
      <c r="AD365" s="449"/>
      <c r="AE365" s="449"/>
    </row>
    <row r="366">
      <c r="A366" s="479"/>
      <c r="B366" s="480"/>
      <c r="C366" s="480"/>
      <c r="D366" s="480"/>
      <c r="E366" s="480"/>
      <c r="F366" s="480"/>
      <c r="G366" s="480"/>
      <c r="H366" s="480"/>
      <c r="I366" s="480"/>
      <c r="J366" s="480"/>
      <c r="K366" s="480"/>
      <c r="L366" s="480"/>
      <c r="M366" s="481"/>
      <c r="N366" s="482"/>
      <c r="O366" s="482"/>
      <c r="P366" s="482"/>
      <c r="Q366" s="482"/>
      <c r="R366" s="298"/>
      <c r="S366" s="86"/>
      <c r="T366" s="86"/>
      <c r="U366" s="86"/>
      <c r="V366" s="86"/>
      <c r="W366" s="86"/>
      <c r="X366" s="86"/>
      <c r="Y366" s="86"/>
      <c r="Z366" s="449"/>
      <c r="AA366" s="449"/>
      <c r="AB366" s="449"/>
      <c r="AC366" s="449"/>
      <c r="AD366" s="449"/>
      <c r="AE366" s="449"/>
    </row>
    <row r="367">
      <c r="A367" s="479"/>
      <c r="B367" s="480"/>
      <c r="C367" s="480"/>
      <c r="D367" s="480"/>
      <c r="E367" s="480"/>
      <c r="F367" s="480"/>
      <c r="G367" s="480"/>
      <c r="H367" s="480"/>
      <c r="I367" s="480"/>
      <c r="J367" s="480"/>
      <c r="K367" s="480"/>
      <c r="L367" s="480"/>
      <c r="M367" s="481"/>
      <c r="N367" s="482"/>
      <c r="O367" s="482"/>
      <c r="P367" s="482"/>
      <c r="Q367" s="482"/>
      <c r="R367" s="298"/>
      <c r="S367" s="86"/>
      <c r="T367" s="86"/>
      <c r="U367" s="86"/>
      <c r="V367" s="86"/>
      <c r="W367" s="86"/>
      <c r="X367" s="86"/>
      <c r="Y367" s="86"/>
      <c r="Z367" s="449"/>
      <c r="AA367" s="449"/>
      <c r="AB367" s="449"/>
      <c r="AC367" s="449"/>
      <c r="AD367" s="449"/>
      <c r="AE367" s="449"/>
    </row>
    <row r="368">
      <c r="A368" s="479"/>
      <c r="B368" s="480"/>
      <c r="C368" s="480"/>
      <c r="D368" s="480"/>
      <c r="E368" s="480"/>
      <c r="F368" s="480"/>
      <c r="G368" s="480"/>
      <c r="H368" s="480"/>
      <c r="I368" s="480"/>
      <c r="J368" s="480"/>
      <c r="K368" s="480"/>
      <c r="L368" s="480"/>
      <c r="M368" s="481"/>
      <c r="N368" s="482"/>
      <c r="O368" s="482"/>
      <c r="P368" s="482"/>
      <c r="Q368" s="482"/>
      <c r="R368" s="298"/>
      <c r="S368" s="86"/>
      <c r="T368" s="86"/>
      <c r="U368" s="86"/>
      <c r="V368" s="86"/>
      <c r="W368" s="86"/>
      <c r="X368" s="86"/>
      <c r="Y368" s="86"/>
      <c r="Z368" s="449"/>
      <c r="AA368" s="449"/>
      <c r="AB368" s="449"/>
      <c r="AC368" s="449"/>
      <c r="AD368" s="449"/>
      <c r="AE368" s="449"/>
    </row>
    <row r="369">
      <c r="A369" s="479"/>
      <c r="B369" s="480"/>
      <c r="C369" s="480"/>
      <c r="D369" s="480"/>
      <c r="E369" s="480"/>
      <c r="F369" s="480"/>
      <c r="G369" s="480"/>
      <c r="H369" s="480"/>
      <c r="I369" s="480"/>
      <c r="J369" s="480"/>
      <c r="K369" s="480"/>
      <c r="L369" s="480"/>
      <c r="M369" s="481"/>
      <c r="N369" s="482"/>
      <c r="O369" s="482"/>
      <c r="P369" s="482"/>
      <c r="Q369" s="482"/>
      <c r="R369" s="298"/>
      <c r="S369" s="86"/>
      <c r="T369" s="86"/>
      <c r="U369" s="86"/>
      <c r="V369" s="86"/>
      <c r="W369" s="86"/>
      <c r="X369" s="86"/>
      <c r="Y369" s="86"/>
      <c r="Z369" s="449"/>
      <c r="AA369" s="449"/>
      <c r="AB369" s="449"/>
      <c r="AC369" s="449"/>
      <c r="AD369" s="449"/>
      <c r="AE369" s="449"/>
    </row>
    <row r="370">
      <c r="A370" s="479"/>
      <c r="B370" s="480"/>
      <c r="C370" s="480"/>
      <c r="D370" s="480"/>
      <c r="E370" s="480"/>
      <c r="F370" s="480"/>
      <c r="G370" s="480"/>
      <c r="H370" s="480"/>
      <c r="I370" s="480"/>
      <c r="J370" s="480"/>
      <c r="K370" s="480"/>
      <c r="L370" s="480"/>
      <c r="M370" s="481"/>
      <c r="N370" s="482"/>
      <c r="O370" s="482"/>
      <c r="P370" s="482"/>
      <c r="Q370" s="482"/>
      <c r="R370" s="298"/>
      <c r="S370" s="86"/>
      <c r="T370" s="86"/>
      <c r="U370" s="86"/>
      <c r="V370" s="86"/>
      <c r="W370" s="86"/>
      <c r="X370" s="86"/>
      <c r="Y370" s="86"/>
      <c r="Z370" s="449"/>
      <c r="AA370" s="449"/>
      <c r="AB370" s="449"/>
      <c r="AC370" s="449"/>
      <c r="AD370" s="449"/>
      <c r="AE370" s="449"/>
    </row>
    <row r="371">
      <c r="A371" s="479"/>
      <c r="B371" s="480"/>
      <c r="C371" s="480"/>
      <c r="D371" s="480"/>
      <c r="E371" s="480"/>
      <c r="F371" s="480"/>
      <c r="G371" s="480"/>
      <c r="H371" s="480"/>
      <c r="I371" s="480"/>
      <c r="J371" s="480"/>
      <c r="K371" s="480"/>
      <c r="L371" s="480"/>
      <c r="M371" s="481"/>
      <c r="N371" s="482"/>
      <c r="O371" s="482"/>
      <c r="P371" s="482"/>
      <c r="Q371" s="482"/>
      <c r="R371" s="298"/>
      <c r="S371" s="86"/>
      <c r="T371" s="86"/>
      <c r="U371" s="86"/>
      <c r="V371" s="86"/>
      <c r="W371" s="86"/>
      <c r="X371" s="86"/>
      <c r="Y371" s="86"/>
      <c r="Z371" s="449"/>
      <c r="AA371" s="449"/>
      <c r="AB371" s="449"/>
      <c r="AC371" s="449"/>
      <c r="AD371" s="449"/>
      <c r="AE371" s="449"/>
    </row>
    <row r="372">
      <c r="A372" s="479"/>
      <c r="B372" s="480"/>
      <c r="C372" s="480"/>
      <c r="D372" s="480"/>
      <c r="E372" s="480"/>
      <c r="F372" s="480"/>
      <c r="G372" s="480"/>
      <c r="H372" s="480"/>
      <c r="I372" s="480"/>
      <c r="J372" s="480"/>
      <c r="K372" s="480"/>
      <c r="L372" s="480"/>
      <c r="M372" s="481"/>
      <c r="N372" s="482"/>
      <c r="O372" s="482"/>
      <c r="P372" s="482"/>
      <c r="Q372" s="482"/>
      <c r="R372" s="298"/>
      <c r="S372" s="86"/>
      <c r="T372" s="86"/>
      <c r="U372" s="86"/>
      <c r="V372" s="86"/>
      <c r="W372" s="86"/>
      <c r="X372" s="86"/>
      <c r="Y372" s="86"/>
      <c r="Z372" s="449"/>
      <c r="AA372" s="449"/>
      <c r="AB372" s="449"/>
      <c r="AC372" s="449"/>
      <c r="AD372" s="449"/>
      <c r="AE372" s="449"/>
    </row>
    <row r="373">
      <c r="A373" s="479"/>
      <c r="B373" s="480"/>
      <c r="C373" s="480"/>
      <c r="D373" s="480"/>
      <c r="E373" s="480"/>
      <c r="F373" s="480"/>
      <c r="G373" s="480"/>
      <c r="H373" s="480"/>
      <c r="I373" s="480"/>
      <c r="J373" s="480"/>
      <c r="K373" s="480"/>
      <c r="L373" s="480"/>
      <c r="M373" s="481"/>
      <c r="N373" s="482"/>
      <c r="O373" s="482"/>
      <c r="P373" s="482"/>
      <c r="Q373" s="482"/>
      <c r="R373" s="298"/>
      <c r="S373" s="86"/>
      <c r="T373" s="86"/>
      <c r="U373" s="86"/>
      <c r="V373" s="86"/>
      <c r="W373" s="86"/>
      <c r="X373" s="86"/>
      <c r="Y373" s="86"/>
      <c r="Z373" s="449"/>
      <c r="AA373" s="449"/>
      <c r="AB373" s="449"/>
      <c r="AC373" s="449"/>
      <c r="AD373" s="449"/>
      <c r="AE373" s="449"/>
    </row>
    <row r="374">
      <c r="A374" s="479"/>
      <c r="B374" s="480"/>
      <c r="C374" s="480"/>
      <c r="D374" s="480"/>
      <c r="E374" s="480"/>
      <c r="F374" s="480"/>
      <c r="G374" s="480"/>
      <c r="H374" s="480"/>
      <c r="I374" s="480"/>
      <c r="J374" s="480"/>
      <c r="K374" s="480"/>
      <c r="L374" s="480"/>
      <c r="M374" s="481"/>
      <c r="N374" s="482"/>
      <c r="O374" s="482"/>
      <c r="P374" s="482"/>
      <c r="Q374" s="482"/>
      <c r="R374" s="298"/>
      <c r="S374" s="86"/>
      <c r="T374" s="86"/>
      <c r="U374" s="86"/>
      <c r="V374" s="86"/>
      <c r="W374" s="86"/>
      <c r="X374" s="86"/>
      <c r="Y374" s="86"/>
      <c r="Z374" s="449"/>
      <c r="AA374" s="449"/>
      <c r="AB374" s="449"/>
      <c r="AC374" s="449"/>
      <c r="AD374" s="449"/>
      <c r="AE374" s="449"/>
    </row>
    <row r="375">
      <c r="A375" s="479"/>
      <c r="B375" s="480"/>
      <c r="C375" s="480"/>
      <c r="D375" s="480"/>
      <c r="E375" s="480"/>
      <c r="F375" s="480"/>
      <c r="G375" s="480"/>
      <c r="H375" s="480"/>
      <c r="I375" s="480"/>
      <c r="J375" s="480"/>
      <c r="K375" s="480"/>
      <c r="L375" s="480"/>
      <c r="M375" s="481"/>
      <c r="N375" s="482"/>
      <c r="O375" s="482"/>
      <c r="P375" s="482"/>
      <c r="Q375" s="482"/>
      <c r="R375" s="298"/>
      <c r="S375" s="86"/>
      <c r="T375" s="86"/>
      <c r="U375" s="86"/>
      <c r="V375" s="86"/>
      <c r="W375" s="86"/>
      <c r="X375" s="86"/>
      <c r="Y375" s="86"/>
      <c r="Z375" s="449"/>
      <c r="AA375" s="449"/>
      <c r="AB375" s="449"/>
      <c r="AC375" s="449"/>
      <c r="AD375" s="449"/>
      <c r="AE375" s="449"/>
    </row>
    <row r="376">
      <c r="A376" s="479"/>
      <c r="B376" s="480"/>
      <c r="C376" s="480"/>
      <c r="D376" s="480"/>
      <c r="E376" s="480"/>
      <c r="F376" s="480"/>
      <c r="G376" s="480"/>
      <c r="H376" s="480"/>
      <c r="I376" s="480"/>
      <c r="J376" s="480"/>
      <c r="K376" s="480"/>
      <c r="L376" s="480"/>
      <c r="M376" s="481"/>
      <c r="N376" s="482"/>
      <c r="O376" s="482"/>
      <c r="P376" s="482"/>
      <c r="Q376" s="482"/>
      <c r="R376" s="298"/>
      <c r="S376" s="86"/>
      <c r="T376" s="86"/>
      <c r="U376" s="86"/>
      <c r="V376" s="86"/>
      <c r="W376" s="86"/>
      <c r="X376" s="86"/>
      <c r="Y376" s="86"/>
      <c r="Z376" s="449"/>
      <c r="AA376" s="449"/>
      <c r="AB376" s="449"/>
      <c r="AC376" s="449"/>
      <c r="AD376" s="449"/>
      <c r="AE376" s="449"/>
    </row>
    <row r="377">
      <c r="A377" s="479"/>
      <c r="B377" s="480"/>
      <c r="C377" s="480"/>
      <c r="D377" s="480"/>
      <c r="E377" s="480"/>
      <c r="F377" s="480"/>
      <c r="G377" s="480"/>
      <c r="H377" s="480"/>
      <c r="I377" s="480"/>
      <c r="J377" s="480"/>
      <c r="K377" s="480"/>
      <c r="L377" s="480"/>
      <c r="M377" s="481"/>
      <c r="N377" s="482"/>
      <c r="O377" s="482"/>
      <c r="P377" s="482"/>
      <c r="Q377" s="482"/>
      <c r="R377" s="298"/>
      <c r="S377" s="86"/>
      <c r="T377" s="86"/>
      <c r="U377" s="86"/>
      <c r="V377" s="86"/>
      <c r="W377" s="86"/>
      <c r="X377" s="86"/>
      <c r="Y377" s="86"/>
      <c r="Z377" s="449"/>
      <c r="AA377" s="449"/>
      <c r="AB377" s="449"/>
      <c r="AC377" s="449"/>
      <c r="AD377" s="449"/>
      <c r="AE377" s="449"/>
    </row>
    <row r="378">
      <c r="A378" s="479"/>
      <c r="B378" s="480"/>
      <c r="C378" s="480"/>
      <c r="D378" s="480"/>
      <c r="E378" s="480"/>
      <c r="F378" s="480"/>
      <c r="G378" s="480"/>
      <c r="H378" s="480"/>
      <c r="I378" s="480"/>
      <c r="J378" s="480"/>
      <c r="K378" s="480"/>
      <c r="L378" s="480"/>
      <c r="M378" s="481"/>
      <c r="N378" s="482"/>
      <c r="O378" s="482"/>
      <c r="P378" s="482"/>
      <c r="Q378" s="482"/>
      <c r="R378" s="298"/>
      <c r="S378" s="86"/>
      <c r="T378" s="86"/>
      <c r="U378" s="86"/>
      <c r="V378" s="86"/>
      <c r="W378" s="86"/>
      <c r="X378" s="86"/>
      <c r="Y378" s="86"/>
      <c r="Z378" s="449"/>
      <c r="AA378" s="449"/>
      <c r="AB378" s="449"/>
      <c r="AC378" s="449"/>
      <c r="AD378" s="449"/>
      <c r="AE378" s="449"/>
    </row>
    <row r="379">
      <c r="A379" s="479"/>
      <c r="B379" s="480"/>
      <c r="C379" s="480"/>
      <c r="D379" s="480"/>
      <c r="E379" s="480"/>
      <c r="F379" s="480"/>
      <c r="G379" s="480"/>
      <c r="H379" s="480"/>
      <c r="I379" s="480"/>
      <c r="J379" s="480"/>
      <c r="K379" s="480"/>
      <c r="L379" s="480"/>
      <c r="M379" s="481"/>
      <c r="N379" s="482"/>
      <c r="O379" s="482"/>
      <c r="P379" s="482"/>
      <c r="Q379" s="482"/>
      <c r="R379" s="298"/>
      <c r="S379" s="86"/>
      <c r="T379" s="86"/>
      <c r="U379" s="86"/>
      <c r="V379" s="86"/>
      <c r="W379" s="86"/>
      <c r="X379" s="86"/>
      <c r="Y379" s="86"/>
      <c r="Z379" s="449"/>
      <c r="AA379" s="449"/>
      <c r="AB379" s="449"/>
      <c r="AC379" s="449"/>
      <c r="AD379" s="449"/>
      <c r="AE379" s="449"/>
    </row>
    <row r="380">
      <c r="A380" s="479"/>
      <c r="B380" s="480"/>
      <c r="C380" s="480"/>
      <c r="D380" s="480"/>
      <c r="E380" s="480"/>
      <c r="F380" s="480"/>
      <c r="G380" s="480"/>
      <c r="H380" s="480"/>
      <c r="I380" s="480"/>
      <c r="J380" s="480"/>
      <c r="K380" s="480"/>
      <c r="L380" s="480"/>
      <c r="M380" s="481"/>
      <c r="N380" s="482"/>
      <c r="O380" s="482"/>
      <c r="P380" s="482"/>
      <c r="Q380" s="482"/>
      <c r="R380" s="298"/>
      <c r="S380" s="86"/>
      <c r="T380" s="86"/>
      <c r="U380" s="86"/>
      <c r="V380" s="86"/>
      <c r="W380" s="86"/>
      <c r="X380" s="86"/>
      <c r="Y380" s="86"/>
      <c r="Z380" s="449"/>
      <c r="AA380" s="449"/>
      <c r="AB380" s="449"/>
      <c r="AC380" s="449"/>
      <c r="AD380" s="449"/>
      <c r="AE380" s="449"/>
    </row>
    <row r="381">
      <c r="A381" s="479"/>
      <c r="B381" s="480"/>
      <c r="C381" s="480"/>
      <c r="D381" s="480"/>
      <c r="E381" s="480"/>
      <c r="F381" s="480"/>
      <c r="G381" s="480"/>
      <c r="H381" s="480"/>
      <c r="I381" s="480"/>
      <c r="J381" s="480"/>
      <c r="K381" s="480"/>
      <c r="L381" s="480"/>
      <c r="M381" s="481"/>
      <c r="N381" s="482"/>
      <c r="O381" s="482"/>
      <c r="P381" s="482"/>
      <c r="Q381" s="482"/>
      <c r="R381" s="298"/>
      <c r="S381" s="86"/>
      <c r="T381" s="86"/>
      <c r="U381" s="86"/>
      <c r="V381" s="86"/>
      <c r="W381" s="86"/>
      <c r="X381" s="86"/>
      <c r="Y381" s="86"/>
      <c r="Z381" s="449"/>
      <c r="AA381" s="449"/>
      <c r="AB381" s="449"/>
      <c r="AC381" s="449"/>
      <c r="AD381" s="449"/>
      <c r="AE381" s="449"/>
    </row>
    <row r="382">
      <c r="A382" s="479"/>
      <c r="B382" s="480"/>
      <c r="C382" s="480"/>
      <c r="D382" s="480"/>
      <c r="E382" s="480"/>
      <c r="F382" s="480"/>
      <c r="G382" s="480"/>
      <c r="H382" s="480"/>
      <c r="I382" s="480"/>
      <c r="J382" s="480"/>
      <c r="K382" s="480"/>
      <c r="L382" s="480"/>
      <c r="M382" s="481"/>
      <c r="N382" s="482"/>
      <c r="O382" s="482"/>
      <c r="P382" s="482"/>
      <c r="Q382" s="482"/>
      <c r="R382" s="298"/>
      <c r="S382" s="86"/>
      <c r="T382" s="86"/>
      <c r="U382" s="86"/>
      <c r="V382" s="86"/>
      <c r="W382" s="86"/>
      <c r="X382" s="86"/>
      <c r="Y382" s="86"/>
      <c r="Z382" s="449"/>
      <c r="AA382" s="449"/>
      <c r="AB382" s="449"/>
      <c r="AC382" s="449"/>
      <c r="AD382" s="449"/>
      <c r="AE382" s="449"/>
    </row>
    <row r="383">
      <c r="A383" s="479"/>
      <c r="B383" s="480"/>
      <c r="C383" s="480"/>
      <c r="D383" s="480"/>
      <c r="E383" s="480"/>
      <c r="F383" s="480"/>
      <c r="G383" s="480"/>
      <c r="H383" s="480"/>
      <c r="I383" s="480"/>
      <c r="J383" s="480"/>
      <c r="K383" s="480"/>
      <c r="L383" s="480"/>
      <c r="M383" s="481"/>
      <c r="N383" s="482"/>
      <c r="O383" s="482"/>
      <c r="P383" s="482"/>
      <c r="Q383" s="482"/>
      <c r="R383" s="298"/>
      <c r="S383" s="86"/>
      <c r="T383" s="86"/>
      <c r="U383" s="86"/>
      <c r="V383" s="86"/>
      <c r="W383" s="86"/>
      <c r="X383" s="86"/>
      <c r="Y383" s="86"/>
      <c r="Z383" s="449"/>
      <c r="AA383" s="449"/>
      <c r="AB383" s="449"/>
      <c r="AC383" s="449"/>
      <c r="AD383" s="449"/>
      <c r="AE383" s="449"/>
    </row>
    <row r="384">
      <c r="A384" s="479"/>
      <c r="B384" s="480"/>
      <c r="C384" s="480"/>
      <c r="D384" s="480"/>
      <c r="E384" s="480"/>
      <c r="F384" s="480"/>
      <c r="G384" s="480"/>
      <c r="H384" s="480"/>
      <c r="I384" s="480"/>
      <c r="J384" s="480"/>
      <c r="K384" s="480"/>
      <c r="L384" s="480"/>
      <c r="M384" s="481"/>
      <c r="N384" s="482"/>
      <c r="O384" s="482"/>
      <c r="P384" s="482"/>
      <c r="Q384" s="482"/>
      <c r="R384" s="298"/>
      <c r="S384" s="86"/>
      <c r="T384" s="86"/>
      <c r="U384" s="86"/>
      <c r="V384" s="86"/>
      <c r="W384" s="86"/>
      <c r="X384" s="86"/>
      <c r="Y384" s="86"/>
      <c r="Z384" s="449"/>
      <c r="AA384" s="449"/>
      <c r="AB384" s="449"/>
      <c r="AC384" s="449"/>
      <c r="AD384" s="449"/>
      <c r="AE384" s="449"/>
    </row>
    <row r="385">
      <c r="A385" s="479"/>
      <c r="B385" s="480"/>
      <c r="C385" s="480"/>
      <c r="D385" s="480"/>
      <c r="E385" s="480"/>
      <c r="F385" s="480"/>
      <c r="G385" s="480"/>
      <c r="H385" s="480"/>
      <c r="I385" s="480"/>
      <c r="J385" s="480"/>
      <c r="K385" s="480"/>
      <c r="L385" s="480"/>
      <c r="M385" s="481"/>
      <c r="N385" s="482"/>
      <c r="O385" s="482"/>
      <c r="P385" s="482"/>
      <c r="Q385" s="482"/>
      <c r="R385" s="298"/>
      <c r="S385" s="86"/>
      <c r="T385" s="86"/>
      <c r="U385" s="86"/>
      <c r="V385" s="86"/>
      <c r="W385" s="86"/>
      <c r="X385" s="86"/>
      <c r="Y385" s="86"/>
      <c r="Z385" s="449"/>
      <c r="AA385" s="449"/>
      <c r="AB385" s="449"/>
      <c r="AC385" s="449"/>
      <c r="AD385" s="449"/>
      <c r="AE385" s="449"/>
    </row>
    <row r="386">
      <c r="A386" s="479"/>
      <c r="B386" s="480"/>
      <c r="C386" s="480"/>
      <c r="D386" s="480"/>
      <c r="E386" s="480"/>
      <c r="F386" s="480"/>
      <c r="G386" s="480"/>
      <c r="H386" s="480"/>
      <c r="I386" s="480"/>
      <c r="J386" s="480"/>
      <c r="K386" s="480"/>
      <c r="L386" s="480"/>
      <c r="M386" s="481"/>
      <c r="N386" s="482"/>
      <c r="O386" s="482"/>
      <c r="P386" s="482"/>
      <c r="Q386" s="482"/>
      <c r="R386" s="298"/>
      <c r="S386" s="86"/>
      <c r="T386" s="86"/>
      <c r="U386" s="86"/>
      <c r="V386" s="86"/>
      <c r="W386" s="86"/>
      <c r="X386" s="86"/>
      <c r="Y386" s="86"/>
      <c r="Z386" s="449"/>
      <c r="AA386" s="449"/>
      <c r="AB386" s="449"/>
      <c r="AC386" s="449"/>
      <c r="AD386" s="449"/>
      <c r="AE386" s="449"/>
    </row>
    <row r="387">
      <c r="A387" s="479"/>
      <c r="B387" s="480"/>
      <c r="C387" s="480"/>
      <c r="D387" s="480"/>
      <c r="E387" s="480"/>
      <c r="F387" s="480"/>
      <c r="G387" s="480"/>
      <c r="H387" s="480"/>
      <c r="I387" s="480"/>
      <c r="J387" s="480"/>
      <c r="K387" s="480"/>
      <c r="L387" s="480"/>
      <c r="M387" s="481"/>
      <c r="N387" s="482"/>
      <c r="O387" s="482"/>
      <c r="P387" s="482"/>
      <c r="Q387" s="482"/>
      <c r="R387" s="298"/>
      <c r="S387" s="86"/>
      <c r="T387" s="86"/>
      <c r="U387" s="86"/>
      <c r="V387" s="86"/>
      <c r="W387" s="86"/>
      <c r="X387" s="86"/>
      <c r="Y387" s="86"/>
      <c r="Z387" s="449"/>
      <c r="AA387" s="449"/>
      <c r="AB387" s="449"/>
      <c r="AC387" s="449"/>
      <c r="AD387" s="449"/>
      <c r="AE387" s="449"/>
    </row>
    <row r="388">
      <c r="A388" s="479"/>
      <c r="B388" s="480"/>
      <c r="C388" s="480"/>
      <c r="D388" s="480"/>
      <c r="E388" s="480"/>
      <c r="F388" s="480"/>
      <c r="G388" s="480"/>
      <c r="H388" s="480"/>
      <c r="I388" s="480"/>
      <c r="J388" s="480"/>
      <c r="K388" s="480"/>
      <c r="L388" s="480"/>
      <c r="M388" s="481"/>
      <c r="N388" s="482"/>
      <c r="O388" s="482"/>
      <c r="P388" s="482"/>
      <c r="Q388" s="482"/>
      <c r="R388" s="298"/>
      <c r="S388" s="86"/>
      <c r="T388" s="86"/>
      <c r="U388" s="86"/>
      <c r="V388" s="86"/>
      <c r="W388" s="86"/>
      <c r="X388" s="86"/>
      <c r="Y388" s="86"/>
      <c r="Z388" s="449"/>
      <c r="AA388" s="449"/>
      <c r="AB388" s="449"/>
      <c r="AC388" s="449"/>
      <c r="AD388" s="449"/>
      <c r="AE388" s="449"/>
    </row>
    <row r="389">
      <c r="A389" s="479"/>
      <c r="B389" s="480"/>
      <c r="C389" s="480"/>
      <c r="D389" s="480"/>
      <c r="E389" s="480"/>
      <c r="F389" s="480"/>
      <c r="G389" s="480"/>
      <c r="H389" s="480"/>
      <c r="I389" s="480"/>
      <c r="J389" s="480"/>
      <c r="K389" s="480"/>
      <c r="L389" s="480"/>
      <c r="M389" s="481"/>
      <c r="N389" s="482"/>
      <c r="O389" s="482"/>
      <c r="P389" s="482"/>
      <c r="Q389" s="482"/>
      <c r="R389" s="298"/>
      <c r="S389" s="86"/>
      <c r="T389" s="86"/>
      <c r="U389" s="86"/>
      <c r="V389" s="86"/>
      <c r="W389" s="86"/>
      <c r="X389" s="86"/>
      <c r="Y389" s="86"/>
      <c r="Z389" s="449"/>
      <c r="AA389" s="449"/>
      <c r="AB389" s="449"/>
      <c r="AC389" s="449"/>
      <c r="AD389" s="449"/>
      <c r="AE389" s="449"/>
    </row>
    <row r="390">
      <c r="A390" s="479"/>
      <c r="B390" s="480"/>
      <c r="C390" s="480"/>
      <c r="D390" s="480"/>
      <c r="E390" s="480"/>
      <c r="F390" s="480"/>
      <c r="G390" s="480"/>
      <c r="H390" s="480"/>
      <c r="I390" s="480"/>
      <c r="J390" s="480"/>
      <c r="K390" s="480"/>
      <c r="L390" s="480"/>
      <c r="M390" s="481"/>
      <c r="N390" s="482"/>
      <c r="O390" s="482"/>
      <c r="P390" s="482"/>
      <c r="Q390" s="482"/>
      <c r="R390" s="298"/>
      <c r="S390" s="86"/>
      <c r="T390" s="86"/>
      <c r="U390" s="86"/>
      <c r="V390" s="86"/>
      <c r="W390" s="86"/>
      <c r="X390" s="86"/>
      <c r="Y390" s="86"/>
      <c r="Z390" s="449"/>
      <c r="AA390" s="449"/>
      <c r="AB390" s="449"/>
      <c r="AC390" s="449"/>
      <c r="AD390" s="449"/>
      <c r="AE390" s="449"/>
    </row>
    <row r="391">
      <c r="A391" s="479"/>
      <c r="B391" s="480"/>
      <c r="C391" s="480"/>
      <c r="D391" s="480"/>
      <c r="E391" s="480"/>
      <c r="F391" s="480"/>
      <c r="G391" s="480"/>
      <c r="H391" s="480"/>
      <c r="I391" s="480"/>
      <c r="J391" s="480"/>
      <c r="K391" s="480"/>
      <c r="L391" s="480"/>
      <c r="M391" s="481"/>
      <c r="N391" s="482"/>
      <c r="O391" s="482"/>
      <c r="P391" s="482"/>
      <c r="Q391" s="482"/>
      <c r="R391" s="298"/>
      <c r="S391" s="86"/>
      <c r="T391" s="86"/>
      <c r="U391" s="86"/>
      <c r="V391" s="86"/>
      <c r="W391" s="86"/>
      <c r="X391" s="86"/>
      <c r="Y391" s="86"/>
      <c r="Z391" s="449"/>
      <c r="AA391" s="449"/>
      <c r="AB391" s="449"/>
      <c r="AC391" s="449"/>
      <c r="AD391" s="449"/>
      <c r="AE391" s="449"/>
    </row>
    <row r="392">
      <c r="A392" s="479"/>
      <c r="B392" s="480"/>
      <c r="C392" s="480"/>
      <c r="D392" s="480"/>
      <c r="E392" s="480"/>
      <c r="F392" s="480"/>
      <c r="G392" s="480"/>
      <c r="H392" s="480"/>
      <c r="I392" s="480"/>
      <c r="J392" s="480"/>
      <c r="K392" s="480"/>
      <c r="L392" s="480"/>
      <c r="M392" s="481"/>
      <c r="N392" s="482"/>
      <c r="O392" s="482"/>
      <c r="P392" s="482"/>
      <c r="Q392" s="482"/>
      <c r="R392" s="298"/>
      <c r="S392" s="86"/>
      <c r="T392" s="86"/>
      <c r="U392" s="86"/>
      <c r="V392" s="86"/>
      <c r="W392" s="86"/>
      <c r="X392" s="86"/>
      <c r="Y392" s="86"/>
      <c r="Z392" s="449"/>
      <c r="AA392" s="449"/>
      <c r="AB392" s="449"/>
      <c r="AC392" s="449"/>
      <c r="AD392" s="449"/>
      <c r="AE392" s="449"/>
    </row>
    <row r="393">
      <c r="A393" s="479"/>
      <c r="B393" s="480"/>
      <c r="C393" s="480"/>
      <c r="D393" s="480"/>
      <c r="E393" s="480"/>
      <c r="F393" s="480"/>
      <c r="G393" s="480"/>
      <c r="H393" s="480"/>
      <c r="I393" s="480"/>
      <c r="J393" s="480"/>
      <c r="K393" s="480"/>
      <c r="L393" s="480"/>
      <c r="M393" s="481"/>
      <c r="N393" s="482"/>
      <c r="O393" s="482"/>
      <c r="P393" s="482"/>
      <c r="Q393" s="482"/>
      <c r="R393" s="298"/>
      <c r="S393" s="86"/>
      <c r="T393" s="86"/>
      <c r="U393" s="86"/>
      <c r="V393" s="86"/>
      <c r="W393" s="86"/>
      <c r="X393" s="86"/>
      <c r="Y393" s="86"/>
      <c r="Z393" s="449"/>
      <c r="AA393" s="449"/>
      <c r="AB393" s="449"/>
      <c r="AC393" s="449"/>
      <c r="AD393" s="449"/>
      <c r="AE393" s="449"/>
    </row>
    <row r="394">
      <c r="A394" s="479"/>
      <c r="B394" s="480"/>
      <c r="C394" s="480"/>
      <c r="D394" s="480"/>
      <c r="E394" s="480"/>
      <c r="F394" s="480"/>
      <c r="G394" s="480"/>
      <c r="H394" s="480"/>
      <c r="I394" s="480"/>
      <c r="J394" s="480"/>
      <c r="K394" s="480"/>
      <c r="L394" s="480"/>
      <c r="M394" s="481"/>
      <c r="N394" s="482"/>
      <c r="O394" s="482"/>
      <c r="P394" s="482"/>
      <c r="Q394" s="482"/>
      <c r="R394" s="298"/>
      <c r="S394" s="86"/>
      <c r="T394" s="86"/>
      <c r="U394" s="86"/>
      <c r="V394" s="86"/>
      <c r="W394" s="86"/>
      <c r="X394" s="86"/>
      <c r="Y394" s="86"/>
      <c r="Z394" s="449"/>
      <c r="AA394" s="449"/>
      <c r="AB394" s="449"/>
      <c r="AC394" s="449"/>
      <c r="AD394" s="449"/>
      <c r="AE394" s="449"/>
    </row>
    <row r="395">
      <c r="A395" s="479"/>
      <c r="B395" s="480"/>
      <c r="C395" s="480"/>
      <c r="D395" s="480"/>
      <c r="E395" s="480"/>
      <c r="F395" s="480"/>
      <c r="G395" s="480"/>
      <c r="H395" s="480"/>
      <c r="I395" s="480"/>
      <c r="J395" s="480"/>
      <c r="K395" s="480"/>
      <c r="L395" s="480"/>
      <c r="M395" s="481"/>
      <c r="N395" s="482"/>
      <c r="O395" s="482"/>
      <c r="P395" s="482"/>
      <c r="Q395" s="482"/>
      <c r="R395" s="298"/>
      <c r="S395" s="86"/>
      <c r="T395" s="86"/>
      <c r="U395" s="86"/>
      <c r="V395" s="86"/>
      <c r="W395" s="86"/>
      <c r="X395" s="86"/>
      <c r="Y395" s="86"/>
      <c r="Z395" s="449"/>
      <c r="AA395" s="449"/>
      <c r="AB395" s="449"/>
      <c r="AC395" s="449"/>
      <c r="AD395" s="449"/>
      <c r="AE395" s="449"/>
    </row>
    <row r="396">
      <c r="A396" s="479"/>
      <c r="B396" s="480"/>
      <c r="C396" s="480"/>
      <c r="D396" s="480"/>
      <c r="E396" s="480"/>
      <c r="F396" s="480"/>
      <c r="G396" s="480"/>
      <c r="H396" s="480"/>
      <c r="I396" s="480"/>
      <c r="J396" s="480"/>
      <c r="K396" s="480"/>
      <c r="L396" s="480"/>
      <c r="M396" s="481"/>
      <c r="N396" s="482"/>
      <c r="O396" s="482"/>
      <c r="P396" s="482"/>
      <c r="Q396" s="482"/>
      <c r="R396" s="298"/>
      <c r="S396" s="86"/>
      <c r="T396" s="86"/>
      <c r="U396" s="86"/>
      <c r="V396" s="86"/>
      <c r="W396" s="86"/>
      <c r="X396" s="86"/>
      <c r="Y396" s="86"/>
      <c r="Z396" s="449"/>
      <c r="AA396" s="449"/>
      <c r="AB396" s="449"/>
      <c r="AC396" s="449"/>
      <c r="AD396" s="449"/>
      <c r="AE396" s="449"/>
    </row>
    <row r="397">
      <c r="A397" s="479"/>
      <c r="B397" s="480"/>
      <c r="C397" s="480"/>
      <c r="D397" s="480"/>
      <c r="E397" s="480"/>
      <c r="F397" s="480"/>
      <c r="G397" s="480"/>
      <c r="H397" s="480"/>
      <c r="I397" s="480"/>
      <c r="J397" s="480"/>
      <c r="K397" s="480"/>
      <c r="L397" s="480"/>
      <c r="M397" s="481"/>
      <c r="N397" s="482"/>
      <c r="O397" s="482"/>
      <c r="P397" s="482"/>
      <c r="Q397" s="482"/>
      <c r="R397" s="298"/>
      <c r="S397" s="86"/>
      <c r="T397" s="86"/>
      <c r="U397" s="86"/>
      <c r="V397" s="86"/>
      <c r="W397" s="86"/>
      <c r="X397" s="86"/>
      <c r="Y397" s="86"/>
      <c r="Z397" s="449"/>
      <c r="AA397" s="449"/>
      <c r="AB397" s="449"/>
      <c r="AC397" s="449"/>
      <c r="AD397" s="449"/>
      <c r="AE397" s="449"/>
    </row>
    <row r="398">
      <c r="A398" s="479"/>
      <c r="B398" s="480"/>
      <c r="C398" s="480"/>
      <c r="D398" s="480"/>
      <c r="E398" s="480"/>
      <c r="F398" s="480"/>
      <c r="G398" s="480"/>
      <c r="H398" s="480"/>
      <c r="I398" s="480"/>
      <c r="J398" s="480"/>
      <c r="K398" s="480"/>
      <c r="L398" s="480"/>
      <c r="M398" s="481"/>
      <c r="N398" s="482"/>
      <c r="O398" s="482"/>
      <c r="P398" s="482"/>
      <c r="Q398" s="482"/>
      <c r="R398" s="298"/>
      <c r="S398" s="86"/>
      <c r="T398" s="86"/>
      <c r="U398" s="86"/>
      <c r="V398" s="86"/>
      <c r="W398" s="86"/>
      <c r="X398" s="86"/>
      <c r="Y398" s="86"/>
      <c r="Z398" s="449"/>
      <c r="AA398" s="449"/>
      <c r="AB398" s="449"/>
      <c r="AC398" s="449"/>
      <c r="AD398" s="449"/>
      <c r="AE398" s="449"/>
    </row>
    <row r="399">
      <c r="A399" s="479"/>
      <c r="B399" s="480"/>
      <c r="C399" s="480"/>
      <c r="D399" s="480"/>
      <c r="E399" s="480"/>
      <c r="F399" s="480"/>
      <c r="G399" s="480"/>
      <c r="H399" s="480"/>
      <c r="I399" s="480"/>
      <c r="J399" s="480"/>
      <c r="K399" s="480"/>
      <c r="L399" s="480"/>
      <c r="M399" s="481"/>
      <c r="N399" s="482"/>
      <c r="O399" s="482"/>
      <c r="P399" s="482"/>
      <c r="Q399" s="482"/>
      <c r="R399" s="298"/>
      <c r="S399" s="86"/>
      <c r="T399" s="86"/>
      <c r="U399" s="86"/>
      <c r="V399" s="86"/>
      <c r="W399" s="86"/>
      <c r="X399" s="86"/>
      <c r="Y399" s="86"/>
      <c r="Z399" s="449"/>
      <c r="AA399" s="449"/>
      <c r="AB399" s="449"/>
      <c r="AC399" s="449"/>
      <c r="AD399" s="449"/>
      <c r="AE399" s="449"/>
    </row>
    <row r="400">
      <c r="A400" s="479"/>
      <c r="B400" s="480"/>
      <c r="C400" s="480"/>
      <c r="D400" s="480"/>
      <c r="E400" s="480"/>
      <c r="F400" s="480"/>
      <c r="G400" s="480"/>
      <c r="H400" s="480"/>
      <c r="I400" s="480"/>
      <c r="J400" s="480"/>
      <c r="K400" s="480"/>
      <c r="L400" s="480"/>
      <c r="M400" s="481"/>
      <c r="N400" s="482"/>
      <c r="O400" s="482"/>
      <c r="P400" s="482"/>
      <c r="Q400" s="482"/>
      <c r="R400" s="298"/>
      <c r="S400" s="86"/>
      <c r="T400" s="86"/>
      <c r="U400" s="86"/>
      <c r="V400" s="86"/>
      <c r="W400" s="86"/>
      <c r="X400" s="86"/>
      <c r="Y400" s="86"/>
      <c r="Z400" s="449"/>
      <c r="AA400" s="449"/>
      <c r="AB400" s="449"/>
      <c r="AC400" s="449"/>
      <c r="AD400" s="449"/>
      <c r="AE400" s="449"/>
    </row>
    <row r="401">
      <c r="A401" s="479"/>
      <c r="B401" s="480"/>
      <c r="C401" s="480"/>
      <c r="D401" s="480"/>
      <c r="E401" s="480"/>
      <c r="F401" s="480"/>
      <c r="G401" s="480"/>
      <c r="H401" s="480"/>
      <c r="I401" s="480"/>
      <c r="J401" s="480"/>
      <c r="K401" s="480"/>
      <c r="L401" s="480"/>
      <c r="M401" s="481"/>
      <c r="N401" s="482"/>
      <c r="O401" s="482"/>
      <c r="P401" s="482"/>
      <c r="Q401" s="482"/>
      <c r="R401" s="298"/>
      <c r="S401" s="86"/>
      <c r="T401" s="86"/>
      <c r="U401" s="86"/>
      <c r="V401" s="86"/>
      <c r="W401" s="86"/>
      <c r="X401" s="86"/>
      <c r="Y401" s="86"/>
      <c r="Z401" s="449"/>
      <c r="AA401" s="449"/>
      <c r="AB401" s="449"/>
      <c r="AC401" s="449"/>
      <c r="AD401" s="449"/>
      <c r="AE401" s="449"/>
    </row>
    <row r="402">
      <c r="A402" s="479"/>
      <c r="B402" s="480"/>
      <c r="C402" s="480"/>
      <c r="D402" s="480"/>
      <c r="E402" s="480"/>
      <c r="F402" s="480"/>
      <c r="G402" s="480"/>
      <c r="H402" s="480"/>
      <c r="I402" s="480"/>
      <c r="J402" s="480"/>
      <c r="K402" s="480"/>
      <c r="L402" s="480"/>
      <c r="M402" s="481"/>
      <c r="N402" s="482"/>
      <c r="O402" s="482"/>
      <c r="P402" s="482"/>
      <c r="Q402" s="482"/>
      <c r="R402" s="298"/>
      <c r="S402" s="86"/>
      <c r="T402" s="86"/>
      <c r="U402" s="86"/>
      <c r="V402" s="86"/>
      <c r="W402" s="86"/>
      <c r="X402" s="86"/>
      <c r="Y402" s="86"/>
      <c r="Z402" s="449"/>
      <c r="AA402" s="449"/>
      <c r="AB402" s="449"/>
      <c r="AC402" s="449"/>
      <c r="AD402" s="449"/>
      <c r="AE402" s="449"/>
    </row>
    <row r="403">
      <c r="A403" s="479"/>
      <c r="B403" s="480"/>
      <c r="C403" s="480"/>
      <c r="D403" s="480"/>
      <c r="E403" s="480"/>
      <c r="F403" s="480"/>
      <c r="G403" s="480"/>
      <c r="H403" s="480"/>
      <c r="I403" s="480"/>
      <c r="J403" s="480"/>
      <c r="K403" s="480"/>
      <c r="L403" s="480"/>
      <c r="M403" s="481"/>
      <c r="N403" s="482"/>
      <c r="O403" s="482"/>
      <c r="P403" s="482"/>
      <c r="Q403" s="482"/>
      <c r="R403" s="298"/>
      <c r="S403" s="86"/>
      <c r="T403" s="86"/>
      <c r="U403" s="86"/>
      <c r="V403" s="86"/>
      <c r="W403" s="86"/>
      <c r="X403" s="86"/>
      <c r="Y403" s="86"/>
      <c r="Z403" s="449"/>
      <c r="AA403" s="449"/>
      <c r="AB403" s="449"/>
      <c r="AC403" s="449"/>
      <c r="AD403" s="449"/>
      <c r="AE403" s="449"/>
    </row>
    <row r="404">
      <c r="A404" s="479"/>
      <c r="B404" s="480"/>
      <c r="C404" s="480"/>
      <c r="D404" s="480"/>
      <c r="E404" s="480"/>
      <c r="F404" s="480"/>
      <c r="G404" s="480"/>
      <c r="H404" s="480"/>
      <c r="I404" s="480"/>
      <c r="J404" s="480"/>
      <c r="K404" s="480"/>
      <c r="L404" s="480"/>
      <c r="M404" s="481"/>
      <c r="N404" s="482"/>
      <c r="O404" s="482"/>
      <c r="P404" s="482"/>
      <c r="Q404" s="482"/>
      <c r="R404" s="298"/>
      <c r="S404" s="86"/>
      <c r="T404" s="86"/>
      <c r="U404" s="86"/>
      <c r="V404" s="86"/>
      <c r="W404" s="86"/>
      <c r="X404" s="86"/>
      <c r="Y404" s="86"/>
      <c r="Z404" s="449"/>
      <c r="AA404" s="449"/>
      <c r="AB404" s="449"/>
      <c r="AC404" s="449"/>
      <c r="AD404" s="449"/>
      <c r="AE404" s="449"/>
    </row>
    <row r="405">
      <c r="A405" s="479"/>
      <c r="B405" s="480"/>
      <c r="C405" s="480"/>
      <c r="D405" s="480"/>
      <c r="E405" s="480"/>
      <c r="F405" s="480"/>
      <c r="G405" s="480"/>
      <c r="H405" s="480"/>
      <c r="I405" s="480"/>
      <c r="J405" s="480"/>
      <c r="K405" s="480"/>
      <c r="L405" s="480"/>
      <c r="M405" s="481"/>
      <c r="N405" s="482"/>
      <c r="O405" s="482"/>
      <c r="P405" s="482"/>
      <c r="Q405" s="482"/>
      <c r="R405" s="298"/>
      <c r="S405" s="86"/>
      <c r="T405" s="86"/>
      <c r="U405" s="86"/>
      <c r="V405" s="86"/>
      <c r="W405" s="86"/>
      <c r="X405" s="86"/>
      <c r="Y405" s="86"/>
      <c r="Z405" s="449"/>
      <c r="AA405" s="449"/>
      <c r="AB405" s="449"/>
      <c r="AC405" s="449"/>
      <c r="AD405" s="449"/>
      <c r="AE405" s="449"/>
    </row>
    <row r="406">
      <c r="A406" s="479"/>
      <c r="B406" s="480"/>
      <c r="C406" s="480"/>
      <c r="D406" s="480"/>
      <c r="E406" s="480"/>
      <c r="F406" s="480"/>
      <c r="G406" s="480"/>
      <c r="H406" s="480"/>
      <c r="I406" s="480"/>
      <c r="J406" s="480"/>
      <c r="K406" s="480"/>
      <c r="L406" s="480"/>
      <c r="M406" s="481"/>
      <c r="N406" s="482"/>
      <c r="O406" s="482"/>
      <c r="P406" s="482"/>
      <c r="Q406" s="482"/>
      <c r="R406" s="298"/>
      <c r="S406" s="86"/>
      <c r="T406" s="86"/>
      <c r="U406" s="86"/>
      <c r="V406" s="86"/>
      <c r="W406" s="86"/>
      <c r="X406" s="86"/>
      <c r="Y406" s="86"/>
      <c r="Z406" s="449"/>
      <c r="AA406" s="449"/>
      <c r="AB406" s="449"/>
      <c r="AC406" s="449"/>
      <c r="AD406" s="449"/>
      <c r="AE406" s="449"/>
    </row>
    <row r="407">
      <c r="A407" s="479"/>
      <c r="B407" s="480"/>
      <c r="C407" s="480"/>
      <c r="D407" s="480"/>
      <c r="E407" s="480"/>
      <c r="F407" s="480"/>
      <c r="G407" s="480"/>
      <c r="H407" s="480"/>
      <c r="I407" s="480"/>
      <c r="J407" s="480"/>
      <c r="K407" s="480"/>
      <c r="L407" s="480"/>
      <c r="M407" s="481"/>
      <c r="N407" s="482"/>
      <c r="O407" s="482"/>
      <c r="P407" s="482"/>
      <c r="Q407" s="482"/>
      <c r="R407" s="298"/>
      <c r="S407" s="86"/>
      <c r="T407" s="86"/>
      <c r="U407" s="86"/>
      <c r="V407" s="86"/>
      <c r="W407" s="86"/>
      <c r="X407" s="86"/>
      <c r="Y407" s="86"/>
      <c r="Z407" s="449"/>
      <c r="AA407" s="449"/>
      <c r="AB407" s="449"/>
      <c r="AC407" s="449"/>
      <c r="AD407" s="449"/>
      <c r="AE407" s="449"/>
    </row>
    <row r="408">
      <c r="A408" s="479"/>
      <c r="B408" s="480"/>
      <c r="C408" s="480"/>
      <c r="D408" s="480"/>
      <c r="E408" s="480"/>
      <c r="F408" s="480"/>
      <c r="G408" s="480"/>
      <c r="H408" s="480"/>
      <c r="I408" s="480"/>
      <c r="J408" s="480"/>
      <c r="K408" s="480"/>
      <c r="L408" s="480"/>
      <c r="M408" s="481"/>
      <c r="N408" s="482"/>
      <c r="O408" s="482"/>
      <c r="P408" s="482"/>
      <c r="Q408" s="482"/>
      <c r="R408" s="298"/>
      <c r="S408" s="86"/>
      <c r="T408" s="86"/>
      <c r="U408" s="86"/>
      <c r="V408" s="86"/>
      <c r="W408" s="86"/>
      <c r="X408" s="86"/>
      <c r="Y408" s="86"/>
      <c r="Z408" s="449"/>
      <c r="AA408" s="449"/>
      <c r="AB408" s="449"/>
      <c r="AC408" s="449"/>
      <c r="AD408" s="449"/>
      <c r="AE408" s="449"/>
    </row>
    <row r="409">
      <c r="A409" s="479"/>
      <c r="B409" s="480"/>
      <c r="C409" s="480"/>
      <c r="D409" s="480"/>
      <c r="E409" s="480"/>
      <c r="F409" s="480"/>
      <c r="G409" s="480"/>
      <c r="H409" s="480"/>
      <c r="I409" s="480"/>
      <c r="J409" s="480"/>
      <c r="K409" s="480"/>
      <c r="L409" s="480"/>
      <c r="M409" s="481"/>
      <c r="N409" s="482"/>
      <c r="O409" s="482"/>
      <c r="P409" s="482"/>
      <c r="Q409" s="482"/>
      <c r="R409" s="298"/>
      <c r="S409" s="86"/>
      <c r="T409" s="86"/>
      <c r="U409" s="86"/>
      <c r="V409" s="86"/>
      <c r="W409" s="86"/>
      <c r="X409" s="86"/>
      <c r="Y409" s="86"/>
      <c r="Z409" s="449"/>
      <c r="AA409" s="449"/>
      <c r="AB409" s="449"/>
      <c r="AC409" s="449"/>
      <c r="AD409" s="449"/>
      <c r="AE409" s="449"/>
    </row>
    <row r="410">
      <c r="A410" s="479"/>
      <c r="B410" s="480"/>
      <c r="C410" s="480"/>
      <c r="D410" s="480"/>
      <c r="E410" s="480"/>
      <c r="F410" s="480"/>
      <c r="G410" s="480"/>
      <c r="H410" s="480"/>
      <c r="I410" s="480"/>
      <c r="J410" s="480"/>
      <c r="K410" s="480"/>
      <c r="L410" s="480"/>
      <c r="M410" s="481"/>
      <c r="N410" s="482"/>
      <c r="O410" s="482"/>
      <c r="P410" s="482"/>
      <c r="Q410" s="482"/>
      <c r="R410" s="298"/>
      <c r="S410" s="86"/>
      <c r="T410" s="86"/>
      <c r="U410" s="86"/>
      <c r="V410" s="86"/>
      <c r="W410" s="86"/>
      <c r="X410" s="86"/>
      <c r="Y410" s="86"/>
      <c r="Z410" s="449"/>
      <c r="AA410" s="449"/>
      <c r="AB410" s="449"/>
      <c r="AC410" s="449"/>
      <c r="AD410" s="449"/>
      <c r="AE410" s="449"/>
    </row>
    <row r="411">
      <c r="A411" s="479"/>
      <c r="B411" s="480"/>
      <c r="C411" s="480"/>
      <c r="D411" s="480"/>
      <c r="E411" s="480"/>
      <c r="F411" s="480"/>
      <c r="G411" s="480"/>
      <c r="H411" s="480"/>
      <c r="I411" s="480"/>
      <c r="J411" s="480"/>
      <c r="K411" s="480"/>
      <c r="L411" s="480"/>
      <c r="M411" s="481"/>
      <c r="N411" s="482"/>
      <c r="O411" s="482"/>
      <c r="P411" s="482"/>
      <c r="Q411" s="482"/>
      <c r="R411" s="298"/>
      <c r="S411" s="86"/>
      <c r="T411" s="86"/>
      <c r="U411" s="86"/>
      <c r="V411" s="86"/>
      <c r="W411" s="86"/>
      <c r="X411" s="86"/>
      <c r="Y411" s="86"/>
      <c r="Z411" s="449"/>
      <c r="AA411" s="449"/>
      <c r="AB411" s="449"/>
      <c r="AC411" s="449"/>
      <c r="AD411" s="449"/>
      <c r="AE411" s="449"/>
    </row>
    <row r="412">
      <c r="A412" s="479"/>
      <c r="B412" s="480"/>
      <c r="C412" s="480"/>
      <c r="D412" s="480"/>
      <c r="E412" s="480"/>
      <c r="F412" s="480"/>
      <c r="G412" s="480"/>
      <c r="H412" s="480"/>
      <c r="I412" s="480"/>
      <c r="J412" s="480"/>
      <c r="K412" s="480"/>
      <c r="L412" s="480"/>
      <c r="M412" s="481"/>
      <c r="N412" s="482"/>
      <c r="O412" s="482"/>
      <c r="P412" s="482"/>
      <c r="Q412" s="482"/>
      <c r="R412" s="298"/>
      <c r="S412" s="86"/>
      <c r="T412" s="86"/>
      <c r="U412" s="86"/>
      <c r="V412" s="86"/>
      <c r="W412" s="86"/>
      <c r="X412" s="86"/>
      <c r="Y412" s="86"/>
      <c r="Z412" s="449"/>
      <c r="AA412" s="449"/>
      <c r="AB412" s="449"/>
      <c r="AC412" s="449"/>
      <c r="AD412" s="449"/>
      <c r="AE412" s="449"/>
    </row>
    <row r="413">
      <c r="A413" s="479"/>
      <c r="B413" s="480"/>
      <c r="C413" s="480"/>
      <c r="D413" s="480"/>
      <c r="E413" s="480"/>
      <c r="F413" s="480"/>
      <c r="G413" s="480"/>
      <c r="H413" s="480"/>
      <c r="I413" s="480"/>
      <c r="J413" s="480"/>
      <c r="K413" s="480"/>
      <c r="L413" s="480"/>
      <c r="M413" s="481"/>
      <c r="N413" s="482"/>
      <c r="O413" s="482"/>
      <c r="P413" s="482"/>
      <c r="Q413" s="482"/>
      <c r="R413" s="298"/>
      <c r="S413" s="86"/>
      <c r="T413" s="86"/>
      <c r="U413" s="86"/>
      <c r="V413" s="86"/>
      <c r="W413" s="86"/>
      <c r="X413" s="86"/>
      <c r="Y413" s="86"/>
      <c r="Z413" s="449"/>
      <c r="AA413" s="449"/>
      <c r="AB413" s="449"/>
      <c r="AC413" s="449"/>
      <c r="AD413" s="449"/>
      <c r="AE413" s="449"/>
    </row>
    <row r="414">
      <c r="A414" s="479"/>
      <c r="B414" s="480"/>
      <c r="C414" s="480"/>
      <c r="D414" s="480"/>
      <c r="E414" s="480"/>
      <c r="F414" s="480"/>
      <c r="G414" s="480"/>
      <c r="H414" s="480"/>
      <c r="I414" s="480"/>
      <c r="J414" s="480"/>
      <c r="K414" s="480"/>
      <c r="L414" s="480"/>
      <c r="M414" s="481"/>
      <c r="N414" s="482"/>
      <c r="O414" s="482"/>
      <c r="P414" s="482"/>
      <c r="Q414" s="482"/>
      <c r="R414" s="298"/>
      <c r="S414" s="86"/>
      <c r="T414" s="86"/>
      <c r="U414" s="86"/>
      <c r="V414" s="86"/>
      <c r="W414" s="86"/>
      <c r="X414" s="86"/>
      <c r="Y414" s="86"/>
      <c r="Z414" s="449"/>
      <c r="AA414" s="449"/>
      <c r="AB414" s="449"/>
      <c r="AC414" s="449"/>
      <c r="AD414" s="449"/>
      <c r="AE414" s="449"/>
    </row>
    <row r="415">
      <c r="A415" s="479"/>
      <c r="B415" s="480"/>
      <c r="C415" s="480"/>
      <c r="D415" s="480"/>
      <c r="E415" s="480"/>
      <c r="F415" s="480"/>
      <c r="G415" s="480"/>
      <c r="H415" s="480"/>
      <c r="I415" s="480"/>
      <c r="J415" s="480"/>
      <c r="K415" s="480"/>
      <c r="L415" s="480"/>
      <c r="M415" s="481"/>
      <c r="N415" s="482"/>
      <c r="O415" s="482"/>
      <c r="P415" s="482"/>
      <c r="Q415" s="482"/>
      <c r="R415" s="298"/>
      <c r="S415" s="86"/>
      <c r="T415" s="86"/>
      <c r="U415" s="86"/>
      <c r="V415" s="86"/>
      <c r="W415" s="86"/>
      <c r="X415" s="86"/>
      <c r="Y415" s="86"/>
      <c r="Z415" s="449"/>
      <c r="AA415" s="449"/>
      <c r="AB415" s="449"/>
      <c r="AC415" s="449"/>
      <c r="AD415" s="449"/>
      <c r="AE415" s="449"/>
    </row>
    <row r="416">
      <c r="A416" s="479"/>
      <c r="B416" s="480"/>
      <c r="C416" s="480"/>
      <c r="D416" s="480"/>
      <c r="E416" s="480"/>
      <c r="F416" s="480"/>
      <c r="G416" s="480"/>
      <c r="H416" s="480"/>
      <c r="I416" s="480"/>
      <c r="J416" s="480"/>
      <c r="K416" s="480"/>
      <c r="L416" s="480"/>
      <c r="M416" s="481"/>
      <c r="N416" s="482"/>
      <c r="O416" s="482"/>
      <c r="P416" s="482"/>
      <c r="Q416" s="482"/>
      <c r="R416" s="298"/>
      <c r="S416" s="86"/>
      <c r="T416" s="86"/>
      <c r="U416" s="86"/>
      <c r="V416" s="86"/>
      <c r="W416" s="86"/>
      <c r="X416" s="86"/>
      <c r="Y416" s="86"/>
      <c r="Z416" s="449"/>
      <c r="AA416" s="449"/>
      <c r="AB416" s="449"/>
      <c r="AC416" s="449"/>
      <c r="AD416" s="449"/>
      <c r="AE416" s="449"/>
    </row>
    <row r="417">
      <c r="A417" s="479"/>
      <c r="B417" s="480"/>
      <c r="C417" s="480"/>
      <c r="D417" s="480"/>
      <c r="E417" s="480"/>
      <c r="F417" s="480"/>
      <c r="G417" s="480"/>
      <c r="H417" s="480"/>
      <c r="I417" s="480"/>
      <c r="J417" s="480"/>
      <c r="K417" s="480"/>
      <c r="L417" s="480"/>
      <c r="M417" s="481"/>
      <c r="N417" s="482"/>
      <c r="O417" s="482"/>
      <c r="P417" s="482"/>
      <c r="Q417" s="482"/>
      <c r="R417" s="298"/>
      <c r="S417" s="86"/>
      <c r="T417" s="86"/>
      <c r="U417" s="86"/>
      <c r="V417" s="86"/>
      <c r="W417" s="86"/>
      <c r="X417" s="86"/>
      <c r="Y417" s="86"/>
      <c r="Z417" s="449"/>
      <c r="AA417" s="449"/>
      <c r="AB417" s="449"/>
      <c r="AC417" s="449"/>
      <c r="AD417" s="449"/>
      <c r="AE417" s="449"/>
    </row>
    <row r="418">
      <c r="A418" s="479"/>
      <c r="B418" s="480"/>
      <c r="C418" s="480"/>
      <c r="D418" s="480"/>
      <c r="E418" s="480"/>
      <c r="F418" s="480"/>
      <c r="G418" s="480"/>
      <c r="H418" s="480"/>
      <c r="I418" s="480"/>
      <c r="J418" s="480"/>
      <c r="K418" s="480"/>
      <c r="L418" s="480"/>
      <c r="M418" s="481"/>
      <c r="N418" s="482"/>
      <c r="O418" s="482"/>
      <c r="P418" s="482"/>
      <c r="Q418" s="482"/>
      <c r="R418" s="298"/>
      <c r="S418" s="86"/>
      <c r="T418" s="86"/>
      <c r="U418" s="86"/>
      <c r="V418" s="86"/>
      <c r="W418" s="86"/>
      <c r="X418" s="86"/>
      <c r="Y418" s="86"/>
      <c r="Z418" s="449"/>
      <c r="AA418" s="449"/>
      <c r="AB418" s="449"/>
      <c r="AC418" s="449"/>
      <c r="AD418" s="449"/>
      <c r="AE418" s="449"/>
    </row>
    <row r="419">
      <c r="A419" s="479"/>
      <c r="B419" s="480"/>
      <c r="C419" s="480"/>
      <c r="D419" s="480"/>
      <c r="E419" s="480"/>
      <c r="F419" s="480"/>
      <c r="G419" s="480"/>
      <c r="H419" s="480"/>
      <c r="I419" s="480"/>
      <c r="J419" s="480"/>
      <c r="K419" s="480"/>
      <c r="L419" s="480"/>
      <c r="M419" s="481"/>
      <c r="N419" s="482"/>
      <c r="O419" s="482"/>
      <c r="P419" s="482"/>
      <c r="Q419" s="482"/>
      <c r="R419" s="298"/>
      <c r="S419" s="86"/>
      <c r="T419" s="86"/>
      <c r="U419" s="86"/>
      <c r="V419" s="86"/>
      <c r="W419" s="86"/>
      <c r="X419" s="86"/>
      <c r="Y419" s="86"/>
      <c r="Z419" s="449"/>
      <c r="AA419" s="449"/>
      <c r="AB419" s="449"/>
      <c r="AC419" s="449"/>
      <c r="AD419" s="449"/>
      <c r="AE419" s="449"/>
    </row>
    <row r="420">
      <c r="A420" s="479"/>
      <c r="B420" s="480"/>
      <c r="C420" s="480"/>
      <c r="D420" s="480"/>
      <c r="E420" s="480"/>
      <c r="F420" s="480"/>
      <c r="G420" s="480"/>
      <c r="H420" s="480"/>
      <c r="I420" s="480"/>
      <c r="J420" s="480"/>
      <c r="K420" s="480"/>
      <c r="L420" s="480"/>
      <c r="M420" s="481"/>
      <c r="N420" s="482"/>
      <c r="O420" s="482"/>
      <c r="P420" s="482"/>
      <c r="Q420" s="482"/>
      <c r="R420" s="298"/>
      <c r="S420" s="86"/>
      <c r="T420" s="86"/>
      <c r="U420" s="86"/>
      <c r="V420" s="86"/>
      <c r="W420" s="86"/>
      <c r="X420" s="86"/>
      <c r="Y420" s="86"/>
      <c r="Z420" s="449"/>
      <c r="AA420" s="449"/>
      <c r="AB420" s="449"/>
      <c r="AC420" s="449"/>
      <c r="AD420" s="449"/>
      <c r="AE420" s="449"/>
    </row>
    <row r="421">
      <c r="A421" s="479"/>
      <c r="B421" s="480"/>
      <c r="C421" s="480"/>
      <c r="D421" s="480"/>
      <c r="E421" s="480"/>
      <c r="F421" s="480"/>
      <c r="G421" s="480"/>
      <c r="H421" s="480"/>
      <c r="I421" s="480"/>
      <c r="J421" s="480"/>
      <c r="K421" s="480"/>
      <c r="L421" s="480"/>
      <c r="M421" s="481"/>
      <c r="N421" s="482"/>
      <c r="O421" s="482"/>
      <c r="P421" s="482"/>
      <c r="Q421" s="482"/>
      <c r="R421" s="298"/>
      <c r="S421" s="86"/>
      <c r="T421" s="86"/>
      <c r="U421" s="86"/>
      <c r="V421" s="86"/>
      <c r="W421" s="86"/>
      <c r="X421" s="86"/>
      <c r="Y421" s="86"/>
      <c r="Z421" s="449"/>
      <c r="AA421" s="449"/>
      <c r="AB421" s="449"/>
      <c r="AC421" s="449"/>
      <c r="AD421" s="449"/>
      <c r="AE421" s="449"/>
    </row>
    <row r="422">
      <c r="A422" s="479"/>
      <c r="B422" s="480"/>
      <c r="C422" s="480"/>
      <c r="D422" s="480"/>
      <c r="E422" s="480"/>
      <c r="F422" s="480"/>
      <c r="G422" s="480"/>
      <c r="H422" s="480"/>
      <c r="I422" s="480"/>
      <c r="J422" s="480"/>
      <c r="K422" s="480"/>
      <c r="L422" s="480"/>
      <c r="M422" s="481"/>
      <c r="N422" s="482"/>
      <c r="O422" s="482"/>
      <c r="P422" s="482"/>
      <c r="Q422" s="482"/>
      <c r="R422" s="298"/>
      <c r="S422" s="86"/>
      <c r="T422" s="86"/>
      <c r="U422" s="86"/>
      <c r="V422" s="86"/>
      <c r="W422" s="86"/>
      <c r="X422" s="86"/>
      <c r="Y422" s="86"/>
      <c r="Z422" s="449"/>
      <c r="AA422" s="449"/>
      <c r="AB422" s="449"/>
      <c r="AC422" s="449"/>
      <c r="AD422" s="449"/>
      <c r="AE422" s="449"/>
    </row>
    <row r="423">
      <c r="A423" s="479"/>
      <c r="B423" s="480"/>
      <c r="C423" s="480"/>
      <c r="D423" s="480"/>
      <c r="E423" s="480"/>
      <c r="F423" s="480"/>
      <c r="G423" s="480"/>
      <c r="H423" s="480"/>
      <c r="I423" s="480"/>
      <c r="J423" s="480"/>
      <c r="K423" s="480"/>
      <c r="L423" s="480"/>
      <c r="M423" s="481"/>
      <c r="N423" s="482"/>
      <c r="O423" s="482"/>
      <c r="P423" s="482"/>
      <c r="Q423" s="482"/>
      <c r="R423" s="298"/>
      <c r="S423" s="86"/>
      <c r="T423" s="86"/>
      <c r="U423" s="86"/>
      <c r="V423" s="86"/>
      <c r="W423" s="86"/>
      <c r="X423" s="86"/>
      <c r="Y423" s="86"/>
      <c r="Z423" s="449"/>
      <c r="AA423" s="449"/>
      <c r="AB423" s="449"/>
      <c r="AC423" s="449"/>
      <c r="AD423" s="449"/>
      <c r="AE423" s="449"/>
    </row>
    <row r="424">
      <c r="A424" s="479"/>
      <c r="B424" s="480"/>
      <c r="C424" s="480"/>
      <c r="D424" s="480"/>
      <c r="E424" s="480"/>
      <c r="F424" s="480"/>
      <c r="G424" s="480"/>
      <c r="H424" s="480"/>
      <c r="I424" s="480"/>
      <c r="J424" s="480"/>
      <c r="K424" s="480"/>
      <c r="L424" s="480"/>
      <c r="M424" s="481"/>
      <c r="N424" s="482"/>
      <c r="O424" s="482"/>
      <c r="P424" s="482"/>
      <c r="Q424" s="482"/>
      <c r="R424" s="298"/>
      <c r="S424" s="86"/>
      <c r="T424" s="86"/>
      <c r="U424" s="86"/>
      <c r="V424" s="86"/>
      <c r="W424" s="86"/>
      <c r="X424" s="86"/>
      <c r="Y424" s="86"/>
      <c r="Z424" s="449"/>
      <c r="AA424" s="449"/>
      <c r="AB424" s="449"/>
      <c r="AC424" s="449"/>
      <c r="AD424" s="449"/>
      <c r="AE424" s="449"/>
    </row>
    <row r="425">
      <c r="A425" s="479"/>
      <c r="B425" s="480"/>
      <c r="C425" s="480"/>
      <c r="D425" s="480"/>
      <c r="E425" s="480"/>
      <c r="F425" s="480"/>
      <c r="G425" s="480"/>
      <c r="H425" s="480"/>
      <c r="I425" s="480"/>
      <c r="J425" s="480"/>
      <c r="K425" s="480"/>
      <c r="L425" s="480"/>
      <c r="M425" s="481"/>
      <c r="N425" s="482"/>
      <c r="O425" s="482"/>
      <c r="P425" s="482"/>
      <c r="Q425" s="482"/>
      <c r="R425" s="298"/>
      <c r="S425" s="86"/>
      <c r="T425" s="86"/>
      <c r="U425" s="86"/>
      <c r="V425" s="86"/>
      <c r="W425" s="86"/>
      <c r="X425" s="86"/>
      <c r="Y425" s="86"/>
      <c r="Z425" s="449"/>
      <c r="AA425" s="449"/>
      <c r="AB425" s="449"/>
      <c r="AC425" s="449"/>
      <c r="AD425" s="449"/>
      <c r="AE425" s="449"/>
    </row>
    <row r="426">
      <c r="A426" s="479"/>
      <c r="B426" s="480"/>
      <c r="C426" s="480"/>
      <c r="D426" s="480"/>
      <c r="E426" s="480"/>
      <c r="F426" s="480"/>
      <c r="G426" s="480"/>
      <c r="H426" s="480"/>
      <c r="I426" s="480"/>
      <c r="J426" s="480"/>
      <c r="K426" s="480"/>
      <c r="L426" s="480"/>
      <c r="M426" s="481"/>
      <c r="N426" s="482"/>
      <c r="O426" s="482"/>
      <c r="P426" s="482"/>
      <c r="Q426" s="482"/>
      <c r="R426" s="298"/>
      <c r="S426" s="86"/>
      <c r="T426" s="86"/>
      <c r="U426" s="86"/>
      <c r="V426" s="86"/>
      <c r="W426" s="86"/>
      <c r="X426" s="86"/>
      <c r="Y426" s="86"/>
      <c r="Z426" s="449"/>
      <c r="AA426" s="449"/>
      <c r="AB426" s="449"/>
      <c r="AC426" s="449"/>
      <c r="AD426" s="449"/>
      <c r="AE426" s="449"/>
    </row>
    <row r="427">
      <c r="A427" s="479"/>
      <c r="B427" s="480"/>
      <c r="C427" s="480"/>
      <c r="D427" s="480"/>
      <c r="E427" s="480"/>
      <c r="F427" s="480"/>
      <c r="G427" s="480"/>
      <c r="H427" s="480"/>
      <c r="I427" s="480"/>
      <c r="J427" s="480"/>
      <c r="K427" s="480"/>
      <c r="L427" s="480"/>
      <c r="M427" s="481"/>
      <c r="N427" s="482"/>
      <c r="O427" s="482"/>
      <c r="P427" s="482"/>
      <c r="Q427" s="482"/>
      <c r="R427" s="298"/>
      <c r="S427" s="86"/>
      <c r="T427" s="86"/>
      <c r="U427" s="86"/>
      <c r="V427" s="86"/>
      <c r="W427" s="86"/>
      <c r="X427" s="86"/>
      <c r="Y427" s="86"/>
      <c r="Z427" s="449"/>
      <c r="AA427" s="449"/>
      <c r="AB427" s="449"/>
      <c r="AC427" s="449"/>
      <c r="AD427" s="449"/>
      <c r="AE427" s="449"/>
    </row>
    <row r="428">
      <c r="A428" s="479"/>
      <c r="B428" s="480"/>
      <c r="C428" s="480"/>
      <c r="D428" s="480"/>
      <c r="E428" s="480"/>
      <c r="F428" s="480"/>
      <c r="G428" s="480"/>
      <c r="H428" s="480"/>
      <c r="I428" s="480"/>
      <c r="J428" s="480"/>
      <c r="K428" s="480"/>
      <c r="L428" s="480"/>
      <c r="M428" s="481"/>
      <c r="N428" s="482"/>
      <c r="O428" s="482"/>
      <c r="P428" s="482"/>
      <c r="Q428" s="482"/>
      <c r="R428" s="298"/>
      <c r="S428" s="86"/>
      <c r="T428" s="86"/>
      <c r="U428" s="86"/>
      <c r="V428" s="86"/>
      <c r="W428" s="86"/>
      <c r="X428" s="86"/>
      <c r="Y428" s="86"/>
      <c r="Z428" s="449"/>
      <c r="AA428" s="449"/>
      <c r="AB428" s="449"/>
      <c r="AC428" s="449"/>
      <c r="AD428" s="449"/>
      <c r="AE428" s="449"/>
    </row>
    <row r="429">
      <c r="A429" s="479"/>
      <c r="B429" s="480"/>
      <c r="C429" s="480"/>
      <c r="D429" s="480"/>
      <c r="E429" s="480"/>
      <c r="F429" s="480"/>
      <c r="G429" s="480"/>
      <c r="H429" s="480"/>
      <c r="I429" s="480"/>
      <c r="J429" s="480"/>
      <c r="K429" s="480"/>
      <c r="L429" s="480"/>
      <c r="M429" s="481"/>
      <c r="N429" s="482"/>
      <c r="O429" s="482"/>
      <c r="P429" s="482"/>
      <c r="Q429" s="482"/>
      <c r="R429" s="298"/>
      <c r="S429" s="86"/>
      <c r="T429" s="86"/>
      <c r="U429" s="86"/>
      <c r="V429" s="86"/>
      <c r="W429" s="86"/>
      <c r="X429" s="86"/>
      <c r="Y429" s="86"/>
      <c r="Z429" s="449"/>
      <c r="AA429" s="449"/>
      <c r="AB429" s="449"/>
      <c r="AC429" s="449"/>
      <c r="AD429" s="449"/>
      <c r="AE429" s="449"/>
    </row>
    <row r="430">
      <c r="A430" s="479"/>
      <c r="B430" s="480"/>
      <c r="C430" s="480"/>
      <c r="D430" s="480"/>
      <c r="E430" s="480"/>
      <c r="F430" s="480"/>
      <c r="G430" s="480"/>
      <c r="H430" s="480"/>
      <c r="I430" s="480"/>
      <c r="J430" s="480"/>
      <c r="K430" s="480"/>
      <c r="L430" s="480"/>
      <c r="M430" s="481"/>
      <c r="N430" s="482"/>
      <c r="O430" s="482"/>
      <c r="P430" s="482"/>
      <c r="Q430" s="482"/>
      <c r="R430" s="298"/>
      <c r="S430" s="86"/>
      <c r="T430" s="86"/>
      <c r="U430" s="86"/>
      <c r="V430" s="86"/>
      <c r="W430" s="86"/>
      <c r="X430" s="86"/>
      <c r="Y430" s="86"/>
      <c r="Z430" s="449"/>
      <c r="AA430" s="449"/>
      <c r="AB430" s="449"/>
      <c r="AC430" s="449"/>
      <c r="AD430" s="449"/>
      <c r="AE430" s="449"/>
    </row>
    <row r="431">
      <c r="A431" s="479"/>
      <c r="B431" s="480"/>
      <c r="C431" s="480"/>
      <c r="D431" s="480"/>
      <c r="E431" s="480"/>
      <c r="F431" s="480"/>
      <c r="G431" s="480"/>
      <c r="H431" s="480"/>
      <c r="I431" s="480"/>
      <c r="J431" s="480"/>
      <c r="K431" s="480"/>
      <c r="L431" s="480"/>
      <c r="M431" s="481"/>
      <c r="N431" s="482"/>
      <c r="O431" s="482"/>
      <c r="P431" s="482"/>
      <c r="Q431" s="482"/>
      <c r="R431" s="298"/>
      <c r="S431" s="86"/>
      <c r="T431" s="86"/>
      <c r="U431" s="86"/>
      <c r="V431" s="86"/>
      <c r="W431" s="86"/>
      <c r="X431" s="86"/>
      <c r="Y431" s="86"/>
      <c r="Z431" s="449"/>
      <c r="AA431" s="449"/>
      <c r="AB431" s="449"/>
      <c r="AC431" s="449"/>
      <c r="AD431" s="449"/>
      <c r="AE431" s="449"/>
    </row>
    <row r="432">
      <c r="A432" s="479"/>
      <c r="B432" s="480"/>
      <c r="C432" s="480"/>
      <c r="D432" s="480"/>
      <c r="E432" s="480"/>
      <c r="F432" s="480"/>
      <c r="G432" s="480"/>
      <c r="H432" s="480"/>
      <c r="I432" s="480"/>
      <c r="J432" s="480"/>
      <c r="K432" s="480"/>
      <c r="L432" s="480"/>
      <c r="M432" s="481"/>
      <c r="N432" s="482"/>
      <c r="O432" s="482"/>
      <c r="P432" s="482"/>
      <c r="Q432" s="482"/>
      <c r="R432" s="298"/>
      <c r="S432" s="86"/>
      <c r="T432" s="86"/>
      <c r="U432" s="86"/>
      <c r="V432" s="86"/>
      <c r="W432" s="86"/>
      <c r="X432" s="86"/>
      <c r="Y432" s="86"/>
      <c r="Z432" s="449"/>
      <c r="AA432" s="449"/>
      <c r="AB432" s="449"/>
      <c r="AC432" s="449"/>
      <c r="AD432" s="449"/>
      <c r="AE432" s="449"/>
    </row>
    <row r="433">
      <c r="A433" s="479"/>
      <c r="B433" s="480"/>
      <c r="C433" s="480"/>
      <c r="D433" s="480"/>
      <c r="E433" s="480"/>
      <c r="F433" s="480"/>
      <c r="G433" s="480"/>
      <c r="H433" s="480"/>
      <c r="I433" s="480"/>
      <c r="J433" s="480"/>
      <c r="K433" s="480"/>
      <c r="L433" s="480"/>
      <c r="M433" s="481"/>
      <c r="N433" s="482"/>
      <c r="O433" s="482"/>
      <c r="P433" s="482"/>
      <c r="Q433" s="482"/>
      <c r="R433" s="298"/>
      <c r="S433" s="86"/>
      <c r="T433" s="86"/>
      <c r="U433" s="86"/>
      <c r="V433" s="86"/>
      <c r="W433" s="86"/>
      <c r="X433" s="86"/>
      <c r="Y433" s="86"/>
      <c r="Z433" s="449"/>
      <c r="AA433" s="449"/>
      <c r="AB433" s="449"/>
      <c r="AC433" s="449"/>
      <c r="AD433" s="449"/>
      <c r="AE433" s="449"/>
    </row>
    <row r="434">
      <c r="A434" s="479"/>
      <c r="B434" s="480"/>
      <c r="C434" s="480"/>
      <c r="D434" s="480"/>
      <c r="E434" s="480"/>
      <c r="F434" s="480"/>
      <c r="G434" s="480"/>
      <c r="H434" s="480"/>
      <c r="I434" s="480"/>
      <c r="J434" s="480"/>
      <c r="K434" s="480"/>
      <c r="L434" s="480"/>
      <c r="M434" s="481"/>
      <c r="N434" s="482"/>
      <c r="O434" s="482"/>
      <c r="P434" s="482"/>
      <c r="Q434" s="482"/>
      <c r="R434" s="298"/>
      <c r="S434" s="86"/>
      <c r="T434" s="86"/>
      <c r="U434" s="86"/>
      <c r="V434" s="86"/>
      <c r="W434" s="86"/>
      <c r="X434" s="86"/>
      <c r="Y434" s="86"/>
      <c r="Z434" s="449"/>
      <c r="AA434" s="449"/>
      <c r="AB434" s="449"/>
      <c r="AC434" s="449"/>
      <c r="AD434" s="449"/>
      <c r="AE434" s="449"/>
    </row>
    <row r="435">
      <c r="A435" s="479"/>
      <c r="B435" s="480"/>
      <c r="C435" s="480"/>
      <c r="D435" s="480"/>
      <c r="E435" s="480"/>
      <c r="F435" s="480"/>
      <c r="G435" s="480"/>
      <c r="H435" s="480"/>
      <c r="I435" s="480"/>
      <c r="J435" s="480"/>
      <c r="K435" s="480"/>
      <c r="L435" s="480"/>
      <c r="M435" s="481"/>
      <c r="N435" s="482"/>
      <c r="O435" s="482"/>
      <c r="P435" s="482"/>
      <c r="Q435" s="482"/>
      <c r="R435" s="298"/>
      <c r="S435" s="86"/>
      <c r="T435" s="86"/>
      <c r="U435" s="86"/>
      <c r="V435" s="86"/>
      <c r="W435" s="86"/>
      <c r="X435" s="86"/>
      <c r="Y435" s="86"/>
      <c r="Z435" s="449"/>
      <c r="AA435" s="449"/>
      <c r="AB435" s="449"/>
      <c r="AC435" s="449"/>
      <c r="AD435" s="449"/>
      <c r="AE435" s="449"/>
    </row>
    <row r="436">
      <c r="A436" s="479"/>
      <c r="B436" s="480"/>
      <c r="C436" s="480"/>
      <c r="D436" s="480"/>
      <c r="E436" s="480"/>
      <c r="F436" s="480"/>
      <c r="G436" s="480"/>
      <c r="H436" s="480"/>
      <c r="I436" s="480"/>
      <c r="J436" s="480"/>
      <c r="K436" s="480"/>
      <c r="L436" s="480"/>
      <c r="M436" s="481"/>
      <c r="N436" s="482"/>
      <c r="O436" s="482"/>
      <c r="P436" s="482"/>
      <c r="Q436" s="482"/>
      <c r="R436" s="298"/>
      <c r="S436" s="86"/>
      <c r="T436" s="86"/>
      <c r="U436" s="86"/>
      <c r="V436" s="86"/>
      <c r="W436" s="86"/>
      <c r="X436" s="86"/>
      <c r="Y436" s="86"/>
      <c r="Z436" s="449"/>
      <c r="AA436" s="449"/>
      <c r="AB436" s="449"/>
      <c r="AC436" s="449"/>
      <c r="AD436" s="449"/>
      <c r="AE436" s="449"/>
    </row>
    <row r="437">
      <c r="A437" s="479"/>
      <c r="B437" s="480"/>
      <c r="C437" s="480"/>
      <c r="D437" s="480"/>
      <c r="E437" s="480"/>
      <c r="F437" s="480"/>
      <c r="G437" s="480"/>
      <c r="H437" s="480"/>
      <c r="I437" s="480"/>
      <c r="J437" s="480"/>
      <c r="K437" s="480"/>
      <c r="L437" s="480"/>
      <c r="M437" s="481"/>
      <c r="N437" s="482"/>
      <c r="O437" s="482"/>
      <c r="P437" s="482"/>
      <c r="Q437" s="482"/>
      <c r="R437" s="298"/>
      <c r="S437" s="86"/>
      <c r="T437" s="86"/>
      <c r="U437" s="86"/>
      <c r="V437" s="86"/>
      <c r="W437" s="86"/>
      <c r="X437" s="86"/>
      <c r="Y437" s="86"/>
      <c r="Z437" s="449"/>
      <c r="AA437" s="449"/>
      <c r="AB437" s="449"/>
      <c r="AC437" s="449"/>
      <c r="AD437" s="449"/>
      <c r="AE437" s="449"/>
    </row>
    <row r="438">
      <c r="A438" s="479"/>
      <c r="B438" s="480"/>
      <c r="C438" s="480"/>
      <c r="D438" s="480"/>
      <c r="E438" s="480"/>
      <c r="F438" s="480"/>
      <c r="G438" s="480"/>
      <c r="H438" s="480"/>
      <c r="I438" s="480"/>
      <c r="J438" s="480"/>
      <c r="K438" s="480"/>
      <c r="L438" s="480"/>
      <c r="M438" s="481"/>
      <c r="N438" s="482"/>
      <c r="O438" s="482"/>
      <c r="P438" s="482"/>
      <c r="Q438" s="482"/>
      <c r="R438" s="298"/>
      <c r="S438" s="86"/>
      <c r="T438" s="86"/>
      <c r="U438" s="86"/>
      <c r="V438" s="86"/>
      <c r="W438" s="86"/>
      <c r="X438" s="86"/>
      <c r="Y438" s="86"/>
      <c r="Z438" s="449"/>
      <c r="AA438" s="449"/>
      <c r="AB438" s="449"/>
      <c r="AC438" s="449"/>
      <c r="AD438" s="449"/>
      <c r="AE438" s="449"/>
    </row>
    <row r="439">
      <c r="A439" s="479"/>
      <c r="B439" s="480"/>
      <c r="C439" s="480"/>
      <c r="D439" s="480"/>
      <c r="E439" s="480"/>
      <c r="F439" s="480"/>
      <c r="G439" s="480"/>
      <c r="H439" s="480"/>
      <c r="I439" s="480"/>
      <c r="J439" s="480"/>
      <c r="K439" s="480"/>
      <c r="L439" s="480"/>
      <c r="M439" s="481"/>
      <c r="N439" s="482"/>
      <c r="O439" s="482"/>
      <c r="P439" s="482"/>
      <c r="Q439" s="482"/>
      <c r="R439" s="298"/>
      <c r="S439" s="86"/>
      <c r="T439" s="86"/>
      <c r="U439" s="86"/>
      <c r="V439" s="86"/>
      <c r="W439" s="86"/>
      <c r="X439" s="86"/>
      <c r="Y439" s="86"/>
      <c r="Z439" s="449"/>
      <c r="AA439" s="449"/>
      <c r="AB439" s="449"/>
      <c r="AC439" s="449"/>
      <c r="AD439" s="449"/>
      <c r="AE439" s="449"/>
    </row>
    <row r="440">
      <c r="A440" s="479"/>
      <c r="B440" s="480"/>
      <c r="C440" s="480"/>
      <c r="D440" s="480"/>
      <c r="E440" s="480"/>
      <c r="F440" s="480"/>
      <c r="G440" s="480"/>
      <c r="H440" s="480"/>
      <c r="I440" s="480"/>
      <c r="J440" s="480"/>
      <c r="K440" s="480"/>
      <c r="L440" s="480"/>
      <c r="M440" s="481"/>
      <c r="N440" s="482"/>
      <c r="O440" s="482"/>
      <c r="P440" s="482"/>
      <c r="Q440" s="482"/>
      <c r="R440" s="298"/>
      <c r="S440" s="86"/>
      <c r="T440" s="86"/>
      <c r="U440" s="86"/>
      <c r="V440" s="86"/>
      <c r="W440" s="86"/>
      <c r="X440" s="86"/>
      <c r="Y440" s="86"/>
      <c r="Z440" s="449"/>
      <c r="AA440" s="449"/>
      <c r="AB440" s="449"/>
      <c r="AC440" s="449"/>
      <c r="AD440" s="449"/>
      <c r="AE440" s="449"/>
    </row>
    <row r="441">
      <c r="A441" s="479"/>
      <c r="B441" s="480"/>
      <c r="C441" s="480"/>
      <c r="D441" s="480"/>
      <c r="E441" s="480"/>
      <c r="F441" s="480"/>
      <c r="G441" s="480"/>
      <c r="H441" s="480"/>
      <c r="I441" s="480"/>
      <c r="J441" s="480"/>
      <c r="K441" s="480"/>
      <c r="L441" s="480"/>
      <c r="M441" s="481"/>
      <c r="N441" s="482"/>
      <c r="O441" s="482"/>
      <c r="P441" s="482"/>
      <c r="Q441" s="482"/>
      <c r="R441" s="298"/>
      <c r="S441" s="86"/>
      <c r="T441" s="86"/>
      <c r="U441" s="86"/>
      <c r="V441" s="86"/>
      <c r="W441" s="86"/>
      <c r="X441" s="86"/>
      <c r="Y441" s="86"/>
      <c r="Z441" s="449"/>
      <c r="AA441" s="449"/>
      <c r="AB441" s="449"/>
      <c r="AC441" s="449"/>
      <c r="AD441" s="449"/>
      <c r="AE441" s="449"/>
    </row>
    <row r="442">
      <c r="A442" s="479"/>
      <c r="B442" s="480"/>
      <c r="C442" s="480"/>
      <c r="D442" s="480"/>
      <c r="E442" s="480"/>
      <c r="F442" s="480"/>
      <c r="G442" s="480"/>
      <c r="H442" s="480"/>
      <c r="I442" s="480"/>
      <c r="J442" s="480"/>
      <c r="K442" s="480"/>
      <c r="L442" s="480"/>
      <c r="M442" s="481"/>
      <c r="N442" s="482"/>
      <c r="O442" s="482"/>
      <c r="P442" s="482"/>
      <c r="Q442" s="482"/>
      <c r="R442" s="298"/>
      <c r="S442" s="86"/>
      <c r="T442" s="86"/>
      <c r="U442" s="86"/>
      <c r="V442" s="86"/>
      <c r="W442" s="86"/>
      <c r="X442" s="86"/>
      <c r="Y442" s="86"/>
      <c r="Z442" s="449"/>
      <c r="AA442" s="449"/>
      <c r="AB442" s="449"/>
      <c r="AC442" s="449"/>
      <c r="AD442" s="449"/>
      <c r="AE442" s="449"/>
    </row>
    <row r="443">
      <c r="A443" s="479"/>
      <c r="B443" s="480"/>
      <c r="C443" s="480"/>
      <c r="D443" s="480"/>
      <c r="E443" s="480"/>
      <c r="F443" s="480"/>
      <c r="G443" s="480"/>
      <c r="H443" s="480"/>
      <c r="I443" s="480"/>
      <c r="J443" s="480"/>
      <c r="K443" s="480"/>
      <c r="L443" s="480"/>
      <c r="M443" s="481"/>
      <c r="N443" s="482"/>
      <c r="O443" s="482"/>
      <c r="P443" s="482"/>
      <c r="Q443" s="482"/>
      <c r="R443" s="298"/>
      <c r="S443" s="86"/>
      <c r="T443" s="86"/>
      <c r="U443" s="86"/>
      <c r="V443" s="86"/>
      <c r="W443" s="86"/>
      <c r="X443" s="86"/>
      <c r="Y443" s="86"/>
      <c r="Z443" s="449"/>
      <c r="AA443" s="449"/>
      <c r="AB443" s="449"/>
      <c r="AC443" s="449"/>
      <c r="AD443" s="449"/>
      <c r="AE443" s="449"/>
    </row>
    <row r="444">
      <c r="A444" s="479"/>
      <c r="B444" s="480"/>
      <c r="C444" s="480"/>
      <c r="D444" s="480"/>
      <c r="E444" s="480"/>
      <c r="F444" s="480"/>
      <c r="G444" s="480"/>
      <c r="H444" s="480"/>
      <c r="I444" s="480"/>
      <c r="J444" s="480"/>
      <c r="K444" s="480"/>
      <c r="L444" s="480"/>
      <c r="M444" s="481"/>
      <c r="N444" s="482"/>
      <c r="O444" s="482"/>
      <c r="P444" s="482"/>
      <c r="Q444" s="482"/>
      <c r="R444" s="298"/>
      <c r="S444" s="86"/>
      <c r="T444" s="86"/>
      <c r="U444" s="86"/>
      <c r="V444" s="86"/>
      <c r="W444" s="86"/>
      <c r="X444" s="86"/>
      <c r="Y444" s="86"/>
      <c r="Z444" s="449"/>
      <c r="AA444" s="449"/>
      <c r="AB444" s="449"/>
      <c r="AC444" s="449"/>
      <c r="AD444" s="449"/>
      <c r="AE444" s="449"/>
    </row>
    <row r="445">
      <c r="A445" s="479"/>
      <c r="B445" s="480"/>
      <c r="C445" s="480"/>
      <c r="D445" s="480"/>
      <c r="E445" s="480"/>
      <c r="F445" s="480"/>
      <c r="G445" s="480"/>
      <c r="H445" s="480"/>
      <c r="I445" s="480"/>
      <c r="J445" s="480"/>
      <c r="K445" s="480"/>
      <c r="L445" s="480"/>
      <c r="M445" s="481"/>
      <c r="N445" s="482"/>
      <c r="O445" s="482"/>
      <c r="P445" s="482"/>
      <c r="Q445" s="482"/>
      <c r="R445" s="298"/>
      <c r="S445" s="86"/>
      <c r="T445" s="86"/>
      <c r="U445" s="86"/>
      <c r="V445" s="86"/>
      <c r="W445" s="86"/>
      <c r="X445" s="86"/>
      <c r="Y445" s="86"/>
      <c r="Z445" s="449"/>
      <c r="AA445" s="449"/>
      <c r="AB445" s="449"/>
      <c r="AC445" s="449"/>
      <c r="AD445" s="449"/>
      <c r="AE445" s="449"/>
    </row>
    <row r="446">
      <c r="A446" s="479"/>
      <c r="B446" s="480"/>
      <c r="C446" s="480"/>
      <c r="D446" s="480"/>
      <c r="E446" s="480"/>
      <c r="F446" s="480"/>
      <c r="G446" s="480"/>
      <c r="H446" s="480"/>
      <c r="I446" s="480"/>
      <c r="J446" s="480"/>
      <c r="K446" s="480"/>
      <c r="L446" s="480"/>
      <c r="M446" s="481"/>
      <c r="N446" s="482"/>
      <c r="O446" s="482"/>
      <c r="P446" s="482"/>
      <c r="Q446" s="482"/>
      <c r="R446" s="298"/>
      <c r="S446" s="86"/>
      <c r="T446" s="86"/>
      <c r="U446" s="86"/>
      <c r="V446" s="86"/>
      <c r="W446" s="86"/>
      <c r="X446" s="86"/>
      <c r="Y446" s="86"/>
      <c r="Z446" s="449"/>
      <c r="AA446" s="449"/>
      <c r="AB446" s="449"/>
      <c r="AC446" s="449"/>
      <c r="AD446" s="449"/>
      <c r="AE446" s="449"/>
    </row>
    <row r="447">
      <c r="A447" s="479"/>
      <c r="B447" s="480"/>
      <c r="C447" s="480"/>
      <c r="D447" s="480"/>
      <c r="E447" s="480"/>
      <c r="F447" s="480"/>
      <c r="G447" s="480"/>
      <c r="H447" s="480"/>
      <c r="I447" s="480"/>
      <c r="J447" s="480"/>
      <c r="K447" s="480"/>
      <c r="L447" s="480"/>
      <c r="M447" s="481"/>
      <c r="N447" s="482"/>
      <c r="O447" s="482"/>
      <c r="P447" s="482"/>
      <c r="Q447" s="482"/>
      <c r="R447" s="298"/>
      <c r="S447" s="86"/>
      <c r="T447" s="86"/>
      <c r="U447" s="86"/>
      <c r="V447" s="86"/>
      <c r="W447" s="86"/>
      <c r="X447" s="86"/>
      <c r="Y447" s="86"/>
      <c r="Z447" s="449"/>
      <c r="AA447" s="449"/>
      <c r="AB447" s="449"/>
      <c r="AC447" s="449"/>
      <c r="AD447" s="449"/>
      <c r="AE447" s="449"/>
    </row>
    <row r="448">
      <c r="A448" s="479"/>
      <c r="B448" s="480"/>
      <c r="C448" s="480"/>
      <c r="D448" s="480"/>
      <c r="E448" s="480"/>
      <c r="F448" s="480"/>
      <c r="G448" s="480"/>
      <c r="H448" s="480"/>
      <c r="I448" s="480"/>
      <c r="J448" s="480"/>
      <c r="K448" s="480"/>
      <c r="L448" s="480"/>
      <c r="M448" s="481"/>
      <c r="N448" s="482"/>
      <c r="O448" s="482"/>
      <c r="P448" s="482"/>
      <c r="Q448" s="482"/>
      <c r="R448" s="298"/>
      <c r="S448" s="86"/>
      <c r="T448" s="86"/>
      <c r="U448" s="86"/>
      <c r="V448" s="86"/>
      <c r="W448" s="86"/>
      <c r="X448" s="86"/>
      <c r="Y448" s="86"/>
      <c r="Z448" s="449"/>
      <c r="AA448" s="449"/>
      <c r="AB448" s="449"/>
      <c r="AC448" s="449"/>
      <c r="AD448" s="449"/>
      <c r="AE448" s="449"/>
    </row>
    <row r="449">
      <c r="A449" s="479"/>
      <c r="B449" s="480"/>
      <c r="C449" s="480"/>
      <c r="D449" s="480"/>
      <c r="E449" s="480"/>
      <c r="F449" s="480"/>
      <c r="G449" s="480"/>
      <c r="H449" s="480"/>
      <c r="I449" s="480"/>
      <c r="J449" s="480"/>
      <c r="K449" s="480"/>
      <c r="L449" s="480"/>
      <c r="M449" s="481"/>
      <c r="N449" s="482"/>
      <c r="O449" s="482"/>
      <c r="P449" s="482"/>
      <c r="Q449" s="482"/>
      <c r="R449" s="298"/>
      <c r="S449" s="86"/>
      <c r="T449" s="86"/>
      <c r="U449" s="86"/>
      <c r="V449" s="86"/>
      <c r="W449" s="86"/>
      <c r="X449" s="86"/>
      <c r="Y449" s="86"/>
      <c r="Z449" s="449"/>
      <c r="AA449" s="449"/>
      <c r="AB449" s="449"/>
      <c r="AC449" s="449"/>
      <c r="AD449" s="449"/>
      <c r="AE449" s="449"/>
    </row>
    <row r="450">
      <c r="A450" s="479"/>
      <c r="B450" s="480"/>
      <c r="C450" s="480"/>
      <c r="D450" s="480"/>
      <c r="E450" s="480"/>
      <c r="F450" s="480"/>
      <c r="G450" s="480"/>
      <c r="H450" s="480"/>
      <c r="I450" s="480"/>
      <c r="J450" s="480"/>
      <c r="K450" s="480"/>
      <c r="L450" s="480"/>
      <c r="M450" s="481"/>
      <c r="N450" s="482"/>
      <c r="O450" s="482"/>
      <c r="P450" s="482"/>
      <c r="Q450" s="482"/>
      <c r="R450" s="298"/>
      <c r="S450" s="86"/>
      <c r="T450" s="86"/>
      <c r="U450" s="86"/>
      <c r="V450" s="86"/>
      <c r="W450" s="86"/>
      <c r="X450" s="86"/>
      <c r="Y450" s="86"/>
      <c r="Z450" s="449"/>
      <c r="AA450" s="449"/>
      <c r="AB450" s="449"/>
      <c r="AC450" s="449"/>
      <c r="AD450" s="449"/>
      <c r="AE450" s="449"/>
    </row>
    <row r="451">
      <c r="A451" s="479"/>
      <c r="B451" s="480"/>
      <c r="C451" s="480"/>
      <c r="D451" s="480"/>
      <c r="E451" s="480"/>
      <c r="F451" s="480"/>
      <c r="G451" s="480"/>
      <c r="H451" s="480"/>
      <c r="I451" s="480"/>
      <c r="J451" s="480"/>
      <c r="K451" s="480"/>
      <c r="L451" s="480"/>
      <c r="M451" s="481"/>
      <c r="N451" s="482"/>
      <c r="O451" s="482"/>
      <c r="P451" s="482"/>
      <c r="Q451" s="482"/>
      <c r="R451" s="298"/>
      <c r="S451" s="86"/>
      <c r="T451" s="86"/>
      <c r="U451" s="86"/>
      <c r="V451" s="86"/>
      <c r="W451" s="86"/>
      <c r="X451" s="86"/>
      <c r="Y451" s="86"/>
      <c r="Z451" s="449"/>
      <c r="AA451" s="449"/>
      <c r="AB451" s="449"/>
      <c r="AC451" s="449"/>
      <c r="AD451" s="449"/>
      <c r="AE451" s="449"/>
    </row>
    <row r="452">
      <c r="A452" s="479"/>
      <c r="B452" s="480"/>
      <c r="C452" s="480"/>
      <c r="D452" s="480"/>
      <c r="E452" s="480"/>
      <c r="F452" s="480"/>
      <c r="G452" s="480"/>
      <c r="H452" s="480"/>
      <c r="I452" s="480"/>
      <c r="J452" s="480"/>
      <c r="K452" s="480"/>
      <c r="L452" s="480"/>
      <c r="M452" s="481"/>
      <c r="N452" s="482"/>
      <c r="O452" s="482"/>
      <c r="P452" s="482"/>
      <c r="Q452" s="482"/>
      <c r="R452" s="298"/>
      <c r="S452" s="86"/>
      <c r="T452" s="86"/>
      <c r="U452" s="86"/>
      <c r="V452" s="86"/>
      <c r="W452" s="86"/>
      <c r="X452" s="86"/>
      <c r="Y452" s="86"/>
      <c r="Z452" s="449"/>
      <c r="AA452" s="449"/>
      <c r="AB452" s="449"/>
      <c r="AC452" s="449"/>
      <c r="AD452" s="449"/>
      <c r="AE452" s="449"/>
    </row>
    <row r="453">
      <c r="A453" s="479"/>
      <c r="B453" s="480"/>
      <c r="C453" s="480"/>
      <c r="D453" s="480"/>
      <c r="E453" s="480"/>
      <c r="F453" s="480"/>
      <c r="G453" s="480"/>
      <c r="H453" s="480"/>
      <c r="I453" s="480"/>
      <c r="J453" s="480"/>
      <c r="K453" s="480"/>
      <c r="L453" s="480"/>
      <c r="M453" s="481"/>
      <c r="N453" s="482"/>
      <c r="O453" s="482"/>
      <c r="P453" s="482"/>
      <c r="Q453" s="482"/>
      <c r="R453" s="298"/>
      <c r="S453" s="86"/>
      <c r="T453" s="86"/>
      <c r="U453" s="86"/>
      <c r="V453" s="86"/>
      <c r="W453" s="86"/>
      <c r="X453" s="86"/>
      <c r="Y453" s="86"/>
      <c r="Z453" s="449"/>
      <c r="AA453" s="449"/>
      <c r="AB453" s="449"/>
      <c r="AC453" s="449"/>
      <c r="AD453" s="449"/>
      <c r="AE453" s="449"/>
    </row>
    <row r="454">
      <c r="A454" s="479"/>
      <c r="B454" s="480"/>
      <c r="C454" s="480"/>
      <c r="D454" s="480"/>
      <c r="E454" s="480"/>
      <c r="F454" s="480"/>
      <c r="G454" s="480"/>
      <c r="H454" s="480"/>
      <c r="I454" s="480"/>
      <c r="J454" s="480"/>
      <c r="K454" s="480"/>
      <c r="L454" s="480"/>
      <c r="M454" s="481"/>
      <c r="N454" s="482"/>
      <c r="O454" s="482"/>
      <c r="P454" s="482"/>
      <c r="Q454" s="482"/>
      <c r="R454" s="298"/>
      <c r="S454" s="86"/>
      <c r="T454" s="86"/>
      <c r="U454" s="86"/>
      <c r="V454" s="86"/>
      <c r="W454" s="86"/>
      <c r="X454" s="86"/>
      <c r="Y454" s="86"/>
      <c r="Z454" s="449"/>
      <c r="AA454" s="449"/>
      <c r="AB454" s="449"/>
      <c r="AC454" s="449"/>
      <c r="AD454" s="449"/>
      <c r="AE454" s="449"/>
    </row>
    <row r="455">
      <c r="A455" s="479"/>
      <c r="B455" s="480"/>
      <c r="C455" s="480"/>
      <c r="D455" s="480"/>
      <c r="E455" s="480"/>
      <c r="F455" s="480"/>
      <c r="G455" s="480"/>
      <c r="H455" s="480"/>
      <c r="I455" s="480"/>
      <c r="J455" s="480"/>
      <c r="K455" s="480"/>
      <c r="L455" s="480"/>
      <c r="M455" s="481"/>
      <c r="N455" s="482"/>
      <c r="O455" s="482"/>
      <c r="P455" s="482"/>
      <c r="Q455" s="482"/>
      <c r="R455" s="298"/>
      <c r="S455" s="86"/>
      <c r="T455" s="86"/>
      <c r="U455" s="86"/>
      <c r="V455" s="86"/>
      <c r="W455" s="86"/>
      <c r="X455" s="86"/>
      <c r="Y455" s="86"/>
      <c r="Z455" s="449"/>
      <c r="AA455" s="449"/>
      <c r="AB455" s="449"/>
      <c r="AC455" s="449"/>
      <c r="AD455" s="449"/>
      <c r="AE455" s="449"/>
    </row>
    <row r="456">
      <c r="A456" s="479"/>
      <c r="B456" s="480"/>
      <c r="C456" s="480"/>
      <c r="D456" s="480"/>
      <c r="E456" s="480"/>
      <c r="F456" s="480"/>
      <c r="G456" s="480"/>
      <c r="H456" s="480"/>
      <c r="I456" s="480"/>
      <c r="J456" s="480"/>
      <c r="K456" s="480"/>
      <c r="L456" s="480"/>
      <c r="M456" s="481"/>
      <c r="N456" s="482"/>
      <c r="O456" s="482"/>
      <c r="P456" s="482"/>
      <c r="Q456" s="482"/>
      <c r="R456" s="298"/>
      <c r="S456" s="86"/>
      <c r="T456" s="86"/>
      <c r="U456" s="86"/>
      <c r="V456" s="86"/>
      <c r="W456" s="86"/>
      <c r="X456" s="86"/>
      <c r="Y456" s="86"/>
      <c r="Z456" s="449"/>
      <c r="AA456" s="449"/>
      <c r="AB456" s="449"/>
      <c r="AC456" s="449"/>
      <c r="AD456" s="449"/>
      <c r="AE456" s="449"/>
    </row>
    <row r="457">
      <c r="A457" s="479"/>
      <c r="B457" s="480"/>
      <c r="C457" s="480"/>
      <c r="D457" s="480"/>
      <c r="E457" s="480"/>
      <c r="F457" s="480"/>
      <c r="G457" s="480"/>
      <c r="H457" s="480"/>
      <c r="I457" s="480"/>
      <c r="J457" s="480"/>
      <c r="K457" s="480"/>
      <c r="L457" s="480"/>
      <c r="M457" s="481"/>
      <c r="N457" s="482"/>
      <c r="O457" s="482"/>
      <c r="P457" s="482"/>
      <c r="Q457" s="482"/>
      <c r="R457" s="298"/>
      <c r="S457" s="86"/>
      <c r="T457" s="86"/>
      <c r="U457" s="86"/>
      <c r="V457" s="86"/>
      <c r="W457" s="86"/>
      <c r="X457" s="86"/>
      <c r="Y457" s="86"/>
      <c r="Z457" s="449"/>
      <c r="AA457" s="449"/>
      <c r="AB457" s="449"/>
      <c r="AC457" s="449"/>
      <c r="AD457" s="449"/>
      <c r="AE457" s="449"/>
    </row>
    <row r="458">
      <c r="A458" s="479"/>
      <c r="B458" s="480"/>
      <c r="C458" s="480"/>
      <c r="D458" s="480"/>
      <c r="E458" s="480"/>
      <c r="F458" s="480"/>
      <c r="G458" s="480"/>
      <c r="H458" s="480"/>
      <c r="I458" s="480"/>
      <c r="J458" s="480"/>
      <c r="K458" s="480"/>
      <c r="L458" s="480"/>
      <c r="M458" s="481"/>
      <c r="N458" s="482"/>
      <c r="O458" s="482"/>
      <c r="P458" s="482"/>
      <c r="Q458" s="482"/>
      <c r="R458" s="298"/>
      <c r="S458" s="86"/>
      <c r="T458" s="86"/>
      <c r="U458" s="86"/>
      <c r="V458" s="86"/>
      <c r="W458" s="86"/>
      <c r="X458" s="86"/>
      <c r="Y458" s="86"/>
      <c r="Z458" s="449"/>
      <c r="AA458" s="449"/>
      <c r="AB458" s="449"/>
      <c r="AC458" s="449"/>
      <c r="AD458" s="449"/>
      <c r="AE458" s="449"/>
    </row>
    <row r="459">
      <c r="A459" s="479"/>
      <c r="B459" s="480"/>
      <c r="C459" s="480"/>
      <c r="D459" s="480"/>
      <c r="E459" s="480"/>
      <c r="F459" s="480"/>
      <c r="G459" s="480"/>
      <c r="H459" s="480"/>
      <c r="I459" s="480"/>
      <c r="J459" s="480"/>
      <c r="K459" s="480"/>
      <c r="L459" s="480"/>
      <c r="M459" s="481"/>
      <c r="N459" s="482"/>
      <c r="O459" s="482"/>
      <c r="P459" s="482"/>
      <c r="Q459" s="482"/>
      <c r="R459" s="298"/>
      <c r="S459" s="86"/>
      <c r="T459" s="86"/>
      <c r="U459" s="86"/>
      <c r="V459" s="86"/>
      <c r="W459" s="86"/>
      <c r="X459" s="86"/>
      <c r="Y459" s="86"/>
      <c r="Z459" s="449"/>
      <c r="AA459" s="449"/>
      <c r="AB459" s="449"/>
      <c r="AC459" s="449"/>
      <c r="AD459" s="449"/>
      <c r="AE459" s="449"/>
    </row>
    <row r="460">
      <c r="A460" s="479"/>
      <c r="B460" s="480"/>
      <c r="C460" s="480"/>
      <c r="D460" s="480"/>
      <c r="E460" s="480"/>
      <c r="F460" s="480"/>
      <c r="G460" s="480"/>
      <c r="H460" s="480"/>
      <c r="I460" s="480"/>
      <c r="J460" s="480"/>
      <c r="K460" s="480"/>
      <c r="L460" s="480"/>
      <c r="M460" s="481"/>
      <c r="N460" s="482"/>
      <c r="O460" s="482"/>
      <c r="P460" s="482"/>
      <c r="Q460" s="482"/>
      <c r="R460" s="298"/>
      <c r="S460" s="86"/>
      <c r="T460" s="86"/>
      <c r="U460" s="86"/>
      <c r="V460" s="86"/>
      <c r="W460" s="86"/>
      <c r="X460" s="86"/>
      <c r="Y460" s="86"/>
      <c r="Z460" s="449"/>
      <c r="AA460" s="449"/>
      <c r="AB460" s="449"/>
      <c r="AC460" s="449"/>
      <c r="AD460" s="449"/>
      <c r="AE460" s="449"/>
    </row>
    <row r="461">
      <c r="A461" s="479"/>
      <c r="B461" s="480"/>
      <c r="C461" s="480"/>
      <c r="D461" s="480"/>
      <c r="E461" s="480"/>
      <c r="F461" s="480"/>
      <c r="G461" s="480"/>
      <c r="H461" s="480"/>
      <c r="I461" s="480"/>
      <c r="J461" s="480"/>
      <c r="K461" s="480"/>
      <c r="L461" s="480"/>
      <c r="M461" s="481"/>
      <c r="N461" s="482"/>
      <c r="O461" s="482"/>
      <c r="P461" s="482"/>
      <c r="Q461" s="482"/>
      <c r="R461" s="298"/>
      <c r="S461" s="86"/>
      <c r="T461" s="86"/>
      <c r="U461" s="86"/>
      <c r="V461" s="86"/>
      <c r="W461" s="86"/>
      <c r="X461" s="86"/>
      <c r="Y461" s="86"/>
      <c r="Z461" s="449"/>
      <c r="AA461" s="449"/>
      <c r="AB461" s="449"/>
      <c r="AC461" s="449"/>
      <c r="AD461" s="449"/>
      <c r="AE461" s="449"/>
    </row>
    <row r="462">
      <c r="A462" s="479"/>
      <c r="B462" s="480"/>
      <c r="C462" s="480"/>
      <c r="D462" s="480"/>
      <c r="E462" s="480"/>
      <c r="F462" s="480"/>
      <c r="G462" s="480"/>
      <c r="H462" s="480"/>
      <c r="I462" s="480"/>
      <c r="J462" s="480"/>
      <c r="K462" s="480"/>
      <c r="L462" s="480"/>
      <c r="M462" s="481"/>
      <c r="N462" s="482"/>
      <c r="O462" s="482"/>
      <c r="P462" s="482"/>
      <c r="Q462" s="482"/>
      <c r="R462" s="298"/>
      <c r="S462" s="86"/>
      <c r="T462" s="86"/>
      <c r="U462" s="86"/>
      <c r="V462" s="86"/>
      <c r="W462" s="86"/>
      <c r="X462" s="86"/>
      <c r="Y462" s="86"/>
      <c r="Z462" s="449"/>
      <c r="AA462" s="449"/>
      <c r="AB462" s="449"/>
      <c r="AC462" s="449"/>
      <c r="AD462" s="449"/>
      <c r="AE462" s="449"/>
    </row>
    <row r="463">
      <c r="A463" s="479"/>
      <c r="B463" s="480"/>
      <c r="C463" s="480"/>
      <c r="D463" s="480"/>
      <c r="E463" s="480"/>
      <c r="F463" s="480"/>
      <c r="G463" s="480"/>
      <c r="H463" s="480"/>
      <c r="I463" s="480"/>
      <c r="J463" s="480"/>
      <c r="K463" s="480"/>
      <c r="L463" s="480"/>
      <c r="M463" s="481"/>
      <c r="N463" s="482"/>
      <c r="O463" s="482"/>
      <c r="P463" s="482"/>
      <c r="Q463" s="482"/>
      <c r="R463" s="298"/>
      <c r="S463" s="86"/>
      <c r="T463" s="86"/>
      <c r="U463" s="86"/>
      <c r="V463" s="86"/>
      <c r="W463" s="86"/>
      <c r="X463" s="86"/>
      <c r="Y463" s="86"/>
      <c r="Z463" s="449"/>
      <c r="AA463" s="449"/>
      <c r="AB463" s="449"/>
      <c r="AC463" s="449"/>
      <c r="AD463" s="449"/>
      <c r="AE463" s="449"/>
    </row>
    <row r="464">
      <c r="A464" s="479"/>
      <c r="B464" s="480"/>
      <c r="C464" s="480"/>
      <c r="D464" s="480"/>
      <c r="E464" s="480"/>
      <c r="F464" s="480"/>
      <c r="G464" s="480"/>
      <c r="H464" s="480"/>
      <c r="I464" s="480"/>
      <c r="J464" s="480"/>
      <c r="K464" s="480"/>
      <c r="L464" s="480"/>
      <c r="M464" s="481"/>
      <c r="N464" s="482"/>
      <c r="O464" s="482"/>
      <c r="P464" s="482"/>
      <c r="Q464" s="482"/>
      <c r="R464" s="298"/>
      <c r="S464" s="86"/>
      <c r="T464" s="86"/>
      <c r="U464" s="86"/>
      <c r="V464" s="86"/>
      <c r="W464" s="86"/>
      <c r="X464" s="86"/>
      <c r="Y464" s="86"/>
      <c r="Z464" s="449"/>
      <c r="AA464" s="449"/>
      <c r="AB464" s="449"/>
      <c r="AC464" s="449"/>
      <c r="AD464" s="449"/>
      <c r="AE464" s="449"/>
    </row>
    <row r="465">
      <c r="A465" s="97"/>
      <c r="B465" s="298"/>
      <c r="C465" s="298"/>
      <c r="D465" s="298"/>
      <c r="E465" s="298"/>
      <c r="F465" s="298"/>
      <c r="G465" s="298"/>
      <c r="H465" s="298"/>
      <c r="I465" s="298"/>
      <c r="J465" s="298"/>
      <c r="K465" s="298"/>
      <c r="L465" s="298"/>
      <c r="M465" s="483"/>
      <c r="N465" s="484"/>
      <c r="O465" s="484"/>
      <c r="P465" s="484"/>
      <c r="Q465" s="484"/>
      <c r="R465" s="298"/>
      <c r="S465" s="86"/>
      <c r="T465" s="86"/>
      <c r="U465" s="86"/>
      <c r="V465" s="86"/>
      <c r="W465" s="86"/>
      <c r="X465" s="86"/>
      <c r="Y465" s="86"/>
      <c r="Z465" s="449"/>
      <c r="AA465" s="449"/>
      <c r="AB465" s="449"/>
      <c r="AC465" s="449"/>
      <c r="AD465" s="449"/>
      <c r="AE465" s="449"/>
    </row>
    <row r="466">
      <c r="A466" s="97"/>
      <c r="B466" s="298"/>
      <c r="C466" s="298"/>
      <c r="D466" s="298"/>
      <c r="E466" s="298"/>
      <c r="F466" s="298"/>
      <c r="G466" s="298"/>
      <c r="H466" s="298"/>
      <c r="I466" s="298"/>
      <c r="J466" s="298"/>
      <c r="K466" s="298"/>
      <c r="L466" s="298"/>
      <c r="M466" s="483"/>
      <c r="N466" s="484"/>
      <c r="O466" s="484"/>
      <c r="P466" s="484"/>
      <c r="Q466" s="484"/>
      <c r="R466" s="298"/>
      <c r="S466" s="86"/>
      <c r="T466" s="86"/>
      <c r="U466" s="86"/>
      <c r="V466" s="86"/>
      <c r="W466" s="86"/>
      <c r="X466" s="86"/>
      <c r="Y466" s="86"/>
      <c r="Z466" s="449"/>
      <c r="AA466" s="449"/>
      <c r="AB466" s="449"/>
      <c r="AC466" s="449"/>
      <c r="AD466" s="449"/>
      <c r="AE466" s="449"/>
    </row>
    <row r="467">
      <c r="A467" s="97"/>
      <c r="B467" s="298"/>
      <c r="C467" s="298"/>
      <c r="D467" s="298"/>
      <c r="E467" s="298"/>
      <c r="F467" s="298"/>
      <c r="G467" s="298"/>
      <c r="H467" s="298"/>
      <c r="I467" s="298"/>
      <c r="J467" s="298"/>
      <c r="K467" s="298"/>
      <c r="L467" s="298"/>
      <c r="M467" s="483"/>
      <c r="N467" s="484"/>
      <c r="O467" s="484"/>
      <c r="P467" s="484"/>
      <c r="Q467" s="484"/>
      <c r="R467" s="298"/>
      <c r="S467" s="86"/>
      <c r="T467" s="86"/>
      <c r="U467" s="86"/>
      <c r="V467" s="86"/>
      <c r="W467" s="86"/>
      <c r="X467" s="86"/>
      <c r="Y467" s="86"/>
      <c r="Z467" s="449"/>
      <c r="AA467" s="449"/>
      <c r="AB467" s="449"/>
      <c r="AC467" s="449"/>
      <c r="AD467" s="449"/>
      <c r="AE467" s="449"/>
    </row>
    <row r="468">
      <c r="A468" s="97"/>
      <c r="B468" s="298"/>
      <c r="C468" s="298"/>
      <c r="D468" s="298"/>
      <c r="E468" s="298"/>
      <c r="F468" s="298"/>
      <c r="G468" s="298"/>
      <c r="H468" s="298"/>
      <c r="I468" s="298"/>
      <c r="J468" s="298"/>
      <c r="K468" s="298"/>
      <c r="L468" s="298"/>
      <c r="M468" s="483"/>
      <c r="N468" s="484"/>
      <c r="O468" s="484"/>
      <c r="P468" s="484"/>
      <c r="Q468" s="484"/>
      <c r="R468" s="298"/>
      <c r="S468" s="86"/>
      <c r="T468" s="86"/>
      <c r="U468" s="86"/>
      <c r="V468" s="86"/>
      <c r="W468" s="86"/>
      <c r="X468" s="86"/>
      <c r="Y468" s="86"/>
      <c r="Z468" s="449"/>
      <c r="AA468" s="449"/>
      <c r="AB468" s="449"/>
      <c r="AC468" s="449"/>
      <c r="AD468" s="449"/>
      <c r="AE468" s="449"/>
    </row>
    <row r="469">
      <c r="A469" s="97"/>
      <c r="B469" s="298"/>
      <c r="C469" s="298"/>
      <c r="D469" s="298"/>
      <c r="E469" s="298"/>
      <c r="F469" s="298"/>
      <c r="G469" s="298"/>
      <c r="H469" s="298"/>
      <c r="I469" s="298"/>
      <c r="J469" s="298"/>
      <c r="K469" s="298"/>
      <c r="L469" s="298"/>
      <c r="M469" s="483"/>
      <c r="N469" s="484"/>
      <c r="O469" s="484"/>
      <c r="P469" s="484"/>
      <c r="Q469" s="484"/>
      <c r="R469" s="298"/>
      <c r="S469" s="86"/>
      <c r="T469" s="86"/>
      <c r="U469" s="86"/>
      <c r="V469" s="86"/>
      <c r="W469" s="86"/>
      <c r="X469" s="86"/>
      <c r="Y469" s="86"/>
      <c r="Z469" s="449"/>
      <c r="AA469" s="449"/>
      <c r="AB469" s="449"/>
      <c r="AC469" s="449"/>
      <c r="AD469" s="449"/>
      <c r="AE469" s="449"/>
    </row>
    <row r="470">
      <c r="A470" s="97"/>
      <c r="B470" s="298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483"/>
      <c r="N470" s="484"/>
      <c r="O470" s="484"/>
      <c r="P470" s="484"/>
      <c r="Q470" s="484"/>
      <c r="R470" s="298"/>
      <c r="S470" s="86"/>
      <c r="T470" s="86"/>
      <c r="U470" s="86"/>
      <c r="V470" s="86"/>
      <c r="W470" s="86"/>
      <c r="X470" s="86"/>
      <c r="Y470" s="86"/>
      <c r="Z470" s="449"/>
      <c r="AA470" s="449"/>
      <c r="AB470" s="449"/>
      <c r="AC470" s="449"/>
      <c r="AD470" s="449"/>
      <c r="AE470" s="449"/>
    </row>
    <row r="471">
      <c r="A471" s="97"/>
      <c r="B471" s="298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483"/>
      <c r="N471" s="484"/>
      <c r="O471" s="484"/>
      <c r="P471" s="484"/>
      <c r="Q471" s="484"/>
      <c r="R471" s="298"/>
      <c r="S471" s="86"/>
      <c r="T471" s="86"/>
      <c r="U471" s="86"/>
      <c r="V471" s="86"/>
      <c r="W471" s="86"/>
      <c r="X471" s="86"/>
      <c r="Y471" s="86"/>
      <c r="Z471" s="449"/>
      <c r="AA471" s="449"/>
      <c r="AB471" s="449"/>
      <c r="AC471" s="449"/>
      <c r="AD471" s="449"/>
      <c r="AE471" s="449"/>
    </row>
    <row r="472">
      <c r="A472" s="97"/>
      <c r="B472" s="298"/>
      <c r="C472" s="298"/>
      <c r="D472" s="298"/>
      <c r="E472" s="298"/>
      <c r="F472" s="298"/>
      <c r="G472" s="298"/>
      <c r="H472" s="298"/>
      <c r="I472" s="298"/>
      <c r="J472" s="298"/>
      <c r="K472" s="298"/>
      <c r="L472" s="298"/>
      <c r="M472" s="483"/>
      <c r="N472" s="484"/>
      <c r="O472" s="484"/>
      <c r="P472" s="484"/>
      <c r="Q472" s="484"/>
      <c r="R472" s="298"/>
      <c r="S472" s="86"/>
      <c r="T472" s="86"/>
      <c r="U472" s="86"/>
      <c r="V472" s="86"/>
      <c r="W472" s="86"/>
      <c r="X472" s="86"/>
      <c r="Y472" s="86"/>
      <c r="Z472" s="449"/>
      <c r="AA472" s="449"/>
      <c r="AB472" s="449"/>
      <c r="AC472" s="449"/>
      <c r="AD472" s="449"/>
      <c r="AE472" s="449"/>
    </row>
    <row r="473">
      <c r="A473" s="97"/>
      <c r="B473" s="298"/>
      <c r="C473" s="298"/>
      <c r="D473" s="298"/>
      <c r="E473" s="298"/>
      <c r="F473" s="298"/>
      <c r="G473" s="298"/>
      <c r="H473" s="298"/>
      <c r="I473" s="298"/>
      <c r="J473" s="298"/>
      <c r="K473" s="298"/>
      <c r="L473" s="298"/>
      <c r="M473" s="483"/>
      <c r="N473" s="484"/>
      <c r="O473" s="484"/>
      <c r="P473" s="484"/>
      <c r="Q473" s="484"/>
      <c r="R473" s="298"/>
      <c r="S473" s="86"/>
      <c r="T473" s="86"/>
      <c r="U473" s="86"/>
      <c r="V473" s="86"/>
      <c r="W473" s="86"/>
      <c r="X473" s="86"/>
      <c r="Y473" s="86"/>
      <c r="Z473" s="449"/>
      <c r="AA473" s="449"/>
      <c r="AB473" s="449"/>
      <c r="AC473" s="449"/>
      <c r="AD473" s="449"/>
      <c r="AE473" s="449"/>
    </row>
    <row r="474">
      <c r="A474" s="97"/>
      <c r="B474" s="298"/>
      <c r="C474" s="298"/>
      <c r="D474" s="298"/>
      <c r="E474" s="298"/>
      <c r="F474" s="298"/>
      <c r="G474" s="298"/>
      <c r="H474" s="298"/>
      <c r="I474" s="298"/>
      <c r="J474" s="298"/>
      <c r="K474" s="298"/>
      <c r="L474" s="298"/>
      <c r="M474" s="483"/>
      <c r="N474" s="484"/>
      <c r="O474" s="484"/>
      <c r="P474" s="484"/>
      <c r="Q474" s="484"/>
      <c r="R474" s="298"/>
      <c r="S474" s="86"/>
      <c r="T474" s="86"/>
      <c r="U474" s="86"/>
      <c r="V474" s="86"/>
      <c r="W474" s="86"/>
      <c r="X474" s="86"/>
      <c r="Y474" s="86"/>
      <c r="Z474" s="449"/>
      <c r="AA474" s="449"/>
      <c r="AB474" s="449"/>
      <c r="AC474" s="449"/>
      <c r="AD474" s="449"/>
      <c r="AE474" s="449"/>
    </row>
    <row r="475">
      <c r="A475" s="97"/>
      <c r="B475" s="298"/>
      <c r="C475" s="298"/>
      <c r="D475" s="298"/>
      <c r="E475" s="298"/>
      <c r="F475" s="298"/>
      <c r="G475" s="298"/>
      <c r="H475" s="298"/>
      <c r="I475" s="298"/>
      <c r="J475" s="298"/>
      <c r="K475" s="298"/>
      <c r="L475" s="298"/>
      <c r="M475" s="483"/>
      <c r="N475" s="484"/>
      <c r="O475" s="484"/>
      <c r="P475" s="484"/>
      <c r="Q475" s="484"/>
      <c r="R475" s="298"/>
      <c r="S475" s="86"/>
      <c r="T475" s="86"/>
      <c r="U475" s="86"/>
      <c r="V475" s="86"/>
      <c r="W475" s="86"/>
      <c r="X475" s="86"/>
      <c r="Y475" s="86"/>
      <c r="Z475" s="449"/>
      <c r="AA475" s="449"/>
      <c r="AB475" s="449"/>
      <c r="AC475" s="449"/>
      <c r="AD475" s="449"/>
      <c r="AE475" s="449"/>
    </row>
    <row r="476">
      <c r="A476" s="97"/>
      <c r="B476" s="298"/>
      <c r="C476" s="298"/>
      <c r="D476" s="298"/>
      <c r="E476" s="298"/>
      <c r="F476" s="298"/>
      <c r="G476" s="298"/>
      <c r="H476" s="298"/>
      <c r="I476" s="298"/>
      <c r="J476" s="298"/>
      <c r="K476" s="298"/>
      <c r="L476" s="298"/>
      <c r="M476" s="483"/>
      <c r="N476" s="484"/>
      <c r="O476" s="484"/>
      <c r="P476" s="484"/>
      <c r="Q476" s="484"/>
      <c r="R476" s="298"/>
      <c r="S476" s="86"/>
      <c r="T476" s="86"/>
      <c r="U476" s="86"/>
      <c r="V476" s="86"/>
      <c r="W476" s="86"/>
      <c r="X476" s="86"/>
      <c r="Y476" s="86"/>
      <c r="Z476" s="449"/>
      <c r="AA476" s="449"/>
      <c r="AB476" s="449"/>
      <c r="AC476" s="449"/>
      <c r="AD476" s="449"/>
      <c r="AE476" s="449"/>
    </row>
    <row r="477">
      <c r="A477" s="97"/>
      <c r="B477" s="298"/>
      <c r="C477" s="298"/>
      <c r="D477" s="298"/>
      <c r="E477" s="298"/>
      <c r="F477" s="298"/>
      <c r="G477" s="298"/>
      <c r="H477" s="298"/>
      <c r="I477" s="298"/>
      <c r="J477" s="298"/>
      <c r="K477" s="298"/>
      <c r="L477" s="298"/>
      <c r="M477" s="483"/>
      <c r="N477" s="484"/>
      <c r="O477" s="484"/>
      <c r="P477" s="484"/>
      <c r="Q477" s="484"/>
      <c r="R477" s="298"/>
      <c r="S477" s="86"/>
      <c r="T477" s="86"/>
      <c r="U477" s="86"/>
      <c r="V477" s="86"/>
      <c r="W477" s="86"/>
      <c r="X477" s="86"/>
      <c r="Y477" s="86"/>
      <c r="Z477" s="449"/>
      <c r="AA477" s="449"/>
      <c r="AB477" s="449"/>
      <c r="AC477" s="449"/>
      <c r="AD477" s="449"/>
      <c r="AE477" s="449"/>
    </row>
    <row r="478">
      <c r="A478" s="97"/>
      <c r="B478" s="298"/>
      <c r="C478" s="298"/>
      <c r="D478" s="298"/>
      <c r="E478" s="298"/>
      <c r="F478" s="298"/>
      <c r="G478" s="298"/>
      <c r="H478" s="298"/>
      <c r="I478" s="298"/>
      <c r="J478" s="298"/>
      <c r="K478" s="298"/>
      <c r="L478" s="298"/>
      <c r="M478" s="483"/>
      <c r="N478" s="484"/>
      <c r="O478" s="484"/>
      <c r="P478" s="484"/>
      <c r="Q478" s="484"/>
      <c r="R478" s="298"/>
      <c r="S478" s="86"/>
      <c r="T478" s="86"/>
      <c r="U478" s="86"/>
      <c r="V478" s="86"/>
      <c r="W478" s="86"/>
      <c r="X478" s="86"/>
      <c r="Y478" s="86"/>
      <c r="Z478" s="449"/>
      <c r="AA478" s="449"/>
      <c r="AB478" s="449"/>
      <c r="AC478" s="449"/>
      <c r="AD478" s="449"/>
      <c r="AE478" s="449"/>
    </row>
    <row r="479">
      <c r="A479" s="97"/>
      <c r="B479" s="298"/>
      <c r="C479" s="298"/>
      <c r="D479" s="298"/>
      <c r="E479" s="298"/>
      <c r="F479" s="298"/>
      <c r="G479" s="298"/>
      <c r="H479" s="298"/>
      <c r="I479" s="298"/>
      <c r="J479" s="298"/>
      <c r="K479" s="298"/>
      <c r="L479" s="298"/>
      <c r="M479" s="483"/>
      <c r="N479" s="484"/>
      <c r="O479" s="484"/>
      <c r="P479" s="484"/>
      <c r="Q479" s="484"/>
      <c r="R479" s="298"/>
      <c r="S479" s="86"/>
      <c r="T479" s="86"/>
      <c r="U479" s="86"/>
      <c r="V479" s="86"/>
      <c r="W479" s="86"/>
      <c r="X479" s="86"/>
      <c r="Y479" s="86"/>
      <c r="Z479" s="449"/>
      <c r="AA479" s="449"/>
      <c r="AB479" s="449"/>
      <c r="AC479" s="449"/>
      <c r="AD479" s="449"/>
      <c r="AE479" s="449"/>
    </row>
    <row r="480">
      <c r="A480" s="97"/>
      <c r="B480" s="298"/>
      <c r="C480" s="298"/>
      <c r="D480" s="298"/>
      <c r="E480" s="298"/>
      <c r="F480" s="298"/>
      <c r="G480" s="298"/>
      <c r="H480" s="298"/>
      <c r="I480" s="298"/>
      <c r="J480" s="298"/>
      <c r="K480" s="298"/>
      <c r="L480" s="298"/>
      <c r="M480" s="483"/>
      <c r="N480" s="484"/>
      <c r="O480" s="484"/>
      <c r="P480" s="484"/>
      <c r="Q480" s="484"/>
      <c r="R480" s="298"/>
      <c r="S480" s="86"/>
      <c r="T480" s="86"/>
      <c r="U480" s="86"/>
      <c r="V480" s="86"/>
      <c r="W480" s="86"/>
      <c r="X480" s="86"/>
      <c r="Y480" s="86"/>
      <c r="Z480" s="449"/>
      <c r="AA480" s="449"/>
      <c r="AB480" s="449"/>
      <c r="AC480" s="449"/>
      <c r="AD480" s="449"/>
      <c r="AE480" s="449"/>
    </row>
    <row r="481">
      <c r="A481" s="97"/>
      <c r="B481" s="298"/>
      <c r="C481" s="298"/>
      <c r="D481" s="298"/>
      <c r="E481" s="298"/>
      <c r="F481" s="298"/>
      <c r="G481" s="298"/>
      <c r="H481" s="298"/>
      <c r="I481" s="298"/>
      <c r="J481" s="298"/>
      <c r="K481" s="298"/>
      <c r="L481" s="298"/>
      <c r="M481" s="483"/>
      <c r="N481" s="484"/>
      <c r="O481" s="484"/>
      <c r="P481" s="484"/>
      <c r="Q481" s="484"/>
      <c r="R481" s="298"/>
      <c r="S481" s="86"/>
      <c r="T481" s="86"/>
      <c r="U481" s="86"/>
      <c r="V481" s="86"/>
      <c r="W481" s="86"/>
      <c r="X481" s="86"/>
      <c r="Y481" s="86"/>
      <c r="Z481" s="449"/>
      <c r="AA481" s="449"/>
      <c r="AB481" s="449"/>
      <c r="AC481" s="449"/>
      <c r="AD481" s="449"/>
      <c r="AE481" s="449"/>
    </row>
    <row r="482">
      <c r="A482" s="97"/>
      <c r="B482" s="298"/>
      <c r="C482" s="298"/>
      <c r="D482" s="298"/>
      <c r="E482" s="298"/>
      <c r="F482" s="298"/>
      <c r="G482" s="298"/>
      <c r="H482" s="298"/>
      <c r="I482" s="298"/>
      <c r="J482" s="298"/>
      <c r="K482" s="298"/>
      <c r="L482" s="298"/>
      <c r="M482" s="483"/>
      <c r="N482" s="484"/>
      <c r="O482" s="484"/>
      <c r="P482" s="484"/>
      <c r="Q482" s="484"/>
      <c r="R482" s="298"/>
      <c r="S482" s="86"/>
      <c r="T482" s="86"/>
      <c r="U482" s="86"/>
      <c r="V482" s="86"/>
      <c r="W482" s="86"/>
      <c r="X482" s="86"/>
      <c r="Y482" s="86"/>
      <c r="Z482" s="449"/>
      <c r="AA482" s="449"/>
      <c r="AB482" s="449"/>
      <c r="AC482" s="449"/>
      <c r="AD482" s="449"/>
      <c r="AE482" s="449"/>
    </row>
    <row r="483">
      <c r="A483" s="97"/>
      <c r="B483" s="298"/>
      <c r="C483" s="298"/>
      <c r="D483" s="298"/>
      <c r="E483" s="298"/>
      <c r="F483" s="298"/>
      <c r="G483" s="298"/>
      <c r="H483" s="298"/>
      <c r="I483" s="298"/>
      <c r="J483" s="298"/>
      <c r="K483" s="298"/>
      <c r="L483" s="298"/>
      <c r="M483" s="483"/>
      <c r="N483" s="484"/>
      <c r="O483" s="484"/>
      <c r="P483" s="484"/>
      <c r="Q483" s="484"/>
      <c r="R483" s="298"/>
      <c r="S483" s="86"/>
      <c r="T483" s="86"/>
      <c r="U483" s="86"/>
      <c r="V483" s="86"/>
      <c r="W483" s="86"/>
      <c r="X483" s="86"/>
      <c r="Y483" s="86"/>
      <c r="Z483" s="449"/>
      <c r="AA483" s="449"/>
      <c r="AB483" s="449"/>
      <c r="AC483" s="449"/>
      <c r="AD483" s="449"/>
      <c r="AE483" s="449"/>
    </row>
    <row r="484">
      <c r="A484" s="97"/>
      <c r="B484" s="298"/>
      <c r="C484" s="298"/>
      <c r="D484" s="298"/>
      <c r="E484" s="298"/>
      <c r="F484" s="298"/>
      <c r="G484" s="298"/>
      <c r="H484" s="298"/>
      <c r="I484" s="298"/>
      <c r="J484" s="298"/>
      <c r="K484" s="298"/>
      <c r="L484" s="298"/>
      <c r="M484" s="483"/>
      <c r="N484" s="484"/>
      <c r="O484" s="484"/>
      <c r="P484" s="484"/>
      <c r="Q484" s="484"/>
      <c r="R484" s="298"/>
      <c r="S484" s="86"/>
      <c r="T484" s="86"/>
      <c r="U484" s="86"/>
      <c r="V484" s="86"/>
      <c r="W484" s="86"/>
      <c r="X484" s="86"/>
      <c r="Y484" s="86"/>
      <c r="Z484" s="449"/>
      <c r="AA484" s="449"/>
      <c r="AB484" s="449"/>
      <c r="AC484" s="449"/>
      <c r="AD484" s="449"/>
      <c r="AE484" s="449"/>
    </row>
    <row r="485">
      <c r="A485" s="97"/>
      <c r="B485" s="298"/>
      <c r="C485" s="298"/>
      <c r="D485" s="298"/>
      <c r="E485" s="298"/>
      <c r="F485" s="298"/>
      <c r="G485" s="298"/>
      <c r="H485" s="298"/>
      <c r="I485" s="298"/>
      <c r="J485" s="298"/>
      <c r="K485" s="298"/>
      <c r="L485" s="298"/>
      <c r="M485" s="483"/>
      <c r="N485" s="484"/>
      <c r="O485" s="484"/>
      <c r="P485" s="484"/>
      <c r="Q485" s="484"/>
      <c r="R485" s="298"/>
      <c r="S485" s="86"/>
      <c r="T485" s="86"/>
      <c r="U485" s="86"/>
      <c r="V485" s="86"/>
      <c r="W485" s="86"/>
      <c r="X485" s="86"/>
      <c r="Y485" s="86"/>
      <c r="Z485" s="449"/>
      <c r="AA485" s="449"/>
      <c r="AB485" s="449"/>
      <c r="AC485" s="449"/>
      <c r="AD485" s="449"/>
      <c r="AE485" s="449"/>
    </row>
    <row r="486">
      <c r="A486" s="97"/>
      <c r="B486" s="298"/>
      <c r="C486" s="298"/>
      <c r="D486" s="298"/>
      <c r="E486" s="298"/>
      <c r="F486" s="298"/>
      <c r="G486" s="298"/>
      <c r="H486" s="298"/>
      <c r="I486" s="298"/>
      <c r="J486" s="298"/>
      <c r="K486" s="298"/>
      <c r="L486" s="298"/>
      <c r="M486" s="483"/>
      <c r="N486" s="484"/>
      <c r="O486" s="484"/>
      <c r="P486" s="484"/>
      <c r="Q486" s="484"/>
      <c r="R486" s="298"/>
      <c r="S486" s="86"/>
      <c r="T486" s="86"/>
      <c r="U486" s="86"/>
      <c r="V486" s="86"/>
      <c r="W486" s="86"/>
      <c r="X486" s="86"/>
      <c r="Y486" s="86"/>
      <c r="Z486" s="449"/>
      <c r="AA486" s="449"/>
      <c r="AB486" s="449"/>
      <c r="AC486" s="449"/>
      <c r="AD486" s="449"/>
      <c r="AE486" s="449"/>
    </row>
    <row r="487">
      <c r="A487" s="97"/>
      <c r="B487" s="298"/>
      <c r="C487" s="298"/>
      <c r="D487" s="298"/>
      <c r="E487" s="298"/>
      <c r="F487" s="298"/>
      <c r="G487" s="298"/>
      <c r="H487" s="298"/>
      <c r="I487" s="298"/>
      <c r="J487" s="298"/>
      <c r="K487" s="298"/>
      <c r="L487" s="298"/>
      <c r="M487" s="483"/>
      <c r="N487" s="484"/>
      <c r="O487" s="484"/>
      <c r="P487" s="484"/>
      <c r="Q487" s="484"/>
      <c r="R487" s="298"/>
      <c r="S487" s="86"/>
      <c r="T487" s="86"/>
      <c r="U487" s="86"/>
      <c r="V487" s="86"/>
      <c r="W487" s="86"/>
      <c r="X487" s="86"/>
      <c r="Y487" s="86"/>
      <c r="Z487" s="449"/>
      <c r="AA487" s="449"/>
      <c r="AB487" s="449"/>
      <c r="AC487" s="449"/>
      <c r="AD487" s="449"/>
      <c r="AE487" s="449"/>
    </row>
    <row r="488">
      <c r="A488" s="97"/>
      <c r="B488" s="298"/>
      <c r="C488" s="298"/>
      <c r="D488" s="298"/>
      <c r="E488" s="298"/>
      <c r="F488" s="298"/>
      <c r="G488" s="298"/>
      <c r="H488" s="298"/>
      <c r="I488" s="298"/>
      <c r="J488" s="298"/>
      <c r="K488" s="298"/>
      <c r="L488" s="298"/>
      <c r="M488" s="483"/>
      <c r="N488" s="484"/>
      <c r="O488" s="484"/>
      <c r="P488" s="484"/>
      <c r="Q488" s="484"/>
      <c r="R488" s="298"/>
      <c r="S488" s="86"/>
      <c r="T488" s="86"/>
      <c r="U488" s="86"/>
      <c r="V488" s="86"/>
      <c r="W488" s="86"/>
      <c r="X488" s="86"/>
      <c r="Y488" s="86"/>
      <c r="Z488" s="449"/>
      <c r="AA488" s="449"/>
      <c r="AB488" s="449"/>
      <c r="AC488" s="449"/>
      <c r="AD488" s="449"/>
      <c r="AE488" s="449"/>
    </row>
    <row r="489">
      <c r="A489" s="97"/>
      <c r="B489" s="298"/>
      <c r="C489" s="298"/>
      <c r="D489" s="298"/>
      <c r="E489" s="298"/>
      <c r="F489" s="298"/>
      <c r="G489" s="298"/>
      <c r="H489" s="298"/>
      <c r="I489" s="298"/>
      <c r="J489" s="298"/>
      <c r="K489" s="298"/>
      <c r="L489" s="298"/>
      <c r="M489" s="483"/>
      <c r="N489" s="484"/>
      <c r="O489" s="484"/>
      <c r="P489" s="484"/>
      <c r="Q489" s="484"/>
      <c r="R489" s="298"/>
      <c r="S489" s="86"/>
      <c r="T489" s="86"/>
      <c r="U489" s="86"/>
      <c r="V489" s="86"/>
      <c r="W489" s="86"/>
      <c r="X489" s="86"/>
      <c r="Y489" s="86"/>
      <c r="Z489" s="449"/>
      <c r="AA489" s="449"/>
      <c r="AB489" s="449"/>
      <c r="AC489" s="449"/>
      <c r="AD489" s="449"/>
      <c r="AE489" s="449"/>
    </row>
    <row r="490">
      <c r="A490" s="97"/>
      <c r="B490" s="298"/>
      <c r="C490" s="298"/>
      <c r="D490" s="298"/>
      <c r="E490" s="298"/>
      <c r="F490" s="298"/>
      <c r="G490" s="298"/>
      <c r="H490" s="298"/>
      <c r="I490" s="298"/>
      <c r="J490" s="298"/>
      <c r="K490" s="298"/>
      <c r="L490" s="298"/>
      <c r="M490" s="483"/>
      <c r="N490" s="484"/>
      <c r="O490" s="484"/>
      <c r="P490" s="484"/>
      <c r="Q490" s="484"/>
      <c r="R490" s="298"/>
      <c r="S490" s="86"/>
      <c r="T490" s="86"/>
      <c r="U490" s="86"/>
      <c r="V490" s="86"/>
      <c r="W490" s="86"/>
      <c r="X490" s="86"/>
      <c r="Y490" s="86"/>
      <c r="Z490" s="449"/>
      <c r="AA490" s="449"/>
      <c r="AB490" s="449"/>
      <c r="AC490" s="449"/>
      <c r="AD490" s="449"/>
      <c r="AE490" s="449"/>
    </row>
    <row r="491">
      <c r="A491" s="97"/>
      <c r="B491" s="298"/>
      <c r="C491" s="298"/>
      <c r="D491" s="298"/>
      <c r="E491" s="298"/>
      <c r="F491" s="298"/>
      <c r="G491" s="298"/>
      <c r="H491" s="298"/>
      <c r="I491" s="298"/>
      <c r="J491" s="298"/>
      <c r="K491" s="298"/>
      <c r="L491" s="298"/>
      <c r="M491" s="483"/>
      <c r="N491" s="484"/>
      <c r="O491" s="484"/>
      <c r="P491" s="484"/>
      <c r="Q491" s="484"/>
      <c r="R491" s="298"/>
      <c r="S491" s="86"/>
      <c r="T491" s="86"/>
      <c r="U491" s="86"/>
      <c r="V491" s="86"/>
      <c r="W491" s="86"/>
      <c r="X491" s="86"/>
      <c r="Y491" s="86"/>
      <c r="Z491" s="449"/>
      <c r="AA491" s="449"/>
      <c r="AB491" s="449"/>
      <c r="AC491" s="449"/>
      <c r="AD491" s="449"/>
      <c r="AE491" s="449"/>
    </row>
    <row r="492">
      <c r="A492" s="97"/>
      <c r="B492" s="298"/>
      <c r="C492" s="298"/>
      <c r="D492" s="298"/>
      <c r="E492" s="298"/>
      <c r="F492" s="298"/>
      <c r="G492" s="298"/>
      <c r="H492" s="298"/>
      <c r="I492" s="298"/>
      <c r="J492" s="298"/>
      <c r="K492" s="298"/>
      <c r="L492" s="298"/>
      <c r="M492" s="483"/>
      <c r="N492" s="484"/>
      <c r="O492" s="484"/>
      <c r="P492" s="484"/>
      <c r="Q492" s="484"/>
      <c r="R492" s="298"/>
      <c r="S492" s="86"/>
      <c r="T492" s="86"/>
      <c r="U492" s="86"/>
      <c r="V492" s="86"/>
      <c r="W492" s="86"/>
      <c r="X492" s="86"/>
      <c r="Y492" s="86"/>
      <c r="Z492" s="449"/>
      <c r="AA492" s="449"/>
      <c r="AB492" s="449"/>
      <c r="AC492" s="449"/>
      <c r="AD492" s="449"/>
      <c r="AE492" s="449"/>
    </row>
    <row r="493">
      <c r="A493" s="97"/>
      <c r="B493" s="298"/>
      <c r="C493" s="298"/>
      <c r="D493" s="298"/>
      <c r="E493" s="298"/>
      <c r="F493" s="298"/>
      <c r="G493" s="298"/>
      <c r="H493" s="298"/>
      <c r="I493" s="298"/>
      <c r="J493" s="298"/>
      <c r="K493" s="298"/>
      <c r="L493" s="298"/>
      <c r="M493" s="483"/>
      <c r="N493" s="484"/>
      <c r="O493" s="484"/>
      <c r="P493" s="484"/>
      <c r="Q493" s="484"/>
      <c r="R493" s="298"/>
      <c r="S493" s="86"/>
      <c r="T493" s="86"/>
      <c r="U493" s="86"/>
      <c r="V493" s="86"/>
      <c r="W493" s="86"/>
      <c r="X493" s="86"/>
      <c r="Y493" s="86"/>
      <c r="Z493" s="449"/>
      <c r="AA493" s="449"/>
      <c r="AB493" s="449"/>
      <c r="AC493" s="449"/>
      <c r="AD493" s="449"/>
      <c r="AE493" s="449"/>
    </row>
    <row r="494">
      <c r="A494" s="97"/>
      <c r="B494" s="298"/>
      <c r="C494" s="298"/>
      <c r="D494" s="298"/>
      <c r="E494" s="298"/>
      <c r="F494" s="298"/>
      <c r="G494" s="298"/>
      <c r="H494" s="298"/>
      <c r="I494" s="298"/>
      <c r="J494" s="298"/>
      <c r="K494" s="298"/>
      <c r="L494" s="298"/>
      <c r="M494" s="483"/>
      <c r="N494" s="484"/>
      <c r="O494" s="484"/>
      <c r="P494" s="484"/>
      <c r="Q494" s="484"/>
      <c r="R494" s="298"/>
      <c r="S494" s="86"/>
      <c r="T494" s="86"/>
      <c r="U494" s="86"/>
      <c r="V494" s="86"/>
      <c r="W494" s="86"/>
      <c r="X494" s="86"/>
      <c r="Y494" s="86"/>
      <c r="Z494" s="449"/>
      <c r="AA494" s="449"/>
      <c r="AB494" s="449"/>
      <c r="AC494" s="449"/>
      <c r="AD494" s="449"/>
      <c r="AE494" s="449"/>
    </row>
    <row r="495">
      <c r="A495" s="97"/>
      <c r="B495" s="298"/>
      <c r="C495" s="298"/>
      <c r="D495" s="298"/>
      <c r="E495" s="298"/>
      <c r="F495" s="298"/>
      <c r="G495" s="298"/>
      <c r="H495" s="298"/>
      <c r="I495" s="298"/>
      <c r="J495" s="298"/>
      <c r="K495" s="298"/>
      <c r="L495" s="298"/>
      <c r="M495" s="483"/>
      <c r="N495" s="484"/>
      <c r="O495" s="484"/>
      <c r="P495" s="484"/>
      <c r="Q495" s="484"/>
      <c r="R495" s="298"/>
      <c r="S495" s="86"/>
      <c r="T495" s="86"/>
      <c r="U495" s="86"/>
      <c r="V495" s="86"/>
      <c r="W495" s="86"/>
      <c r="X495" s="86"/>
      <c r="Y495" s="86"/>
      <c r="Z495" s="449"/>
      <c r="AA495" s="449"/>
      <c r="AB495" s="449"/>
      <c r="AC495" s="449"/>
      <c r="AD495" s="449"/>
      <c r="AE495" s="449"/>
    </row>
    <row r="496">
      <c r="A496" s="97"/>
      <c r="B496" s="298"/>
      <c r="C496" s="298"/>
      <c r="D496" s="298"/>
      <c r="E496" s="298"/>
      <c r="F496" s="298"/>
      <c r="G496" s="298"/>
      <c r="H496" s="298"/>
      <c r="I496" s="298"/>
      <c r="J496" s="298"/>
      <c r="K496" s="298"/>
      <c r="L496" s="298"/>
      <c r="M496" s="483"/>
      <c r="N496" s="484"/>
      <c r="O496" s="484"/>
      <c r="P496" s="484"/>
      <c r="Q496" s="484"/>
      <c r="R496" s="298"/>
      <c r="S496" s="86"/>
      <c r="T496" s="86"/>
      <c r="U496" s="86"/>
      <c r="V496" s="86"/>
      <c r="W496" s="86"/>
      <c r="X496" s="86"/>
      <c r="Y496" s="86"/>
      <c r="Z496" s="449"/>
      <c r="AA496" s="449"/>
      <c r="AB496" s="449"/>
      <c r="AC496" s="449"/>
      <c r="AD496" s="449"/>
      <c r="AE496" s="449"/>
    </row>
    <row r="497">
      <c r="A497" s="97"/>
      <c r="B497" s="298"/>
      <c r="C497" s="298"/>
      <c r="D497" s="298"/>
      <c r="E497" s="298"/>
      <c r="F497" s="298"/>
      <c r="G497" s="298"/>
      <c r="H497" s="298"/>
      <c r="I497" s="298"/>
      <c r="J497" s="298"/>
      <c r="K497" s="298"/>
      <c r="L497" s="298"/>
      <c r="M497" s="483"/>
      <c r="N497" s="484"/>
      <c r="O497" s="484"/>
      <c r="P497" s="484"/>
      <c r="Q497" s="484"/>
      <c r="R497" s="298"/>
      <c r="S497" s="86"/>
      <c r="T497" s="86"/>
      <c r="U497" s="86"/>
      <c r="V497" s="86"/>
      <c r="W497" s="86"/>
      <c r="X497" s="86"/>
      <c r="Y497" s="86"/>
      <c r="Z497" s="449"/>
      <c r="AA497" s="449"/>
      <c r="AB497" s="449"/>
      <c r="AC497" s="449"/>
      <c r="AD497" s="449"/>
      <c r="AE497" s="449"/>
    </row>
    <row r="498">
      <c r="A498" s="97"/>
      <c r="B498" s="298"/>
      <c r="C498" s="298"/>
      <c r="D498" s="298"/>
      <c r="E498" s="298"/>
      <c r="F498" s="298"/>
      <c r="G498" s="298"/>
      <c r="H498" s="298"/>
      <c r="I498" s="298"/>
      <c r="J498" s="298"/>
      <c r="K498" s="298"/>
      <c r="L498" s="298"/>
      <c r="M498" s="483"/>
      <c r="N498" s="484"/>
      <c r="O498" s="484"/>
      <c r="P498" s="484"/>
      <c r="Q498" s="484"/>
      <c r="R498" s="298"/>
      <c r="S498" s="86"/>
      <c r="T498" s="86"/>
      <c r="U498" s="86"/>
      <c r="V498" s="86"/>
      <c r="W498" s="86"/>
      <c r="X498" s="86"/>
      <c r="Y498" s="86"/>
      <c r="Z498" s="449"/>
      <c r="AA498" s="449"/>
      <c r="AB498" s="449"/>
      <c r="AC498" s="449"/>
      <c r="AD498" s="449"/>
      <c r="AE498" s="449"/>
    </row>
    <row r="499">
      <c r="A499" s="97"/>
      <c r="B499" s="298"/>
      <c r="C499" s="298"/>
      <c r="D499" s="298"/>
      <c r="E499" s="298"/>
      <c r="F499" s="298"/>
      <c r="G499" s="298"/>
      <c r="H499" s="298"/>
      <c r="I499" s="298"/>
      <c r="J499" s="298"/>
      <c r="K499" s="298"/>
      <c r="L499" s="298"/>
      <c r="M499" s="483"/>
      <c r="N499" s="484"/>
      <c r="O499" s="484"/>
      <c r="P499" s="484"/>
      <c r="Q499" s="484"/>
      <c r="R499" s="298"/>
      <c r="S499" s="86"/>
      <c r="T499" s="86"/>
      <c r="U499" s="86"/>
      <c r="V499" s="86"/>
      <c r="W499" s="86"/>
      <c r="X499" s="86"/>
      <c r="Y499" s="86"/>
      <c r="Z499" s="449"/>
      <c r="AA499" s="449"/>
      <c r="AB499" s="449"/>
      <c r="AC499" s="449"/>
      <c r="AD499" s="449"/>
      <c r="AE499" s="449"/>
    </row>
    <row r="500">
      <c r="A500" s="97"/>
      <c r="B500" s="298"/>
      <c r="C500" s="298"/>
      <c r="D500" s="298"/>
      <c r="E500" s="298"/>
      <c r="F500" s="298"/>
      <c r="G500" s="298"/>
      <c r="H500" s="298"/>
      <c r="I500" s="298"/>
      <c r="J500" s="298"/>
      <c r="K500" s="298"/>
      <c r="L500" s="298"/>
      <c r="M500" s="483"/>
      <c r="N500" s="484"/>
      <c r="O500" s="484"/>
      <c r="P500" s="484"/>
      <c r="Q500" s="484"/>
      <c r="R500" s="298"/>
      <c r="S500" s="86"/>
      <c r="T500" s="86"/>
      <c r="U500" s="86"/>
      <c r="V500" s="86"/>
      <c r="W500" s="86"/>
      <c r="X500" s="86"/>
      <c r="Y500" s="86"/>
      <c r="Z500" s="449"/>
      <c r="AA500" s="449"/>
      <c r="AB500" s="449"/>
      <c r="AC500" s="449"/>
      <c r="AD500" s="449"/>
      <c r="AE500" s="449"/>
    </row>
    <row r="501">
      <c r="A501" s="97"/>
      <c r="B501" s="298"/>
      <c r="C501" s="298"/>
      <c r="D501" s="298"/>
      <c r="E501" s="298"/>
      <c r="F501" s="298"/>
      <c r="G501" s="298"/>
      <c r="H501" s="298"/>
      <c r="I501" s="298"/>
      <c r="J501" s="298"/>
      <c r="K501" s="298"/>
      <c r="L501" s="298"/>
      <c r="M501" s="483"/>
      <c r="N501" s="484"/>
      <c r="O501" s="484"/>
      <c r="P501" s="484"/>
      <c r="Q501" s="484"/>
      <c r="R501" s="298"/>
      <c r="S501" s="86"/>
      <c r="T501" s="86"/>
      <c r="U501" s="86"/>
      <c r="V501" s="86"/>
      <c r="W501" s="86"/>
      <c r="X501" s="86"/>
      <c r="Y501" s="86"/>
      <c r="Z501" s="449"/>
      <c r="AA501" s="449"/>
      <c r="AB501" s="449"/>
      <c r="AC501" s="449"/>
      <c r="AD501" s="449"/>
      <c r="AE501" s="449"/>
    </row>
    <row r="502">
      <c r="A502" s="97"/>
      <c r="B502" s="298"/>
      <c r="C502" s="298"/>
      <c r="D502" s="298"/>
      <c r="E502" s="298"/>
      <c r="F502" s="298"/>
      <c r="G502" s="298"/>
      <c r="H502" s="298"/>
      <c r="I502" s="298"/>
      <c r="J502" s="298"/>
      <c r="K502" s="298"/>
      <c r="L502" s="298"/>
      <c r="M502" s="483"/>
      <c r="N502" s="484"/>
      <c r="O502" s="484"/>
      <c r="P502" s="484"/>
      <c r="Q502" s="484"/>
      <c r="R502" s="298"/>
      <c r="S502" s="86"/>
      <c r="T502" s="86"/>
      <c r="U502" s="86"/>
      <c r="V502" s="86"/>
      <c r="W502" s="86"/>
      <c r="X502" s="86"/>
      <c r="Y502" s="86"/>
      <c r="Z502" s="449"/>
      <c r="AA502" s="449"/>
      <c r="AB502" s="449"/>
      <c r="AC502" s="449"/>
      <c r="AD502" s="449"/>
      <c r="AE502" s="449"/>
    </row>
    <row r="503">
      <c r="A503" s="97"/>
      <c r="B503" s="298"/>
      <c r="C503" s="298"/>
      <c r="D503" s="298"/>
      <c r="E503" s="298"/>
      <c r="F503" s="298"/>
      <c r="G503" s="298"/>
      <c r="H503" s="298"/>
      <c r="I503" s="298"/>
      <c r="J503" s="298"/>
      <c r="K503" s="298"/>
      <c r="L503" s="298"/>
      <c r="M503" s="483"/>
      <c r="N503" s="484"/>
      <c r="O503" s="484"/>
      <c r="P503" s="484"/>
      <c r="Q503" s="484"/>
      <c r="R503" s="298"/>
      <c r="S503" s="86"/>
      <c r="T503" s="86"/>
      <c r="U503" s="86"/>
      <c r="V503" s="86"/>
      <c r="W503" s="86"/>
      <c r="X503" s="86"/>
      <c r="Y503" s="86"/>
      <c r="Z503" s="449"/>
      <c r="AA503" s="449"/>
      <c r="AB503" s="449"/>
      <c r="AC503" s="449"/>
      <c r="AD503" s="449"/>
      <c r="AE503" s="449"/>
    </row>
    <row r="504">
      <c r="A504" s="97"/>
      <c r="B504" s="298"/>
      <c r="C504" s="298"/>
      <c r="D504" s="298"/>
      <c r="E504" s="298"/>
      <c r="F504" s="298"/>
      <c r="G504" s="298"/>
      <c r="H504" s="298"/>
      <c r="I504" s="298"/>
      <c r="J504" s="298"/>
      <c r="K504" s="298"/>
      <c r="L504" s="298"/>
      <c r="M504" s="483"/>
      <c r="N504" s="484"/>
      <c r="O504" s="484"/>
      <c r="P504" s="484"/>
      <c r="Q504" s="484"/>
      <c r="R504" s="298"/>
      <c r="S504" s="86"/>
      <c r="T504" s="86"/>
      <c r="U504" s="86"/>
      <c r="V504" s="86"/>
      <c r="W504" s="86"/>
      <c r="X504" s="86"/>
      <c r="Y504" s="86"/>
      <c r="Z504" s="449"/>
      <c r="AA504" s="449"/>
      <c r="AB504" s="449"/>
      <c r="AC504" s="449"/>
      <c r="AD504" s="449"/>
      <c r="AE504" s="449"/>
    </row>
    <row r="505">
      <c r="A505" s="97"/>
      <c r="B505" s="298"/>
      <c r="C505" s="298"/>
      <c r="D505" s="298"/>
      <c r="E505" s="298"/>
      <c r="F505" s="298"/>
      <c r="G505" s="298"/>
      <c r="H505" s="298"/>
      <c r="I505" s="298"/>
      <c r="J505" s="298"/>
      <c r="K505" s="298"/>
      <c r="L505" s="298"/>
      <c r="M505" s="483"/>
      <c r="N505" s="484"/>
      <c r="O505" s="484"/>
      <c r="P505" s="484"/>
      <c r="Q505" s="484"/>
      <c r="R505" s="298"/>
      <c r="S505" s="86"/>
      <c r="T505" s="86"/>
      <c r="U505" s="86"/>
      <c r="V505" s="86"/>
      <c r="W505" s="86"/>
      <c r="X505" s="86"/>
      <c r="Y505" s="86"/>
      <c r="Z505" s="449"/>
      <c r="AA505" s="449"/>
      <c r="AB505" s="449"/>
      <c r="AC505" s="449"/>
      <c r="AD505" s="449"/>
      <c r="AE505" s="449"/>
    </row>
    <row r="506">
      <c r="A506" s="97"/>
      <c r="B506" s="298"/>
      <c r="C506" s="298"/>
      <c r="D506" s="298"/>
      <c r="E506" s="298"/>
      <c r="F506" s="298"/>
      <c r="G506" s="298"/>
      <c r="H506" s="298"/>
      <c r="I506" s="298"/>
      <c r="J506" s="298"/>
      <c r="K506" s="298"/>
      <c r="L506" s="298"/>
      <c r="M506" s="483"/>
      <c r="N506" s="484"/>
      <c r="O506" s="484"/>
      <c r="P506" s="484"/>
      <c r="Q506" s="484"/>
      <c r="R506" s="298"/>
      <c r="S506" s="86"/>
      <c r="T506" s="86"/>
      <c r="U506" s="86"/>
      <c r="V506" s="86"/>
      <c r="W506" s="86"/>
      <c r="X506" s="86"/>
      <c r="Y506" s="86"/>
      <c r="Z506" s="449"/>
      <c r="AA506" s="449"/>
      <c r="AB506" s="449"/>
      <c r="AC506" s="449"/>
      <c r="AD506" s="449"/>
      <c r="AE506" s="449"/>
    </row>
    <row r="507">
      <c r="A507" s="97"/>
      <c r="B507" s="298"/>
      <c r="C507" s="298"/>
      <c r="D507" s="298"/>
      <c r="E507" s="298"/>
      <c r="F507" s="298"/>
      <c r="G507" s="298"/>
      <c r="H507" s="298"/>
      <c r="I507" s="298"/>
      <c r="J507" s="298"/>
      <c r="K507" s="298"/>
      <c r="L507" s="298"/>
      <c r="M507" s="483"/>
      <c r="N507" s="484"/>
      <c r="O507" s="484"/>
      <c r="P507" s="484"/>
      <c r="Q507" s="484"/>
      <c r="R507" s="298"/>
      <c r="S507" s="86"/>
      <c r="T507" s="86"/>
      <c r="U507" s="86"/>
      <c r="V507" s="86"/>
      <c r="W507" s="86"/>
      <c r="X507" s="86"/>
      <c r="Y507" s="86"/>
      <c r="Z507" s="449"/>
      <c r="AA507" s="449"/>
      <c r="AB507" s="449"/>
      <c r="AC507" s="449"/>
      <c r="AD507" s="449"/>
      <c r="AE507" s="449"/>
    </row>
    <row r="508">
      <c r="A508" s="97"/>
      <c r="B508" s="298"/>
      <c r="C508" s="298"/>
      <c r="D508" s="298"/>
      <c r="E508" s="298"/>
      <c r="F508" s="298"/>
      <c r="G508" s="298"/>
      <c r="H508" s="298"/>
      <c r="I508" s="298"/>
      <c r="J508" s="298"/>
      <c r="K508" s="298"/>
      <c r="L508" s="298"/>
      <c r="M508" s="483"/>
      <c r="N508" s="484"/>
      <c r="O508" s="484"/>
      <c r="P508" s="484"/>
      <c r="Q508" s="484"/>
      <c r="R508" s="298"/>
      <c r="S508" s="86"/>
      <c r="T508" s="86"/>
      <c r="U508" s="86"/>
      <c r="V508" s="86"/>
      <c r="W508" s="86"/>
      <c r="X508" s="86"/>
      <c r="Y508" s="86"/>
      <c r="Z508" s="449"/>
      <c r="AA508" s="449"/>
      <c r="AB508" s="449"/>
      <c r="AC508" s="449"/>
      <c r="AD508" s="449"/>
      <c r="AE508" s="449"/>
    </row>
    <row r="509">
      <c r="A509" s="97"/>
      <c r="B509" s="298"/>
      <c r="C509" s="298"/>
      <c r="D509" s="298"/>
      <c r="E509" s="298"/>
      <c r="F509" s="298"/>
      <c r="G509" s="298"/>
      <c r="H509" s="298"/>
      <c r="I509" s="298"/>
      <c r="J509" s="298"/>
      <c r="K509" s="298"/>
      <c r="L509" s="298"/>
      <c r="M509" s="483"/>
      <c r="N509" s="484"/>
      <c r="O509" s="484"/>
      <c r="P509" s="484"/>
      <c r="Q509" s="484"/>
      <c r="R509" s="298"/>
      <c r="S509" s="86"/>
      <c r="T509" s="86"/>
      <c r="U509" s="86"/>
      <c r="V509" s="86"/>
      <c r="W509" s="86"/>
      <c r="X509" s="86"/>
      <c r="Y509" s="86"/>
      <c r="Z509" s="449"/>
      <c r="AA509" s="449"/>
      <c r="AB509" s="449"/>
      <c r="AC509" s="449"/>
      <c r="AD509" s="449"/>
      <c r="AE509" s="449"/>
    </row>
    <row r="510">
      <c r="A510" s="97"/>
      <c r="B510" s="298"/>
      <c r="C510" s="298"/>
      <c r="D510" s="298"/>
      <c r="E510" s="298"/>
      <c r="F510" s="298"/>
      <c r="G510" s="298"/>
      <c r="H510" s="298"/>
      <c r="I510" s="298"/>
      <c r="J510" s="298"/>
      <c r="K510" s="298"/>
      <c r="L510" s="298"/>
      <c r="M510" s="483"/>
      <c r="N510" s="484"/>
      <c r="O510" s="484"/>
      <c r="P510" s="484"/>
      <c r="Q510" s="484"/>
      <c r="R510" s="298"/>
      <c r="S510" s="86"/>
      <c r="T510" s="86"/>
      <c r="U510" s="86"/>
      <c r="V510" s="86"/>
      <c r="W510" s="86"/>
      <c r="X510" s="86"/>
      <c r="Y510" s="86"/>
      <c r="Z510" s="449"/>
      <c r="AA510" s="449"/>
      <c r="AB510" s="449"/>
      <c r="AC510" s="449"/>
      <c r="AD510" s="449"/>
      <c r="AE510" s="449"/>
    </row>
    <row r="511">
      <c r="A511" s="97"/>
      <c r="B511" s="298"/>
      <c r="C511" s="298"/>
      <c r="D511" s="298"/>
      <c r="E511" s="298"/>
      <c r="F511" s="298"/>
      <c r="G511" s="298"/>
      <c r="H511" s="298"/>
      <c r="I511" s="298"/>
      <c r="J511" s="298"/>
      <c r="K511" s="298"/>
      <c r="L511" s="298"/>
      <c r="M511" s="483"/>
      <c r="N511" s="484"/>
      <c r="O511" s="484"/>
      <c r="P511" s="484"/>
      <c r="Q511" s="484"/>
      <c r="R511" s="298"/>
      <c r="S511" s="86"/>
      <c r="T511" s="86"/>
      <c r="U511" s="86"/>
      <c r="V511" s="86"/>
      <c r="W511" s="86"/>
      <c r="X511" s="86"/>
      <c r="Y511" s="86"/>
      <c r="Z511" s="449"/>
      <c r="AA511" s="449"/>
      <c r="AB511" s="449"/>
      <c r="AC511" s="449"/>
      <c r="AD511" s="449"/>
      <c r="AE511" s="449"/>
    </row>
    <row r="512">
      <c r="A512" s="97"/>
      <c r="B512" s="298"/>
      <c r="C512" s="298"/>
      <c r="D512" s="298"/>
      <c r="E512" s="298"/>
      <c r="F512" s="298"/>
      <c r="G512" s="298"/>
      <c r="H512" s="298"/>
      <c r="I512" s="298"/>
      <c r="J512" s="298"/>
      <c r="K512" s="298"/>
      <c r="L512" s="298"/>
      <c r="M512" s="483"/>
      <c r="N512" s="484"/>
      <c r="O512" s="484"/>
      <c r="P512" s="484"/>
      <c r="Q512" s="484"/>
      <c r="R512" s="298"/>
      <c r="S512" s="86"/>
      <c r="T512" s="86"/>
      <c r="U512" s="86"/>
      <c r="V512" s="86"/>
      <c r="W512" s="86"/>
      <c r="X512" s="86"/>
      <c r="Y512" s="86"/>
      <c r="Z512" s="449"/>
      <c r="AA512" s="449"/>
      <c r="AB512" s="449"/>
      <c r="AC512" s="449"/>
      <c r="AD512" s="449"/>
      <c r="AE512" s="449"/>
    </row>
    <row r="513">
      <c r="A513" s="97"/>
      <c r="B513" s="298"/>
      <c r="C513" s="298"/>
      <c r="D513" s="298"/>
      <c r="E513" s="298"/>
      <c r="F513" s="298"/>
      <c r="G513" s="298"/>
      <c r="H513" s="298"/>
      <c r="I513" s="298"/>
      <c r="J513" s="298"/>
      <c r="K513" s="298"/>
      <c r="L513" s="298"/>
      <c r="M513" s="483"/>
      <c r="N513" s="484"/>
      <c r="O513" s="484"/>
      <c r="P513" s="484"/>
      <c r="Q513" s="484"/>
      <c r="R513" s="298"/>
      <c r="S513" s="86"/>
      <c r="T513" s="86"/>
      <c r="U513" s="86"/>
      <c r="V513" s="86"/>
      <c r="W513" s="86"/>
      <c r="X513" s="86"/>
      <c r="Y513" s="86"/>
      <c r="Z513" s="449"/>
      <c r="AA513" s="449"/>
      <c r="AB513" s="449"/>
      <c r="AC513" s="449"/>
      <c r="AD513" s="449"/>
      <c r="AE513" s="449"/>
    </row>
    <row r="514">
      <c r="A514" s="97"/>
      <c r="B514" s="298"/>
      <c r="C514" s="298"/>
      <c r="D514" s="298"/>
      <c r="E514" s="298"/>
      <c r="F514" s="298"/>
      <c r="G514" s="298"/>
      <c r="H514" s="298"/>
      <c r="I514" s="298"/>
      <c r="J514" s="298"/>
      <c r="K514" s="298"/>
      <c r="L514" s="298"/>
      <c r="M514" s="483"/>
      <c r="N514" s="484"/>
      <c r="O514" s="484"/>
      <c r="P514" s="484"/>
      <c r="Q514" s="484"/>
      <c r="R514" s="298"/>
      <c r="S514" s="86"/>
      <c r="T514" s="86"/>
      <c r="U514" s="86"/>
      <c r="V514" s="86"/>
      <c r="W514" s="86"/>
      <c r="X514" s="86"/>
      <c r="Y514" s="86"/>
      <c r="Z514" s="449"/>
      <c r="AA514" s="449"/>
      <c r="AB514" s="449"/>
      <c r="AC514" s="449"/>
      <c r="AD514" s="449"/>
      <c r="AE514" s="449"/>
    </row>
    <row r="515">
      <c r="A515" s="97"/>
      <c r="B515" s="298"/>
      <c r="C515" s="298"/>
      <c r="D515" s="298"/>
      <c r="E515" s="298"/>
      <c r="F515" s="298"/>
      <c r="G515" s="298"/>
      <c r="H515" s="298"/>
      <c r="I515" s="298"/>
      <c r="J515" s="298"/>
      <c r="K515" s="298"/>
      <c r="L515" s="298"/>
      <c r="M515" s="483"/>
      <c r="N515" s="484"/>
      <c r="O515" s="484"/>
      <c r="P515" s="484"/>
      <c r="Q515" s="484"/>
      <c r="R515" s="298"/>
      <c r="S515" s="86"/>
      <c r="T515" s="86"/>
      <c r="U515" s="86"/>
      <c r="V515" s="86"/>
      <c r="W515" s="86"/>
      <c r="X515" s="86"/>
      <c r="Y515" s="86"/>
      <c r="Z515" s="449"/>
      <c r="AA515" s="449"/>
      <c r="AB515" s="449"/>
      <c r="AC515" s="449"/>
      <c r="AD515" s="449"/>
      <c r="AE515" s="449"/>
    </row>
    <row r="516">
      <c r="A516" s="97"/>
      <c r="B516" s="298"/>
      <c r="C516" s="298"/>
      <c r="D516" s="298"/>
      <c r="E516" s="298"/>
      <c r="F516" s="298"/>
      <c r="G516" s="298"/>
      <c r="H516" s="298"/>
      <c r="I516" s="298"/>
      <c r="J516" s="298"/>
      <c r="K516" s="298"/>
      <c r="L516" s="298"/>
      <c r="M516" s="483"/>
      <c r="N516" s="484"/>
      <c r="O516" s="484"/>
      <c r="P516" s="484"/>
      <c r="Q516" s="484"/>
      <c r="R516" s="298"/>
      <c r="S516" s="86"/>
      <c r="T516" s="86"/>
      <c r="U516" s="86"/>
      <c r="V516" s="86"/>
      <c r="W516" s="86"/>
      <c r="X516" s="86"/>
      <c r="Y516" s="86"/>
      <c r="Z516" s="449"/>
      <c r="AA516" s="449"/>
      <c r="AB516" s="449"/>
      <c r="AC516" s="449"/>
      <c r="AD516" s="449"/>
      <c r="AE516" s="449"/>
    </row>
    <row r="517">
      <c r="A517" s="97"/>
      <c r="B517" s="298"/>
      <c r="C517" s="298"/>
      <c r="D517" s="298"/>
      <c r="E517" s="298"/>
      <c r="F517" s="298"/>
      <c r="G517" s="298"/>
      <c r="H517" s="298"/>
      <c r="I517" s="298"/>
      <c r="J517" s="298"/>
      <c r="K517" s="298"/>
      <c r="L517" s="298"/>
      <c r="M517" s="483"/>
      <c r="N517" s="484"/>
      <c r="O517" s="484"/>
      <c r="P517" s="484"/>
      <c r="Q517" s="484"/>
      <c r="R517" s="298"/>
      <c r="S517" s="86"/>
      <c r="T517" s="86"/>
      <c r="U517" s="86"/>
      <c r="V517" s="86"/>
      <c r="W517" s="86"/>
      <c r="X517" s="86"/>
      <c r="Y517" s="86"/>
      <c r="Z517" s="449"/>
      <c r="AA517" s="449"/>
      <c r="AB517" s="449"/>
      <c r="AC517" s="449"/>
      <c r="AD517" s="449"/>
      <c r="AE517" s="449"/>
    </row>
    <row r="518">
      <c r="A518" s="97"/>
      <c r="B518" s="298"/>
      <c r="C518" s="298"/>
      <c r="D518" s="298"/>
      <c r="E518" s="298"/>
      <c r="F518" s="298"/>
      <c r="G518" s="298"/>
      <c r="H518" s="298"/>
      <c r="I518" s="298"/>
      <c r="J518" s="298"/>
      <c r="K518" s="298"/>
      <c r="L518" s="298"/>
      <c r="M518" s="483"/>
      <c r="N518" s="484"/>
      <c r="O518" s="484"/>
      <c r="P518" s="484"/>
      <c r="Q518" s="484"/>
      <c r="R518" s="298"/>
      <c r="S518" s="86"/>
      <c r="T518" s="86"/>
      <c r="U518" s="86"/>
      <c r="V518" s="86"/>
      <c r="W518" s="86"/>
      <c r="X518" s="86"/>
      <c r="Y518" s="86"/>
      <c r="Z518" s="449"/>
      <c r="AA518" s="449"/>
      <c r="AB518" s="449"/>
      <c r="AC518" s="449"/>
      <c r="AD518" s="449"/>
      <c r="AE518" s="449"/>
    </row>
    <row r="519">
      <c r="A519" s="97"/>
      <c r="B519" s="298"/>
      <c r="C519" s="298"/>
      <c r="D519" s="298"/>
      <c r="E519" s="298"/>
      <c r="F519" s="298"/>
      <c r="G519" s="298"/>
      <c r="H519" s="298"/>
      <c r="I519" s="298"/>
      <c r="J519" s="298"/>
      <c r="K519" s="298"/>
      <c r="L519" s="298"/>
      <c r="M519" s="483"/>
      <c r="N519" s="484"/>
      <c r="O519" s="484"/>
      <c r="P519" s="484"/>
      <c r="Q519" s="484"/>
      <c r="R519" s="298"/>
      <c r="S519" s="86"/>
      <c r="T519" s="86"/>
      <c r="U519" s="86"/>
      <c r="V519" s="86"/>
      <c r="W519" s="86"/>
      <c r="X519" s="86"/>
      <c r="Y519" s="86"/>
      <c r="Z519" s="449"/>
      <c r="AA519" s="449"/>
      <c r="AB519" s="449"/>
      <c r="AC519" s="449"/>
      <c r="AD519" s="449"/>
      <c r="AE519" s="449"/>
    </row>
    <row r="520">
      <c r="A520" s="97"/>
      <c r="B520" s="298"/>
      <c r="C520" s="298"/>
      <c r="D520" s="298"/>
      <c r="E520" s="298"/>
      <c r="F520" s="298"/>
      <c r="G520" s="298"/>
      <c r="H520" s="298"/>
      <c r="I520" s="298"/>
      <c r="J520" s="298"/>
      <c r="K520" s="298"/>
      <c r="L520" s="298"/>
      <c r="M520" s="483"/>
      <c r="N520" s="484"/>
      <c r="O520" s="484"/>
      <c r="P520" s="484"/>
      <c r="Q520" s="484"/>
      <c r="R520" s="298"/>
      <c r="S520" s="86"/>
      <c r="T520" s="86"/>
      <c r="U520" s="86"/>
      <c r="V520" s="86"/>
      <c r="W520" s="86"/>
      <c r="X520" s="86"/>
      <c r="Y520" s="86"/>
      <c r="Z520" s="449"/>
      <c r="AA520" s="449"/>
      <c r="AB520" s="449"/>
      <c r="AC520" s="449"/>
      <c r="AD520" s="449"/>
      <c r="AE520" s="449"/>
    </row>
    <row r="521">
      <c r="A521" s="97"/>
      <c r="B521" s="298"/>
      <c r="C521" s="298"/>
      <c r="D521" s="298"/>
      <c r="E521" s="298"/>
      <c r="F521" s="298"/>
      <c r="G521" s="298"/>
      <c r="H521" s="298"/>
      <c r="I521" s="298"/>
      <c r="J521" s="298"/>
      <c r="K521" s="298"/>
      <c r="L521" s="298"/>
      <c r="M521" s="483"/>
      <c r="N521" s="484"/>
      <c r="O521" s="484"/>
      <c r="P521" s="484"/>
      <c r="Q521" s="484"/>
      <c r="R521" s="298"/>
      <c r="S521" s="86"/>
      <c r="T521" s="86"/>
      <c r="U521" s="86"/>
      <c r="V521" s="86"/>
      <c r="W521" s="86"/>
      <c r="X521" s="86"/>
      <c r="Y521" s="86"/>
      <c r="Z521" s="449"/>
      <c r="AA521" s="449"/>
      <c r="AB521" s="449"/>
      <c r="AC521" s="449"/>
      <c r="AD521" s="449"/>
      <c r="AE521" s="449"/>
    </row>
    <row r="522">
      <c r="A522" s="97"/>
      <c r="B522" s="298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483"/>
      <c r="N522" s="484"/>
      <c r="O522" s="484"/>
      <c r="P522" s="484"/>
      <c r="Q522" s="484"/>
      <c r="R522" s="298"/>
      <c r="S522" s="86"/>
      <c r="T522" s="86"/>
      <c r="U522" s="86"/>
      <c r="V522" s="86"/>
      <c r="W522" s="86"/>
      <c r="X522" s="86"/>
      <c r="Y522" s="86"/>
      <c r="Z522" s="449"/>
      <c r="AA522" s="449"/>
      <c r="AB522" s="449"/>
      <c r="AC522" s="449"/>
      <c r="AD522" s="449"/>
      <c r="AE522" s="449"/>
    </row>
    <row r="523">
      <c r="A523" s="97"/>
      <c r="B523" s="298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483"/>
      <c r="N523" s="484"/>
      <c r="O523" s="484"/>
      <c r="P523" s="484"/>
      <c r="Q523" s="484"/>
      <c r="R523" s="298"/>
      <c r="S523" s="86"/>
      <c r="T523" s="86"/>
      <c r="U523" s="86"/>
      <c r="V523" s="86"/>
      <c r="W523" s="86"/>
      <c r="X523" s="86"/>
      <c r="Y523" s="86"/>
      <c r="Z523" s="449"/>
      <c r="AA523" s="449"/>
      <c r="AB523" s="449"/>
      <c r="AC523" s="449"/>
      <c r="AD523" s="449"/>
      <c r="AE523" s="449"/>
    </row>
    <row r="524">
      <c r="A524" s="97"/>
      <c r="B524" s="298"/>
      <c r="C524" s="298"/>
      <c r="D524" s="298"/>
      <c r="E524" s="298"/>
      <c r="F524" s="298"/>
      <c r="G524" s="298"/>
      <c r="H524" s="298"/>
      <c r="I524" s="298"/>
      <c r="J524" s="298"/>
      <c r="K524" s="298"/>
      <c r="L524" s="298"/>
      <c r="M524" s="483"/>
      <c r="N524" s="484"/>
      <c r="O524" s="484"/>
      <c r="P524" s="484"/>
      <c r="Q524" s="484"/>
      <c r="R524" s="298"/>
      <c r="S524" s="86"/>
      <c r="T524" s="86"/>
      <c r="U524" s="86"/>
      <c r="V524" s="86"/>
      <c r="W524" s="86"/>
      <c r="X524" s="86"/>
      <c r="Y524" s="86"/>
      <c r="Z524" s="449"/>
      <c r="AA524" s="449"/>
      <c r="AB524" s="449"/>
      <c r="AC524" s="449"/>
      <c r="AD524" s="449"/>
      <c r="AE524" s="449"/>
    </row>
    <row r="525">
      <c r="A525" s="97"/>
      <c r="B525" s="298"/>
      <c r="C525" s="298"/>
      <c r="D525" s="298"/>
      <c r="E525" s="298"/>
      <c r="F525" s="298"/>
      <c r="G525" s="298"/>
      <c r="H525" s="298"/>
      <c r="I525" s="298"/>
      <c r="J525" s="298"/>
      <c r="K525" s="298"/>
      <c r="L525" s="298"/>
      <c r="M525" s="483"/>
      <c r="N525" s="484"/>
      <c r="O525" s="484"/>
      <c r="P525" s="484"/>
      <c r="Q525" s="484"/>
      <c r="R525" s="298"/>
      <c r="S525" s="86"/>
      <c r="T525" s="86"/>
      <c r="U525" s="86"/>
      <c r="V525" s="86"/>
      <c r="W525" s="86"/>
      <c r="X525" s="86"/>
      <c r="Y525" s="86"/>
      <c r="Z525" s="449"/>
      <c r="AA525" s="449"/>
      <c r="AB525" s="449"/>
      <c r="AC525" s="449"/>
      <c r="AD525" s="449"/>
      <c r="AE525" s="449"/>
    </row>
    <row r="526">
      <c r="A526" s="97"/>
      <c r="B526" s="298"/>
      <c r="C526" s="298"/>
      <c r="D526" s="298"/>
      <c r="E526" s="298"/>
      <c r="F526" s="298"/>
      <c r="G526" s="298"/>
      <c r="H526" s="298"/>
      <c r="I526" s="298"/>
      <c r="J526" s="298"/>
      <c r="K526" s="298"/>
      <c r="L526" s="298"/>
      <c r="M526" s="483"/>
      <c r="N526" s="484"/>
      <c r="O526" s="484"/>
      <c r="P526" s="484"/>
      <c r="Q526" s="484"/>
      <c r="R526" s="298"/>
      <c r="S526" s="86"/>
      <c r="T526" s="86"/>
      <c r="U526" s="86"/>
      <c r="V526" s="86"/>
      <c r="W526" s="86"/>
      <c r="X526" s="86"/>
      <c r="Y526" s="86"/>
      <c r="Z526" s="449"/>
      <c r="AA526" s="449"/>
      <c r="AB526" s="449"/>
      <c r="AC526" s="449"/>
      <c r="AD526" s="449"/>
      <c r="AE526" s="449"/>
    </row>
    <row r="527">
      <c r="A527" s="97"/>
      <c r="B527" s="298"/>
      <c r="C527" s="298"/>
      <c r="D527" s="298"/>
      <c r="E527" s="298"/>
      <c r="F527" s="298"/>
      <c r="G527" s="298"/>
      <c r="H527" s="298"/>
      <c r="I527" s="298"/>
      <c r="J527" s="298"/>
      <c r="K527" s="298"/>
      <c r="L527" s="298"/>
      <c r="M527" s="483"/>
      <c r="N527" s="484"/>
      <c r="O527" s="484"/>
      <c r="P527" s="484"/>
      <c r="Q527" s="484"/>
      <c r="R527" s="298"/>
      <c r="S527" s="86"/>
      <c r="T527" s="86"/>
      <c r="U527" s="86"/>
      <c r="V527" s="86"/>
      <c r="W527" s="86"/>
      <c r="X527" s="86"/>
      <c r="Y527" s="86"/>
      <c r="Z527" s="449"/>
      <c r="AA527" s="449"/>
      <c r="AB527" s="449"/>
      <c r="AC527" s="449"/>
      <c r="AD527" s="449"/>
      <c r="AE527" s="449"/>
    </row>
    <row r="528">
      <c r="A528" s="97"/>
      <c r="B528" s="298"/>
      <c r="C528" s="298"/>
      <c r="D528" s="298"/>
      <c r="E528" s="298"/>
      <c r="F528" s="298"/>
      <c r="G528" s="298"/>
      <c r="H528" s="298"/>
      <c r="I528" s="298"/>
      <c r="J528" s="298"/>
      <c r="K528" s="298"/>
      <c r="L528" s="298"/>
      <c r="M528" s="483"/>
      <c r="N528" s="484"/>
      <c r="O528" s="484"/>
      <c r="P528" s="484"/>
      <c r="Q528" s="484"/>
      <c r="R528" s="298"/>
      <c r="S528" s="86"/>
      <c r="T528" s="86"/>
      <c r="U528" s="86"/>
      <c r="V528" s="86"/>
      <c r="W528" s="86"/>
      <c r="X528" s="86"/>
      <c r="Y528" s="86"/>
      <c r="Z528" s="449"/>
      <c r="AA528" s="449"/>
      <c r="AB528" s="449"/>
      <c r="AC528" s="449"/>
      <c r="AD528" s="449"/>
      <c r="AE528" s="449"/>
    </row>
    <row r="529">
      <c r="A529" s="97"/>
      <c r="B529" s="298"/>
      <c r="C529" s="298"/>
      <c r="D529" s="298"/>
      <c r="E529" s="298"/>
      <c r="F529" s="298"/>
      <c r="G529" s="298"/>
      <c r="H529" s="298"/>
      <c r="I529" s="298"/>
      <c r="J529" s="298"/>
      <c r="K529" s="298"/>
      <c r="L529" s="298"/>
      <c r="M529" s="483"/>
      <c r="N529" s="484"/>
      <c r="O529" s="484"/>
      <c r="P529" s="484"/>
      <c r="Q529" s="484"/>
      <c r="R529" s="298"/>
      <c r="S529" s="86"/>
      <c r="T529" s="86"/>
      <c r="U529" s="86"/>
      <c r="V529" s="86"/>
      <c r="W529" s="86"/>
      <c r="X529" s="86"/>
      <c r="Y529" s="86"/>
      <c r="Z529" s="449"/>
      <c r="AA529" s="449"/>
      <c r="AB529" s="449"/>
      <c r="AC529" s="449"/>
      <c r="AD529" s="449"/>
      <c r="AE529" s="449"/>
    </row>
    <row r="530">
      <c r="A530" s="97"/>
      <c r="B530" s="298"/>
      <c r="C530" s="298"/>
      <c r="D530" s="298"/>
      <c r="E530" s="298"/>
      <c r="F530" s="298"/>
      <c r="G530" s="298"/>
      <c r="H530" s="298"/>
      <c r="I530" s="298"/>
      <c r="J530" s="298"/>
      <c r="K530" s="298"/>
      <c r="L530" s="298"/>
      <c r="M530" s="483"/>
      <c r="N530" s="484"/>
      <c r="O530" s="484"/>
      <c r="P530" s="484"/>
      <c r="Q530" s="484"/>
      <c r="R530" s="298"/>
      <c r="S530" s="86"/>
      <c r="T530" s="86"/>
      <c r="U530" s="86"/>
      <c r="V530" s="86"/>
      <c r="W530" s="86"/>
      <c r="X530" s="86"/>
      <c r="Y530" s="86"/>
      <c r="Z530" s="449"/>
      <c r="AA530" s="449"/>
      <c r="AB530" s="449"/>
      <c r="AC530" s="449"/>
      <c r="AD530" s="449"/>
      <c r="AE530" s="449"/>
    </row>
    <row r="531">
      <c r="A531" s="97"/>
      <c r="B531" s="298"/>
      <c r="C531" s="298"/>
      <c r="D531" s="298"/>
      <c r="E531" s="298"/>
      <c r="F531" s="298"/>
      <c r="G531" s="298"/>
      <c r="H531" s="298"/>
      <c r="I531" s="298"/>
      <c r="J531" s="298"/>
      <c r="K531" s="298"/>
      <c r="L531" s="298"/>
      <c r="M531" s="483"/>
      <c r="N531" s="484"/>
      <c r="O531" s="484"/>
      <c r="P531" s="484"/>
      <c r="Q531" s="484"/>
      <c r="R531" s="298"/>
      <c r="S531" s="86"/>
      <c r="T531" s="86"/>
      <c r="U531" s="86"/>
      <c r="V531" s="86"/>
      <c r="W531" s="86"/>
      <c r="X531" s="86"/>
      <c r="Y531" s="86"/>
      <c r="Z531" s="449"/>
      <c r="AA531" s="449"/>
      <c r="AB531" s="449"/>
      <c r="AC531" s="449"/>
      <c r="AD531" s="449"/>
      <c r="AE531" s="449"/>
    </row>
    <row r="532">
      <c r="A532" s="97"/>
      <c r="B532" s="298"/>
      <c r="C532" s="298"/>
      <c r="D532" s="298"/>
      <c r="E532" s="298"/>
      <c r="F532" s="298"/>
      <c r="G532" s="298"/>
      <c r="H532" s="298"/>
      <c r="I532" s="298"/>
      <c r="J532" s="298"/>
      <c r="K532" s="298"/>
      <c r="L532" s="298"/>
      <c r="M532" s="483"/>
      <c r="N532" s="484"/>
      <c r="O532" s="484"/>
      <c r="P532" s="484"/>
      <c r="Q532" s="484"/>
      <c r="R532" s="298"/>
      <c r="S532" s="86"/>
      <c r="T532" s="86"/>
      <c r="U532" s="86"/>
      <c r="V532" s="86"/>
      <c r="W532" s="86"/>
      <c r="X532" s="86"/>
      <c r="Y532" s="86"/>
      <c r="Z532" s="449"/>
      <c r="AA532" s="449"/>
      <c r="AB532" s="449"/>
      <c r="AC532" s="449"/>
      <c r="AD532" s="449"/>
      <c r="AE532" s="449"/>
    </row>
    <row r="533">
      <c r="A533" s="97"/>
      <c r="B533" s="298"/>
      <c r="C533" s="298"/>
      <c r="D533" s="298"/>
      <c r="E533" s="298"/>
      <c r="F533" s="298"/>
      <c r="G533" s="298"/>
      <c r="H533" s="298"/>
      <c r="I533" s="298"/>
      <c r="J533" s="298"/>
      <c r="K533" s="298"/>
      <c r="L533" s="298"/>
      <c r="M533" s="483"/>
      <c r="N533" s="484"/>
      <c r="O533" s="484"/>
      <c r="P533" s="484"/>
      <c r="Q533" s="484"/>
      <c r="R533" s="298"/>
      <c r="S533" s="86"/>
      <c r="T533" s="86"/>
      <c r="U533" s="86"/>
      <c r="V533" s="86"/>
      <c r="W533" s="86"/>
      <c r="X533" s="86"/>
      <c r="Y533" s="86"/>
      <c r="Z533" s="449"/>
      <c r="AA533" s="449"/>
      <c r="AB533" s="449"/>
      <c r="AC533" s="449"/>
      <c r="AD533" s="449"/>
      <c r="AE533" s="449"/>
    </row>
    <row r="534">
      <c r="A534" s="97"/>
      <c r="B534" s="298"/>
      <c r="C534" s="298"/>
      <c r="D534" s="298"/>
      <c r="E534" s="298"/>
      <c r="F534" s="298"/>
      <c r="G534" s="298"/>
      <c r="H534" s="298"/>
      <c r="I534" s="298"/>
      <c r="J534" s="298"/>
      <c r="K534" s="298"/>
      <c r="L534" s="298"/>
      <c r="M534" s="483"/>
      <c r="N534" s="484"/>
      <c r="O534" s="484"/>
      <c r="P534" s="484"/>
      <c r="Q534" s="484"/>
      <c r="R534" s="298"/>
      <c r="S534" s="86"/>
      <c r="T534" s="86"/>
      <c r="U534" s="86"/>
      <c r="V534" s="86"/>
      <c r="W534" s="86"/>
      <c r="X534" s="86"/>
      <c r="Y534" s="86"/>
      <c r="Z534" s="449"/>
      <c r="AA534" s="449"/>
      <c r="AB534" s="449"/>
      <c r="AC534" s="449"/>
      <c r="AD534" s="449"/>
      <c r="AE534" s="449"/>
    </row>
    <row r="535">
      <c r="A535" s="97"/>
      <c r="B535" s="298"/>
      <c r="C535" s="298"/>
      <c r="D535" s="298"/>
      <c r="E535" s="298"/>
      <c r="F535" s="298"/>
      <c r="G535" s="298"/>
      <c r="H535" s="298"/>
      <c r="I535" s="298"/>
      <c r="J535" s="298"/>
      <c r="K535" s="298"/>
      <c r="L535" s="298"/>
      <c r="M535" s="483"/>
      <c r="N535" s="484"/>
      <c r="O535" s="484"/>
      <c r="P535" s="484"/>
      <c r="Q535" s="484"/>
      <c r="R535" s="298"/>
      <c r="S535" s="86"/>
      <c r="T535" s="86"/>
      <c r="U535" s="86"/>
      <c r="V535" s="86"/>
      <c r="W535" s="86"/>
      <c r="X535" s="86"/>
      <c r="Y535" s="86"/>
      <c r="Z535" s="449"/>
      <c r="AA535" s="449"/>
      <c r="AB535" s="449"/>
      <c r="AC535" s="449"/>
      <c r="AD535" s="449"/>
      <c r="AE535" s="449"/>
    </row>
    <row r="536">
      <c r="A536" s="97"/>
      <c r="B536" s="298"/>
      <c r="C536" s="298"/>
      <c r="D536" s="298"/>
      <c r="E536" s="298"/>
      <c r="F536" s="298"/>
      <c r="G536" s="298"/>
      <c r="H536" s="298"/>
      <c r="I536" s="298"/>
      <c r="J536" s="298"/>
      <c r="K536" s="298"/>
      <c r="L536" s="298"/>
      <c r="M536" s="483"/>
      <c r="N536" s="484"/>
      <c r="O536" s="484"/>
      <c r="P536" s="484"/>
      <c r="Q536" s="484"/>
      <c r="R536" s="298"/>
      <c r="S536" s="86"/>
      <c r="T536" s="86"/>
      <c r="U536" s="86"/>
      <c r="V536" s="86"/>
      <c r="W536" s="86"/>
      <c r="X536" s="86"/>
      <c r="Y536" s="86"/>
      <c r="Z536" s="449"/>
      <c r="AA536" s="449"/>
      <c r="AB536" s="449"/>
      <c r="AC536" s="449"/>
      <c r="AD536" s="449"/>
      <c r="AE536" s="449"/>
    </row>
    <row r="537">
      <c r="A537" s="97"/>
      <c r="B537" s="298"/>
      <c r="C537" s="298"/>
      <c r="D537" s="298"/>
      <c r="E537" s="298"/>
      <c r="F537" s="298"/>
      <c r="G537" s="298"/>
      <c r="H537" s="298"/>
      <c r="I537" s="298"/>
      <c r="J537" s="298"/>
      <c r="K537" s="298"/>
      <c r="L537" s="298"/>
      <c r="M537" s="483"/>
      <c r="N537" s="484"/>
      <c r="O537" s="484"/>
      <c r="P537" s="484"/>
      <c r="Q537" s="484"/>
      <c r="R537" s="298"/>
      <c r="S537" s="86"/>
      <c r="T537" s="86"/>
      <c r="U537" s="86"/>
      <c r="V537" s="86"/>
      <c r="W537" s="86"/>
      <c r="X537" s="86"/>
      <c r="Y537" s="86"/>
      <c r="Z537" s="449"/>
      <c r="AA537" s="449"/>
      <c r="AB537" s="449"/>
      <c r="AC537" s="449"/>
      <c r="AD537" s="449"/>
      <c r="AE537" s="449"/>
    </row>
    <row r="538">
      <c r="A538" s="97"/>
      <c r="B538" s="298"/>
      <c r="C538" s="298"/>
      <c r="D538" s="298"/>
      <c r="E538" s="298"/>
      <c r="F538" s="298"/>
      <c r="G538" s="298"/>
      <c r="H538" s="298"/>
      <c r="I538" s="298"/>
      <c r="J538" s="298"/>
      <c r="K538" s="298"/>
      <c r="L538" s="298"/>
      <c r="M538" s="483"/>
      <c r="N538" s="484"/>
      <c r="O538" s="484"/>
      <c r="P538" s="484"/>
      <c r="Q538" s="484"/>
      <c r="R538" s="298"/>
      <c r="S538" s="86"/>
      <c r="T538" s="86"/>
      <c r="U538" s="86"/>
      <c r="V538" s="86"/>
      <c r="W538" s="86"/>
      <c r="X538" s="86"/>
      <c r="Y538" s="86"/>
      <c r="Z538" s="449"/>
      <c r="AA538" s="449"/>
      <c r="AB538" s="449"/>
      <c r="AC538" s="449"/>
      <c r="AD538" s="449"/>
      <c r="AE538" s="449"/>
    </row>
    <row r="539">
      <c r="A539" s="97"/>
      <c r="B539" s="298"/>
      <c r="C539" s="298"/>
      <c r="D539" s="298"/>
      <c r="E539" s="298"/>
      <c r="F539" s="298"/>
      <c r="G539" s="298"/>
      <c r="H539" s="298"/>
      <c r="I539" s="298"/>
      <c r="J539" s="298"/>
      <c r="K539" s="298"/>
      <c r="L539" s="298"/>
      <c r="M539" s="483"/>
      <c r="N539" s="484"/>
      <c r="O539" s="484"/>
      <c r="P539" s="484"/>
      <c r="Q539" s="484"/>
      <c r="R539" s="298"/>
      <c r="S539" s="86"/>
      <c r="T539" s="86"/>
      <c r="U539" s="86"/>
      <c r="V539" s="86"/>
      <c r="W539" s="86"/>
      <c r="X539" s="86"/>
      <c r="Y539" s="86"/>
      <c r="Z539" s="449"/>
      <c r="AA539" s="449"/>
      <c r="AB539" s="449"/>
      <c r="AC539" s="449"/>
      <c r="AD539" s="449"/>
      <c r="AE539" s="449"/>
    </row>
    <row r="540">
      <c r="A540" s="97"/>
      <c r="B540" s="298"/>
      <c r="C540" s="298"/>
      <c r="D540" s="298"/>
      <c r="E540" s="298"/>
      <c r="F540" s="298"/>
      <c r="G540" s="298"/>
      <c r="H540" s="298"/>
      <c r="I540" s="298"/>
      <c r="J540" s="298"/>
      <c r="K540" s="298"/>
      <c r="L540" s="298"/>
      <c r="M540" s="483"/>
      <c r="N540" s="484"/>
      <c r="O540" s="484"/>
      <c r="P540" s="484"/>
      <c r="Q540" s="484"/>
      <c r="R540" s="298"/>
      <c r="S540" s="86"/>
      <c r="T540" s="86"/>
      <c r="U540" s="86"/>
      <c r="V540" s="86"/>
      <c r="W540" s="86"/>
      <c r="X540" s="86"/>
      <c r="Y540" s="86"/>
      <c r="Z540" s="449"/>
      <c r="AA540" s="449"/>
      <c r="AB540" s="449"/>
      <c r="AC540" s="449"/>
      <c r="AD540" s="449"/>
      <c r="AE540" s="449"/>
    </row>
    <row r="541">
      <c r="A541" s="97"/>
      <c r="B541" s="298"/>
      <c r="C541" s="298"/>
      <c r="D541" s="298"/>
      <c r="E541" s="298"/>
      <c r="F541" s="298"/>
      <c r="G541" s="298"/>
      <c r="H541" s="298"/>
      <c r="I541" s="298"/>
      <c r="J541" s="298"/>
      <c r="K541" s="298"/>
      <c r="L541" s="298"/>
      <c r="M541" s="483"/>
      <c r="N541" s="484"/>
      <c r="O541" s="484"/>
      <c r="P541" s="484"/>
      <c r="Q541" s="484"/>
      <c r="R541" s="298"/>
      <c r="S541" s="86"/>
      <c r="T541" s="86"/>
      <c r="U541" s="86"/>
      <c r="V541" s="86"/>
      <c r="W541" s="86"/>
      <c r="X541" s="86"/>
      <c r="Y541" s="86"/>
      <c r="Z541" s="449"/>
      <c r="AA541" s="449"/>
      <c r="AB541" s="449"/>
      <c r="AC541" s="449"/>
      <c r="AD541" s="449"/>
      <c r="AE541" s="449"/>
    </row>
    <row r="542">
      <c r="A542" s="97"/>
      <c r="B542" s="298"/>
      <c r="C542" s="298"/>
      <c r="D542" s="298"/>
      <c r="E542" s="298"/>
      <c r="F542" s="298"/>
      <c r="G542" s="298"/>
      <c r="H542" s="298"/>
      <c r="I542" s="298"/>
      <c r="J542" s="298"/>
      <c r="K542" s="298"/>
      <c r="L542" s="298"/>
      <c r="M542" s="483"/>
      <c r="N542" s="484"/>
      <c r="O542" s="484"/>
      <c r="P542" s="484"/>
      <c r="Q542" s="484"/>
      <c r="R542" s="298"/>
      <c r="S542" s="86"/>
      <c r="T542" s="86"/>
      <c r="U542" s="86"/>
      <c r="V542" s="86"/>
      <c r="W542" s="86"/>
      <c r="X542" s="86"/>
      <c r="Y542" s="86"/>
      <c r="Z542" s="449"/>
      <c r="AA542" s="449"/>
      <c r="AB542" s="449"/>
      <c r="AC542" s="449"/>
      <c r="AD542" s="449"/>
      <c r="AE542" s="449"/>
    </row>
    <row r="543">
      <c r="A543" s="97"/>
      <c r="B543" s="298"/>
      <c r="C543" s="298"/>
      <c r="D543" s="298"/>
      <c r="E543" s="298"/>
      <c r="F543" s="298"/>
      <c r="G543" s="298"/>
      <c r="H543" s="298"/>
      <c r="I543" s="298"/>
      <c r="J543" s="298"/>
      <c r="K543" s="298"/>
      <c r="L543" s="298"/>
      <c r="M543" s="483"/>
      <c r="N543" s="484"/>
      <c r="O543" s="484"/>
      <c r="P543" s="484"/>
      <c r="Q543" s="484"/>
      <c r="R543" s="298"/>
      <c r="S543" s="86"/>
      <c r="T543" s="86"/>
      <c r="U543" s="86"/>
      <c r="V543" s="86"/>
      <c r="W543" s="86"/>
      <c r="X543" s="86"/>
      <c r="Y543" s="86"/>
      <c r="Z543" s="449"/>
      <c r="AA543" s="449"/>
      <c r="AB543" s="449"/>
      <c r="AC543" s="449"/>
      <c r="AD543" s="449"/>
      <c r="AE543" s="449"/>
    </row>
    <row r="544">
      <c r="A544" s="97"/>
      <c r="B544" s="298"/>
      <c r="C544" s="298"/>
      <c r="D544" s="298"/>
      <c r="E544" s="298"/>
      <c r="F544" s="298"/>
      <c r="G544" s="298"/>
      <c r="H544" s="298"/>
      <c r="I544" s="298"/>
      <c r="J544" s="298"/>
      <c r="K544" s="298"/>
      <c r="L544" s="298"/>
      <c r="M544" s="483"/>
      <c r="N544" s="484"/>
      <c r="O544" s="484"/>
      <c r="P544" s="484"/>
      <c r="Q544" s="484"/>
      <c r="R544" s="298"/>
      <c r="S544" s="86"/>
      <c r="T544" s="86"/>
      <c r="U544" s="86"/>
      <c r="V544" s="86"/>
      <c r="W544" s="86"/>
      <c r="X544" s="86"/>
      <c r="Y544" s="86"/>
      <c r="Z544" s="449"/>
      <c r="AA544" s="449"/>
      <c r="AB544" s="449"/>
      <c r="AC544" s="449"/>
      <c r="AD544" s="449"/>
      <c r="AE544" s="449"/>
    </row>
    <row r="545">
      <c r="A545" s="97"/>
      <c r="B545" s="298"/>
      <c r="C545" s="298"/>
      <c r="D545" s="298"/>
      <c r="E545" s="298"/>
      <c r="F545" s="298"/>
      <c r="G545" s="298"/>
      <c r="H545" s="298"/>
      <c r="I545" s="298"/>
      <c r="J545" s="298"/>
      <c r="K545" s="298"/>
      <c r="L545" s="298"/>
      <c r="M545" s="483"/>
      <c r="N545" s="484"/>
      <c r="O545" s="484"/>
      <c r="P545" s="484"/>
      <c r="Q545" s="484"/>
      <c r="R545" s="298"/>
      <c r="S545" s="86"/>
      <c r="T545" s="86"/>
      <c r="U545" s="86"/>
      <c r="V545" s="86"/>
      <c r="W545" s="86"/>
      <c r="X545" s="86"/>
      <c r="Y545" s="86"/>
      <c r="Z545" s="449"/>
      <c r="AA545" s="449"/>
      <c r="AB545" s="449"/>
      <c r="AC545" s="449"/>
      <c r="AD545" s="449"/>
      <c r="AE545" s="449"/>
    </row>
    <row r="546">
      <c r="A546" s="97"/>
      <c r="B546" s="298"/>
      <c r="C546" s="298"/>
      <c r="D546" s="298"/>
      <c r="E546" s="298"/>
      <c r="F546" s="298"/>
      <c r="G546" s="298"/>
      <c r="H546" s="298"/>
      <c r="I546" s="298"/>
      <c r="J546" s="298"/>
      <c r="K546" s="298"/>
      <c r="L546" s="298"/>
      <c r="M546" s="483"/>
      <c r="N546" s="484"/>
      <c r="O546" s="484"/>
      <c r="P546" s="484"/>
      <c r="Q546" s="484"/>
      <c r="R546" s="298"/>
      <c r="S546" s="86"/>
      <c r="T546" s="86"/>
      <c r="U546" s="86"/>
      <c r="V546" s="86"/>
      <c r="W546" s="86"/>
      <c r="X546" s="86"/>
      <c r="Y546" s="86"/>
      <c r="Z546" s="449"/>
      <c r="AA546" s="449"/>
      <c r="AB546" s="449"/>
      <c r="AC546" s="449"/>
      <c r="AD546" s="449"/>
      <c r="AE546" s="449"/>
    </row>
    <row r="547">
      <c r="A547" s="97"/>
      <c r="B547" s="298"/>
      <c r="C547" s="298"/>
      <c r="D547" s="298"/>
      <c r="E547" s="298"/>
      <c r="F547" s="298"/>
      <c r="G547" s="298"/>
      <c r="H547" s="298"/>
      <c r="I547" s="298"/>
      <c r="J547" s="298"/>
      <c r="K547" s="298"/>
      <c r="L547" s="298"/>
      <c r="M547" s="483"/>
      <c r="N547" s="484"/>
      <c r="O547" s="484"/>
      <c r="P547" s="484"/>
      <c r="Q547" s="484"/>
      <c r="R547" s="298"/>
      <c r="S547" s="86"/>
      <c r="T547" s="86"/>
      <c r="U547" s="86"/>
      <c r="V547" s="86"/>
      <c r="W547" s="86"/>
      <c r="X547" s="86"/>
      <c r="Y547" s="86"/>
      <c r="Z547" s="449"/>
      <c r="AA547" s="449"/>
      <c r="AB547" s="449"/>
      <c r="AC547" s="449"/>
      <c r="AD547" s="449"/>
      <c r="AE547" s="449"/>
    </row>
    <row r="548">
      <c r="A548" s="97"/>
      <c r="B548" s="298"/>
      <c r="C548" s="298"/>
      <c r="D548" s="298"/>
      <c r="E548" s="298"/>
      <c r="F548" s="298"/>
      <c r="G548" s="298"/>
      <c r="H548" s="298"/>
      <c r="I548" s="298"/>
      <c r="J548" s="298"/>
      <c r="K548" s="298"/>
      <c r="L548" s="298"/>
      <c r="M548" s="483"/>
      <c r="N548" s="484"/>
      <c r="O548" s="484"/>
      <c r="P548" s="484"/>
      <c r="Q548" s="484"/>
      <c r="R548" s="298"/>
      <c r="S548" s="86"/>
      <c r="T548" s="86"/>
      <c r="U548" s="86"/>
      <c r="V548" s="86"/>
      <c r="W548" s="86"/>
      <c r="X548" s="86"/>
      <c r="Y548" s="86"/>
      <c r="Z548" s="449"/>
      <c r="AA548" s="449"/>
      <c r="AB548" s="449"/>
      <c r="AC548" s="449"/>
      <c r="AD548" s="449"/>
      <c r="AE548" s="449"/>
    </row>
    <row r="549">
      <c r="A549" s="97"/>
      <c r="B549" s="298"/>
      <c r="C549" s="298"/>
      <c r="D549" s="298"/>
      <c r="E549" s="298"/>
      <c r="F549" s="298"/>
      <c r="G549" s="298"/>
      <c r="H549" s="298"/>
      <c r="I549" s="298"/>
      <c r="J549" s="298"/>
      <c r="K549" s="298"/>
      <c r="L549" s="298"/>
      <c r="M549" s="483"/>
      <c r="N549" s="484"/>
      <c r="O549" s="484"/>
      <c r="P549" s="484"/>
      <c r="Q549" s="484"/>
      <c r="R549" s="298"/>
      <c r="S549" s="86"/>
      <c r="T549" s="86"/>
      <c r="U549" s="86"/>
      <c r="V549" s="86"/>
      <c r="W549" s="86"/>
      <c r="X549" s="86"/>
      <c r="Y549" s="86"/>
      <c r="Z549" s="449"/>
      <c r="AA549" s="449"/>
      <c r="AB549" s="449"/>
      <c r="AC549" s="449"/>
      <c r="AD549" s="449"/>
      <c r="AE549" s="449"/>
    </row>
    <row r="550">
      <c r="A550" s="97"/>
      <c r="B550" s="298"/>
      <c r="C550" s="298"/>
      <c r="D550" s="298"/>
      <c r="E550" s="298"/>
      <c r="F550" s="298"/>
      <c r="G550" s="298"/>
      <c r="H550" s="298"/>
      <c r="I550" s="298"/>
      <c r="J550" s="298"/>
      <c r="K550" s="298"/>
      <c r="L550" s="298"/>
      <c r="M550" s="483"/>
      <c r="N550" s="484"/>
      <c r="O550" s="484"/>
      <c r="P550" s="484"/>
      <c r="Q550" s="484"/>
      <c r="R550" s="298"/>
      <c r="S550" s="86"/>
      <c r="T550" s="86"/>
      <c r="U550" s="86"/>
      <c r="V550" s="86"/>
      <c r="W550" s="86"/>
      <c r="X550" s="86"/>
      <c r="Y550" s="86"/>
      <c r="Z550" s="449"/>
      <c r="AA550" s="449"/>
      <c r="AB550" s="449"/>
      <c r="AC550" s="449"/>
      <c r="AD550" s="449"/>
      <c r="AE550" s="449"/>
    </row>
    <row r="551">
      <c r="A551" s="97"/>
      <c r="B551" s="298"/>
      <c r="C551" s="298"/>
      <c r="D551" s="298"/>
      <c r="E551" s="298"/>
      <c r="F551" s="298"/>
      <c r="G551" s="298"/>
      <c r="H551" s="298"/>
      <c r="I551" s="298"/>
      <c r="J551" s="298"/>
      <c r="K551" s="298"/>
      <c r="L551" s="298"/>
      <c r="M551" s="483"/>
      <c r="N551" s="484"/>
      <c r="O551" s="484"/>
      <c r="P551" s="484"/>
      <c r="Q551" s="484"/>
      <c r="R551" s="298"/>
      <c r="S551" s="86"/>
      <c r="T551" s="86"/>
      <c r="U551" s="86"/>
      <c r="V551" s="86"/>
      <c r="W551" s="86"/>
      <c r="X551" s="86"/>
      <c r="Y551" s="86"/>
      <c r="Z551" s="449"/>
      <c r="AA551" s="449"/>
      <c r="AB551" s="449"/>
      <c r="AC551" s="449"/>
      <c r="AD551" s="449"/>
      <c r="AE551" s="449"/>
    </row>
    <row r="552">
      <c r="A552" s="97"/>
      <c r="B552" s="298"/>
      <c r="C552" s="298"/>
      <c r="D552" s="298"/>
      <c r="E552" s="298"/>
      <c r="F552" s="298"/>
      <c r="G552" s="298"/>
      <c r="H552" s="298"/>
      <c r="I552" s="298"/>
      <c r="J552" s="298"/>
      <c r="K552" s="298"/>
      <c r="L552" s="298"/>
      <c r="M552" s="483"/>
      <c r="N552" s="484"/>
      <c r="O552" s="484"/>
      <c r="P552" s="484"/>
      <c r="Q552" s="484"/>
      <c r="R552" s="298"/>
      <c r="S552" s="86"/>
      <c r="T552" s="86"/>
      <c r="U552" s="86"/>
      <c r="V552" s="86"/>
      <c r="W552" s="86"/>
      <c r="X552" s="86"/>
      <c r="Y552" s="86"/>
      <c r="Z552" s="449"/>
      <c r="AA552" s="449"/>
      <c r="AB552" s="449"/>
      <c r="AC552" s="449"/>
      <c r="AD552" s="449"/>
      <c r="AE552" s="449"/>
    </row>
    <row r="553">
      <c r="A553" s="97"/>
      <c r="B553" s="298"/>
      <c r="C553" s="298"/>
      <c r="D553" s="298"/>
      <c r="E553" s="298"/>
      <c r="F553" s="298"/>
      <c r="G553" s="298"/>
      <c r="H553" s="298"/>
      <c r="I553" s="298"/>
      <c r="J553" s="298"/>
      <c r="K553" s="298"/>
      <c r="L553" s="298"/>
      <c r="M553" s="483"/>
      <c r="N553" s="484"/>
      <c r="O553" s="484"/>
      <c r="P553" s="484"/>
      <c r="Q553" s="484"/>
      <c r="R553" s="298"/>
      <c r="S553" s="86"/>
      <c r="T553" s="86"/>
      <c r="U553" s="86"/>
      <c r="V553" s="86"/>
      <c r="W553" s="86"/>
      <c r="X553" s="86"/>
      <c r="Y553" s="86"/>
      <c r="Z553" s="449"/>
      <c r="AA553" s="449"/>
      <c r="AB553" s="449"/>
      <c r="AC553" s="449"/>
      <c r="AD553" s="449"/>
      <c r="AE553" s="449"/>
    </row>
    <row r="554">
      <c r="A554" s="97"/>
      <c r="B554" s="298"/>
      <c r="C554" s="298"/>
      <c r="D554" s="298"/>
      <c r="E554" s="298"/>
      <c r="F554" s="298"/>
      <c r="G554" s="298"/>
      <c r="H554" s="298"/>
      <c r="I554" s="298"/>
      <c r="J554" s="298"/>
      <c r="K554" s="298"/>
      <c r="L554" s="298"/>
      <c r="M554" s="483"/>
      <c r="N554" s="484"/>
      <c r="O554" s="484"/>
      <c r="P554" s="484"/>
      <c r="Q554" s="484"/>
      <c r="R554" s="298"/>
      <c r="S554" s="86"/>
      <c r="T554" s="86"/>
      <c r="U554" s="86"/>
      <c r="V554" s="86"/>
      <c r="W554" s="86"/>
      <c r="X554" s="86"/>
      <c r="Y554" s="86"/>
      <c r="Z554" s="449"/>
      <c r="AA554" s="449"/>
      <c r="AB554" s="449"/>
      <c r="AC554" s="449"/>
      <c r="AD554" s="449"/>
      <c r="AE554" s="449"/>
    </row>
    <row r="555">
      <c r="A555" s="97"/>
      <c r="B555" s="298"/>
      <c r="C555" s="298"/>
      <c r="D555" s="298"/>
      <c r="E555" s="298"/>
      <c r="F555" s="298"/>
      <c r="G555" s="298"/>
      <c r="H555" s="298"/>
      <c r="I555" s="298"/>
      <c r="J555" s="298"/>
      <c r="K555" s="298"/>
      <c r="L555" s="298"/>
      <c r="M555" s="483"/>
      <c r="N555" s="484"/>
      <c r="O555" s="484"/>
      <c r="P555" s="484"/>
      <c r="Q555" s="484"/>
      <c r="R555" s="298"/>
      <c r="S555" s="86"/>
      <c r="T555" s="86"/>
      <c r="U555" s="86"/>
      <c r="V555" s="86"/>
      <c r="W555" s="86"/>
      <c r="X555" s="86"/>
      <c r="Y555" s="86"/>
      <c r="Z555" s="449"/>
      <c r="AA555" s="449"/>
      <c r="AB555" s="449"/>
      <c r="AC555" s="449"/>
      <c r="AD555" s="449"/>
      <c r="AE555" s="449"/>
    </row>
    <row r="556">
      <c r="A556" s="97"/>
      <c r="B556" s="298"/>
      <c r="C556" s="298"/>
      <c r="D556" s="298"/>
      <c r="E556" s="298"/>
      <c r="F556" s="298"/>
      <c r="G556" s="298"/>
      <c r="H556" s="298"/>
      <c r="I556" s="298"/>
      <c r="J556" s="298"/>
      <c r="K556" s="298"/>
      <c r="L556" s="298"/>
      <c r="M556" s="483"/>
      <c r="N556" s="484"/>
      <c r="O556" s="484"/>
      <c r="P556" s="484"/>
      <c r="Q556" s="484"/>
      <c r="R556" s="298"/>
      <c r="S556" s="86"/>
      <c r="T556" s="86"/>
      <c r="U556" s="86"/>
      <c r="V556" s="86"/>
      <c r="W556" s="86"/>
      <c r="X556" s="86"/>
      <c r="Y556" s="86"/>
      <c r="Z556" s="449"/>
      <c r="AA556" s="449"/>
      <c r="AB556" s="449"/>
      <c r="AC556" s="449"/>
      <c r="AD556" s="449"/>
      <c r="AE556" s="449"/>
    </row>
    <row r="557">
      <c r="A557" s="97"/>
      <c r="B557" s="298"/>
      <c r="C557" s="298"/>
      <c r="D557" s="298"/>
      <c r="E557" s="298"/>
      <c r="F557" s="298"/>
      <c r="G557" s="298"/>
      <c r="H557" s="298"/>
      <c r="I557" s="298"/>
      <c r="J557" s="298"/>
      <c r="K557" s="298"/>
      <c r="L557" s="298"/>
      <c r="M557" s="483"/>
      <c r="N557" s="484"/>
      <c r="O557" s="484"/>
      <c r="P557" s="484"/>
      <c r="Q557" s="484"/>
      <c r="R557" s="298"/>
      <c r="S557" s="86"/>
      <c r="T557" s="86"/>
      <c r="U557" s="86"/>
      <c r="V557" s="86"/>
      <c r="W557" s="86"/>
      <c r="X557" s="86"/>
      <c r="Y557" s="86"/>
      <c r="Z557" s="449"/>
      <c r="AA557" s="449"/>
      <c r="AB557" s="449"/>
      <c r="AC557" s="449"/>
      <c r="AD557" s="449"/>
      <c r="AE557" s="449"/>
    </row>
    <row r="558">
      <c r="A558" s="97"/>
      <c r="B558" s="298"/>
      <c r="C558" s="298"/>
      <c r="D558" s="298"/>
      <c r="E558" s="298"/>
      <c r="F558" s="298"/>
      <c r="G558" s="298"/>
      <c r="H558" s="298"/>
      <c r="I558" s="298"/>
      <c r="J558" s="298"/>
      <c r="K558" s="298"/>
      <c r="L558" s="298"/>
      <c r="M558" s="483"/>
      <c r="N558" s="484"/>
      <c r="O558" s="484"/>
      <c r="P558" s="484"/>
      <c r="Q558" s="484"/>
      <c r="R558" s="298"/>
      <c r="S558" s="86"/>
      <c r="T558" s="86"/>
      <c r="U558" s="86"/>
      <c r="V558" s="86"/>
      <c r="W558" s="86"/>
      <c r="X558" s="86"/>
      <c r="Y558" s="86"/>
      <c r="Z558" s="449"/>
      <c r="AA558" s="449"/>
      <c r="AB558" s="449"/>
      <c r="AC558" s="449"/>
      <c r="AD558" s="449"/>
      <c r="AE558" s="449"/>
    </row>
    <row r="559">
      <c r="A559" s="97"/>
      <c r="B559" s="298"/>
      <c r="C559" s="298"/>
      <c r="D559" s="298"/>
      <c r="E559" s="298"/>
      <c r="F559" s="298"/>
      <c r="G559" s="298"/>
      <c r="H559" s="298"/>
      <c r="I559" s="298"/>
      <c r="J559" s="298"/>
      <c r="K559" s="298"/>
      <c r="L559" s="298"/>
      <c r="M559" s="483"/>
      <c r="N559" s="484"/>
      <c r="O559" s="484"/>
      <c r="P559" s="484"/>
      <c r="Q559" s="484"/>
      <c r="R559" s="298"/>
      <c r="S559" s="86"/>
      <c r="T559" s="86"/>
      <c r="U559" s="86"/>
      <c r="V559" s="86"/>
      <c r="W559" s="86"/>
      <c r="X559" s="86"/>
      <c r="Y559" s="86"/>
      <c r="Z559" s="449"/>
      <c r="AA559" s="449"/>
      <c r="AB559" s="449"/>
      <c r="AC559" s="449"/>
      <c r="AD559" s="449"/>
      <c r="AE559" s="449"/>
    </row>
    <row r="560">
      <c r="A560" s="97"/>
      <c r="B560" s="298"/>
      <c r="C560" s="298"/>
      <c r="D560" s="298"/>
      <c r="E560" s="298"/>
      <c r="F560" s="298"/>
      <c r="G560" s="298"/>
      <c r="H560" s="298"/>
      <c r="I560" s="298"/>
      <c r="J560" s="298"/>
      <c r="K560" s="298"/>
      <c r="L560" s="298"/>
      <c r="M560" s="483"/>
      <c r="N560" s="484"/>
      <c r="O560" s="484"/>
      <c r="P560" s="484"/>
      <c r="Q560" s="484"/>
      <c r="R560" s="298"/>
      <c r="S560" s="86"/>
      <c r="T560" s="86"/>
      <c r="U560" s="86"/>
      <c r="V560" s="86"/>
      <c r="W560" s="86"/>
      <c r="X560" s="86"/>
      <c r="Y560" s="86"/>
      <c r="Z560" s="449"/>
      <c r="AA560" s="449"/>
      <c r="AB560" s="449"/>
      <c r="AC560" s="449"/>
      <c r="AD560" s="449"/>
      <c r="AE560" s="449"/>
    </row>
    <row r="561">
      <c r="A561" s="97"/>
      <c r="B561" s="298"/>
      <c r="C561" s="298"/>
      <c r="D561" s="298"/>
      <c r="E561" s="298"/>
      <c r="F561" s="298"/>
      <c r="G561" s="298"/>
      <c r="H561" s="298"/>
      <c r="I561" s="298"/>
      <c r="J561" s="298"/>
      <c r="K561" s="298"/>
      <c r="L561" s="298"/>
      <c r="M561" s="483"/>
      <c r="N561" s="484"/>
      <c r="O561" s="484"/>
      <c r="P561" s="484"/>
      <c r="Q561" s="484"/>
      <c r="R561" s="298"/>
      <c r="S561" s="86"/>
      <c r="T561" s="86"/>
      <c r="U561" s="86"/>
      <c r="V561" s="86"/>
      <c r="W561" s="86"/>
      <c r="X561" s="86"/>
      <c r="Y561" s="86"/>
      <c r="Z561" s="449"/>
      <c r="AA561" s="449"/>
      <c r="AB561" s="449"/>
      <c r="AC561" s="449"/>
      <c r="AD561" s="449"/>
      <c r="AE561" s="449"/>
    </row>
    <row r="562">
      <c r="A562" s="97"/>
      <c r="B562" s="298"/>
      <c r="C562" s="298"/>
      <c r="D562" s="298"/>
      <c r="E562" s="298"/>
      <c r="F562" s="298"/>
      <c r="G562" s="298"/>
      <c r="H562" s="298"/>
      <c r="I562" s="298"/>
      <c r="J562" s="298"/>
      <c r="K562" s="298"/>
      <c r="L562" s="298"/>
      <c r="M562" s="483"/>
      <c r="N562" s="484"/>
      <c r="O562" s="484"/>
      <c r="P562" s="484"/>
      <c r="Q562" s="484"/>
      <c r="R562" s="298"/>
      <c r="S562" s="86"/>
      <c r="T562" s="86"/>
      <c r="U562" s="86"/>
      <c r="V562" s="86"/>
      <c r="W562" s="86"/>
      <c r="X562" s="86"/>
      <c r="Y562" s="86"/>
      <c r="Z562" s="449"/>
      <c r="AA562" s="449"/>
      <c r="AB562" s="449"/>
      <c r="AC562" s="449"/>
      <c r="AD562" s="449"/>
      <c r="AE562" s="449"/>
    </row>
    <row r="563">
      <c r="A563" s="97"/>
      <c r="B563" s="298"/>
      <c r="C563" s="298"/>
      <c r="D563" s="298"/>
      <c r="E563" s="298"/>
      <c r="F563" s="298"/>
      <c r="G563" s="298"/>
      <c r="H563" s="298"/>
      <c r="I563" s="298"/>
      <c r="J563" s="298"/>
      <c r="K563" s="298"/>
      <c r="L563" s="298"/>
      <c r="M563" s="483"/>
      <c r="N563" s="484"/>
      <c r="O563" s="484"/>
      <c r="P563" s="484"/>
      <c r="Q563" s="484"/>
      <c r="R563" s="298"/>
      <c r="S563" s="86"/>
      <c r="T563" s="86"/>
      <c r="U563" s="86"/>
      <c r="V563" s="86"/>
      <c r="W563" s="86"/>
      <c r="X563" s="86"/>
      <c r="Y563" s="86"/>
      <c r="Z563" s="449"/>
      <c r="AA563" s="449"/>
      <c r="AB563" s="449"/>
      <c r="AC563" s="449"/>
      <c r="AD563" s="449"/>
      <c r="AE563" s="449"/>
    </row>
    <row r="564">
      <c r="A564" s="97"/>
      <c r="B564" s="298"/>
      <c r="C564" s="298"/>
      <c r="D564" s="298"/>
      <c r="E564" s="298"/>
      <c r="F564" s="298"/>
      <c r="G564" s="298"/>
      <c r="H564" s="298"/>
      <c r="I564" s="298"/>
      <c r="J564" s="298"/>
      <c r="K564" s="298"/>
      <c r="L564" s="298"/>
      <c r="M564" s="483"/>
      <c r="N564" s="484"/>
      <c r="O564" s="484"/>
      <c r="P564" s="484"/>
      <c r="Q564" s="484"/>
      <c r="R564" s="298"/>
      <c r="S564" s="86"/>
      <c r="T564" s="86"/>
      <c r="U564" s="86"/>
      <c r="V564" s="86"/>
      <c r="W564" s="86"/>
      <c r="X564" s="86"/>
      <c r="Y564" s="86"/>
      <c r="Z564" s="449"/>
      <c r="AA564" s="449"/>
      <c r="AB564" s="449"/>
      <c r="AC564" s="449"/>
      <c r="AD564" s="449"/>
      <c r="AE564" s="449"/>
    </row>
    <row r="565">
      <c r="A565" s="97"/>
      <c r="B565" s="298"/>
      <c r="C565" s="298"/>
      <c r="D565" s="298"/>
      <c r="E565" s="298"/>
      <c r="F565" s="298"/>
      <c r="G565" s="298"/>
      <c r="H565" s="298"/>
      <c r="I565" s="298"/>
      <c r="J565" s="298"/>
      <c r="K565" s="298"/>
      <c r="L565" s="298"/>
      <c r="M565" s="483"/>
      <c r="N565" s="484"/>
      <c r="O565" s="484"/>
      <c r="P565" s="484"/>
      <c r="Q565" s="484"/>
      <c r="R565" s="298"/>
      <c r="S565" s="86"/>
      <c r="T565" s="86"/>
      <c r="U565" s="86"/>
      <c r="V565" s="86"/>
      <c r="W565" s="86"/>
      <c r="X565" s="86"/>
      <c r="Y565" s="86"/>
      <c r="Z565" s="449"/>
      <c r="AA565" s="449"/>
      <c r="AB565" s="449"/>
      <c r="AC565" s="449"/>
      <c r="AD565" s="449"/>
      <c r="AE565" s="449"/>
    </row>
    <row r="566">
      <c r="A566" s="97"/>
      <c r="B566" s="298"/>
      <c r="C566" s="298"/>
      <c r="D566" s="298"/>
      <c r="E566" s="298"/>
      <c r="F566" s="298"/>
      <c r="G566" s="298"/>
      <c r="H566" s="298"/>
      <c r="I566" s="298"/>
      <c r="J566" s="298"/>
      <c r="K566" s="298"/>
      <c r="L566" s="298"/>
      <c r="M566" s="483"/>
      <c r="N566" s="484"/>
      <c r="O566" s="484"/>
      <c r="P566" s="484"/>
      <c r="Q566" s="484"/>
      <c r="R566" s="298"/>
      <c r="S566" s="86"/>
      <c r="T566" s="86"/>
      <c r="U566" s="86"/>
      <c r="V566" s="86"/>
      <c r="W566" s="86"/>
      <c r="X566" s="86"/>
      <c r="Y566" s="86"/>
      <c r="Z566" s="449"/>
      <c r="AA566" s="449"/>
      <c r="AB566" s="449"/>
      <c r="AC566" s="449"/>
      <c r="AD566" s="449"/>
      <c r="AE566" s="449"/>
    </row>
    <row r="567">
      <c r="A567" s="97"/>
      <c r="B567" s="298"/>
      <c r="C567" s="298"/>
      <c r="D567" s="298"/>
      <c r="E567" s="298"/>
      <c r="F567" s="298"/>
      <c r="G567" s="298"/>
      <c r="H567" s="298"/>
      <c r="I567" s="298"/>
      <c r="J567" s="298"/>
      <c r="K567" s="298"/>
      <c r="L567" s="298"/>
      <c r="M567" s="483"/>
      <c r="N567" s="484"/>
      <c r="O567" s="484"/>
      <c r="P567" s="484"/>
      <c r="Q567" s="484"/>
      <c r="R567" s="298"/>
      <c r="S567" s="86"/>
      <c r="T567" s="86"/>
      <c r="U567" s="86"/>
      <c r="V567" s="86"/>
      <c r="W567" s="86"/>
      <c r="X567" s="86"/>
      <c r="Y567" s="86"/>
      <c r="Z567" s="449"/>
      <c r="AA567" s="449"/>
      <c r="AB567" s="449"/>
      <c r="AC567" s="449"/>
      <c r="AD567" s="449"/>
      <c r="AE567" s="449"/>
    </row>
    <row r="568">
      <c r="A568" s="97"/>
      <c r="B568" s="298"/>
      <c r="C568" s="298"/>
      <c r="D568" s="298"/>
      <c r="E568" s="298"/>
      <c r="F568" s="298"/>
      <c r="G568" s="298"/>
      <c r="H568" s="298"/>
      <c r="I568" s="298"/>
      <c r="J568" s="298"/>
      <c r="K568" s="298"/>
      <c r="L568" s="298"/>
      <c r="M568" s="483"/>
      <c r="N568" s="484"/>
      <c r="O568" s="484"/>
      <c r="P568" s="484"/>
      <c r="Q568" s="484"/>
      <c r="R568" s="298"/>
      <c r="S568" s="86"/>
      <c r="T568" s="86"/>
      <c r="U568" s="86"/>
      <c r="V568" s="86"/>
      <c r="W568" s="86"/>
      <c r="X568" s="86"/>
      <c r="Y568" s="86"/>
      <c r="Z568" s="449"/>
      <c r="AA568" s="449"/>
      <c r="AB568" s="449"/>
      <c r="AC568" s="449"/>
      <c r="AD568" s="449"/>
      <c r="AE568" s="449"/>
    </row>
    <row r="569">
      <c r="A569" s="97"/>
      <c r="B569" s="298"/>
      <c r="C569" s="298"/>
      <c r="D569" s="298"/>
      <c r="E569" s="298"/>
      <c r="F569" s="298"/>
      <c r="G569" s="298"/>
      <c r="H569" s="298"/>
      <c r="I569" s="298"/>
      <c r="J569" s="298"/>
      <c r="K569" s="298"/>
      <c r="L569" s="298"/>
      <c r="M569" s="483"/>
      <c r="N569" s="484"/>
      <c r="O569" s="484"/>
      <c r="P569" s="484"/>
      <c r="Q569" s="484"/>
      <c r="R569" s="298"/>
      <c r="S569" s="86"/>
      <c r="T569" s="86"/>
      <c r="U569" s="86"/>
      <c r="V569" s="86"/>
      <c r="W569" s="86"/>
      <c r="X569" s="86"/>
      <c r="Y569" s="86"/>
      <c r="Z569" s="449"/>
      <c r="AA569" s="449"/>
      <c r="AB569" s="449"/>
      <c r="AC569" s="449"/>
      <c r="AD569" s="449"/>
      <c r="AE569" s="449"/>
    </row>
    <row r="570">
      <c r="A570" s="97"/>
      <c r="B570" s="298"/>
      <c r="C570" s="298"/>
      <c r="D570" s="298"/>
      <c r="E570" s="298"/>
      <c r="F570" s="298"/>
      <c r="G570" s="298"/>
      <c r="H570" s="298"/>
      <c r="I570" s="298"/>
      <c r="J570" s="298"/>
      <c r="K570" s="298"/>
      <c r="L570" s="298"/>
      <c r="M570" s="483"/>
      <c r="N570" s="484"/>
      <c r="O570" s="484"/>
      <c r="P570" s="484"/>
      <c r="Q570" s="484"/>
      <c r="R570" s="298"/>
      <c r="S570" s="86"/>
      <c r="T570" s="86"/>
      <c r="U570" s="86"/>
      <c r="V570" s="86"/>
      <c r="W570" s="86"/>
      <c r="X570" s="86"/>
      <c r="Y570" s="86"/>
      <c r="Z570" s="449"/>
      <c r="AA570" s="449"/>
      <c r="AB570" s="449"/>
      <c r="AC570" s="449"/>
      <c r="AD570" s="449"/>
      <c r="AE570" s="449"/>
    </row>
    <row r="571">
      <c r="A571" s="97"/>
      <c r="B571" s="298"/>
      <c r="C571" s="298"/>
      <c r="D571" s="298"/>
      <c r="E571" s="298"/>
      <c r="F571" s="298"/>
      <c r="G571" s="298"/>
      <c r="H571" s="298"/>
      <c r="I571" s="298"/>
      <c r="J571" s="298"/>
      <c r="K571" s="298"/>
      <c r="L571" s="298"/>
      <c r="M571" s="483"/>
      <c r="N571" s="484"/>
      <c r="O571" s="484"/>
      <c r="P571" s="484"/>
      <c r="Q571" s="484"/>
      <c r="R571" s="298"/>
      <c r="S571" s="86"/>
      <c r="T571" s="86"/>
      <c r="U571" s="86"/>
      <c r="V571" s="86"/>
      <c r="W571" s="86"/>
      <c r="X571" s="86"/>
      <c r="Y571" s="86"/>
      <c r="Z571" s="449"/>
      <c r="AA571" s="449"/>
      <c r="AB571" s="449"/>
      <c r="AC571" s="449"/>
      <c r="AD571" s="449"/>
      <c r="AE571" s="449"/>
    </row>
    <row r="572">
      <c r="A572" s="97"/>
      <c r="B572" s="298"/>
      <c r="C572" s="298"/>
      <c r="D572" s="298"/>
      <c r="E572" s="298"/>
      <c r="F572" s="298"/>
      <c r="G572" s="298"/>
      <c r="H572" s="298"/>
      <c r="I572" s="298"/>
      <c r="J572" s="298"/>
      <c r="K572" s="298"/>
      <c r="L572" s="298"/>
      <c r="M572" s="483"/>
      <c r="N572" s="484"/>
      <c r="O572" s="484"/>
      <c r="P572" s="484"/>
      <c r="Q572" s="484"/>
      <c r="R572" s="298"/>
      <c r="S572" s="86"/>
      <c r="T572" s="86"/>
      <c r="U572" s="86"/>
      <c r="V572" s="86"/>
      <c r="W572" s="86"/>
      <c r="X572" s="86"/>
      <c r="Y572" s="86"/>
      <c r="Z572" s="449"/>
      <c r="AA572" s="449"/>
      <c r="AB572" s="449"/>
      <c r="AC572" s="449"/>
      <c r="AD572" s="449"/>
      <c r="AE572" s="449"/>
    </row>
    <row r="573">
      <c r="A573" s="97"/>
      <c r="B573" s="298"/>
      <c r="C573" s="298"/>
      <c r="D573" s="298"/>
      <c r="E573" s="298"/>
      <c r="F573" s="298"/>
      <c r="G573" s="298"/>
      <c r="H573" s="298"/>
      <c r="I573" s="298"/>
      <c r="J573" s="298"/>
      <c r="K573" s="298"/>
      <c r="L573" s="298"/>
      <c r="M573" s="483"/>
      <c r="N573" s="484"/>
      <c r="O573" s="484"/>
      <c r="P573" s="484"/>
      <c r="Q573" s="484"/>
      <c r="R573" s="298"/>
      <c r="S573" s="86"/>
      <c r="T573" s="86"/>
      <c r="U573" s="86"/>
      <c r="V573" s="86"/>
      <c r="W573" s="86"/>
      <c r="X573" s="86"/>
      <c r="Y573" s="86"/>
      <c r="Z573" s="449"/>
      <c r="AA573" s="449"/>
      <c r="AB573" s="449"/>
      <c r="AC573" s="449"/>
      <c r="AD573" s="449"/>
      <c r="AE573" s="449"/>
    </row>
    <row r="574">
      <c r="A574" s="97"/>
      <c r="B574" s="298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483"/>
      <c r="N574" s="484"/>
      <c r="O574" s="484"/>
      <c r="P574" s="484"/>
      <c r="Q574" s="484"/>
      <c r="R574" s="298"/>
      <c r="S574" s="86"/>
      <c r="T574" s="86"/>
      <c r="U574" s="86"/>
      <c r="V574" s="86"/>
      <c r="W574" s="86"/>
      <c r="X574" s="86"/>
      <c r="Y574" s="86"/>
      <c r="Z574" s="449"/>
      <c r="AA574" s="449"/>
      <c r="AB574" s="449"/>
      <c r="AC574" s="449"/>
      <c r="AD574" s="449"/>
      <c r="AE574" s="449"/>
    </row>
    <row r="575">
      <c r="A575" s="97"/>
      <c r="B575" s="298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483"/>
      <c r="N575" s="484"/>
      <c r="O575" s="484"/>
      <c r="P575" s="484"/>
      <c r="Q575" s="484"/>
      <c r="R575" s="298"/>
      <c r="S575" s="86"/>
      <c r="T575" s="86"/>
      <c r="U575" s="86"/>
      <c r="V575" s="86"/>
      <c r="W575" s="86"/>
      <c r="X575" s="86"/>
      <c r="Y575" s="86"/>
      <c r="Z575" s="449"/>
      <c r="AA575" s="449"/>
      <c r="AB575" s="449"/>
      <c r="AC575" s="449"/>
      <c r="AD575" s="449"/>
      <c r="AE575" s="449"/>
    </row>
    <row r="576">
      <c r="A576" s="97"/>
      <c r="B576" s="298"/>
      <c r="C576" s="298"/>
      <c r="D576" s="298"/>
      <c r="E576" s="298"/>
      <c r="F576" s="298"/>
      <c r="G576" s="298"/>
      <c r="H576" s="298"/>
      <c r="I576" s="298"/>
      <c r="J576" s="298"/>
      <c r="K576" s="298"/>
      <c r="L576" s="298"/>
      <c r="M576" s="483"/>
      <c r="N576" s="484"/>
      <c r="O576" s="484"/>
      <c r="P576" s="484"/>
      <c r="Q576" s="484"/>
      <c r="R576" s="298"/>
      <c r="S576" s="86"/>
      <c r="T576" s="86"/>
      <c r="U576" s="86"/>
      <c r="V576" s="86"/>
      <c r="W576" s="86"/>
      <c r="X576" s="86"/>
      <c r="Y576" s="86"/>
      <c r="Z576" s="449"/>
      <c r="AA576" s="449"/>
      <c r="AB576" s="449"/>
      <c r="AC576" s="449"/>
      <c r="AD576" s="449"/>
      <c r="AE576" s="449"/>
    </row>
    <row r="577">
      <c r="A577" s="97"/>
      <c r="B577" s="298"/>
      <c r="C577" s="298"/>
      <c r="D577" s="298"/>
      <c r="E577" s="298"/>
      <c r="F577" s="298"/>
      <c r="G577" s="298"/>
      <c r="H577" s="298"/>
      <c r="I577" s="298"/>
      <c r="J577" s="298"/>
      <c r="K577" s="298"/>
      <c r="L577" s="298"/>
      <c r="M577" s="483"/>
      <c r="N577" s="484"/>
      <c r="O577" s="484"/>
      <c r="P577" s="484"/>
      <c r="Q577" s="484"/>
      <c r="R577" s="298"/>
      <c r="S577" s="86"/>
      <c r="T577" s="86"/>
      <c r="U577" s="86"/>
      <c r="V577" s="86"/>
      <c r="W577" s="86"/>
      <c r="X577" s="86"/>
      <c r="Y577" s="86"/>
      <c r="Z577" s="449"/>
      <c r="AA577" s="449"/>
      <c r="AB577" s="449"/>
      <c r="AC577" s="449"/>
      <c r="AD577" s="449"/>
      <c r="AE577" s="449"/>
    </row>
    <row r="578">
      <c r="A578" s="97"/>
      <c r="B578" s="298"/>
      <c r="C578" s="298"/>
      <c r="D578" s="298"/>
      <c r="E578" s="298"/>
      <c r="F578" s="298"/>
      <c r="G578" s="298"/>
      <c r="H578" s="298"/>
      <c r="I578" s="298"/>
      <c r="J578" s="298"/>
      <c r="K578" s="298"/>
      <c r="L578" s="298"/>
      <c r="M578" s="483"/>
      <c r="N578" s="484"/>
      <c r="O578" s="484"/>
      <c r="P578" s="484"/>
      <c r="Q578" s="484"/>
      <c r="R578" s="298"/>
      <c r="S578" s="86"/>
      <c r="T578" s="86"/>
      <c r="U578" s="86"/>
      <c r="V578" s="86"/>
      <c r="W578" s="86"/>
      <c r="X578" s="86"/>
      <c r="Y578" s="86"/>
      <c r="Z578" s="449"/>
      <c r="AA578" s="449"/>
      <c r="AB578" s="449"/>
      <c r="AC578" s="449"/>
      <c r="AD578" s="449"/>
      <c r="AE578" s="449"/>
    </row>
    <row r="579">
      <c r="A579" s="97"/>
      <c r="B579" s="298"/>
      <c r="C579" s="298"/>
      <c r="D579" s="298"/>
      <c r="E579" s="298"/>
      <c r="F579" s="298"/>
      <c r="G579" s="298"/>
      <c r="H579" s="298"/>
      <c r="I579" s="298"/>
      <c r="J579" s="298"/>
      <c r="K579" s="298"/>
      <c r="L579" s="298"/>
      <c r="M579" s="483"/>
      <c r="N579" s="484"/>
      <c r="O579" s="484"/>
      <c r="P579" s="484"/>
      <c r="Q579" s="484"/>
      <c r="R579" s="298"/>
      <c r="S579" s="86"/>
      <c r="T579" s="86"/>
      <c r="U579" s="86"/>
      <c r="V579" s="86"/>
      <c r="W579" s="86"/>
      <c r="X579" s="86"/>
      <c r="Y579" s="86"/>
      <c r="Z579" s="449"/>
      <c r="AA579" s="449"/>
      <c r="AB579" s="449"/>
      <c r="AC579" s="449"/>
      <c r="AD579" s="449"/>
      <c r="AE579" s="449"/>
    </row>
    <row r="580">
      <c r="A580" s="97"/>
      <c r="B580" s="298"/>
      <c r="C580" s="298"/>
      <c r="D580" s="298"/>
      <c r="E580" s="298"/>
      <c r="F580" s="298"/>
      <c r="G580" s="298"/>
      <c r="H580" s="298"/>
      <c r="I580" s="298"/>
      <c r="J580" s="298"/>
      <c r="K580" s="298"/>
      <c r="L580" s="298"/>
      <c r="M580" s="483"/>
      <c r="N580" s="484"/>
      <c r="O580" s="484"/>
      <c r="P580" s="484"/>
      <c r="Q580" s="484"/>
      <c r="R580" s="298"/>
      <c r="S580" s="86"/>
      <c r="T580" s="86"/>
      <c r="U580" s="86"/>
      <c r="V580" s="86"/>
      <c r="W580" s="86"/>
      <c r="X580" s="86"/>
      <c r="Y580" s="86"/>
      <c r="Z580" s="449"/>
      <c r="AA580" s="449"/>
      <c r="AB580" s="449"/>
      <c r="AC580" s="449"/>
      <c r="AD580" s="449"/>
      <c r="AE580" s="449"/>
    </row>
    <row r="581">
      <c r="A581" s="97"/>
      <c r="B581" s="298"/>
      <c r="C581" s="298"/>
      <c r="D581" s="298"/>
      <c r="E581" s="298"/>
      <c r="F581" s="298"/>
      <c r="G581" s="298"/>
      <c r="H581" s="298"/>
      <c r="I581" s="298"/>
      <c r="J581" s="298"/>
      <c r="K581" s="298"/>
      <c r="L581" s="298"/>
      <c r="M581" s="483"/>
      <c r="N581" s="484"/>
      <c r="O581" s="484"/>
      <c r="P581" s="484"/>
      <c r="Q581" s="484"/>
      <c r="R581" s="298"/>
      <c r="S581" s="86"/>
      <c r="T581" s="86"/>
      <c r="U581" s="86"/>
      <c r="V581" s="86"/>
      <c r="W581" s="86"/>
      <c r="X581" s="86"/>
      <c r="Y581" s="86"/>
      <c r="Z581" s="449"/>
      <c r="AA581" s="449"/>
      <c r="AB581" s="449"/>
      <c r="AC581" s="449"/>
      <c r="AD581" s="449"/>
      <c r="AE581" s="449"/>
    </row>
    <row r="582">
      <c r="A582" s="97"/>
      <c r="B582" s="298"/>
      <c r="C582" s="298"/>
      <c r="D582" s="298"/>
      <c r="E582" s="298"/>
      <c r="F582" s="298"/>
      <c r="G582" s="298"/>
      <c r="H582" s="298"/>
      <c r="I582" s="298"/>
      <c r="J582" s="298"/>
      <c r="K582" s="298"/>
      <c r="L582" s="298"/>
      <c r="M582" s="483"/>
      <c r="N582" s="484"/>
      <c r="O582" s="484"/>
      <c r="P582" s="484"/>
      <c r="Q582" s="484"/>
      <c r="R582" s="298"/>
      <c r="S582" s="86"/>
      <c r="T582" s="86"/>
      <c r="U582" s="86"/>
      <c r="V582" s="86"/>
      <c r="W582" s="86"/>
      <c r="X582" s="86"/>
      <c r="Y582" s="86"/>
      <c r="Z582" s="449"/>
      <c r="AA582" s="449"/>
      <c r="AB582" s="449"/>
      <c r="AC582" s="449"/>
      <c r="AD582" s="449"/>
      <c r="AE582" s="449"/>
    </row>
    <row r="583">
      <c r="A583" s="97"/>
      <c r="B583" s="298"/>
      <c r="C583" s="298"/>
      <c r="D583" s="298"/>
      <c r="E583" s="298"/>
      <c r="F583" s="298"/>
      <c r="G583" s="298"/>
      <c r="H583" s="298"/>
      <c r="I583" s="298"/>
      <c r="J583" s="298"/>
      <c r="K583" s="298"/>
      <c r="L583" s="298"/>
      <c r="M583" s="483"/>
      <c r="N583" s="484"/>
      <c r="O583" s="484"/>
      <c r="P583" s="484"/>
      <c r="Q583" s="484"/>
      <c r="R583" s="298"/>
      <c r="S583" s="86"/>
      <c r="T583" s="86"/>
      <c r="U583" s="86"/>
      <c r="V583" s="86"/>
      <c r="W583" s="86"/>
      <c r="X583" s="86"/>
      <c r="Y583" s="86"/>
      <c r="Z583" s="449"/>
      <c r="AA583" s="449"/>
      <c r="AB583" s="449"/>
      <c r="AC583" s="449"/>
      <c r="AD583" s="449"/>
      <c r="AE583" s="449"/>
    </row>
    <row r="584">
      <c r="A584" s="97"/>
      <c r="B584" s="298"/>
      <c r="C584" s="298"/>
      <c r="D584" s="298"/>
      <c r="E584" s="298"/>
      <c r="F584" s="298"/>
      <c r="G584" s="298"/>
      <c r="H584" s="298"/>
      <c r="I584" s="298"/>
      <c r="J584" s="298"/>
      <c r="K584" s="298"/>
      <c r="L584" s="298"/>
      <c r="M584" s="483"/>
      <c r="N584" s="484"/>
      <c r="O584" s="484"/>
      <c r="P584" s="484"/>
      <c r="Q584" s="484"/>
      <c r="R584" s="298"/>
      <c r="S584" s="86"/>
      <c r="T584" s="86"/>
      <c r="U584" s="86"/>
      <c r="V584" s="86"/>
      <c r="W584" s="86"/>
      <c r="X584" s="86"/>
      <c r="Y584" s="86"/>
      <c r="Z584" s="449"/>
      <c r="AA584" s="449"/>
      <c r="AB584" s="449"/>
      <c r="AC584" s="449"/>
      <c r="AD584" s="449"/>
      <c r="AE584" s="449"/>
    </row>
    <row r="585">
      <c r="A585" s="97"/>
      <c r="B585" s="298"/>
      <c r="C585" s="298"/>
      <c r="D585" s="298"/>
      <c r="E585" s="298"/>
      <c r="F585" s="298"/>
      <c r="G585" s="298"/>
      <c r="H585" s="298"/>
      <c r="I585" s="298"/>
      <c r="J585" s="298"/>
      <c r="K585" s="298"/>
      <c r="L585" s="298"/>
      <c r="M585" s="483"/>
      <c r="N585" s="484"/>
      <c r="O585" s="484"/>
      <c r="P585" s="484"/>
      <c r="Q585" s="484"/>
      <c r="R585" s="298"/>
      <c r="S585" s="86"/>
      <c r="T585" s="86"/>
      <c r="U585" s="86"/>
      <c r="V585" s="86"/>
      <c r="W585" s="86"/>
      <c r="X585" s="86"/>
      <c r="Y585" s="86"/>
      <c r="Z585" s="449"/>
      <c r="AA585" s="449"/>
      <c r="AB585" s="449"/>
      <c r="AC585" s="449"/>
      <c r="AD585" s="449"/>
      <c r="AE585" s="449"/>
    </row>
    <row r="586">
      <c r="A586" s="97"/>
      <c r="B586" s="298"/>
      <c r="C586" s="298"/>
      <c r="D586" s="298"/>
      <c r="E586" s="298"/>
      <c r="F586" s="298"/>
      <c r="G586" s="298"/>
      <c r="H586" s="298"/>
      <c r="I586" s="298"/>
      <c r="J586" s="298"/>
      <c r="K586" s="298"/>
      <c r="L586" s="298"/>
      <c r="M586" s="483"/>
      <c r="N586" s="484"/>
      <c r="O586" s="484"/>
      <c r="P586" s="484"/>
      <c r="Q586" s="484"/>
      <c r="R586" s="298"/>
      <c r="S586" s="86"/>
      <c r="T586" s="86"/>
      <c r="U586" s="86"/>
      <c r="V586" s="86"/>
      <c r="W586" s="86"/>
      <c r="X586" s="86"/>
      <c r="Y586" s="86"/>
      <c r="Z586" s="449"/>
      <c r="AA586" s="449"/>
      <c r="AB586" s="449"/>
      <c r="AC586" s="449"/>
      <c r="AD586" s="449"/>
      <c r="AE586" s="449"/>
    </row>
    <row r="587">
      <c r="A587" s="97"/>
      <c r="B587" s="298"/>
      <c r="C587" s="298"/>
      <c r="D587" s="298"/>
      <c r="E587" s="298"/>
      <c r="F587" s="298"/>
      <c r="G587" s="298"/>
      <c r="H587" s="298"/>
      <c r="I587" s="298"/>
      <c r="J587" s="298"/>
      <c r="K587" s="298"/>
      <c r="L587" s="298"/>
      <c r="M587" s="483"/>
      <c r="N587" s="484"/>
      <c r="O587" s="484"/>
      <c r="P587" s="484"/>
      <c r="Q587" s="484"/>
      <c r="R587" s="298"/>
      <c r="S587" s="86"/>
      <c r="T587" s="86"/>
      <c r="U587" s="86"/>
      <c r="V587" s="86"/>
      <c r="W587" s="86"/>
      <c r="X587" s="86"/>
      <c r="Y587" s="86"/>
      <c r="Z587" s="449"/>
      <c r="AA587" s="449"/>
      <c r="AB587" s="449"/>
      <c r="AC587" s="449"/>
      <c r="AD587" s="449"/>
      <c r="AE587" s="449"/>
    </row>
    <row r="588">
      <c r="A588" s="97"/>
      <c r="B588" s="298"/>
      <c r="C588" s="298"/>
      <c r="D588" s="298"/>
      <c r="E588" s="298"/>
      <c r="F588" s="298"/>
      <c r="G588" s="298"/>
      <c r="H588" s="298"/>
      <c r="I588" s="298"/>
      <c r="J588" s="298"/>
      <c r="K588" s="298"/>
      <c r="L588" s="298"/>
      <c r="M588" s="483"/>
      <c r="N588" s="484"/>
      <c r="O588" s="484"/>
      <c r="P588" s="484"/>
      <c r="Q588" s="484"/>
      <c r="R588" s="298"/>
      <c r="S588" s="86"/>
      <c r="T588" s="86"/>
      <c r="U588" s="86"/>
      <c r="V588" s="86"/>
      <c r="W588" s="86"/>
      <c r="X588" s="86"/>
      <c r="Y588" s="86"/>
      <c r="Z588" s="449"/>
      <c r="AA588" s="449"/>
      <c r="AB588" s="449"/>
      <c r="AC588" s="449"/>
      <c r="AD588" s="449"/>
      <c r="AE588" s="449"/>
    </row>
    <row r="589">
      <c r="A589" s="97"/>
      <c r="B589" s="298"/>
      <c r="C589" s="298"/>
      <c r="D589" s="298"/>
      <c r="E589" s="298"/>
      <c r="F589" s="298"/>
      <c r="G589" s="298"/>
      <c r="H589" s="298"/>
      <c r="I589" s="298"/>
      <c r="J589" s="298"/>
      <c r="K589" s="298"/>
      <c r="L589" s="298"/>
      <c r="M589" s="483"/>
      <c r="N589" s="484"/>
      <c r="O589" s="484"/>
      <c r="P589" s="484"/>
      <c r="Q589" s="484"/>
      <c r="R589" s="298"/>
      <c r="S589" s="86"/>
      <c r="T589" s="86"/>
      <c r="U589" s="86"/>
      <c r="V589" s="86"/>
      <c r="W589" s="86"/>
      <c r="X589" s="86"/>
      <c r="Y589" s="86"/>
      <c r="Z589" s="449"/>
      <c r="AA589" s="449"/>
      <c r="AB589" s="449"/>
      <c r="AC589" s="449"/>
      <c r="AD589" s="449"/>
      <c r="AE589" s="449"/>
    </row>
    <row r="590">
      <c r="A590" s="97"/>
      <c r="B590" s="298"/>
      <c r="C590" s="298"/>
      <c r="D590" s="298"/>
      <c r="E590" s="298"/>
      <c r="F590" s="298"/>
      <c r="G590" s="298"/>
      <c r="H590" s="298"/>
      <c r="I590" s="298"/>
      <c r="J590" s="298"/>
      <c r="K590" s="298"/>
      <c r="L590" s="298"/>
      <c r="M590" s="483"/>
      <c r="N590" s="484"/>
      <c r="O590" s="484"/>
      <c r="P590" s="484"/>
      <c r="Q590" s="484"/>
      <c r="R590" s="298"/>
      <c r="S590" s="86"/>
      <c r="T590" s="86"/>
      <c r="U590" s="86"/>
      <c r="V590" s="86"/>
      <c r="W590" s="86"/>
      <c r="X590" s="86"/>
      <c r="Y590" s="86"/>
      <c r="Z590" s="449"/>
      <c r="AA590" s="449"/>
      <c r="AB590" s="449"/>
      <c r="AC590" s="449"/>
      <c r="AD590" s="449"/>
      <c r="AE590" s="449"/>
    </row>
    <row r="591">
      <c r="A591" s="97"/>
      <c r="B591" s="298"/>
      <c r="C591" s="298"/>
      <c r="D591" s="298"/>
      <c r="E591" s="298"/>
      <c r="F591" s="298"/>
      <c r="G591" s="298"/>
      <c r="H591" s="298"/>
      <c r="I591" s="298"/>
      <c r="J591" s="298"/>
      <c r="K591" s="298"/>
      <c r="L591" s="298"/>
      <c r="M591" s="483"/>
      <c r="N591" s="484"/>
      <c r="O591" s="484"/>
      <c r="P591" s="484"/>
      <c r="Q591" s="484"/>
      <c r="R591" s="298"/>
      <c r="S591" s="86"/>
      <c r="T591" s="86"/>
      <c r="U591" s="86"/>
      <c r="V591" s="86"/>
      <c r="W591" s="86"/>
      <c r="X591" s="86"/>
      <c r="Y591" s="86"/>
      <c r="Z591" s="449"/>
      <c r="AA591" s="449"/>
      <c r="AB591" s="449"/>
      <c r="AC591" s="449"/>
      <c r="AD591" s="449"/>
      <c r="AE591" s="449"/>
    </row>
    <row r="592">
      <c r="A592" s="97"/>
      <c r="B592" s="298"/>
      <c r="C592" s="298"/>
      <c r="D592" s="298"/>
      <c r="E592" s="298"/>
      <c r="F592" s="298"/>
      <c r="G592" s="298"/>
      <c r="H592" s="298"/>
      <c r="I592" s="298"/>
      <c r="J592" s="298"/>
      <c r="K592" s="298"/>
      <c r="L592" s="298"/>
      <c r="M592" s="483"/>
      <c r="N592" s="484"/>
      <c r="O592" s="484"/>
      <c r="P592" s="484"/>
      <c r="Q592" s="484"/>
      <c r="R592" s="298"/>
      <c r="S592" s="86"/>
      <c r="T592" s="86"/>
      <c r="U592" s="86"/>
      <c r="V592" s="86"/>
      <c r="W592" s="86"/>
      <c r="X592" s="86"/>
      <c r="Y592" s="86"/>
      <c r="Z592" s="449"/>
      <c r="AA592" s="449"/>
      <c r="AB592" s="449"/>
      <c r="AC592" s="449"/>
      <c r="AD592" s="449"/>
      <c r="AE592" s="449"/>
    </row>
    <row r="593">
      <c r="A593" s="97"/>
      <c r="B593" s="298"/>
      <c r="C593" s="298"/>
      <c r="D593" s="298"/>
      <c r="E593" s="298"/>
      <c r="F593" s="298"/>
      <c r="G593" s="298"/>
      <c r="H593" s="298"/>
      <c r="I593" s="298"/>
      <c r="J593" s="298"/>
      <c r="K593" s="298"/>
      <c r="L593" s="298"/>
      <c r="M593" s="483"/>
      <c r="N593" s="484"/>
      <c r="O593" s="484"/>
      <c r="P593" s="484"/>
      <c r="Q593" s="484"/>
      <c r="R593" s="298"/>
      <c r="S593" s="86"/>
      <c r="T593" s="86"/>
      <c r="U593" s="86"/>
      <c r="V593" s="86"/>
      <c r="W593" s="86"/>
      <c r="X593" s="86"/>
      <c r="Y593" s="86"/>
      <c r="Z593" s="449"/>
      <c r="AA593" s="449"/>
      <c r="AB593" s="449"/>
      <c r="AC593" s="449"/>
      <c r="AD593" s="449"/>
      <c r="AE593" s="449"/>
    </row>
    <row r="594">
      <c r="A594" s="97"/>
      <c r="B594" s="298"/>
      <c r="C594" s="298"/>
      <c r="D594" s="298"/>
      <c r="E594" s="298"/>
      <c r="F594" s="298"/>
      <c r="G594" s="298"/>
      <c r="H594" s="298"/>
      <c r="I594" s="298"/>
      <c r="J594" s="298"/>
      <c r="K594" s="298"/>
      <c r="L594" s="298"/>
      <c r="M594" s="483"/>
      <c r="N594" s="484"/>
      <c r="O594" s="484"/>
      <c r="P594" s="484"/>
      <c r="Q594" s="484"/>
      <c r="R594" s="298"/>
      <c r="S594" s="86"/>
      <c r="T594" s="86"/>
      <c r="U594" s="86"/>
      <c r="V594" s="86"/>
      <c r="W594" s="86"/>
      <c r="X594" s="86"/>
      <c r="Y594" s="86"/>
      <c r="Z594" s="449"/>
      <c r="AA594" s="449"/>
      <c r="AB594" s="449"/>
      <c r="AC594" s="449"/>
      <c r="AD594" s="449"/>
      <c r="AE594" s="449"/>
    </row>
    <row r="595">
      <c r="A595" s="97"/>
      <c r="B595" s="298"/>
      <c r="C595" s="298"/>
      <c r="D595" s="298"/>
      <c r="E595" s="298"/>
      <c r="F595" s="298"/>
      <c r="G595" s="298"/>
      <c r="H595" s="298"/>
      <c r="I595" s="298"/>
      <c r="J595" s="298"/>
      <c r="K595" s="298"/>
      <c r="L595" s="298"/>
      <c r="M595" s="483"/>
      <c r="N595" s="484"/>
      <c r="O595" s="484"/>
      <c r="P595" s="484"/>
      <c r="Q595" s="484"/>
      <c r="R595" s="298"/>
      <c r="S595" s="86"/>
      <c r="T595" s="86"/>
      <c r="U595" s="86"/>
      <c r="V595" s="86"/>
      <c r="W595" s="86"/>
      <c r="X595" s="86"/>
      <c r="Y595" s="86"/>
      <c r="Z595" s="449"/>
      <c r="AA595" s="449"/>
      <c r="AB595" s="449"/>
      <c r="AC595" s="449"/>
      <c r="AD595" s="449"/>
      <c r="AE595" s="449"/>
    </row>
    <row r="596">
      <c r="A596" s="97"/>
      <c r="B596" s="298"/>
      <c r="C596" s="298"/>
      <c r="D596" s="298"/>
      <c r="E596" s="298"/>
      <c r="F596" s="298"/>
      <c r="G596" s="298"/>
      <c r="H596" s="298"/>
      <c r="I596" s="298"/>
      <c r="J596" s="298"/>
      <c r="K596" s="298"/>
      <c r="L596" s="298"/>
      <c r="M596" s="483"/>
      <c r="N596" s="484"/>
      <c r="O596" s="484"/>
      <c r="P596" s="484"/>
      <c r="Q596" s="484"/>
      <c r="R596" s="298"/>
      <c r="S596" s="86"/>
      <c r="T596" s="86"/>
      <c r="U596" s="86"/>
      <c r="V596" s="86"/>
      <c r="W596" s="86"/>
      <c r="X596" s="86"/>
      <c r="Y596" s="86"/>
      <c r="Z596" s="449"/>
      <c r="AA596" s="449"/>
      <c r="AB596" s="449"/>
      <c r="AC596" s="449"/>
      <c r="AD596" s="449"/>
      <c r="AE596" s="449"/>
    </row>
    <row r="597">
      <c r="A597" s="97"/>
      <c r="B597" s="298"/>
      <c r="C597" s="298"/>
      <c r="D597" s="298"/>
      <c r="E597" s="298"/>
      <c r="F597" s="298"/>
      <c r="G597" s="298"/>
      <c r="H597" s="298"/>
      <c r="I597" s="298"/>
      <c r="J597" s="298"/>
      <c r="K597" s="298"/>
      <c r="L597" s="298"/>
      <c r="M597" s="483"/>
      <c r="N597" s="484"/>
      <c r="O597" s="484"/>
      <c r="P597" s="484"/>
      <c r="Q597" s="484"/>
      <c r="R597" s="298"/>
      <c r="S597" s="86"/>
      <c r="T597" s="86"/>
      <c r="U597" s="86"/>
      <c r="V597" s="86"/>
      <c r="W597" s="86"/>
      <c r="X597" s="86"/>
      <c r="Y597" s="86"/>
      <c r="Z597" s="449"/>
      <c r="AA597" s="449"/>
      <c r="AB597" s="449"/>
      <c r="AC597" s="449"/>
      <c r="AD597" s="449"/>
      <c r="AE597" s="449"/>
    </row>
    <row r="598">
      <c r="A598" s="97"/>
      <c r="B598" s="298"/>
      <c r="C598" s="298"/>
      <c r="D598" s="298"/>
      <c r="E598" s="298"/>
      <c r="F598" s="298"/>
      <c r="G598" s="298"/>
      <c r="H598" s="298"/>
      <c r="I598" s="298"/>
      <c r="J598" s="298"/>
      <c r="K598" s="298"/>
      <c r="L598" s="298"/>
      <c r="M598" s="483"/>
      <c r="N598" s="484"/>
      <c r="O598" s="484"/>
      <c r="P598" s="484"/>
      <c r="Q598" s="484"/>
      <c r="R598" s="298"/>
      <c r="S598" s="86"/>
      <c r="T598" s="86"/>
      <c r="U598" s="86"/>
      <c r="V598" s="86"/>
      <c r="W598" s="86"/>
      <c r="X598" s="86"/>
      <c r="Y598" s="86"/>
      <c r="Z598" s="449"/>
      <c r="AA598" s="449"/>
      <c r="AB598" s="449"/>
      <c r="AC598" s="449"/>
      <c r="AD598" s="449"/>
      <c r="AE598" s="449"/>
    </row>
    <row r="599">
      <c r="A599" s="97"/>
      <c r="B599" s="298"/>
      <c r="C599" s="298"/>
      <c r="D599" s="298"/>
      <c r="E599" s="298"/>
      <c r="F599" s="298"/>
      <c r="G599" s="298"/>
      <c r="H599" s="298"/>
      <c r="I599" s="298"/>
      <c r="J599" s="298"/>
      <c r="K599" s="298"/>
      <c r="L599" s="298"/>
      <c r="M599" s="483"/>
      <c r="N599" s="484"/>
      <c r="O599" s="484"/>
      <c r="P599" s="484"/>
      <c r="Q599" s="484"/>
      <c r="R599" s="298"/>
      <c r="S599" s="86"/>
      <c r="T599" s="86"/>
      <c r="U599" s="86"/>
      <c r="V599" s="86"/>
      <c r="W599" s="86"/>
      <c r="X599" s="86"/>
      <c r="Y599" s="86"/>
      <c r="Z599" s="449"/>
      <c r="AA599" s="449"/>
      <c r="AB599" s="449"/>
      <c r="AC599" s="449"/>
      <c r="AD599" s="449"/>
      <c r="AE599" s="449"/>
    </row>
    <row r="600">
      <c r="A600" s="97"/>
      <c r="B600" s="298"/>
      <c r="C600" s="298"/>
      <c r="D600" s="298"/>
      <c r="E600" s="298"/>
      <c r="F600" s="298"/>
      <c r="G600" s="298"/>
      <c r="H600" s="298"/>
      <c r="I600" s="298"/>
      <c r="J600" s="298"/>
      <c r="K600" s="298"/>
      <c r="L600" s="298"/>
      <c r="M600" s="483"/>
      <c r="N600" s="484"/>
      <c r="O600" s="484"/>
      <c r="P600" s="484"/>
      <c r="Q600" s="484"/>
      <c r="R600" s="298"/>
      <c r="S600" s="86"/>
      <c r="T600" s="86"/>
      <c r="U600" s="86"/>
      <c r="V600" s="86"/>
      <c r="W600" s="86"/>
      <c r="X600" s="86"/>
      <c r="Y600" s="86"/>
      <c r="Z600" s="449"/>
      <c r="AA600" s="449"/>
      <c r="AB600" s="449"/>
      <c r="AC600" s="449"/>
      <c r="AD600" s="449"/>
      <c r="AE600" s="449"/>
    </row>
    <row r="601">
      <c r="A601" s="97"/>
      <c r="B601" s="298"/>
      <c r="C601" s="298"/>
      <c r="D601" s="298"/>
      <c r="E601" s="298"/>
      <c r="F601" s="298"/>
      <c r="G601" s="298"/>
      <c r="H601" s="298"/>
      <c r="I601" s="298"/>
      <c r="J601" s="298"/>
      <c r="K601" s="298"/>
      <c r="L601" s="298"/>
      <c r="M601" s="483"/>
      <c r="N601" s="484"/>
      <c r="O601" s="484"/>
      <c r="P601" s="484"/>
      <c r="Q601" s="484"/>
      <c r="R601" s="298"/>
      <c r="S601" s="86"/>
      <c r="T601" s="86"/>
      <c r="U601" s="86"/>
      <c r="V601" s="86"/>
      <c r="W601" s="86"/>
      <c r="X601" s="86"/>
      <c r="Y601" s="86"/>
      <c r="Z601" s="449"/>
      <c r="AA601" s="449"/>
      <c r="AB601" s="449"/>
      <c r="AC601" s="449"/>
      <c r="AD601" s="449"/>
      <c r="AE601" s="449"/>
    </row>
    <row r="602">
      <c r="A602" s="97"/>
      <c r="B602" s="298"/>
      <c r="C602" s="298"/>
      <c r="D602" s="298"/>
      <c r="E602" s="298"/>
      <c r="F602" s="298"/>
      <c r="G602" s="298"/>
      <c r="H602" s="298"/>
      <c r="I602" s="298"/>
      <c r="J602" s="298"/>
      <c r="K602" s="298"/>
      <c r="L602" s="298"/>
      <c r="M602" s="483"/>
      <c r="N602" s="484"/>
      <c r="O602" s="484"/>
      <c r="P602" s="484"/>
      <c r="Q602" s="484"/>
      <c r="R602" s="298"/>
      <c r="S602" s="86"/>
      <c r="T602" s="86"/>
      <c r="U602" s="86"/>
      <c r="V602" s="86"/>
      <c r="W602" s="86"/>
      <c r="X602" s="86"/>
      <c r="Y602" s="86"/>
      <c r="Z602" s="449"/>
      <c r="AA602" s="449"/>
      <c r="AB602" s="449"/>
      <c r="AC602" s="449"/>
      <c r="AD602" s="449"/>
      <c r="AE602" s="449"/>
    </row>
    <row r="603">
      <c r="A603" s="97"/>
      <c r="B603" s="298"/>
      <c r="C603" s="298"/>
      <c r="D603" s="298"/>
      <c r="E603" s="298"/>
      <c r="F603" s="298"/>
      <c r="G603" s="298"/>
      <c r="H603" s="298"/>
      <c r="I603" s="298"/>
      <c r="J603" s="298"/>
      <c r="K603" s="298"/>
      <c r="L603" s="298"/>
      <c r="M603" s="483"/>
      <c r="N603" s="484"/>
      <c r="O603" s="484"/>
      <c r="P603" s="484"/>
      <c r="Q603" s="484"/>
      <c r="R603" s="298"/>
      <c r="S603" s="86"/>
      <c r="T603" s="86"/>
      <c r="U603" s="86"/>
      <c r="V603" s="86"/>
      <c r="W603" s="86"/>
      <c r="X603" s="86"/>
      <c r="Y603" s="86"/>
      <c r="Z603" s="449"/>
      <c r="AA603" s="449"/>
      <c r="AB603" s="449"/>
      <c r="AC603" s="449"/>
      <c r="AD603" s="449"/>
      <c r="AE603" s="449"/>
    </row>
    <row r="604">
      <c r="A604" s="97"/>
      <c r="B604" s="298"/>
      <c r="C604" s="298"/>
      <c r="D604" s="298"/>
      <c r="E604" s="298"/>
      <c r="F604" s="298"/>
      <c r="G604" s="298"/>
      <c r="H604" s="298"/>
      <c r="I604" s="298"/>
      <c r="J604" s="298"/>
      <c r="K604" s="298"/>
      <c r="L604" s="298"/>
      <c r="M604" s="483"/>
      <c r="N604" s="484"/>
      <c r="O604" s="484"/>
      <c r="P604" s="484"/>
      <c r="Q604" s="484"/>
      <c r="R604" s="298"/>
      <c r="S604" s="86"/>
      <c r="T604" s="86"/>
      <c r="U604" s="86"/>
      <c r="V604" s="86"/>
      <c r="W604" s="86"/>
      <c r="X604" s="86"/>
      <c r="Y604" s="86"/>
      <c r="Z604" s="449"/>
      <c r="AA604" s="449"/>
      <c r="AB604" s="449"/>
      <c r="AC604" s="449"/>
      <c r="AD604" s="449"/>
      <c r="AE604" s="449"/>
    </row>
    <row r="605">
      <c r="A605" s="97"/>
      <c r="B605" s="298"/>
      <c r="C605" s="298"/>
      <c r="D605" s="298"/>
      <c r="E605" s="298"/>
      <c r="F605" s="298"/>
      <c r="G605" s="298"/>
      <c r="H605" s="298"/>
      <c r="I605" s="298"/>
      <c r="J605" s="298"/>
      <c r="K605" s="298"/>
      <c r="L605" s="298"/>
      <c r="M605" s="483"/>
      <c r="N605" s="484"/>
      <c r="O605" s="484"/>
      <c r="P605" s="484"/>
      <c r="Q605" s="484"/>
      <c r="R605" s="298"/>
      <c r="S605" s="86"/>
      <c r="T605" s="86"/>
      <c r="U605" s="86"/>
      <c r="V605" s="86"/>
      <c r="W605" s="86"/>
      <c r="X605" s="86"/>
      <c r="Y605" s="86"/>
      <c r="Z605" s="449"/>
      <c r="AA605" s="449"/>
      <c r="AB605" s="449"/>
      <c r="AC605" s="449"/>
      <c r="AD605" s="449"/>
      <c r="AE605" s="449"/>
    </row>
    <row r="606">
      <c r="A606" s="97"/>
      <c r="B606" s="298"/>
      <c r="C606" s="298"/>
      <c r="D606" s="298"/>
      <c r="E606" s="298"/>
      <c r="F606" s="298"/>
      <c r="G606" s="298"/>
      <c r="H606" s="298"/>
      <c r="I606" s="298"/>
      <c r="J606" s="298"/>
      <c r="K606" s="298"/>
      <c r="L606" s="298"/>
      <c r="M606" s="483"/>
      <c r="N606" s="484"/>
      <c r="O606" s="484"/>
      <c r="P606" s="484"/>
      <c r="Q606" s="484"/>
      <c r="R606" s="298"/>
      <c r="S606" s="86"/>
      <c r="T606" s="86"/>
      <c r="U606" s="86"/>
      <c r="V606" s="86"/>
      <c r="W606" s="86"/>
      <c r="X606" s="86"/>
      <c r="Y606" s="86"/>
      <c r="Z606" s="449"/>
      <c r="AA606" s="449"/>
      <c r="AB606" s="449"/>
      <c r="AC606" s="449"/>
      <c r="AD606" s="449"/>
      <c r="AE606" s="449"/>
    </row>
    <row r="607">
      <c r="A607" s="97"/>
      <c r="B607" s="298"/>
      <c r="C607" s="298"/>
      <c r="D607" s="298"/>
      <c r="E607" s="298"/>
      <c r="F607" s="298"/>
      <c r="G607" s="298"/>
      <c r="H607" s="298"/>
      <c r="I607" s="298"/>
      <c r="J607" s="298"/>
      <c r="K607" s="298"/>
      <c r="L607" s="298"/>
      <c r="M607" s="483"/>
      <c r="N607" s="484"/>
      <c r="O607" s="484"/>
      <c r="P607" s="484"/>
      <c r="Q607" s="484"/>
      <c r="R607" s="298"/>
      <c r="S607" s="86"/>
      <c r="T607" s="86"/>
      <c r="U607" s="86"/>
      <c r="V607" s="86"/>
      <c r="W607" s="86"/>
      <c r="X607" s="86"/>
      <c r="Y607" s="86"/>
      <c r="Z607" s="449"/>
      <c r="AA607" s="449"/>
      <c r="AB607" s="449"/>
      <c r="AC607" s="449"/>
      <c r="AD607" s="449"/>
      <c r="AE607" s="449"/>
    </row>
    <row r="608">
      <c r="A608" s="97"/>
      <c r="B608" s="298"/>
      <c r="C608" s="298"/>
      <c r="D608" s="298"/>
      <c r="E608" s="298"/>
      <c r="F608" s="298"/>
      <c r="G608" s="298"/>
      <c r="H608" s="298"/>
      <c r="I608" s="298"/>
      <c r="J608" s="298"/>
      <c r="K608" s="298"/>
      <c r="L608" s="298"/>
      <c r="M608" s="483"/>
      <c r="N608" s="484"/>
      <c r="O608" s="484"/>
      <c r="P608" s="484"/>
      <c r="Q608" s="484"/>
      <c r="R608" s="298"/>
      <c r="S608" s="86"/>
      <c r="T608" s="86"/>
      <c r="U608" s="86"/>
      <c r="V608" s="86"/>
      <c r="W608" s="86"/>
      <c r="X608" s="86"/>
      <c r="Y608" s="86"/>
      <c r="Z608" s="449"/>
      <c r="AA608" s="449"/>
      <c r="AB608" s="449"/>
      <c r="AC608" s="449"/>
      <c r="AD608" s="449"/>
      <c r="AE608" s="449"/>
    </row>
    <row r="609">
      <c r="A609" s="97"/>
      <c r="B609" s="298"/>
      <c r="C609" s="298"/>
      <c r="D609" s="298"/>
      <c r="E609" s="298"/>
      <c r="F609" s="298"/>
      <c r="G609" s="298"/>
      <c r="H609" s="298"/>
      <c r="I609" s="298"/>
      <c r="J609" s="298"/>
      <c r="K609" s="298"/>
      <c r="L609" s="298"/>
      <c r="M609" s="483"/>
      <c r="N609" s="484"/>
      <c r="O609" s="484"/>
      <c r="P609" s="484"/>
      <c r="Q609" s="484"/>
      <c r="R609" s="298"/>
      <c r="S609" s="86"/>
      <c r="T609" s="86"/>
      <c r="U609" s="86"/>
      <c r="V609" s="86"/>
      <c r="W609" s="86"/>
      <c r="X609" s="86"/>
      <c r="Y609" s="86"/>
      <c r="Z609" s="449"/>
      <c r="AA609" s="449"/>
      <c r="AB609" s="449"/>
      <c r="AC609" s="449"/>
      <c r="AD609" s="449"/>
      <c r="AE609" s="449"/>
    </row>
    <row r="610">
      <c r="A610" s="97"/>
      <c r="B610" s="298"/>
      <c r="C610" s="298"/>
      <c r="D610" s="298"/>
      <c r="E610" s="298"/>
      <c r="F610" s="298"/>
      <c r="G610" s="298"/>
      <c r="H610" s="298"/>
      <c r="I610" s="298"/>
      <c r="J610" s="298"/>
      <c r="K610" s="298"/>
      <c r="L610" s="298"/>
      <c r="M610" s="483"/>
      <c r="N610" s="484"/>
      <c r="O610" s="484"/>
      <c r="P610" s="484"/>
      <c r="Q610" s="484"/>
      <c r="R610" s="298"/>
      <c r="S610" s="86"/>
      <c r="T610" s="86"/>
      <c r="U610" s="86"/>
      <c r="V610" s="86"/>
      <c r="W610" s="86"/>
      <c r="X610" s="86"/>
      <c r="Y610" s="86"/>
      <c r="Z610" s="449"/>
      <c r="AA610" s="449"/>
      <c r="AB610" s="449"/>
      <c r="AC610" s="449"/>
      <c r="AD610" s="449"/>
      <c r="AE610" s="449"/>
    </row>
    <row r="611">
      <c r="A611" s="97"/>
      <c r="B611" s="298"/>
      <c r="C611" s="298"/>
      <c r="D611" s="298"/>
      <c r="E611" s="298"/>
      <c r="F611" s="298"/>
      <c r="G611" s="298"/>
      <c r="H611" s="298"/>
      <c r="I611" s="298"/>
      <c r="J611" s="298"/>
      <c r="K611" s="298"/>
      <c r="L611" s="298"/>
      <c r="M611" s="483"/>
      <c r="N611" s="484"/>
      <c r="O611" s="484"/>
      <c r="P611" s="484"/>
      <c r="Q611" s="484"/>
      <c r="R611" s="298"/>
      <c r="S611" s="86"/>
      <c r="T611" s="86"/>
      <c r="U611" s="86"/>
      <c r="V611" s="86"/>
      <c r="W611" s="86"/>
      <c r="X611" s="86"/>
      <c r="Y611" s="86"/>
      <c r="Z611" s="449"/>
      <c r="AA611" s="449"/>
      <c r="AB611" s="449"/>
      <c r="AC611" s="449"/>
      <c r="AD611" s="449"/>
      <c r="AE611" s="449"/>
    </row>
    <row r="612">
      <c r="A612" s="97"/>
      <c r="B612" s="298"/>
      <c r="C612" s="298"/>
      <c r="D612" s="298"/>
      <c r="E612" s="298"/>
      <c r="F612" s="298"/>
      <c r="G612" s="298"/>
      <c r="H612" s="298"/>
      <c r="I612" s="298"/>
      <c r="J612" s="298"/>
      <c r="K612" s="298"/>
      <c r="L612" s="298"/>
      <c r="M612" s="483"/>
      <c r="N612" s="484"/>
      <c r="O612" s="484"/>
      <c r="P612" s="484"/>
      <c r="Q612" s="484"/>
      <c r="R612" s="298"/>
      <c r="S612" s="86"/>
      <c r="T612" s="86"/>
      <c r="U612" s="86"/>
      <c r="V612" s="86"/>
      <c r="W612" s="86"/>
      <c r="X612" s="86"/>
      <c r="Y612" s="86"/>
      <c r="Z612" s="449"/>
      <c r="AA612" s="449"/>
      <c r="AB612" s="449"/>
      <c r="AC612" s="449"/>
      <c r="AD612" s="449"/>
      <c r="AE612" s="449"/>
    </row>
    <row r="613">
      <c r="A613" s="97"/>
      <c r="B613" s="298"/>
      <c r="C613" s="298"/>
      <c r="D613" s="298"/>
      <c r="E613" s="298"/>
      <c r="F613" s="298"/>
      <c r="G613" s="298"/>
      <c r="H613" s="298"/>
      <c r="I613" s="298"/>
      <c r="J613" s="298"/>
      <c r="K613" s="298"/>
      <c r="L613" s="298"/>
      <c r="M613" s="483"/>
      <c r="N613" s="484"/>
      <c r="O613" s="484"/>
      <c r="P613" s="484"/>
      <c r="Q613" s="484"/>
      <c r="R613" s="298"/>
      <c r="S613" s="86"/>
      <c r="T613" s="86"/>
      <c r="U613" s="86"/>
      <c r="V613" s="86"/>
      <c r="W613" s="86"/>
      <c r="X613" s="86"/>
      <c r="Y613" s="86"/>
      <c r="Z613" s="449"/>
      <c r="AA613" s="449"/>
      <c r="AB613" s="449"/>
      <c r="AC613" s="449"/>
      <c r="AD613" s="449"/>
      <c r="AE613" s="449"/>
    </row>
    <row r="614">
      <c r="A614" s="97"/>
      <c r="B614" s="298"/>
      <c r="C614" s="298"/>
      <c r="D614" s="298"/>
      <c r="E614" s="298"/>
      <c r="F614" s="298"/>
      <c r="G614" s="298"/>
      <c r="H614" s="298"/>
      <c r="I614" s="298"/>
      <c r="J614" s="298"/>
      <c r="K614" s="298"/>
      <c r="L614" s="298"/>
      <c r="M614" s="483"/>
      <c r="N614" s="484"/>
      <c r="O614" s="484"/>
      <c r="P614" s="484"/>
      <c r="Q614" s="484"/>
      <c r="R614" s="298"/>
      <c r="S614" s="86"/>
      <c r="T614" s="86"/>
      <c r="U614" s="86"/>
      <c r="V614" s="86"/>
      <c r="W614" s="86"/>
      <c r="X614" s="86"/>
      <c r="Y614" s="86"/>
      <c r="Z614" s="449"/>
      <c r="AA614" s="449"/>
      <c r="AB614" s="449"/>
      <c r="AC614" s="449"/>
      <c r="AD614" s="449"/>
      <c r="AE614" s="449"/>
    </row>
    <row r="615">
      <c r="A615" s="97"/>
      <c r="B615" s="298"/>
      <c r="C615" s="298"/>
      <c r="D615" s="298"/>
      <c r="E615" s="298"/>
      <c r="F615" s="298"/>
      <c r="G615" s="298"/>
      <c r="H615" s="298"/>
      <c r="I615" s="298"/>
      <c r="J615" s="298"/>
      <c r="K615" s="298"/>
      <c r="L615" s="298"/>
      <c r="M615" s="483"/>
      <c r="N615" s="484"/>
      <c r="O615" s="484"/>
      <c r="P615" s="484"/>
      <c r="Q615" s="484"/>
      <c r="R615" s="298"/>
      <c r="S615" s="86"/>
      <c r="T615" s="86"/>
      <c r="U615" s="86"/>
      <c r="V615" s="86"/>
      <c r="W615" s="86"/>
      <c r="X615" s="86"/>
      <c r="Y615" s="86"/>
      <c r="Z615" s="449"/>
      <c r="AA615" s="449"/>
      <c r="AB615" s="449"/>
      <c r="AC615" s="449"/>
      <c r="AD615" s="449"/>
      <c r="AE615" s="449"/>
    </row>
    <row r="616">
      <c r="A616" s="97"/>
      <c r="B616" s="298"/>
      <c r="C616" s="298"/>
      <c r="D616" s="298"/>
      <c r="E616" s="298"/>
      <c r="F616" s="298"/>
      <c r="G616" s="298"/>
      <c r="H616" s="298"/>
      <c r="I616" s="298"/>
      <c r="J616" s="298"/>
      <c r="K616" s="298"/>
      <c r="L616" s="298"/>
      <c r="M616" s="483"/>
      <c r="N616" s="484"/>
      <c r="O616" s="484"/>
      <c r="P616" s="484"/>
      <c r="Q616" s="484"/>
      <c r="R616" s="298"/>
      <c r="S616" s="86"/>
      <c r="T616" s="86"/>
      <c r="U616" s="86"/>
      <c r="V616" s="86"/>
      <c r="W616" s="86"/>
      <c r="X616" s="86"/>
      <c r="Y616" s="86"/>
      <c r="Z616" s="449"/>
      <c r="AA616" s="449"/>
      <c r="AB616" s="449"/>
      <c r="AC616" s="449"/>
      <c r="AD616" s="449"/>
      <c r="AE616" s="449"/>
    </row>
    <row r="617">
      <c r="A617" s="97"/>
      <c r="B617" s="298"/>
      <c r="C617" s="298"/>
      <c r="D617" s="298"/>
      <c r="E617" s="298"/>
      <c r="F617" s="298"/>
      <c r="G617" s="298"/>
      <c r="H617" s="298"/>
      <c r="I617" s="298"/>
      <c r="J617" s="298"/>
      <c r="K617" s="298"/>
      <c r="L617" s="298"/>
      <c r="M617" s="483"/>
      <c r="N617" s="484"/>
      <c r="O617" s="484"/>
      <c r="P617" s="484"/>
      <c r="Q617" s="484"/>
      <c r="R617" s="298"/>
      <c r="S617" s="86"/>
      <c r="T617" s="86"/>
      <c r="U617" s="86"/>
      <c r="V617" s="86"/>
      <c r="W617" s="86"/>
      <c r="X617" s="86"/>
      <c r="Y617" s="86"/>
      <c r="Z617" s="449"/>
      <c r="AA617" s="449"/>
      <c r="AB617" s="449"/>
      <c r="AC617" s="449"/>
      <c r="AD617" s="449"/>
      <c r="AE617" s="449"/>
    </row>
    <row r="618">
      <c r="A618" s="97"/>
      <c r="B618" s="298"/>
      <c r="C618" s="298"/>
      <c r="D618" s="298"/>
      <c r="E618" s="298"/>
      <c r="F618" s="298"/>
      <c r="G618" s="298"/>
      <c r="H618" s="298"/>
      <c r="I618" s="298"/>
      <c r="J618" s="298"/>
      <c r="K618" s="298"/>
      <c r="L618" s="298"/>
      <c r="M618" s="483"/>
      <c r="N618" s="484"/>
      <c r="O618" s="484"/>
      <c r="P618" s="484"/>
      <c r="Q618" s="484"/>
      <c r="R618" s="298"/>
      <c r="S618" s="86"/>
      <c r="T618" s="86"/>
      <c r="U618" s="86"/>
      <c r="V618" s="86"/>
      <c r="W618" s="86"/>
      <c r="X618" s="86"/>
      <c r="Y618" s="86"/>
      <c r="Z618" s="449"/>
      <c r="AA618" s="449"/>
      <c r="AB618" s="449"/>
      <c r="AC618" s="449"/>
      <c r="AD618" s="449"/>
      <c r="AE618" s="449"/>
    </row>
    <row r="619">
      <c r="A619" s="97"/>
      <c r="B619" s="298"/>
      <c r="C619" s="298"/>
      <c r="D619" s="298"/>
      <c r="E619" s="298"/>
      <c r="F619" s="298"/>
      <c r="G619" s="298"/>
      <c r="H619" s="298"/>
      <c r="I619" s="298"/>
      <c r="J619" s="298"/>
      <c r="K619" s="298"/>
      <c r="L619" s="298"/>
      <c r="M619" s="483"/>
      <c r="N619" s="484"/>
      <c r="O619" s="484"/>
      <c r="P619" s="484"/>
      <c r="Q619" s="484"/>
      <c r="R619" s="298"/>
      <c r="S619" s="86"/>
      <c r="T619" s="86"/>
      <c r="U619" s="86"/>
      <c r="V619" s="86"/>
      <c r="W619" s="86"/>
      <c r="X619" s="86"/>
      <c r="Y619" s="86"/>
      <c r="Z619" s="449"/>
      <c r="AA619" s="449"/>
      <c r="AB619" s="449"/>
      <c r="AC619" s="449"/>
      <c r="AD619" s="449"/>
      <c r="AE619" s="449"/>
    </row>
    <row r="620">
      <c r="A620" s="97"/>
      <c r="B620" s="298"/>
      <c r="C620" s="298"/>
      <c r="D620" s="298"/>
      <c r="E620" s="298"/>
      <c r="F620" s="298"/>
      <c r="G620" s="298"/>
      <c r="H620" s="298"/>
      <c r="I620" s="298"/>
      <c r="J620" s="298"/>
      <c r="K620" s="298"/>
      <c r="L620" s="298"/>
      <c r="M620" s="483"/>
      <c r="N620" s="484"/>
      <c r="O620" s="484"/>
      <c r="P620" s="484"/>
      <c r="Q620" s="484"/>
      <c r="R620" s="298"/>
      <c r="S620" s="86"/>
      <c r="T620" s="86"/>
      <c r="U620" s="86"/>
      <c r="V620" s="86"/>
      <c r="W620" s="86"/>
      <c r="X620" s="86"/>
      <c r="Y620" s="86"/>
      <c r="Z620" s="449"/>
      <c r="AA620" s="449"/>
      <c r="AB620" s="449"/>
      <c r="AC620" s="449"/>
      <c r="AD620" s="449"/>
      <c r="AE620" s="449"/>
    </row>
    <row r="621">
      <c r="A621" s="97"/>
      <c r="B621" s="298"/>
      <c r="C621" s="298"/>
      <c r="D621" s="298"/>
      <c r="E621" s="298"/>
      <c r="F621" s="298"/>
      <c r="G621" s="298"/>
      <c r="H621" s="298"/>
      <c r="I621" s="298"/>
      <c r="J621" s="298"/>
      <c r="K621" s="298"/>
      <c r="L621" s="298"/>
      <c r="M621" s="483"/>
      <c r="N621" s="484"/>
      <c r="O621" s="484"/>
      <c r="P621" s="484"/>
      <c r="Q621" s="484"/>
      <c r="R621" s="298"/>
      <c r="S621" s="86"/>
      <c r="T621" s="86"/>
      <c r="U621" s="86"/>
      <c r="V621" s="86"/>
      <c r="W621" s="86"/>
      <c r="X621" s="86"/>
      <c r="Y621" s="86"/>
      <c r="Z621" s="449"/>
      <c r="AA621" s="449"/>
      <c r="AB621" s="449"/>
      <c r="AC621" s="449"/>
      <c r="AD621" s="449"/>
      <c r="AE621" s="449"/>
    </row>
    <row r="622">
      <c r="A622" s="97"/>
      <c r="B622" s="298"/>
      <c r="C622" s="298"/>
      <c r="D622" s="298"/>
      <c r="E622" s="298"/>
      <c r="F622" s="298"/>
      <c r="G622" s="298"/>
      <c r="H622" s="298"/>
      <c r="I622" s="298"/>
      <c r="J622" s="298"/>
      <c r="K622" s="298"/>
      <c r="L622" s="298"/>
      <c r="M622" s="483"/>
      <c r="N622" s="484"/>
      <c r="O622" s="484"/>
      <c r="P622" s="484"/>
      <c r="Q622" s="484"/>
      <c r="R622" s="298"/>
      <c r="S622" s="86"/>
      <c r="T622" s="86"/>
      <c r="U622" s="86"/>
      <c r="V622" s="86"/>
      <c r="W622" s="86"/>
      <c r="X622" s="86"/>
      <c r="Y622" s="86"/>
      <c r="Z622" s="449"/>
      <c r="AA622" s="449"/>
      <c r="AB622" s="449"/>
      <c r="AC622" s="449"/>
      <c r="AD622" s="449"/>
      <c r="AE622" s="449"/>
    </row>
    <row r="623">
      <c r="A623" s="97"/>
      <c r="B623" s="298"/>
      <c r="C623" s="298"/>
      <c r="D623" s="298"/>
      <c r="E623" s="298"/>
      <c r="F623" s="298"/>
      <c r="G623" s="298"/>
      <c r="H623" s="298"/>
      <c r="I623" s="298"/>
      <c r="J623" s="298"/>
      <c r="K623" s="298"/>
      <c r="L623" s="298"/>
      <c r="M623" s="483"/>
      <c r="N623" s="484"/>
      <c r="O623" s="484"/>
      <c r="P623" s="484"/>
      <c r="Q623" s="484"/>
      <c r="R623" s="298"/>
      <c r="S623" s="86"/>
      <c r="T623" s="86"/>
      <c r="U623" s="86"/>
      <c r="V623" s="86"/>
      <c r="W623" s="86"/>
      <c r="X623" s="86"/>
      <c r="Y623" s="86"/>
      <c r="Z623" s="449"/>
      <c r="AA623" s="449"/>
      <c r="AB623" s="449"/>
      <c r="AC623" s="449"/>
      <c r="AD623" s="449"/>
      <c r="AE623" s="449"/>
    </row>
    <row r="624">
      <c r="A624" s="97"/>
      <c r="B624" s="298"/>
      <c r="C624" s="298"/>
      <c r="D624" s="298"/>
      <c r="E624" s="298"/>
      <c r="F624" s="298"/>
      <c r="G624" s="298"/>
      <c r="H624" s="298"/>
      <c r="I624" s="298"/>
      <c r="J624" s="298"/>
      <c r="K624" s="298"/>
      <c r="L624" s="298"/>
      <c r="M624" s="483"/>
      <c r="N624" s="484"/>
      <c r="O624" s="484"/>
      <c r="P624" s="484"/>
      <c r="Q624" s="484"/>
      <c r="R624" s="298"/>
      <c r="S624" s="86"/>
      <c r="T624" s="86"/>
      <c r="U624" s="86"/>
      <c r="V624" s="86"/>
      <c r="W624" s="86"/>
      <c r="X624" s="86"/>
      <c r="Y624" s="86"/>
      <c r="Z624" s="449"/>
      <c r="AA624" s="449"/>
      <c r="AB624" s="449"/>
      <c r="AC624" s="449"/>
      <c r="AD624" s="449"/>
      <c r="AE624" s="449"/>
    </row>
    <row r="625">
      <c r="A625" s="97"/>
      <c r="B625" s="298"/>
      <c r="C625" s="298"/>
      <c r="D625" s="298"/>
      <c r="E625" s="298"/>
      <c r="F625" s="298"/>
      <c r="G625" s="298"/>
      <c r="H625" s="298"/>
      <c r="I625" s="298"/>
      <c r="J625" s="298"/>
      <c r="K625" s="298"/>
      <c r="L625" s="298"/>
      <c r="M625" s="483"/>
      <c r="N625" s="484"/>
      <c r="O625" s="484"/>
      <c r="P625" s="484"/>
      <c r="Q625" s="484"/>
      <c r="R625" s="298"/>
      <c r="S625" s="86"/>
      <c r="T625" s="86"/>
      <c r="U625" s="86"/>
      <c r="V625" s="86"/>
      <c r="W625" s="86"/>
      <c r="X625" s="86"/>
      <c r="Y625" s="86"/>
      <c r="Z625" s="449"/>
      <c r="AA625" s="449"/>
      <c r="AB625" s="449"/>
      <c r="AC625" s="449"/>
      <c r="AD625" s="449"/>
      <c r="AE625" s="449"/>
    </row>
    <row r="626">
      <c r="A626" s="97"/>
      <c r="B626" s="298"/>
      <c r="C626" s="298"/>
      <c r="D626" s="298"/>
      <c r="E626" s="298"/>
      <c r="F626" s="298"/>
      <c r="G626" s="298"/>
      <c r="H626" s="298"/>
      <c r="I626" s="298"/>
      <c r="J626" s="298"/>
      <c r="K626" s="298"/>
      <c r="L626" s="298"/>
      <c r="M626" s="483"/>
      <c r="N626" s="484"/>
      <c r="O626" s="484"/>
      <c r="P626" s="484"/>
      <c r="Q626" s="484"/>
      <c r="R626" s="298"/>
      <c r="S626" s="86"/>
      <c r="T626" s="86"/>
      <c r="U626" s="86"/>
      <c r="V626" s="86"/>
      <c r="W626" s="86"/>
      <c r="X626" s="86"/>
      <c r="Y626" s="86"/>
      <c r="Z626" s="449"/>
      <c r="AA626" s="449"/>
      <c r="AB626" s="449"/>
      <c r="AC626" s="449"/>
      <c r="AD626" s="449"/>
      <c r="AE626" s="449"/>
    </row>
    <row r="627">
      <c r="A627" s="97"/>
      <c r="B627" s="298"/>
      <c r="C627" s="298"/>
      <c r="D627" s="298"/>
      <c r="E627" s="298"/>
      <c r="F627" s="298"/>
      <c r="G627" s="298"/>
      <c r="H627" s="298"/>
      <c r="I627" s="298"/>
      <c r="J627" s="298"/>
      <c r="K627" s="298"/>
      <c r="L627" s="298"/>
      <c r="M627" s="483"/>
      <c r="N627" s="484"/>
      <c r="O627" s="484"/>
      <c r="P627" s="484"/>
      <c r="Q627" s="484"/>
      <c r="R627" s="298"/>
      <c r="S627" s="86"/>
      <c r="T627" s="86"/>
      <c r="U627" s="86"/>
      <c r="V627" s="86"/>
      <c r="W627" s="86"/>
      <c r="X627" s="86"/>
      <c r="Y627" s="86"/>
      <c r="Z627" s="449"/>
      <c r="AA627" s="449"/>
      <c r="AB627" s="449"/>
      <c r="AC627" s="449"/>
      <c r="AD627" s="449"/>
      <c r="AE627" s="449"/>
    </row>
    <row r="628">
      <c r="A628" s="97"/>
      <c r="B628" s="298"/>
      <c r="C628" s="298"/>
      <c r="D628" s="298"/>
      <c r="E628" s="298"/>
      <c r="F628" s="298"/>
      <c r="G628" s="298"/>
      <c r="H628" s="298"/>
      <c r="I628" s="298"/>
      <c r="J628" s="298"/>
      <c r="K628" s="298"/>
      <c r="L628" s="298"/>
      <c r="M628" s="483"/>
      <c r="N628" s="484"/>
      <c r="O628" s="484"/>
      <c r="P628" s="484"/>
      <c r="Q628" s="484"/>
      <c r="R628" s="298"/>
      <c r="S628" s="86"/>
      <c r="T628" s="86"/>
      <c r="U628" s="86"/>
      <c r="V628" s="86"/>
      <c r="W628" s="86"/>
      <c r="X628" s="86"/>
      <c r="Y628" s="86"/>
      <c r="Z628" s="449"/>
      <c r="AA628" s="449"/>
      <c r="AB628" s="449"/>
      <c r="AC628" s="449"/>
      <c r="AD628" s="449"/>
      <c r="AE628" s="449"/>
    </row>
    <row r="629">
      <c r="A629" s="97"/>
      <c r="B629" s="298"/>
      <c r="C629" s="298"/>
      <c r="D629" s="298"/>
      <c r="E629" s="298"/>
      <c r="F629" s="298"/>
      <c r="G629" s="298"/>
      <c r="H629" s="298"/>
      <c r="I629" s="298"/>
      <c r="J629" s="298"/>
      <c r="K629" s="298"/>
      <c r="L629" s="298"/>
      <c r="M629" s="483"/>
      <c r="N629" s="484"/>
      <c r="O629" s="484"/>
      <c r="P629" s="484"/>
      <c r="Q629" s="484"/>
      <c r="R629" s="298"/>
      <c r="S629" s="86"/>
      <c r="T629" s="86"/>
      <c r="U629" s="86"/>
      <c r="V629" s="86"/>
      <c r="W629" s="86"/>
      <c r="X629" s="86"/>
      <c r="Y629" s="86"/>
      <c r="Z629" s="449"/>
      <c r="AA629" s="449"/>
      <c r="AB629" s="449"/>
      <c r="AC629" s="449"/>
      <c r="AD629" s="449"/>
      <c r="AE629" s="449"/>
    </row>
    <row r="630">
      <c r="A630" s="97"/>
      <c r="B630" s="298"/>
      <c r="C630" s="298"/>
      <c r="D630" s="298"/>
      <c r="E630" s="298"/>
      <c r="F630" s="298"/>
      <c r="G630" s="298"/>
      <c r="H630" s="298"/>
      <c r="I630" s="298"/>
      <c r="J630" s="298"/>
      <c r="K630" s="298"/>
      <c r="L630" s="298"/>
      <c r="M630" s="483"/>
      <c r="N630" s="484"/>
      <c r="O630" s="484"/>
      <c r="P630" s="484"/>
      <c r="Q630" s="484"/>
      <c r="R630" s="298"/>
      <c r="S630" s="86"/>
      <c r="T630" s="86"/>
      <c r="U630" s="86"/>
      <c r="V630" s="86"/>
      <c r="W630" s="86"/>
      <c r="X630" s="86"/>
      <c r="Y630" s="86"/>
      <c r="Z630" s="449"/>
      <c r="AA630" s="449"/>
      <c r="AB630" s="449"/>
      <c r="AC630" s="449"/>
      <c r="AD630" s="449"/>
      <c r="AE630" s="449"/>
    </row>
    <row r="631">
      <c r="A631" s="97"/>
      <c r="B631" s="298"/>
      <c r="C631" s="298"/>
      <c r="D631" s="298"/>
      <c r="E631" s="298"/>
      <c r="F631" s="298"/>
      <c r="G631" s="298"/>
      <c r="H631" s="298"/>
      <c r="I631" s="298"/>
      <c r="J631" s="298"/>
      <c r="K631" s="298"/>
      <c r="L631" s="298"/>
      <c r="M631" s="483"/>
      <c r="N631" s="484"/>
      <c r="O631" s="484"/>
      <c r="P631" s="484"/>
      <c r="Q631" s="484"/>
      <c r="R631" s="298"/>
      <c r="S631" s="86"/>
      <c r="T631" s="86"/>
      <c r="U631" s="86"/>
      <c r="V631" s="86"/>
      <c r="W631" s="86"/>
      <c r="X631" s="86"/>
      <c r="Y631" s="86"/>
      <c r="Z631" s="449"/>
      <c r="AA631" s="449"/>
      <c r="AB631" s="449"/>
      <c r="AC631" s="449"/>
      <c r="AD631" s="449"/>
      <c r="AE631" s="449"/>
    </row>
    <row r="632">
      <c r="A632" s="97"/>
      <c r="B632" s="298"/>
      <c r="C632" s="298"/>
      <c r="D632" s="298"/>
      <c r="E632" s="298"/>
      <c r="F632" s="298"/>
      <c r="G632" s="298"/>
      <c r="H632" s="298"/>
      <c r="I632" s="298"/>
      <c r="J632" s="298"/>
      <c r="K632" s="298"/>
      <c r="L632" s="298"/>
      <c r="M632" s="483"/>
      <c r="N632" s="484"/>
      <c r="O632" s="484"/>
      <c r="P632" s="484"/>
      <c r="Q632" s="484"/>
      <c r="R632" s="298"/>
      <c r="S632" s="86"/>
      <c r="T632" s="86"/>
      <c r="U632" s="86"/>
      <c r="V632" s="86"/>
      <c r="W632" s="86"/>
      <c r="X632" s="86"/>
      <c r="Y632" s="86"/>
      <c r="Z632" s="449"/>
      <c r="AA632" s="449"/>
      <c r="AB632" s="449"/>
      <c r="AC632" s="449"/>
      <c r="AD632" s="449"/>
      <c r="AE632" s="449"/>
    </row>
    <row r="633">
      <c r="A633" s="97"/>
      <c r="B633" s="298"/>
      <c r="C633" s="298"/>
      <c r="D633" s="298"/>
      <c r="E633" s="298"/>
      <c r="F633" s="298"/>
      <c r="G633" s="298"/>
      <c r="H633" s="298"/>
      <c r="I633" s="298"/>
      <c r="J633" s="298"/>
      <c r="K633" s="298"/>
      <c r="L633" s="298"/>
      <c r="M633" s="483"/>
      <c r="N633" s="484"/>
      <c r="O633" s="484"/>
      <c r="P633" s="484"/>
      <c r="Q633" s="484"/>
      <c r="R633" s="298"/>
      <c r="S633" s="86"/>
      <c r="T633" s="86"/>
      <c r="U633" s="86"/>
      <c r="V633" s="86"/>
      <c r="W633" s="86"/>
      <c r="X633" s="86"/>
      <c r="Y633" s="86"/>
      <c r="Z633" s="449"/>
      <c r="AA633" s="449"/>
      <c r="AB633" s="449"/>
      <c r="AC633" s="449"/>
      <c r="AD633" s="449"/>
      <c r="AE633" s="449"/>
    </row>
    <row r="634">
      <c r="A634" s="97"/>
      <c r="B634" s="298"/>
      <c r="C634" s="298"/>
      <c r="D634" s="298"/>
      <c r="E634" s="298"/>
      <c r="F634" s="298"/>
      <c r="G634" s="298"/>
      <c r="H634" s="298"/>
      <c r="I634" s="298"/>
      <c r="J634" s="298"/>
      <c r="K634" s="298"/>
      <c r="L634" s="298"/>
      <c r="M634" s="483"/>
      <c r="N634" s="484"/>
      <c r="O634" s="484"/>
      <c r="P634" s="484"/>
      <c r="Q634" s="484"/>
      <c r="R634" s="298"/>
      <c r="S634" s="86"/>
      <c r="T634" s="86"/>
      <c r="U634" s="86"/>
      <c r="V634" s="86"/>
      <c r="W634" s="86"/>
      <c r="X634" s="86"/>
      <c r="Y634" s="86"/>
      <c r="Z634" s="449"/>
      <c r="AA634" s="449"/>
      <c r="AB634" s="449"/>
      <c r="AC634" s="449"/>
      <c r="AD634" s="449"/>
      <c r="AE634" s="449"/>
    </row>
    <row r="635">
      <c r="A635" s="97"/>
      <c r="B635" s="298"/>
      <c r="C635" s="298"/>
      <c r="D635" s="298"/>
      <c r="E635" s="298"/>
      <c r="F635" s="298"/>
      <c r="G635" s="298"/>
      <c r="H635" s="298"/>
      <c r="I635" s="298"/>
      <c r="J635" s="298"/>
      <c r="K635" s="298"/>
      <c r="L635" s="298"/>
      <c r="M635" s="483"/>
      <c r="N635" s="484"/>
      <c r="O635" s="484"/>
      <c r="P635" s="484"/>
      <c r="Q635" s="484"/>
      <c r="R635" s="298"/>
      <c r="S635" s="86"/>
      <c r="T635" s="86"/>
      <c r="U635" s="86"/>
      <c r="V635" s="86"/>
      <c r="W635" s="86"/>
      <c r="X635" s="86"/>
      <c r="Y635" s="86"/>
      <c r="Z635" s="449"/>
      <c r="AA635" s="449"/>
      <c r="AB635" s="449"/>
      <c r="AC635" s="449"/>
      <c r="AD635" s="449"/>
      <c r="AE635" s="449"/>
    </row>
    <row r="636">
      <c r="A636" s="97"/>
      <c r="B636" s="298"/>
      <c r="C636" s="298"/>
      <c r="D636" s="298"/>
      <c r="E636" s="298"/>
      <c r="F636" s="298"/>
      <c r="G636" s="298"/>
      <c r="H636" s="298"/>
      <c r="I636" s="298"/>
      <c r="J636" s="298"/>
      <c r="K636" s="298"/>
      <c r="L636" s="298"/>
      <c r="M636" s="483"/>
      <c r="N636" s="484"/>
      <c r="O636" s="484"/>
      <c r="P636" s="484"/>
      <c r="Q636" s="484"/>
      <c r="R636" s="298"/>
      <c r="S636" s="86"/>
      <c r="T636" s="86"/>
      <c r="U636" s="86"/>
      <c r="V636" s="86"/>
      <c r="W636" s="86"/>
      <c r="X636" s="86"/>
      <c r="Y636" s="86"/>
      <c r="Z636" s="449"/>
      <c r="AA636" s="449"/>
      <c r="AB636" s="449"/>
      <c r="AC636" s="449"/>
      <c r="AD636" s="449"/>
      <c r="AE636" s="449"/>
    </row>
    <row r="637">
      <c r="A637" s="97"/>
      <c r="B637" s="298"/>
      <c r="C637" s="298"/>
      <c r="D637" s="298"/>
      <c r="E637" s="298"/>
      <c r="F637" s="298"/>
      <c r="G637" s="298"/>
      <c r="H637" s="298"/>
      <c r="I637" s="298"/>
      <c r="J637" s="298"/>
      <c r="K637" s="298"/>
      <c r="L637" s="298"/>
      <c r="M637" s="483"/>
      <c r="N637" s="484"/>
      <c r="O637" s="484"/>
      <c r="P637" s="484"/>
      <c r="Q637" s="484"/>
      <c r="R637" s="298"/>
      <c r="S637" s="86"/>
      <c r="T637" s="86"/>
      <c r="U637" s="86"/>
      <c r="V637" s="86"/>
      <c r="W637" s="86"/>
      <c r="X637" s="86"/>
      <c r="Y637" s="86"/>
      <c r="Z637" s="449"/>
      <c r="AA637" s="449"/>
      <c r="AB637" s="449"/>
      <c r="AC637" s="449"/>
      <c r="AD637" s="449"/>
      <c r="AE637" s="449"/>
    </row>
    <row r="638">
      <c r="A638" s="97"/>
      <c r="B638" s="298"/>
      <c r="C638" s="298"/>
      <c r="D638" s="298"/>
      <c r="E638" s="298"/>
      <c r="F638" s="298"/>
      <c r="G638" s="298"/>
      <c r="H638" s="298"/>
      <c r="I638" s="298"/>
      <c r="J638" s="298"/>
      <c r="K638" s="298"/>
      <c r="L638" s="298"/>
      <c r="M638" s="483"/>
      <c r="N638" s="484"/>
      <c r="O638" s="484"/>
      <c r="P638" s="484"/>
      <c r="Q638" s="484"/>
      <c r="R638" s="298"/>
      <c r="S638" s="86"/>
      <c r="T638" s="86"/>
      <c r="U638" s="86"/>
      <c r="V638" s="86"/>
      <c r="W638" s="86"/>
      <c r="X638" s="86"/>
      <c r="Y638" s="86"/>
      <c r="Z638" s="449"/>
      <c r="AA638" s="449"/>
      <c r="AB638" s="449"/>
      <c r="AC638" s="449"/>
      <c r="AD638" s="449"/>
      <c r="AE638" s="449"/>
    </row>
    <row r="639">
      <c r="A639" s="97"/>
      <c r="B639" s="298"/>
      <c r="C639" s="298"/>
      <c r="D639" s="298"/>
      <c r="E639" s="298"/>
      <c r="F639" s="298"/>
      <c r="G639" s="298"/>
      <c r="H639" s="298"/>
      <c r="I639" s="298"/>
      <c r="J639" s="298"/>
      <c r="K639" s="298"/>
      <c r="L639" s="298"/>
      <c r="M639" s="483"/>
      <c r="N639" s="484"/>
      <c r="O639" s="484"/>
      <c r="P639" s="484"/>
      <c r="Q639" s="484"/>
      <c r="R639" s="298"/>
      <c r="S639" s="86"/>
      <c r="T639" s="86"/>
      <c r="U639" s="86"/>
      <c r="V639" s="86"/>
      <c r="W639" s="86"/>
      <c r="X639" s="86"/>
      <c r="Y639" s="86"/>
      <c r="Z639" s="449"/>
      <c r="AA639" s="449"/>
      <c r="AB639" s="449"/>
      <c r="AC639" s="449"/>
      <c r="AD639" s="449"/>
      <c r="AE639" s="449"/>
    </row>
    <row r="640">
      <c r="A640" s="97"/>
      <c r="B640" s="298"/>
      <c r="C640" s="298"/>
      <c r="D640" s="298"/>
      <c r="E640" s="298"/>
      <c r="F640" s="298"/>
      <c r="G640" s="298"/>
      <c r="H640" s="298"/>
      <c r="I640" s="298"/>
      <c r="J640" s="298"/>
      <c r="K640" s="298"/>
      <c r="L640" s="298"/>
      <c r="M640" s="483"/>
      <c r="N640" s="484"/>
      <c r="O640" s="484"/>
      <c r="P640" s="484"/>
      <c r="Q640" s="484"/>
      <c r="R640" s="298"/>
      <c r="S640" s="86"/>
      <c r="T640" s="86"/>
      <c r="U640" s="86"/>
      <c r="V640" s="86"/>
      <c r="W640" s="86"/>
      <c r="X640" s="86"/>
      <c r="Y640" s="86"/>
      <c r="Z640" s="449"/>
      <c r="AA640" s="449"/>
      <c r="AB640" s="449"/>
      <c r="AC640" s="449"/>
      <c r="AD640" s="449"/>
      <c r="AE640" s="449"/>
    </row>
    <row r="641">
      <c r="A641" s="97"/>
      <c r="B641" s="298"/>
      <c r="C641" s="298"/>
      <c r="D641" s="298"/>
      <c r="E641" s="298"/>
      <c r="F641" s="298"/>
      <c r="G641" s="298"/>
      <c r="H641" s="298"/>
      <c r="I641" s="298"/>
      <c r="J641" s="298"/>
      <c r="K641" s="298"/>
      <c r="L641" s="298"/>
      <c r="M641" s="483"/>
      <c r="N641" s="484"/>
      <c r="O641" s="484"/>
      <c r="P641" s="484"/>
      <c r="Q641" s="484"/>
      <c r="R641" s="298"/>
      <c r="S641" s="86"/>
      <c r="T641" s="86"/>
      <c r="U641" s="86"/>
      <c r="V641" s="86"/>
      <c r="W641" s="86"/>
      <c r="X641" s="86"/>
      <c r="Y641" s="86"/>
      <c r="Z641" s="449"/>
      <c r="AA641" s="449"/>
      <c r="AB641" s="449"/>
      <c r="AC641" s="449"/>
      <c r="AD641" s="449"/>
      <c r="AE641" s="449"/>
    </row>
    <row r="642">
      <c r="A642" s="97"/>
      <c r="B642" s="298"/>
      <c r="C642" s="298"/>
      <c r="D642" s="298"/>
      <c r="E642" s="298"/>
      <c r="F642" s="298"/>
      <c r="G642" s="298"/>
      <c r="H642" s="298"/>
      <c r="I642" s="298"/>
      <c r="J642" s="298"/>
      <c r="K642" s="298"/>
      <c r="L642" s="298"/>
      <c r="M642" s="483"/>
      <c r="N642" s="484"/>
      <c r="O642" s="484"/>
      <c r="P642" s="484"/>
      <c r="Q642" s="484"/>
      <c r="R642" s="298"/>
      <c r="S642" s="86"/>
      <c r="T642" s="86"/>
      <c r="U642" s="86"/>
      <c r="V642" s="86"/>
      <c r="W642" s="86"/>
      <c r="X642" s="86"/>
      <c r="Y642" s="86"/>
      <c r="Z642" s="449"/>
      <c r="AA642" s="449"/>
      <c r="AB642" s="449"/>
      <c r="AC642" s="449"/>
      <c r="AD642" s="449"/>
      <c r="AE642" s="449"/>
    </row>
    <row r="643">
      <c r="A643" s="97"/>
      <c r="B643" s="298"/>
      <c r="C643" s="298"/>
      <c r="D643" s="298"/>
      <c r="E643" s="298"/>
      <c r="F643" s="298"/>
      <c r="G643" s="298"/>
      <c r="H643" s="298"/>
      <c r="I643" s="298"/>
      <c r="J643" s="298"/>
      <c r="K643" s="298"/>
      <c r="L643" s="298"/>
      <c r="M643" s="483"/>
      <c r="N643" s="484"/>
      <c r="O643" s="484"/>
      <c r="P643" s="484"/>
      <c r="Q643" s="484"/>
      <c r="R643" s="298"/>
      <c r="S643" s="86"/>
      <c r="T643" s="86"/>
      <c r="U643" s="86"/>
      <c r="V643" s="86"/>
      <c r="W643" s="86"/>
      <c r="X643" s="86"/>
      <c r="Y643" s="86"/>
      <c r="Z643" s="449"/>
      <c r="AA643" s="449"/>
      <c r="AB643" s="449"/>
      <c r="AC643" s="449"/>
      <c r="AD643" s="449"/>
      <c r="AE643" s="449"/>
    </row>
    <row r="644">
      <c r="A644" s="97"/>
      <c r="B644" s="298"/>
      <c r="C644" s="298"/>
      <c r="D644" s="298"/>
      <c r="E644" s="298"/>
      <c r="F644" s="298"/>
      <c r="G644" s="298"/>
      <c r="H644" s="298"/>
      <c r="I644" s="298"/>
      <c r="J644" s="298"/>
      <c r="K644" s="298"/>
      <c r="L644" s="298"/>
      <c r="M644" s="483"/>
      <c r="N644" s="484"/>
      <c r="O644" s="484"/>
      <c r="P644" s="484"/>
      <c r="Q644" s="484"/>
      <c r="R644" s="298"/>
      <c r="S644" s="86"/>
      <c r="T644" s="86"/>
      <c r="U644" s="86"/>
      <c r="V644" s="86"/>
      <c r="W644" s="86"/>
      <c r="X644" s="86"/>
      <c r="Y644" s="86"/>
      <c r="Z644" s="449"/>
      <c r="AA644" s="449"/>
      <c r="AB644" s="449"/>
      <c r="AC644" s="449"/>
      <c r="AD644" s="449"/>
      <c r="AE644" s="449"/>
    </row>
    <row r="645">
      <c r="A645" s="97"/>
      <c r="B645" s="298"/>
      <c r="C645" s="298"/>
      <c r="D645" s="298"/>
      <c r="E645" s="298"/>
      <c r="F645" s="298"/>
      <c r="G645" s="298"/>
      <c r="H645" s="298"/>
      <c r="I645" s="298"/>
      <c r="J645" s="298"/>
      <c r="K645" s="298"/>
      <c r="L645" s="298"/>
      <c r="M645" s="483"/>
      <c r="N645" s="484"/>
      <c r="O645" s="484"/>
      <c r="P645" s="484"/>
      <c r="Q645" s="484"/>
      <c r="R645" s="298"/>
      <c r="S645" s="86"/>
      <c r="T645" s="86"/>
      <c r="U645" s="86"/>
      <c r="V645" s="86"/>
      <c r="W645" s="86"/>
      <c r="X645" s="86"/>
      <c r="Y645" s="86"/>
      <c r="Z645" s="449"/>
      <c r="AA645" s="449"/>
      <c r="AB645" s="449"/>
      <c r="AC645" s="449"/>
      <c r="AD645" s="449"/>
      <c r="AE645" s="449"/>
    </row>
    <row r="646">
      <c r="A646" s="97"/>
      <c r="B646" s="298"/>
      <c r="C646" s="298"/>
      <c r="D646" s="298"/>
      <c r="E646" s="298"/>
      <c r="F646" s="298"/>
      <c r="G646" s="298"/>
      <c r="H646" s="298"/>
      <c r="I646" s="298"/>
      <c r="J646" s="298"/>
      <c r="K646" s="298"/>
      <c r="L646" s="298"/>
      <c r="M646" s="483"/>
      <c r="N646" s="484"/>
      <c r="O646" s="484"/>
      <c r="P646" s="484"/>
      <c r="Q646" s="484"/>
      <c r="R646" s="298"/>
      <c r="S646" s="86"/>
      <c r="T646" s="86"/>
      <c r="U646" s="86"/>
      <c r="V646" s="86"/>
      <c r="W646" s="86"/>
      <c r="X646" s="86"/>
      <c r="Y646" s="86"/>
      <c r="Z646" s="449"/>
      <c r="AA646" s="449"/>
      <c r="AB646" s="449"/>
      <c r="AC646" s="449"/>
      <c r="AD646" s="449"/>
      <c r="AE646" s="449"/>
    </row>
    <row r="647">
      <c r="A647" s="97"/>
      <c r="B647" s="298"/>
      <c r="C647" s="298"/>
      <c r="D647" s="298"/>
      <c r="E647" s="298"/>
      <c r="F647" s="298"/>
      <c r="G647" s="298"/>
      <c r="H647" s="298"/>
      <c r="I647" s="298"/>
      <c r="J647" s="298"/>
      <c r="K647" s="298"/>
      <c r="L647" s="298"/>
      <c r="M647" s="483"/>
      <c r="N647" s="484"/>
      <c r="O647" s="484"/>
      <c r="P647" s="484"/>
      <c r="Q647" s="484"/>
      <c r="R647" s="298"/>
      <c r="S647" s="86"/>
      <c r="T647" s="86"/>
      <c r="U647" s="86"/>
      <c r="V647" s="86"/>
      <c r="W647" s="86"/>
      <c r="X647" s="86"/>
      <c r="Y647" s="86"/>
      <c r="Z647" s="449"/>
      <c r="AA647" s="449"/>
      <c r="AB647" s="449"/>
      <c r="AC647" s="449"/>
      <c r="AD647" s="449"/>
      <c r="AE647" s="449"/>
    </row>
    <row r="648">
      <c r="A648" s="97"/>
      <c r="B648" s="298"/>
      <c r="C648" s="298"/>
      <c r="D648" s="298"/>
      <c r="E648" s="298"/>
      <c r="F648" s="298"/>
      <c r="G648" s="298"/>
      <c r="H648" s="298"/>
      <c r="I648" s="298"/>
      <c r="J648" s="298"/>
      <c r="K648" s="298"/>
      <c r="L648" s="298"/>
      <c r="M648" s="483"/>
      <c r="N648" s="484"/>
      <c r="O648" s="484"/>
      <c r="P648" s="484"/>
      <c r="Q648" s="484"/>
      <c r="R648" s="298"/>
      <c r="S648" s="86"/>
      <c r="T648" s="86"/>
      <c r="U648" s="86"/>
      <c r="V648" s="86"/>
      <c r="W648" s="86"/>
      <c r="X648" s="86"/>
      <c r="Y648" s="86"/>
      <c r="Z648" s="449"/>
      <c r="AA648" s="449"/>
      <c r="AB648" s="449"/>
      <c r="AC648" s="449"/>
      <c r="AD648" s="449"/>
      <c r="AE648" s="449"/>
    </row>
    <row r="649">
      <c r="A649" s="97"/>
      <c r="B649" s="298"/>
      <c r="C649" s="298"/>
      <c r="D649" s="298"/>
      <c r="E649" s="298"/>
      <c r="F649" s="298"/>
      <c r="G649" s="298"/>
      <c r="H649" s="298"/>
      <c r="I649" s="298"/>
      <c r="J649" s="298"/>
      <c r="K649" s="298"/>
      <c r="L649" s="298"/>
      <c r="M649" s="483"/>
      <c r="N649" s="484"/>
      <c r="O649" s="484"/>
      <c r="P649" s="484"/>
      <c r="Q649" s="484"/>
      <c r="R649" s="298"/>
      <c r="S649" s="86"/>
      <c r="T649" s="86"/>
      <c r="U649" s="86"/>
      <c r="V649" s="86"/>
      <c r="W649" s="86"/>
      <c r="X649" s="86"/>
      <c r="Y649" s="86"/>
      <c r="Z649" s="449"/>
      <c r="AA649" s="449"/>
      <c r="AB649" s="449"/>
      <c r="AC649" s="449"/>
      <c r="AD649" s="449"/>
      <c r="AE649" s="449"/>
    </row>
    <row r="650">
      <c r="A650" s="97"/>
      <c r="B650" s="298"/>
      <c r="C650" s="298"/>
      <c r="D650" s="298"/>
      <c r="E650" s="298"/>
      <c r="F650" s="298"/>
      <c r="G650" s="298"/>
      <c r="H650" s="298"/>
      <c r="I650" s="298"/>
      <c r="J650" s="298"/>
      <c r="K650" s="298"/>
      <c r="L650" s="298"/>
      <c r="M650" s="483"/>
      <c r="N650" s="484"/>
      <c r="O650" s="484"/>
      <c r="P650" s="484"/>
      <c r="Q650" s="484"/>
      <c r="R650" s="298"/>
      <c r="S650" s="86"/>
      <c r="T650" s="86"/>
      <c r="U650" s="86"/>
      <c r="V650" s="86"/>
      <c r="W650" s="86"/>
      <c r="X650" s="86"/>
      <c r="Y650" s="86"/>
      <c r="Z650" s="449"/>
      <c r="AA650" s="449"/>
      <c r="AB650" s="449"/>
      <c r="AC650" s="449"/>
      <c r="AD650" s="449"/>
      <c r="AE650" s="449"/>
    </row>
    <row r="651">
      <c r="A651" s="97"/>
      <c r="B651" s="298"/>
      <c r="C651" s="298"/>
      <c r="D651" s="298"/>
      <c r="E651" s="298"/>
      <c r="F651" s="298"/>
      <c r="G651" s="298"/>
      <c r="H651" s="298"/>
      <c r="I651" s="298"/>
      <c r="J651" s="298"/>
      <c r="K651" s="298"/>
      <c r="L651" s="298"/>
      <c r="M651" s="483"/>
      <c r="N651" s="484"/>
      <c r="O651" s="484"/>
      <c r="P651" s="484"/>
      <c r="Q651" s="484"/>
      <c r="R651" s="298"/>
      <c r="S651" s="86"/>
      <c r="T651" s="86"/>
      <c r="U651" s="86"/>
      <c r="V651" s="86"/>
      <c r="W651" s="86"/>
      <c r="X651" s="86"/>
      <c r="Y651" s="86"/>
      <c r="Z651" s="449"/>
      <c r="AA651" s="449"/>
      <c r="AB651" s="449"/>
      <c r="AC651" s="449"/>
      <c r="AD651" s="449"/>
      <c r="AE651" s="449"/>
    </row>
    <row r="652">
      <c r="A652" s="97"/>
      <c r="B652" s="298"/>
      <c r="C652" s="298"/>
      <c r="D652" s="298"/>
      <c r="E652" s="298"/>
      <c r="F652" s="298"/>
      <c r="G652" s="298"/>
      <c r="H652" s="298"/>
      <c r="I652" s="298"/>
      <c r="J652" s="298"/>
      <c r="K652" s="298"/>
      <c r="L652" s="298"/>
      <c r="M652" s="483"/>
      <c r="N652" s="484"/>
      <c r="O652" s="484"/>
      <c r="P652" s="484"/>
      <c r="Q652" s="484"/>
      <c r="R652" s="298"/>
      <c r="S652" s="86"/>
      <c r="T652" s="86"/>
      <c r="U652" s="86"/>
      <c r="V652" s="86"/>
      <c r="W652" s="86"/>
      <c r="X652" s="86"/>
      <c r="Y652" s="86"/>
      <c r="Z652" s="449"/>
      <c r="AA652" s="449"/>
      <c r="AB652" s="449"/>
      <c r="AC652" s="449"/>
      <c r="AD652" s="449"/>
      <c r="AE652" s="449"/>
    </row>
    <row r="653">
      <c r="A653" s="97"/>
      <c r="B653" s="298"/>
      <c r="C653" s="298"/>
      <c r="D653" s="298"/>
      <c r="E653" s="298"/>
      <c r="F653" s="298"/>
      <c r="G653" s="298"/>
      <c r="H653" s="298"/>
      <c r="I653" s="298"/>
      <c r="J653" s="298"/>
      <c r="K653" s="298"/>
      <c r="L653" s="298"/>
      <c r="M653" s="483"/>
      <c r="N653" s="484"/>
      <c r="O653" s="484"/>
      <c r="P653" s="484"/>
      <c r="Q653" s="484"/>
      <c r="R653" s="298"/>
      <c r="S653" s="86"/>
      <c r="T653" s="86"/>
      <c r="U653" s="86"/>
      <c r="V653" s="86"/>
      <c r="W653" s="86"/>
      <c r="X653" s="86"/>
      <c r="Y653" s="86"/>
      <c r="Z653" s="449"/>
      <c r="AA653" s="449"/>
      <c r="AB653" s="449"/>
      <c r="AC653" s="449"/>
      <c r="AD653" s="449"/>
      <c r="AE653" s="449"/>
    </row>
    <row r="654">
      <c r="A654" s="97"/>
      <c r="B654" s="298"/>
      <c r="C654" s="298"/>
      <c r="D654" s="298"/>
      <c r="E654" s="298"/>
      <c r="F654" s="298"/>
      <c r="G654" s="298"/>
      <c r="H654" s="298"/>
      <c r="I654" s="298"/>
      <c r="J654" s="298"/>
      <c r="K654" s="298"/>
      <c r="L654" s="298"/>
      <c r="M654" s="483"/>
      <c r="N654" s="484"/>
      <c r="O654" s="484"/>
      <c r="P654" s="484"/>
      <c r="Q654" s="484"/>
      <c r="R654" s="298"/>
      <c r="S654" s="86"/>
      <c r="T654" s="86"/>
      <c r="U654" s="86"/>
      <c r="V654" s="86"/>
      <c r="W654" s="86"/>
      <c r="X654" s="86"/>
      <c r="Y654" s="86"/>
      <c r="Z654" s="449"/>
      <c r="AA654" s="449"/>
      <c r="AB654" s="449"/>
      <c r="AC654" s="449"/>
      <c r="AD654" s="449"/>
      <c r="AE654" s="449"/>
    </row>
    <row r="655">
      <c r="A655" s="97"/>
      <c r="B655" s="298"/>
      <c r="C655" s="298"/>
      <c r="D655" s="298"/>
      <c r="E655" s="298"/>
      <c r="F655" s="298"/>
      <c r="G655" s="298"/>
      <c r="H655" s="298"/>
      <c r="I655" s="298"/>
      <c r="J655" s="298"/>
      <c r="K655" s="298"/>
      <c r="L655" s="298"/>
      <c r="M655" s="483"/>
      <c r="N655" s="484"/>
      <c r="O655" s="484"/>
      <c r="P655" s="484"/>
      <c r="Q655" s="484"/>
      <c r="R655" s="298"/>
      <c r="S655" s="86"/>
      <c r="T655" s="86"/>
      <c r="U655" s="86"/>
      <c r="V655" s="86"/>
      <c r="W655" s="86"/>
      <c r="X655" s="86"/>
      <c r="Y655" s="86"/>
      <c r="Z655" s="449"/>
      <c r="AA655" s="449"/>
      <c r="AB655" s="449"/>
      <c r="AC655" s="449"/>
      <c r="AD655" s="449"/>
      <c r="AE655" s="449"/>
    </row>
    <row r="656">
      <c r="A656" s="97"/>
      <c r="B656" s="298"/>
      <c r="C656" s="298"/>
      <c r="D656" s="298"/>
      <c r="E656" s="298"/>
      <c r="F656" s="298"/>
      <c r="G656" s="298"/>
      <c r="H656" s="298"/>
      <c r="I656" s="298"/>
      <c r="J656" s="298"/>
      <c r="K656" s="298"/>
      <c r="L656" s="298"/>
      <c r="M656" s="483"/>
      <c r="N656" s="484"/>
      <c r="O656" s="484"/>
      <c r="P656" s="484"/>
      <c r="Q656" s="484"/>
      <c r="R656" s="298"/>
      <c r="S656" s="86"/>
      <c r="T656" s="86"/>
      <c r="U656" s="86"/>
      <c r="V656" s="86"/>
      <c r="W656" s="86"/>
      <c r="X656" s="86"/>
      <c r="Y656" s="86"/>
      <c r="Z656" s="449"/>
      <c r="AA656" s="449"/>
      <c r="AB656" s="449"/>
      <c r="AC656" s="449"/>
      <c r="AD656" s="449"/>
      <c r="AE656" s="449"/>
    </row>
    <row r="657">
      <c r="A657" s="97"/>
      <c r="B657" s="298"/>
      <c r="C657" s="298"/>
      <c r="D657" s="298"/>
      <c r="E657" s="298"/>
      <c r="F657" s="298"/>
      <c r="G657" s="298"/>
      <c r="H657" s="298"/>
      <c r="I657" s="298"/>
      <c r="J657" s="298"/>
      <c r="K657" s="298"/>
      <c r="L657" s="298"/>
      <c r="M657" s="483"/>
      <c r="N657" s="484"/>
      <c r="O657" s="484"/>
      <c r="P657" s="484"/>
      <c r="Q657" s="484"/>
      <c r="R657" s="298"/>
      <c r="S657" s="86"/>
      <c r="T657" s="86"/>
      <c r="U657" s="86"/>
      <c r="V657" s="86"/>
      <c r="W657" s="86"/>
      <c r="X657" s="86"/>
      <c r="Y657" s="86"/>
      <c r="Z657" s="449"/>
      <c r="AA657" s="449"/>
      <c r="AB657" s="449"/>
      <c r="AC657" s="449"/>
      <c r="AD657" s="449"/>
      <c r="AE657" s="449"/>
    </row>
    <row r="658">
      <c r="A658" s="97"/>
      <c r="B658" s="298"/>
      <c r="C658" s="298"/>
      <c r="D658" s="298"/>
      <c r="E658" s="298"/>
      <c r="F658" s="298"/>
      <c r="G658" s="298"/>
      <c r="H658" s="298"/>
      <c r="I658" s="298"/>
      <c r="J658" s="298"/>
      <c r="K658" s="298"/>
      <c r="L658" s="298"/>
      <c r="M658" s="483"/>
      <c r="N658" s="484"/>
      <c r="O658" s="484"/>
      <c r="P658" s="484"/>
      <c r="Q658" s="484"/>
      <c r="R658" s="298"/>
      <c r="S658" s="86"/>
      <c r="T658" s="86"/>
      <c r="U658" s="86"/>
      <c r="V658" s="86"/>
      <c r="W658" s="86"/>
      <c r="X658" s="86"/>
      <c r="Y658" s="86"/>
      <c r="Z658" s="449"/>
      <c r="AA658" s="449"/>
      <c r="AB658" s="449"/>
      <c r="AC658" s="449"/>
      <c r="AD658" s="449"/>
      <c r="AE658" s="449"/>
    </row>
    <row r="659">
      <c r="A659" s="97"/>
      <c r="B659" s="298"/>
      <c r="C659" s="298"/>
      <c r="D659" s="298"/>
      <c r="E659" s="298"/>
      <c r="F659" s="298"/>
      <c r="G659" s="298"/>
      <c r="H659" s="298"/>
      <c r="I659" s="298"/>
      <c r="J659" s="298"/>
      <c r="K659" s="298"/>
      <c r="L659" s="298"/>
      <c r="M659" s="483"/>
      <c r="N659" s="484"/>
      <c r="O659" s="484"/>
      <c r="P659" s="484"/>
      <c r="Q659" s="484"/>
      <c r="R659" s="298"/>
      <c r="S659" s="86"/>
      <c r="T659" s="86"/>
      <c r="U659" s="86"/>
      <c r="V659" s="86"/>
      <c r="W659" s="86"/>
      <c r="X659" s="86"/>
      <c r="Y659" s="86"/>
      <c r="Z659" s="449"/>
      <c r="AA659" s="449"/>
      <c r="AB659" s="449"/>
      <c r="AC659" s="449"/>
      <c r="AD659" s="449"/>
      <c r="AE659" s="449"/>
    </row>
    <row r="660">
      <c r="A660" s="97"/>
      <c r="B660" s="298"/>
      <c r="C660" s="298"/>
      <c r="D660" s="298"/>
      <c r="E660" s="298"/>
      <c r="F660" s="298"/>
      <c r="G660" s="298"/>
      <c r="H660" s="298"/>
      <c r="I660" s="298"/>
      <c r="J660" s="298"/>
      <c r="K660" s="298"/>
      <c r="L660" s="298"/>
      <c r="M660" s="483"/>
      <c r="N660" s="484"/>
      <c r="O660" s="484"/>
      <c r="P660" s="484"/>
      <c r="Q660" s="484"/>
      <c r="R660" s="298"/>
      <c r="S660" s="86"/>
      <c r="T660" s="86"/>
      <c r="U660" s="86"/>
      <c r="V660" s="86"/>
      <c r="W660" s="86"/>
      <c r="X660" s="86"/>
      <c r="Y660" s="86"/>
      <c r="Z660" s="449"/>
      <c r="AA660" s="449"/>
      <c r="AB660" s="449"/>
      <c r="AC660" s="449"/>
      <c r="AD660" s="449"/>
      <c r="AE660" s="449"/>
    </row>
    <row r="661">
      <c r="A661" s="97"/>
      <c r="B661" s="298"/>
      <c r="C661" s="298"/>
      <c r="D661" s="298"/>
      <c r="E661" s="298"/>
      <c r="F661" s="298"/>
      <c r="G661" s="298"/>
      <c r="H661" s="298"/>
      <c r="I661" s="298"/>
      <c r="J661" s="298"/>
      <c r="K661" s="298"/>
      <c r="L661" s="298"/>
      <c r="M661" s="483"/>
      <c r="N661" s="484"/>
      <c r="O661" s="484"/>
      <c r="P661" s="484"/>
      <c r="Q661" s="484"/>
      <c r="R661" s="298"/>
      <c r="S661" s="86"/>
      <c r="T661" s="86"/>
      <c r="U661" s="86"/>
      <c r="V661" s="86"/>
      <c r="W661" s="86"/>
      <c r="X661" s="86"/>
      <c r="Y661" s="86"/>
      <c r="Z661" s="449"/>
      <c r="AA661" s="449"/>
      <c r="AB661" s="449"/>
      <c r="AC661" s="449"/>
      <c r="AD661" s="449"/>
      <c r="AE661" s="449"/>
    </row>
    <row r="662">
      <c r="A662" s="97"/>
      <c r="B662" s="298"/>
      <c r="C662" s="298"/>
      <c r="D662" s="298"/>
      <c r="E662" s="298"/>
      <c r="F662" s="298"/>
      <c r="G662" s="298"/>
      <c r="H662" s="298"/>
      <c r="I662" s="298"/>
      <c r="J662" s="298"/>
      <c r="K662" s="298"/>
      <c r="L662" s="298"/>
      <c r="M662" s="483"/>
      <c r="N662" s="484"/>
      <c r="O662" s="484"/>
      <c r="P662" s="484"/>
      <c r="Q662" s="484"/>
      <c r="R662" s="298"/>
      <c r="S662" s="86"/>
      <c r="T662" s="86"/>
      <c r="U662" s="86"/>
      <c r="V662" s="86"/>
      <c r="W662" s="86"/>
      <c r="X662" s="86"/>
      <c r="Y662" s="86"/>
      <c r="Z662" s="449"/>
      <c r="AA662" s="449"/>
      <c r="AB662" s="449"/>
      <c r="AC662" s="449"/>
      <c r="AD662" s="449"/>
      <c r="AE662" s="449"/>
    </row>
    <row r="663">
      <c r="A663" s="97"/>
      <c r="B663" s="298"/>
      <c r="C663" s="298"/>
      <c r="D663" s="298"/>
      <c r="E663" s="298"/>
      <c r="F663" s="298"/>
      <c r="G663" s="298"/>
      <c r="H663" s="298"/>
      <c r="I663" s="298"/>
      <c r="J663" s="298"/>
      <c r="K663" s="298"/>
      <c r="L663" s="298"/>
      <c r="M663" s="483"/>
      <c r="N663" s="484"/>
      <c r="O663" s="484"/>
      <c r="P663" s="484"/>
      <c r="Q663" s="484"/>
      <c r="R663" s="298"/>
      <c r="S663" s="86"/>
      <c r="T663" s="86"/>
      <c r="U663" s="86"/>
      <c r="V663" s="86"/>
      <c r="W663" s="86"/>
      <c r="X663" s="86"/>
      <c r="Y663" s="86"/>
      <c r="Z663" s="449"/>
      <c r="AA663" s="449"/>
      <c r="AB663" s="449"/>
      <c r="AC663" s="449"/>
      <c r="AD663" s="449"/>
      <c r="AE663" s="449"/>
    </row>
    <row r="664">
      <c r="A664" s="97"/>
      <c r="B664" s="298"/>
      <c r="C664" s="298"/>
      <c r="D664" s="298"/>
      <c r="E664" s="298"/>
      <c r="F664" s="298"/>
      <c r="G664" s="298"/>
      <c r="H664" s="298"/>
      <c r="I664" s="298"/>
      <c r="J664" s="298"/>
      <c r="K664" s="298"/>
      <c r="L664" s="298"/>
      <c r="M664" s="483"/>
      <c r="N664" s="484"/>
      <c r="O664" s="484"/>
      <c r="P664" s="484"/>
      <c r="Q664" s="484"/>
      <c r="R664" s="298"/>
      <c r="S664" s="86"/>
      <c r="T664" s="86"/>
      <c r="U664" s="86"/>
      <c r="V664" s="86"/>
      <c r="W664" s="86"/>
      <c r="X664" s="86"/>
      <c r="Y664" s="86"/>
      <c r="Z664" s="449"/>
      <c r="AA664" s="449"/>
      <c r="AB664" s="449"/>
      <c r="AC664" s="449"/>
      <c r="AD664" s="449"/>
      <c r="AE664" s="449"/>
    </row>
    <row r="665">
      <c r="A665" s="97"/>
      <c r="B665" s="298"/>
      <c r="C665" s="298"/>
      <c r="D665" s="298"/>
      <c r="E665" s="298"/>
      <c r="F665" s="298"/>
      <c r="G665" s="298"/>
      <c r="H665" s="298"/>
      <c r="I665" s="298"/>
      <c r="J665" s="298"/>
      <c r="K665" s="298"/>
      <c r="L665" s="298"/>
      <c r="M665" s="483"/>
      <c r="N665" s="484"/>
      <c r="O665" s="484"/>
      <c r="P665" s="484"/>
      <c r="Q665" s="484"/>
      <c r="R665" s="298"/>
      <c r="S665" s="86"/>
      <c r="T665" s="86"/>
      <c r="U665" s="86"/>
      <c r="V665" s="86"/>
      <c r="W665" s="86"/>
      <c r="X665" s="86"/>
      <c r="Y665" s="86"/>
      <c r="Z665" s="449"/>
      <c r="AA665" s="449"/>
      <c r="AB665" s="449"/>
      <c r="AC665" s="449"/>
      <c r="AD665" s="449"/>
      <c r="AE665" s="449"/>
    </row>
    <row r="666">
      <c r="A666" s="97"/>
      <c r="B666" s="298"/>
      <c r="C666" s="298"/>
      <c r="D666" s="298"/>
      <c r="E666" s="298"/>
      <c r="F666" s="298"/>
      <c r="G666" s="298"/>
      <c r="H666" s="298"/>
      <c r="I666" s="298"/>
      <c r="J666" s="298"/>
      <c r="K666" s="298"/>
      <c r="L666" s="298"/>
      <c r="M666" s="483"/>
      <c r="N666" s="484"/>
      <c r="O666" s="484"/>
      <c r="P666" s="484"/>
      <c r="Q666" s="484"/>
      <c r="R666" s="298"/>
      <c r="S666" s="86"/>
      <c r="T666" s="86"/>
      <c r="U666" s="86"/>
      <c r="V666" s="86"/>
      <c r="W666" s="86"/>
      <c r="X666" s="86"/>
      <c r="Y666" s="86"/>
      <c r="Z666" s="449"/>
      <c r="AA666" s="449"/>
      <c r="AB666" s="449"/>
      <c r="AC666" s="449"/>
      <c r="AD666" s="449"/>
      <c r="AE666" s="449"/>
    </row>
    <row r="667">
      <c r="A667" s="97"/>
      <c r="B667" s="298"/>
      <c r="C667" s="298"/>
      <c r="D667" s="298"/>
      <c r="E667" s="298"/>
      <c r="F667" s="298"/>
      <c r="G667" s="298"/>
      <c r="H667" s="298"/>
      <c r="I667" s="298"/>
      <c r="J667" s="298"/>
      <c r="K667" s="298"/>
      <c r="L667" s="298"/>
      <c r="M667" s="483"/>
      <c r="N667" s="484"/>
      <c r="O667" s="484"/>
      <c r="P667" s="484"/>
      <c r="Q667" s="484"/>
      <c r="R667" s="298"/>
      <c r="S667" s="86"/>
      <c r="T667" s="86"/>
      <c r="U667" s="86"/>
      <c r="V667" s="86"/>
      <c r="W667" s="86"/>
      <c r="X667" s="86"/>
      <c r="Y667" s="86"/>
      <c r="Z667" s="449"/>
      <c r="AA667" s="449"/>
      <c r="AB667" s="449"/>
      <c r="AC667" s="449"/>
      <c r="AD667" s="449"/>
      <c r="AE667" s="449"/>
    </row>
    <row r="668">
      <c r="A668" s="97"/>
      <c r="B668" s="298"/>
      <c r="C668" s="298"/>
      <c r="D668" s="298"/>
      <c r="E668" s="298"/>
      <c r="F668" s="298"/>
      <c r="G668" s="298"/>
      <c r="H668" s="298"/>
      <c r="I668" s="298"/>
      <c r="J668" s="298"/>
      <c r="K668" s="298"/>
      <c r="L668" s="298"/>
      <c r="M668" s="483"/>
      <c r="N668" s="484"/>
      <c r="O668" s="484"/>
      <c r="P668" s="484"/>
      <c r="Q668" s="484"/>
      <c r="R668" s="298"/>
      <c r="S668" s="86"/>
      <c r="T668" s="86"/>
      <c r="U668" s="86"/>
      <c r="V668" s="86"/>
      <c r="W668" s="86"/>
      <c r="X668" s="86"/>
      <c r="Y668" s="86"/>
      <c r="Z668" s="449"/>
      <c r="AA668" s="449"/>
      <c r="AB668" s="449"/>
      <c r="AC668" s="449"/>
      <c r="AD668" s="449"/>
      <c r="AE668" s="449"/>
    </row>
    <row r="669">
      <c r="A669" s="97"/>
      <c r="B669" s="298"/>
      <c r="C669" s="298"/>
      <c r="D669" s="298"/>
      <c r="E669" s="298"/>
      <c r="F669" s="298"/>
      <c r="G669" s="298"/>
      <c r="H669" s="298"/>
      <c r="I669" s="298"/>
      <c r="J669" s="298"/>
      <c r="K669" s="298"/>
      <c r="L669" s="298"/>
      <c r="M669" s="483"/>
      <c r="N669" s="484"/>
      <c r="O669" s="484"/>
      <c r="P669" s="484"/>
      <c r="Q669" s="484"/>
      <c r="R669" s="298"/>
      <c r="S669" s="86"/>
      <c r="T669" s="86"/>
      <c r="U669" s="86"/>
      <c r="V669" s="86"/>
      <c r="W669" s="86"/>
      <c r="X669" s="86"/>
      <c r="Y669" s="86"/>
      <c r="Z669" s="449"/>
      <c r="AA669" s="449"/>
      <c r="AB669" s="449"/>
      <c r="AC669" s="449"/>
      <c r="AD669" s="449"/>
      <c r="AE669" s="449"/>
    </row>
    <row r="670">
      <c r="A670" s="97"/>
      <c r="B670" s="298"/>
      <c r="C670" s="298"/>
      <c r="D670" s="298"/>
      <c r="E670" s="298"/>
      <c r="F670" s="298"/>
      <c r="G670" s="298"/>
      <c r="H670" s="298"/>
      <c r="I670" s="298"/>
      <c r="J670" s="298"/>
      <c r="K670" s="298"/>
      <c r="L670" s="298"/>
      <c r="M670" s="483"/>
      <c r="N670" s="484"/>
      <c r="O670" s="484"/>
      <c r="P670" s="484"/>
      <c r="Q670" s="484"/>
      <c r="R670" s="298"/>
      <c r="S670" s="86"/>
      <c r="T670" s="86"/>
      <c r="U670" s="86"/>
      <c r="V670" s="86"/>
      <c r="W670" s="86"/>
      <c r="X670" s="86"/>
      <c r="Y670" s="86"/>
      <c r="Z670" s="449"/>
      <c r="AA670" s="449"/>
      <c r="AB670" s="449"/>
      <c r="AC670" s="449"/>
      <c r="AD670" s="449"/>
      <c r="AE670" s="449"/>
    </row>
    <row r="671">
      <c r="A671" s="97"/>
      <c r="B671" s="298"/>
      <c r="C671" s="298"/>
      <c r="D671" s="298"/>
      <c r="E671" s="298"/>
      <c r="F671" s="298"/>
      <c r="G671" s="298"/>
      <c r="H671" s="298"/>
      <c r="I671" s="298"/>
      <c r="J671" s="298"/>
      <c r="K671" s="298"/>
      <c r="L671" s="298"/>
      <c r="M671" s="483"/>
      <c r="N671" s="484"/>
      <c r="O671" s="484"/>
      <c r="P671" s="484"/>
      <c r="Q671" s="484"/>
      <c r="R671" s="298"/>
      <c r="S671" s="86"/>
      <c r="T671" s="86"/>
      <c r="U671" s="86"/>
      <c r="V671" s="86"/>
      <c r="W671" s="86"/>
      <c r="X671" s="86"/>
      <c r="Y671" s="86"/>
      <c r="Z671" s="449"/>
      <c r="AA671" s="449"/>
      <c r="AB671" s="449"/>
      <c r="AC671" s="449"/>
      <c r="AD671" s="449"/>
      <c r="AE671" s="449"/>
    </row>
    <row r="672">
      <c r="A672" s="97"/>
      <c r="B672" s="298"/>
      <c r="C672" s="298"/>
      <c r="D672" s="298"/>
      <c r="E672" s="298"/>
      <c r="F672" s="298"/>
      <c r="G672" s="298"/>
      <c r="H672" s="298"/>
      <c r="I672" s="298"/>
      <c r="J672" s="298"/>
      <c r="K672" s="298"/>
      <c r="L672" s="298"/>
      <c r="M672" s="483"/>
      <c r="N672" s="484"/>
      <c r="O672" s="484"/>
      <c r="P672" s="484"/>
      <c r="Q672" s="484"/>
      <c r="R672" s="298"/>
      <c r="S672" s="86"/>
      <c r="T672" s="86"/>
      <c r="U672" s="86"/>
      <c r="V672" s="86"/>
      <c r="W672" s="86"/>
      <c r="X672" s="86"/>
      <c r="Y672" s="86"/>
      <c r="Z672" s="449"/>
      <c r="AA672" s="449"/>
      <c r="AB672" s="449"/>
      <c r="AC672" s="449"/>
      <c r="AD672" s="449"/>
      <c r="AE672" s="449"/>
    </row>
    <row r="673">
      <c r="A673" s="97"/>
      <c r="B673" s="298"/>
      <c r="C673" s="298"/>
      <c r="D673" s="298"/>
      <c r="E673" s="298"/>
      <c r="F673" s="298"/>
      <c r="G673" s="298"/>
      <c r="H673" s="298"/>
      <c r="I673" s="298"/>
      <c r="J673" s="298"/>
      <c r="K673" s="298"/>
      <c r="L673" s="298"/>
      <c r="M673" s="483"/>
      <c r="N673" s="484"/>
      <c r="O673" s="484"/>
      <c r="P673" s="484"/>
      <c r="Q673" s="484"/>
      <c r="R673" s="298"/>
      <c r="S673" s="86"/>
      <c r="T673" s="86"/>
      <c r="U673" s="86"/>
      <c r="V673" s="86"/>
      <c r="W673" s="86"/>
      <c r="X673" s="86"/>
      <c r="Y673" s="86"/>
      <c r="Z673" s="449"/>
      <c r="AA673" s="449"/>
      <c r="AB673" s="449"/>
      <c r="AC673" s="449"/>
      <c r="AD673" s="449"/>
      <c r="AE673" s="449"/>
    </row>
    <row r="674">
      <c r="A674" s="97"/>
      <c r="B674" s="298"/>
      <c r="C674" s="298"/>
      <c r="D674" s="298"/>
      <c r="E674" s="298"/>
      <c r="F674" s="298"/>
      <c r="G674" s="298"/>
      <c r="H674" s="298"/>
      <c r="I674" s="298"/>
      <c r="J674" s="298"/>
      <c r="K674" s="298"/>
      <c r="L674" s="298"/>
      <c r="M674" s="483"/>
      <c r="N674" s="484"/>
      <c r="O674" s="484"/>
      <c r="P674" s="484"/>
      <c r="Q674" s="484"/>
      <c r="R674" s="298"/>
      <c r="S674" s="86"/>
      <c r="T674" s="86"/>
      <c r="U674" s="86"/>
      <c r="V674" s="86"/>
      <c r="W674" s="86"/>
      <c r="X674" s="86"/>
      <c r="Y674" s="86"/>
      <c r="Z674" s="449"/>
      <c r="AA674" s="449"/>
      <c r="AB674" s="449"/>
      <c r="AC674" s="449"/>
      <c r="AD674" s="449"/>
      <c r="AE674" s="449"/>
    </row>
    <row r="675">
      <c r="A675" s="97"/>
      <c r="B675" s="298"/>
      <c r="C675" s="298"/>
      <c r="D675" s="298"/>
      <c r="E675" s="298"/>
      <c r="F675" s="298"/>
      <c r="G675" s="298"/>
      <c r="H675" s="298"/>
      <c r="I675" s="298"/>
      <c r="J675" s="298"/>
      <c r="K675" s="298"/>
      <c r="L675" s="298"/>
      <c r="M675" s="483"/>
      <c r="N675" s="484"/>
      <c r="O675" s="484"/>
      <c r="P675" s="484"/>
      <c r="Q675" s="484"/>
      <c r="R675" s="298"/>
      <c r="S675" s="86"/>
      <c r="T675" s="86"/>
      <c r="U675" s="86"/>
      <c r="V675" s="86"/>
      <c r="W675" s="86"/>
      <c r="X675" s="86"/>
      <c r="Y675" s="86"/>
      <c r="Z675" s="449"/>
      <c r="AA675" s="449"/>
      <c r="AB675" s="449"/>
      <c r="AC675" s="449"/>
      <c r="AD675" s="449"/>
      <c r="AE675" s="449"/>
    </row>
    <row r="676">
      <c r="A676" s="97"/>
      <c r="B676" s="298"/>
      <c r="C676" s="298"/>
      <c r="D676" s="298"/>
      <c r="E676" s="298"/>
      <c r="F676" s="298"/>
      <c r="G676" s="298"/>
      <c r="H676" s="298"/>
      <c r="I676" s="298"/>
      <c r="J676" s="298"/>
      <c r="K676" s="298"/>
      <c r="L676" s="298"/>
      <c r="M676" s="483"/>
      <c r="N676" s="484"/>
      <c r="O676" s="484"/>
      <c r="P676" s="484"/>
      <c r="Q676" s="484"/>
      <c r="R676" s="298"/>
      <c r="S676" s="86"/>
      <c r="T676" s="86"/>
      <c r="U676" s="86"/>
      <c r="V676" s="86"/>
      <c r="W676" s="86"/>
      <c r="X676" s="86"/>
      <c r="Y676" s="86"/>
      <c r="Z676" s="449"/>
      <c r="AA676" s="449"/>
      <c r="AB676" s="449"/>
      <c r="AC676" s="449"/>
      <c r="AD676" s="449"/>
      <c r="AE676" s="449"/>
    </row>
    <row r="677">
      <c r="A677" s="97"/>
      <c r="B677" s="298"/>
      <c r="C677" s="298"/>
      <c r="D677" s="298"/>
      <c r="E677" s="298"/>
      <c r="F677" s="298"/>
      <c r="G677" s="298"/>
      <c r="H677" s="298"/>
      <c r="I677" s="298"/>
      <c r="J677" s="298"/>
      <c r="K677" s="298"/>
      <c r="L677" s="298"/>
      <c r="M677" s="483"/>
      <c r="N677" s="484"/>
      <c r="O677" s="484"/>
      <c r="P677" s="484"/>
      <c r="Q677" s="484"/>
      <c r="R677" s="298"/>
      <c r="S677" s="86"/>
      <c r="T677" s="86"/>
      <c r="U677" s="86"/>
      <c r="V677" s="86"/>
      <c r="W677" s="86"/>
      <c r="X677" s="86"/>
      <c r="Y677" s="86"/>
      <c r="Z677" s="449"/>
      <c r="AA677" s="449"/>
      <c r="AB677" s="449"/>
      <c r="AC677" s="449"/>
      <c r="AD677" s="449"/>
      <c r="AE677" s="449"/>
    </row>
    <row r="678">
      <c r="A678" s="97"/>
      <c r="B678" s="298"/>
      <c r="C678" s="298"/>
      <c r="D678" s="298"/>
      <c r="E678" s="298"/>
      <c r="F678" s="298"/>
      <c r="G678" s="298"/>
      <c r="H678" s="298"/>
      <c r="I678" s="298"/>
      <c r="J678" s="298"/>
      <c r="K678" s="298"/>
      <c r="L678" s="298"/>
      <c r="M678" s="483"/>
      <c r="N678" s="484"/>
      <c r="O678" s="484"/>
      <c r="P678" s="484"/>
      <c r="Q678" s="484"/>
      <c r="R678" s="298"/>
      <c r="S678" s="86"/>
      <c r="T678" s="86"/>
      <c r="U678" s="86"/>
      <c r="V678" s="86"/>
      <c r="W678" s="86"/>
      <c r="X678" s="86"/>
      <c r="Y678" s="86"/>
      <c r="Z678" s="449"/>
      <c r="AA678" s="449"/>
      <c r="AB678" s="449"/>
      <c r="AC678" s="449"/>
      <c r="AD678" s="449"/>
      <c r="AE678" s="449"/>
    </row>
    <row r="679">
      <c r="A679" s="97"/>
      <c r="B679" s="298"/>
      <c r="C679" s="298"/>
      <c r="D679" s="298"/>
      <c r="E679" s="298"/>
      <c r="F679" s="298"/>
      <c r="G679" s="298"/>
      <c r="H679" s="298"/>
      <c r="I679" s="298"/>
      <c r="J679" s="298"/>
      <c r="K679" s="298"/>
      <c r="L679" s="298"/>
      <c r="M679" s="483"/>
      <c r="N679" s="484"/>
      <c r="O679" s="484"/>
      <c r="P679" s="484"/>
      <c r="Q679" s="484"/>
      <c r="R679" s="298"/>
      <c r="S679" s="86"/>
      <c r="T679" s="86"/>
      <c r="U679" s="86"/>
      <c r="V679" s="86"/>
      <c r="W679" s="86"/>
      <c r="X679" s="86"/>
      <c r="Y679" s="86"/>
      <c r="Z679" s="449"/>
      <c r="AA679" s="449"/>
      <c r="AB679" s="449"/>
      <c r="AC679" s="449"/>
      <c r="AD679" s="449"/>
      <c r="AE679" s="449"/>
    </row>
    <row r="680">
      <c r="A680" s="97"/>
      <c r="B680" s="298"/>
      <c r="C680" s="298"/>
      <c r="D680" s="298"/>
      <c r="E680" s="298"/>
      <c r="F680" s="298"/>
      <c r="G680" s="298"/>
      <c r="H680" s="298"/>
      <c r="I680" s="298"/>
      <c r="J680" s="298"/>
      <c r="K680" s="298"/>
      <c r="L680" s="298"/>
      <c r="M680" s="483"/>
      <c r="N680" s="484"/>
      <c r="O680" s="484"/>
      <c r="P680" s="484"/>
      <c r="Q680" s="484"/>
      <c r="R680" s="298"/>
      <c r="S680" s="86"/>
      <c r="T680" s="86"/>
      <c r="U680" s="86"/>
      <c r="V680" s="86"/>
      <c r="W680" s="86"/>
      <c r="X680" s="86"/>
      <c r="Y680" s="86"/>
      <c r="Z680" s="449"/>
      <c r="AA680" s="449"/>
      <c r="AB680" s="449"/>
      <c r="AC680" s="449"/>
      <c r="AD680" s="449"/>
      <c r="AE680" s="449"/>
    </row>
    <row r="681">
      <c r="A681" s="97"/>
      <c r="B681" s="298"/>
      <c r="C681" s="298"/>
      <c r="D681" s="298"/>
      <c r="E681" s="298"/>
      <c r="F681" s="298"/>
      <c r="G681" s="298"/>
      <c r="H681" s="298"/>
      <c r="I681" s="298"/>
      <c r="J681" s="298"/>
      <c r="K681" s="298"/>
      <c r="L681" s="298"/>
      <c r="M681" s="483"/>
      <c r="N681" s="484"/>
      <c r="O681" s="484"/>
      <c r="P681" s="484"/>
      <c r="Q681" s="484"/>
      <c r="R681" s="298"/>
      <c r="S681" s="86"/>
      <c r="T681" s="86"/>
      <c r="U681" s="86"/>
      <c r="V681" s="86"/>
      <c r="W681" s="86"/>
      <c r="X681" s="86"/>
      <c r="Y681" s="86"/>
      <c r="Z681" s="449"/>
      <c r="AA681" s="449"/>
      <c r="AB681" s="449"/>
      <c r="AC681" s="449"/>
      <c r="AD681" s="449"/>
      <c r="AE681" s="449"/>
    </row>
    <row r="682">
      <c r="A682" s="97"/>
      <c r="B682" s="298"/>
      <c r="C682" s="298"/>
      <c r="D682" s="298"/>
      <c r="E682" s="298"/>
      <c r="F682" s="298"/>
      <c r="G682" s="298"/>
      <c r="H682" s="298"/>
      <c r="I682" s="298"/>
      <c r="J682" s="298"/>
      <c r="K682" s="298"/>
      <c r="L682" s="298"/>
      <c r="M682" s="483"/>
      <c r="N682" s="484"/>
      <c r="O682" s="484"/>
      <c r="P682" s="484"/>
      <c r="Q682" s="484"/>
      <c r="R682" s="298"/>
      <c r="S682" s="86"/>
      <c r="T682" s="86"/>
      <c r="U682" s="86"/>
      <c r="V682" s="86"/>
      <c r="W682" s="86"/>
      <c r="X682" s="86"/>
      <c r="Y682" s="86"/>
      <c r="Z682" s="449"/>
      <c r="AA682" s="449"/>
      <c r="AB682" s="449"/>
      <c r="AC682" s="449"/>
      <c r="AD682" s="449"/>
      <c r="AE682" s="449"/>
    </row>
    <row r="683">
      <c r="A683" s="97"/>
      <c r="B683" s="298"/>
      <c r="C683" s="298"/>
      <c r="D683" s="298"/>
      <c r="E683" s="298"/>
      <c r="F683" s="298"/>
      <c r="G683" s="298"/>
      <c r="H683" s="298"/>
      <c r="I683" s="298"/>
      <c r="J683" s="298"/>
      <c r="K683" s="298"/>
      <c r="L683" s="298"/>
      <c r="M683" s="483"/>
      <c r="N683" s="484"/>
      <c r="O683" s="484"/>
      <c r="P683" s="484"/>
      <c r="Q683" s="484"/>
      <c r="R683" s="298"/>
      <c r="S683" s="86"/>
      <c r="T683" s="86"/>
      <c r="U683" s="86"/>
      <c r="V683" s="86"/>
      <c r="W683" s="86"/>
      <c r="X683" s="86"/>
      <c r="Y683" s="86"/>
      <c r="Z683" s="449"/>
      <c r="AA683" s="449"/>
      <c r="AB683" s="449"/>
      <c r="AC683" s="449"/>
      <c r="AD683" s="449"/>
      <c r="AE683" s="449"/>
    </row>
    <row r="684">
      <c r="A684" s="97"/>
      <c r="B684" s="298"/>
      <c r="C684" s="298"/>
      <c r="D684" s="298"/>
      <c r="E684" s="298"/>
      <c r="F684" s="298"/>
      <c r="G684" s="298"/>
      <c r="H684" s="298"/>
      <c r="I684" s="298"/>
      <c r="J684" s="298"/>
      <c r="K684" s="298"/>
      <c r="L684" s="298"/>
      <c r="M684" s="483"/>
      <c r="N684" s="484"/>
      <c r="O684" s="484"/>
      <c r="P684" s="484"/>
      <c r="Q684" s="484"/>
      <c r="R684" s="298"/>
      <c r="S684" s="86"/>
      <c r="T684" s="86"/>
      <c r="U684" s="86"/>
      <c r="V684" s="86"/>
      <c r="W684" s="86"/>
      <c r="X684" s="86"/>
      <c r="Y684" s="86"/>
      <c r="Z684" s="449"/>
      <c r="AA684" s="449"/>
      <c r="AB684" s="449"/>
      <c r="AC684" s="449"/>
      <c r="AD684" s="449"/>
      <c r="AE684" s="449"/>
    </row>
    <row r="685">
      <c r="A685" s="97"/>
      <c r="B685" s="298"/>
      <c r="C685" s="298"/>
      <c r="D685" s="298"/>
      <c r="E685" s="298"/>
      <c r="F685" s="298"/>
      <c r="G685" s="298"/>
      <c r="H685" s="298"/>
      <c r="I685" s="298"/>
      <c r="J685" s="298"/>
      <c r="K685" s="298"/>
      <c r="L685" s="298"/>
      <c r="M685" s="483"/>
      <c r="N685" s="484"/>
      <c r="O685" s="484"/>
      <c r="P685" s="484"/>
      <c r="Q685" s="484"/>
      <c r="R685" s="298"/>
      <c r="S685" s="86"/>
      <c r="T685" s="86"/>
      <c r="U685" s="86"/>
      <c r="V685" s="86"/>
      <c r="W685" s="86"/>
      <c r="X685" s="86"/>
      <c r="Y685" s="86"/>
      <c r="Z685" s="449"/>
      <c r="AA685" s="449"/>
      <c r="AB685" s="449"/>
      <c r="AC685" s="449"/>
      <c r="AD685" s="449"/>
      <c r="AE685" s="449"/>
    </row>
    <row r="686">
      <c r="A686" s="97"/>
      <c r="B686" s="298"/>
      <c r="C686" s="298"/>
      <c r="D686" s="298"/>
      <c r="E686" s="298"/>
      <c r="F686" s="298"/>
      <c r="G686" s="298"/>
      <c r="H686" s="298"/>
      <c r="I686" s="298"/>
      <c r="J686" s="298"/>
      <c r="K686" s="298"/>
      <c r="L686" s="298"/>
      <c r="M686" s="483"/>
      <c r="N686" s="484"/>
      <c r="O686" s="484"/>
      <c r="P686" s="484"/>
      <c r="Q686" s="484"/>
      <c r="R686" s="298"/>
      <c r="S686" s="86"/>
      <c r="T686" s="86"/>
      <c r="U686" s="86"/>
      <c r="V686" s="86"/>
      <c r="W686" s="86"/>
      <c r="X686" s="86"/>
      <c r="Y686" s="86"/>
      <c r="Z686" s="449"/>
      <c r="AA686" s="449"/>
      <c r="AB686" s="449"/>
      <c r="AC686" s="449"/>
      <c r="AD686" s="449"/>
      <c r="AE686" s="449"/>
    </row>
    <row r="687">
      <c r="A687" s="97"/>
      <c r="B687" s="298"/>
      <c r="C687" s="298"/>
      <c r="D687" s="298"/>
      <c r="E687" s="298"/>
      <c r="F687" s="298"/>
      <c r="G687" s="298"/>
      <c r="H687" s="298"/>
      <c r="I687" s="298"/>
      <c r="J687" s="298"/>
      <c r="K687" s="298"/>
      <c r="L687" s="298"/>
      <c r="M687" s="483"/>
      <c r="N687" s="484"/>
      <c r="O687" s="484"/>
      <c r="P687" s="484"/>
      <c r="Q687" s="484"/>
      <c r="R687" s="298"/>
      <c r="S687" s="86"/>
      <c r="T687" s="86"/>
      <c r="U687" s="86"/>
      <c r="V687" s="86"/>
      <c r="W687" s="86"/>
      <c r="X687" s="86"/>
      <c r="Y687" s="86"/>
      <c r="Z687" s="449"/>
      <c r="AA687" s="449"/>
      <c r="AB687" s="449"/>
      <c r="AC687" s="449"/>
      <c r="AD687" s="449"/>
      <c r="AE687" s="449"/>
    </row>
    <row r="688">
      <c r="A688" s="97"/>
      <c r="B688" s="298"/>
      <c r="C688" s="298"/>
      <c r="D688" s="298"/>
      <c r="E688" s="298"/>
      <c r="F688" s="298"/>
      <c r="G688" s="298"/>
      <c r="H688" s="298"/>
      <c r="I688" s="298"/>
      <c r="J688" s="298"/>
      <c r="K688" s="298"/>
      <c r="L688" s="298"/>
      <c r="M688" s="483"/>
      <c r="N688" s="484"/>
      <c r="O688" s="484"/>
      <c r="P688" s="484"/>
      <c r="Q688" s="484"/>
      <c r="R688" s="298"/>
      <c r="S688" s="86"/>
      <c r="T688" s="86"/>
      <c r="U688" s="86"/>
      <c r="V688" s="86"/>
      <c r="W688" s="86"/>
      <c r="X688" s="86"/>
      <c r="Y688" s="86"/>
      <c r="Z688" s="449"/>
      <c r="AA688" s="449"/>
      <c r="AB688" s="449"/>
      <c r="AC688" s="449"/>
      <c r="AD688" s="449"/>
      <c r="AE688" s="449"/>
    </row>
    <row r="689">
      <c r="A689" s="97"/>
      <c r="B689" s="298"/>
      <c r="C689" s="298"/>
      <c r="D689" s="298"/>
      <c r="E689" s="298"/>
      <c r="F689" s="298"/>
      <c r="G689" s="298"/>
      <c r="H689" s="298"/>
      <c r="I689" s="298"/>
      <c r="J689" s="298"/>
      <c r="K689" s="298"/>
      <c r="L689" s="298"/>
      <c r="M689" s="483"/>
      <c r="N689" s="484"/>
      <c r="O689" s="484"/>
      <c r="P689" s="484"/>
      <c r="Q689" s="484"/>
      <c r="R689" s="298"/>
      <c r="S689" s="86"/>
      <c r="T689" s="86"/>
      <c r="U689" s="86"/>
      <c r="V689" s="86"/>
      <c r="W689" s="86"/>
      <c r="X689" s="86"/>
      <c r="Y689" s="86"/>
      <c r="Z689" s="449"/>
      <c r="AA689" s="449"/>
      <c r="AB689" s="449"/>
      <c r="AC689" s="449"/>
      <c r="AD689" s="449"/>
      <c r="AE689" s="449"/>
    </row>
    <row r="690">
      <c r="A690" s="97"/>
      <c r="B690" s="298"/>
      <c r="C690" s="298"/>
      <c r="D690" s="298"/>
      <c r="E690" s="298"/>
      <c r="F690" s="298"/>
      <c r="G690" s="298"/>
      <c r="H690" s="298"/>
      <c r="I690" s="298"/>
      <c r="J690" s="298"/>
      <c r="K690" s="298"/>
      <c r="L690" s="298"/>
      <c r="M690" s="483"/>
      <c r="N690" s="484"/>
      <c r="O690" s="484"/>
      <c r="P690" s="484"/>
      <c r="Q690" s="484"/>
      <c r="R690" s="298"/>
      <c r="S690" s="86"/>
      <c r="T690" s="86"/>
      <c r="U690" s="86"/>
      <c r="V690" s="86"/>
      <c r="W690" s="86"/>
      <c r="X690" s="86"/>
      <c r="Y690" s="86"/>
      <c r="Z690" s="449"/>
      <c r="AA690" s="449"/>
      <c r="AB690" s="449"/>
      <c r="AC690" s="449"/>
      <c r="AD690" s="449"/>
      <c r="AE690" s="449"/>
    </row>
    <row r="691">
      <c r="A691" s="97"/>
      <c r="B691" s="298"/>
      <c r="C691" s="298"/>
      <c r="D691" s="298"/>
      <c r="E691" s="298"/>
      <c r="F691" s="298"/>
      <c r="G691" s="298"/>
      <c r="H691" s="298"/>
      <c r="I691" s="298"/>
      <c r="J691" s="298"/>
      <c r="K691" s="298"/>
      <c r="L691" s="298"/>
      <c r="M691" s="483"/>
      <c r="N691" s="484"/>
      <c r="O691" s="484"/>
      <c r="P691" s="484"/>
      <c r="Q691" s="484"/>
      <c r="R691" s="298"/>
      <c r="S691" s="86"/>
      <c r="T691" s="86"/>
      <c r="U691" s="86"/>
      <c r="V691" s="86"/>
      <c r="W691" s="86"/>
      <c r="X691" s="86"/>
      <c r="Y691" s="86"/>
      <c r="Z691" s="449"/>
      <c r="AA691" s="449"/>
      <c r="AB691" s="449"/>
      <c r="AC691" s="449"/>
      <c r="AD691" s="449"/>
      <c r="AE691" s="449"/>
    </row>
    <row r="692">
      <c r="A692" s="97"/>
      <c r="B692" s="298"/>
      <c r="C692" s="298"/>
      <c r="D692" s="298"/>
      <c r="E692" s="298"/>
      <c r="F692" s="298"/>
      <c r="G692" s="298"/>
      <c r="H692" s="298"/>
      <c r="I692" s="298"/>
      <c r="J692" s="298"/>
      <c r="K692" s="298"/>
      <c r="L692" s="298"/>
      <c r="M692" s="483"/>
      <c r="N692" s="484"/>
      <c r="O692" s="484"/>
      <c r="P692" s="484"/>
      <c r="Q692" s="484"/>
      <c r="R692" s="298"/>
      <c r="S692" s="86"/>
      <c r="T692" s="86"/>
      <c r="U692" s="86"/>
      <c r="V692" s="86"/>
      <c r="W692" s="86"/>
      <c r="X692" s="86"/>
      <c r="Y692" s="86"/>
      <c r="Z692" s="449"/>
      <c r="AA692" s="449"/>
      <c r="AB692" s="449"/>
      <c r="AC692" s="449"/>
      <c r="AD692" s="449"/>
      <c r="AE692" s="449"/>
    </row>
    <row r="693">
      <c r="A693" s="97"/>
      <c r="B693" s="298"/>
      <c r="C693" s="298"/>
      <c r="D693" s="298"/>
      <c r="E693" s="298"/>
      <c r="F693" s="298"/>
      <c r="G693" s="298"/>
      <c r="H693" s="298"/>
      <c r="I693" s="298"/>
      <c r="J693" s="298"/>
      <c r="K693" s="298"/>
      <c r="L693" s="298"/>
      <c r="M693" s="483"/>
      <c r="N693" s="484"/>
      <c r="O693" s="484"/>
      <c r="P693" s="484"/>
      <c r="Q693" s="484"/>
      <c r="R693" s="298"/>
      <c r="S693" s="86"/>
      <c r="T693" s="86"/>
      <c r="U693" s="86"/>
      <c r="V693" s="86"/>
      <c r="W693" s="86"/>
      <c r="X693" s="86"/>
      <c r="Y693" s="86"/>
      <c r="Z693" s="449"/>
      <c r="AA693" s="449"/>
      <c r="AB693" s="449"/>
      <c r="AC693" s="449"/>
      <c r="AD693" s="449"/>
      <c r="AE693" s="449"/>
    </row>
    <row r="694">
      <c r="A694" s="97"/>
      <c r="B694" s="298"/>
      <c r="C694" s="298"/>
      <c r="D694" s="298"/>
      <c r="E694" s="298"/>
      <c r="F694" s="298"/>
      <c r="G694" s="298"/>
      <c r="H694" s="298"/>
      <c r="I694" s="298"/>
      <c r="J694" s="298"/>
      <c r="K694" s="298"/>
      <c r="L694" s="298"/>
      <c r="M694" s="483"/>
      <c r="N694" s="484"/>
      <c r="O694" s="484"/>
      <c r="P694" s="484"/>
      <c r="Q694" s="484"/>
      <c r="R694" s="298"/>
      <c r="S694" s="86"/>
      <c r="T694" s="86"/>
      <c r="U694" s="86"/>
      <c r="V694" s="86"/>
      <c r="W694" s="86"/>
      <c r="X694" s="86"/>
      <c r="Y694" s="86"/>
      <c r="Z694" s="449"/>
      <c r="AA694" s="449"/>
      <c r="AB694" s="449"/>
      <c r="AC694" s="449"/>
      <c r="AD694" s="449"/>
      <c r="AE694" s="449"/>
    </row>
    <row r="695">
      <c r="A695" s="97"/>
      <c r="B695" s="298"/>
      <c r="C695" s="298"/>
      <c r="D695" s="298"/>
      <c r="E695" s="298"/>
      <c r="F695" s="298"/>
      <c r="G695" s="298"/>
      <c r="H695" s="298"/>
      <c r="I695" s="298"/>
      <c r="J695" s="298"/>
      <c r="K695" s="298"/>
      <c r="L695" s="298"/>
      <c r="M695" s="483"/>
      <c r="N695" s="484"/>
      <c r="O695" s="484"/>
      <c r="P695" s="484"/>
      <c r="Q695" s="484"/>
      <c r="R695" s="298"/>
      <c r="S695" s="86"/>
      <c r="T695" s="86"/>
      <c r="U695" s="86"/>
      <c r="V695" s="86"/>
      <c r="W695" s="86"/>
      <c r="X695" s="86"/>
      <c r="Y695" s="86"/>
      <c r="Z695" s="449"/>
      <c r="AA695" s="449"/>
      <c r="AB695" s="449"/>
      <c r="AC695" s="449"/>
      <c r="AD695" s="449"/>
      <c r="AE695" s="449"/>
    </row>
    <row r="696">
      <c r="A696" s="97"/>
      <c r="B696" s="298"/>
      <c r="C696" s="298"/>
      <c r="D696" s="298"/>
      <c r="E696" s="298"/>
      <c r="F696" s="298"/>
      <c r="G696" s="298"/>
      <c r="H696" s="298"/>
      <c r="I696" s="298"/>
      <c r="J696" s="298"/>
      <c r="K696" s="298"/>
      <c r="L696" s="298"/>
      <c r="M696" s="483"/>
      <c r="N696" s="484"/>
      <c r="O696" s="484"/>
      <c r="P696" s="484"/>
      <c r="Q696" s="484"/>
      <c r="R696" s="298"/>
      <c r="S696" s="86"/>
      <c r="T696" s="86"/>
      <c r="U696" s="86"/>
      <c r="V696" s="86"/>
      <c r="W696" s="86"/>
      <c r="X696" s="86"/>
      <c r="Y696" s="86"/>
      <c r="Z696" s="449"/>
      <c r="AA696" s="449"/>
      <c r="AB696" s="449"/>
      <c r="AC696" s="449"/>
      <c r="AD696" s="449"/>
      <c r="AE696" s="449"/>
    </row>
    <row r="697">
      <c r="A697" s="97"/>
      <c r="B697" s="298"/>
      <c r="C697" s="298"/>
      <c r="D697" s="298"/>
      <c r="E697" s="298"/>
      <c r="F697" s="298"/>
      <c r="G697" s="298"/>
      <c r="H697" s="298"/>
      <c r="I697" s="298"/>
      <c r="J697" s="298"/>
      <c r="K697" s="298"/>
      <c r="L697" s="298"/>
      <c r="M697" s="483"/>
      <c r="N697" s="484"/>
      <c r="O697" s="484"/>
      <c r="P697" s="484"/>
      <c r="Q697" s="484"/>
      <c r="R697" s="298"/>
      <c r="S697" s="86"/>
      <c r="T697" s="86"/>
      <c r="U697" s="86"/>
      <c r="V697" s="86"/>
      <c r="W697" s="86"/>
      <c r="X697" s="86"/>
      <c r="Y697" s="86"/>
      <c r="Z697" s="449"/>
      <c r="AA697" s="449"/>
      <c r="AB697" s="449"/>
      <c r="AC697" s="449"/>
      <c r="AD697" s="449"/>
      <c r="AE697" s="449"/>
    </row>
    <row r="698">
      <c r="A698" s="97"/>
      <c r="B698" s="298"/>
      <c r="C698" s="298"/>
      <c r="D698" s="298"/>
      <c r="E698" s="298"/>
      <c r="F698" s="298"/>
      <c r="G698" s="298"/>
      <c r="H698" s="298"/>
      <c r="I698" s="298"/>
      <c r="J698" s="298"/>
      <c r="K698" s="298"/>
      <c r="L698" s="298"/>
      <c r="M698" s="483"/>
      <c r="N698" s="484"/>
      <c r="O698" s="484"/>
      <c r="P698" s="484"/>
      <c r="Q698" s="484"/>
      <c r="R698" s="298"/>
      <c r="S698" s="86"/>
      <c r="T698" s="86"/>
      <c r="U698" s="86"/>
      <c r="V698" s="86"/>
      <c r="W698" s="86"/>
      <c r="X698" s="86"/>
      <c r="Y698" s="86"/>
      <c r="Z698" s="449"/>
      <c r="AA698" s="449"/>
      <c r="AB698" s="449"/>
      <c r="AC698" s="449"/>
      <c r="AD698" s="449"/>
      <c r="AE698" s="449"/>
    </row>
    <row r="699">
      <c r="A699" s="97"/>
      <c r="B699" s="298"/>
      <c r="C699" s="298"/>
      <c r="D699" s="298"/>
      <c r="E699" s="298"/>
      <c r="F699" s="298"/>
      <c r="G699" s="298"/>
      <c r="H699" s="298"/>
      <c r="I699" s="298"/>
      <c r="J699" s="298"/>
      <c r="K699" s="298"/>
      <c r="L699" s="298"/>
      <c r="M699" s="483"/>
      <c r="N699" s="484"/>
      <c r="O699" s="484"/>
      <c r="P699" s="484"/>
      <c r="Q699" s="484"/>
      <c r="R699" s="298"/>
      <c r="S699" s="86"/>
      <c r="T699" s="86"/>
      <c r="U699" s="86"/>
      <c r="V699" s="86"/>
      <c r="W699" s="86"/>
      <c r="X699" s="86"/>
      <c r="Y699" s="86"/>
      <c r="Z699" s="449"/>
      <c r="AA699" s="449"/>
      <c r="AB699" s="449"/>
      <c r="AC699" s="449"/>
      <c r="AD699" s="449"/>
      <c r="AE699" s="449"/>
    </row>
    <row r="700">
      <c r="A700" s="97"/>
      <c r="B700" s="298"/>
      <c r="C700" s="298"/>
      <c r="D700" s="298"/>
      <c r="E700" s="298"/>
      <c r="F700" s="298"/>
      <c r="G700" s="298"/>
      <c r="H700" s="298"/>
      <c r="I700" s="298"/>
      <c r="J700" s="298"/>
      <c r="K700" s="298"/>
      <c r="L700" s="298"/>
      <c r="M700" s="483"/>
      <c r="N700" s="484"/>
      <c r="O700" s="484"/>
      <c r="P700" s="484"/>
      <c r="Q700" s="484"/>
      <c r="R700" s="298"/>
      <c r="S700" s="86"/>
      <c r="T700" s="86"/>
      <c r="U700" s="86"/>
      <c r="V700" s="86"/>
      <c r="W700" s="86"/>
      <c r="X700" s="86"/>
      <c r="Y700" s="86"/>
      <c r="Z700" s="449"/>
      <c r="AA700" s="449"/>
      <c r="AB700" s="449"/>
      <c r="AC700" s="449"/>
      <c r="AD700" s="449"/>
      <c r="AE700" s="449"/>
    </row>
    <row r="701">
      <c r="A701" s="97"/>
      <c r="B701" s="298"/>
      <c r="C701" s="298"/>
      <c r="D701" s="298"/>
      <c r="E701" s="298"/>
      <c r="F701" s="298"/>
      <c r="G701" s="298"/>
      <c r="H701" s="298"/>
      <c r="I701" s="298"/>
      <c r="J701" s="298"/>
      <c r="K701" s="298"/>
      <c r="L701" s="298"/>
      <c r="M701" s="483"/>
      <c r="N701" s="484"/>
      <c r="O701" s="484"/>
      <c r="P701" s="484"/>
      <c r="Q701" s="484"/>
      <c r="R701" s="298"/>
      <c r="S701" s="86"/>
      <c r="T701" s="86"/>
      <c r="U701" s="86"/>
      <c r="V701" s="86"/>
      <c r="W701" s="86"/>
      <c r="X701" s="86"/>
      <c r="Y701" s="86"/>
      <c r="Z701" s="449"/>
      <c r="AA701" s="449"/>
      <c r="AB701" s="449"/>
      <c r="AC701" s="449"/>
      <c r="AD701" s="449"/>
      <c r="AE701" s="449"/>
    </row>
    <row r="702">
      <c r="A702" s="97"/>
      <c r="B702" s="298"/>
      <c r="C702" s="298"/>
      <c r="D702" s="298"/>
      <c r="E702" s="298"/>
      <c r="F702" s="298"/>
      <c r="G702" s="298"/>
      <c r="H702" s="298"/>
      <c r="I702" s="298"/>
      <c r="J702" s="298"/>
      <c r="K702" s="298"/>
      <c r="L702" s="298"/>
      <c r="M702" s="483"/>
      <c r="N702" s="484"/>
      <c r="O702" s="484"/>
      <c r="P702" s="484"/>
      <c r="Q702" s="484"/>
      <c r="R702" s="298"/>
      <c r="S702" s="86"/>
      <c r="T702" s="86"/>
      <c r="U702" s="86"/>
      <c r="V702" s="86"/>
      <c r="W702" s="86"/>
      <c r="X702" s="86"/>
      <c r="Y702" s="86"/>
      <c r="Z702" s="449"/>
      <c r="AA702" s="449"/>
      <c r="AB702" s="449"/>
      <c r="AC702" s="449"/>
      <c r="AD702" s="449"/>
      <c r="AE702" s="449"/>
    </row>
    <row r="703">
      <c r="A703" s="97"/>
      <c r="B703" s="298"/>
      <c r="C703" s="298"/>
      <c r="D703" s="298"/>
      <c r="E703" s="298"/>
      <c r="F703" s="298"/>
      <c r="G703" s="298"/>
      <c r="H703" s="298"/>
      <c r="I703" s="298"/>
      <c r="J703" s="298"/>
      <c r="K703" s="298"/>
      <c r="L703" s="298"/>
      <c r="M703" s="483"/>
      <c r="N703" s="484"/>
      <c r="O703" s="484"/>
      <c r="P703" s="484"/>
      <c r="Q703" s="484"/>
      <c r="R703" s="298"/>
      <c r="S703" s="86"/>
      <c r="T703" s="86"/>
      <c r="U703" s="86"/>
      <c r="V703" s="86"/>
      <c r="W703" s="86"/>
      <c r="X703" s="86"/>
      <c r="Y703" s="86"/>
      <c r="Z703" s="449"/>
      <c r="AA703" s="449"/>
      <c r="AB703" s="449"/>
      <c r="AC703" s="449"/>
      <c r="AD703" s="449"/>
      <c r="AE703" s="449"/>
    </row>
    <row r="704">
      <c r="A704" s="97"/>
      <c r="B704" s="298"/>
      <c r="C704" s="298"/>
      <c r="D704" s="298"/>
      <c r="E704" s="298"/>
      <c r="F704" s="298"/>
      <c r="G704" s="298"/>
      <c r="H704" s="298"/>
      <c r="I704" s="298"/>
      <c r="J704" s="298"/>
      <c r="K704" s="298"/>
      <c r="L704" s="298"/>
      <c r="M704" s="483"/>
      <c r="N704" s="484"/>
      <c r="O704" s="484"/>
      <c r="P704" s="484"/>
      <c r="Q704" s="484"/>
      <c r="R704" s="298"/>
      <c r="S704" s="86"/>
      <c r="T704" s="86"/>
      <c r="U704" s="86"/>
      <c r="V704" s="86"/>
      <c r="W704" s="86"/>
      <c r="X704" s="86"/>
      <c r="Y704" s="86"/>
      <c r="Z704" s="449"/>
      <c r="AA704" s="449"/>
      <c r="AB704" s="449"/>
      <c r="AC704" s="449"/>
      <c r="AD704" s="449"/>
      <c r="AE704" s="449"/>
    </row>
    <row r="705">
      <c r="A705" s="97"/>
      <c r="B705" s="298"/>
      <c r="C705" s="298"/>
      <c r="D705" s="298"/>
      <c r="E705" s="298"/>
      <c r="F705" s="298"/>
      <c r="G705" s="298"/>
      <c r="H705" s="298"/>
      <c r="I705" s="298"/>
      <c r="J705" s="298"/>
      <c r="K705" s="298"/>
      <c r="L705" s="298"/>
      <c r="M705" s="483"/>
      <c r="N705" s="484"/>
      <c r="O705" s="484"/>
      <c r="P705" s="484"/>
      <c r="Q705" s="484"/>
      <c r="R705" s="298"/>
      <c r="S705" s="86"/>
      <c r="T705" s="86"/>
      <c r="U705" s="86"/>
      <c r="V705" s="86"/>
      <c r="W705" s="86"/>
      <c r="X705" s="86"/>
      <c r="Y705" s="86"/>
      <c r="Z705" s="449"/>
      <c r="AA705" s="449"/>
      <c r="AB705" s="449"/>
      <c r="AC705" s="449"/>
      <c r="AD705" s="449"/>
      <c r="AE705" s="449"/>
    </row>
    <row r="706">
      <c r="A706" s="97"/>
      <c r="B706" s="298"/>
      <c r="C706" s="298"/>
      <c r="D706" s="298"/>
      <c r="E706" s="298"/>
      <c r="F706" s="298"/>
      <c r="G706" s="298"/>
      <c r="H706" s="298"/>
      <c r="I706" s="298"/>
      <c r="J706" s="298"/>
      <c r="K706" s="298"/>
      <c r="L706" s="298"/>
      <c r="M706" s="483"/>
      <c r="N706" s="484"/>
      <c r="O706" s="484"/>
      <c r="P706" s="484"/>
      <c r="Q706" s="484"/>
      <c r="R706" s="298"/>
      <c r="S706" s="86"/>
      <c r="T706" s="86"/>
      <c r="U706" s="86"/>
      <c r="V706" s="86"/>
      <c r="W706" s="86"/>
      <c r="X706" s="86"/>
      <c r="Y706" s="86"/>
      <c r="Z706" s="449"/>
      <c r="AA706" s="449"/>
      <c r="AB706" s="449"/>
      <c r="AC706" s="449"/>
      <c r="AD706" s="449"/>
      <c r="AE706" s="449"/>
    </row>
    <row r="707">
      <c r="A707" s="97"/>
      <c r="B707" s="298"/>
      <c r="C707" s="298"/>
      <c r="D707" s="298"/>
      <c r="E707" s="298"/>
      <c r="F707" s="298"/>
      <c r="G707" s="298"/>
      <c r="H707" s="298"/>
      <c r="I707" s="298"/>
      <c r="J707" s="298"/>
      <c r="K707" s="298"/>
      <c r="L707" s="298"/>
      <c r="M707" s="483"/>
      <c r="N707" s="484"/>
      <c r="O707" s="484"/>
      <c r="P707" s="484"/>
      <c r="Q707" s="484"/>
      <c r="R707" s="298"/>
      <c r="S707" s="86"/>
      <c r="T707" s="86"/>
      <c r="U707" s="86"/>
      <c r="V707" s="86"/>
      <c r="W707" s="86"/>
      <c r="X707" s="86"/>
      <c r="Y707" s="86"/>
      <c r="Z707" s="449"/>
      <c r="AA707" s="449"/>
      <c r="AB707" s="449"/>
      <c r="AC707" s="449"/>
      <c r="AD707" s="449"/>
      <c r="AE707" s="449"/>
    </row>
    <row r="708">
      <c r="A708" s="97"/>
      <c r="B708" s="298"/>
      <c r="C708" s="298"/>
      <c r="D708" s="298"/>
      <c r="E708" s="298"/>
      <c r="F708" s="298"/>
      <c r="G708" s="298"/>
      <c r="H708" s="298"/>
      <c r="I708" s="298"/>
      <c r="J708" s="298"/>
      <c r="K708" s="298"/>
      <c r="L708" s="298"/>
      <c r="M708" s="483"/>
      <c r="N708" s="484"/>
      <c r="O708" s="484"/>
      <c r="P708" s="484"/>
      <c r="Q708" s="484"/>
      <c r="R708" s="298"/>
      <c r="S708" s="86"/>
      <c r="T708" s="86"/>
      <c r="U708" s="86"/>
      <c r="V708" s="86"/>
      <c r="W708" s="86"/>
      <c r="X708" s="86"/>
      <c r="Y708" s="86"/>
      <c r="Z708" s="449"/>
      <c r="AA708" s="449"/>
      <c r="AB708" s="449"/>
      <c r="AC708" s="449"/>
      <c r="AD708" s="449"/>
      <c r="AE708" s="449"/>
    </row>
    <row r="709">
      <c r="A709" s="97"/>
      <c r="B709" s="298"/>
      <c r="C709" s="298"/>
      <c r="D709" s="298"/>
      <c r="E709" s="298"/>
      <c r="F709" s="298"/>
      <c r="G709" s="298"/>
      <c r="H709" s="298"/>
      <c r="I709" s="298"/>
      <c r="J709" s="298"/>
      <c r="K709" s="298"/>
      <c r="L709" s="298"/>
      <c r="M709" s="483"/>
      <c r="N709" s="484"/>
      <c r="O709" s="484"/>
      <c r="P709" s="484"/>
      <c r="Q709" s="484"/>
      <c r="R709" s="298"/>
      <c r="S709" s="86"/>
      <c r="T709" s="86"/>
      <c r="U709" s="86"/>
      <c r="V709" s="86"/>
      <c r="W709" s="86"/>
      <c r="X709" s="86"/>
      <c r="Y709" s="86"/>
      <c r="Z709" s="449"/>
      <c r="AA709" s="449"/>
      <c r="AB709" s="449"/>
      <c r="AC709" s="449"/>
      <c r="AD709" s="449"/>
      <c r="AE709" s="449"/>
    </row>
    <row r="710">
      <c r="A710" s="97"/>
      <c r="B710" s="298"/>
      <c r="C710" s="298"/>
      <c r="D710" s="298"/>
      <c r="E710" s="298"/>
      <c r="F710" s="298"/>
      <c r="G710" s="298"/>
      <c r="H710" s="298"/>
      <c r="I710" s="298"/>
      <c r="J710" s="298"/>
      <c r="K710" s="298"/>
      <c r="L710" s="298"/>
      <c r="M710" s="483"/>
      <c r="N710" s="484"/>
      <c r="O710" s="484"/>
      <c r="P710" s="484"/>
      <c r="Q710" s="484"/>
      <c r="R710" s="298"/>
      <c r="S710" s="86"/>
      <c r="T710" s="86"/>
      <c r="U710" s="86"/>
      <c r="V710" s="86"/>
      <c r="W710" s="86"/>
      <c r="X710" s="86"/>
      <c r="Y710" s="86"/>
      <c r="Z710" s="449"/>
      <c r="AA710" s="449"/>
      <c r="AB710" s="449"/>
      <c r="AC710" s="449"/>
      <c r="AD710" s="449"/>
      <c r="AE710" s="449"/>
    </row>
    <row r="711">
      <c r="A711" s="97"/>
      <c r="B711" s="298"/>
      <c r="C711" s="298"/>
      <c r="D711" s="298"/>
      <c r="E711" s="298"/>
      <c r="F711" s="298"/>
      <c r="G711" s="298"/>
      <c r="H711" s="298"/>
      <c r="I711" s="298"/>
      <c r="J711" s="298"/>
      <c r="K711" s="298"/>
      <c r="L711" s="298"/>
      <c r="M711" s="483"/>
      <c r="N711" s="484"/>
      <c r="O711" s="484"/>
      <c r="P711" s="484"/>
      <c r="Q711" s="484"/>
      <c r="R711" s="298"/>
      <c r="S711" s="86"/>
      <c r="T711" s="86"/>
      <c r="U711" s="86"/>
      <c r="V711" s="86"/>
      <c r="W711" s="86"/>
      <c r="X711" s="86"/>
      <c r="Y711" s="86"/>
      <c r="Z711" s="449"/>
      <c r="AA711" s="449"/>
      <c r="AB711" s="449"/>
      <c r="AC711" s="449"/>
      <c r="AD711" s="449"/>
      <c r="AE711" s="449"/>
    </row>
    <row r="712">
      <c r="A712" s="97"/>
      <c r="B712" s="298"/>
      <c r="C712" s="298"/>
      <c r="D712" s="298"/>
      <c r="E712" s="298"/>
      <c r="F712" s="298"/>
      <c r="G712" s="298"/>
      <c r="H712" s="298"/>
      <c r="I712" s="298"/>
      <c r="J712" s="298"/>
      <c r="K712" s="298"/>
      <c r="L712" s="298"/>
      <c r="M712" s="483"/>
      <c r="N712" s="484"/>
      <c r="O712" s="484"/>
      <c r="P712" s="484"/>
      <c r="Q712" s="484"/>
      <c r="R712" s="298"/>
      <c r="S712" s="86"/>
      <c r="T712" s="86"/>
      <c r="U712" s="86"/>
      <c r="V712" s="86"/>
      <c r="W712" s="86"/>
      <c r="X712" s="86"/>
      <c r="Y712" s="86"/>
      <c r="Z712" s="449"/>
      <c r="AA712" s="449"/>
      <c r="AB712" s="449"/>
      <c r="AC712" s="449"/>
      <c r="AD712" s="449"/>
      <c r="AE712" s="449"/>
    </row>
    <row r="713">
      <c r="A713" s="97"/>
      <c r="B713" s="298"/>
      <c r="C713" s="298"/>
      <c r="D713" s="298"/>
      <c r="E713" s="298"/>
      <c r="F713" s="298"/>
      <c r="G713" s="298"/>
      <c r="H713" s="298"/>
      <c r="I713" s="298"/>
      <c r="J713" s="298"/>
      <c r="K713" s="298"/>
      <c r="L713" s="298"/>
      <c r="M713" s="483"/>
      <c r="N713" s="484"/>
      <c r="O713" s="484"/>
      <c r="P713" s="484"/>
      <c r="Q713" s="484"/>
      <c r="R713" s="298"/>
      <c r="S713" s="86"/>
      <c r="T713" s="86"/>
      <c r="U713" s="86"/>
      <c r="V713" s="86"/>
      <c r="W713" s="86"/>
      <c r="X713" s="86"/>
      <c r="Y713" s="86"/>
      <c r="Z713" s="449"/>
      <c r="AA713" s="449"/>
      <c r="AB713" s="449"/>
      <c r="AC713" s="449"/>
      <c r="AD713" s="449"/>
      <c r="AE713" s="449"/>
    </row>
    <row r="714">
      <c r="A714" s="97"/>
      <c r="B714" s="298"/>
      <c r="C714" s="298"/>
      <c r="D714" s="298"/>
      <c r="E714" s="298"/>
      <c r="F714" s="298"/>
      <c r="G714" s="298"/>
      <c r="H714" s="298"/>
      <c r="I714" s="298"/>
      <c r="J714" s="298"/>
      <c r="K714" s="298"/>
      <c r="L714" s="298"/>
      <c r="M714" s="483"/>
      <c r="N714" s="484"/>
      <c r="O714" s="484"/>
      <c r="P714" s="484"/>
      <c r="Q714" s="484"/>
      <c r="R714" s="298"/>
      <c r="S714" s="86"/>
      <c r="T714" s="86"/>
      <c r="U714" s="86"/>
      <c r="V714" s="86"/>
      <c r="W714" s="86"/>
      <c r="X714" s="86"/>
      <c r="Y714" s="86"/>
      <c r="Z714" s="449"/>
      <c r="AA714" s="449"/>
      <c r="AB714" s="449"/>
      <c r="AC714" s="449"/>
      <c r="AD714" s="449"/>
      <c r="AE714" s="449"/>
    </row>
    <row r="715">
      <c r="A715" s="97"/>
      <c r="B715" s="298"/>
      <c r="C715" s="298"/>
      <c r="D715" s="298"/>
      <c r="E715" s="298"/>
      <c r="F715" s="298"/>
      <c r="G715" s="298"/>
      <c r="H715" s="298"/>
      <c r="I715" s="298"/>
      <c r="J715" s="298"/>
      <c r="K715" s="298"/>
      <c r="L715" s="298"/>
      <c r="M715" s="483"/>
      <c r="N715" s="484"/>
      <c r="O715" s="484"/>
      <c r="P715" s="484"/>
      <c r="Q715" s="484"/>
      <c r="R715" s="298"/>
      <c r="S715" s="86"/>
      <c r="T715" s="86"/>
      <c r="U715" s="86"/>
      <c r="V715" s="86"/>
      <c r="W715" s="86"/>
      <c r="X715" s="86"/>
      <c r="Y715" s="86"/>
      <c r="Z715" s="449"/>
      <c r="AA715" s="449"/>
      <c r="AB715" s="449"/>
      <c r="AC715" s="449"/>
      <c r="AD715" s="449"/>
      <c r="AE715" s="449"/>
    </row>
    <row r="716">
      <c r="A716" s="97"/>
      <c r="B716" s="298"/>
      <c r="C716" s="298"/>
      <c r="D716" s="298"/>
      <c r="E716" s="298"/>
      <c r="F716" s="298"/>
      <c r="G716" s="298"/>
      <c r="H716" s="298"/>
      <c r="I716" s="298"/>
      <c r="J716" s="298"/>
      <c r="K716" s="298"/>
      <c r="L716" s="298"/>
      <c r="M716" s="483"/>
      <c r="N716" s="484"/>
      <c r="O716" s="484"/>
      <c r="P716" s="484"/>
      <c r="Q716" s="484"/>
      <c r="R716" s="298"/>
      <c r="S716" s="86"/>
      <c r="T716" s="86"/>
      <c r="U716" s="86"/>
      <c r="V716" s="86"/>
      <c r="W716" s="86"/>
      <c r="X716" s="86"/>
      <c r="Y716" s="86"/>
      <c r="Z716" s="449"/>
      <c r="AA716" s="449"/>
      <c r="AB716" s="449"/>
      <c r="AC716" s="449"/>
      <c r="AD716" s="449"/>
      <c r="AE716" s="449"/>
    </row>
    <row r="717">
      <c r="A717" s="97"/>
      <c r="B717" s="298"/>
      <c r="C717" s="298"/>
      <c r="D717" s="298"/>
      <c r="E717" s="298"/>
      <c r="F717" s="298"/>
      <c r="G717" s="298"/>
      <c r="H717" s="298"/>
      <c r="I717" s="298"/>
      <c r="J717" s="298"/>
      <c r="K717" s="298"/>
      <c r="L717" s="298"/>
      <c r="M717" s="483"/>
      <c r="N717" s="484"/>
      <c r="O717" s="484"/>
      <c r="P717" s="484"/>
      <c r="Q717" s="484"/>
      <c r="R717" s="298"/>
      <c r="S717" s="86"/>
      <c r="T717" s="86"/>
      <c r="U717" s="86"/>
      <c r="V717" s="86"/>
      <c r="W717" s="86"/>
      <c r="X717" s="86"/>
      <c r="Y717" s="86"/>
      <c r="Z717" s="449"/>
      <c r="AA717" s="449"/>
      <c r="AB717" s="449"/>
      <c r="AC717" s="449"/>
      <c r="AD717" s="449"/>
      <c r="AE717" s="449"/>
    </row>
    <row r="718">
      <c r="A718" s="97"/>
      <c r="B718" s="298"/>
      <c r="C718" s="298"/>
      <c r="D718" s="298"/>
      <c r="E718" s="298"/>
      <c r="F718" s="298"/>
      <c r="G718" s="298"/>
      <c r="H718" s="298"/>
      <c r="I718" s="298"/>
      <c r="J718" s="298"/>
      <c r="K718" s="298"/>
      <c r="L718" s="298"/>
      <c r="M718" s="483"/>
      <c r="N718" s="484"/>
      <c r="O718" s="484"/>
      <c r="P718" s="484"/>
      <c r="Q718" s="484"/>
      <c r="R718" s="298"/>
      <c r="S718" s="86"/>
      <c r="T718" s="86"/>
      <c r="U718" s="86"/>
      <c r="V718" s="86"/>
      <c r="W718" s="86"/>
      <c r="X718" s="86"/>
      <c r="Y718" s="86"/>
      <c r="Z718" s="449"/>
      <c r="AA718" s="449"/>
      <c r="AB718" s="449"/>
      <c r="AC718" s="449"/>
      <c r="AD718" s="449"/>
      <c r="AE718" s="449"/>
    </row>
    <row r="719">
      <c r="A719" s="97"/>
      <c r="B719" s="298"/>
      <c r="C719" s="298"/>
      <c r="D719" s="298"/>
      <c r="E719" s="298"/>
      <c r="F719" s="298"/>
      <c r="G719" s="298"/>
      <c r="H719" s="298"/>
      <c r="I719" s="298"/>
      <c r="J719" s="298"/>
      <c r="K719" s="298"/>
      <c r="L719" s="298"/>
      <c r="M719" s="483"/>
      <c r="N719" s="484"/>
      <c r="O719" s="484"/>
      <c r="P719" s="484"/>
      <c r="Q719" s="484"/>
      <c r="R719" s="298"/>
      <c r="S719" s="86"/>
      <c r="T719" s="86"/>
      <c r="U719" s="86"/>
      <c r="V719" s="86"/>
      <c r="W719" s="86"/>
      <c r="X719" s="86"/>
      <c r="Y719" s="86"/>
      <c r="Z719" s="449"/>
      <c r="AA719" s="449"/>
      <c r="AB719" s="449"/>
      <c r="AC719" s="449"/>
      <c r="AD719" s="449"/>
      <c r="AE719" s="449"/>
    </row>
    <row r="720">
      <c r="A720" s="97"/>
      <c r="B720" s="298"/>
      <c r="C720" s="298"/>
      <c r="D720" s="298"/>
      <c r="E720" s="298"/>
      <c r="F720" s="298"/>
      <c r="G720" s="298"/>
      <c r="H720" s="298"/>
      <c r="I720" s="298"/>
      <c r="J720" s="298"/>
      <c r="K720" s="298"/>
      <c r="L720" s="298"/>
      <c r="M720" s="483"/>
      <c r="N720" s="484"/>
      <c r="O720" s="484"/>
      <c r="P720" s="484"/>
      <c r="Q720" s="484"/>
      <c r="R720" s="298"/>
      <c r="S720" s="86"/>
      <c r="T720" s="86"/>
      <c r="U720" s="86"/>
      <c r="V720" s="86"/>
      <c r="W720" s="86"/>
      <c r="X720" s="86"/>
      <c r="Y720" s="86"/>
      <c r="Z720" s="449"/>
      <c r="AA720" s="449"/>
      <c r="AB720" s="449"/>
      <c r="AC720" s="449"/>
      <c r="AD720" s="449"/>
      <c r="AE720" s="449"/>
    </row>
    <row r="721">
      <c r="A721" s="97"/>
      <c r="B721" s="298"/>
      <c r="C721" s="298"/>
      <c r="D721" s="298"/>
      <c r="E721" s="298"/>
      <c r="F721" s="298"/>
      <c r="G721" s="298"/>
      <c r="H721" s="298"/>
      <c r="I721" s="298"/>
      <c r="J721" s="298"/>
      <c r="K721" s="298"/>
      <c r="L721" s="298"/>
      <c r="M721" s="483"/>
      <c r="N721" s="484"/>
      <c r="O721" s="484"/>
      <c r="P721" s="484"/>
      <c r="Q721" s="484"/>
      <c r="R721" s="298"/>
      <c r="S721" s="86"/>
      <c r="T721" s="86"/>
      <c r="U721" s="86"/>
      <c r="V721" s="86"/>
      <c r="W721" s="86"/>
      <c r="X721" s="86"/>
      <c r="Y721" s="86"/>
      <c r="Z721" s="449"/>
      <c r="AA721" s="449"/>
      <c r="AB721" s="449"/>
      <c r="AC721" s="449"/>
      <c r="AD721" s="449"/>
      <c r="AE721" s="449"/>
    </row>
    <row r="722">
      <c r="A722" s="97"/>
      <c r="B722" s="298"/>
      <c r="C722" s="298"/>
      <c r="D722" s="298"/>
      <c r="E722" s="298"/>
      <c r="F722" s="298"/>
      <c r="G722" s="298"/>
      <c r="H722" s="298"/>
      <c r="I722" s="298"/>
      <c r="J722" s="298"/>
      <c r="K722" s="298"/>
      <c r="L722" s="298"/>
      <c r="M722" s="483"/>
      <c r="N722" s="484"/>
      <c r="O722" s="484"/>
      <c r="P722" s="484"/>
      <c r="Q722" s="484"/>
      <c r="R722" s="298"/>
      <c r="S722" s="86"/>
      <c r="T722" s="86"/>
      <c r="U722" s="86"/>
      <c r="V722" s="86"/>
      <c r="W722" s="86"/>
      <c r="X722" s="86"/>
      <c r="Y722" s="86"/>
      <c r="Z722" s="449"/>
      <c r="AA722" s="449"/>
      <c r="AB722" s="449"/>
      <c r="AC722" s="449"/>
      <c r="AD722" s="449"/>
      <c r="AE722" s="449"/>
    </row>
    <row r="723">
      <c r="A723" s="97"/>
      <c r="B723" s="298"/>
      <c r="C723" s="298"/>
      <c r="D723" s="298"/>
      <c r="E723" s="298"/>
      <c r="F723" s="298"/>
      <c r="G723" s="298"/>
      <c r="H723" s="298"/>
      <c r="I723" s="298"/>
      <c r="J723" s="298"/>
      <c r="K723" s="298"/>
      <c r="L723" s="298"/>
      <c r="M723" s="483"/>
      <c r="N723" s="484"/>
      <c r="O723" s="484"/>
      <c r="P723" s="484"/>
      <c r="Q723" s="484"/>
      <c r="R723" s="298"/>
      <c r="S723" s="86"/>
      <c r="T723" s="86"/>
      <c r="U723" s="86"/>
      <c r="V723" s="86"/>
      <c r="W723" s="86"/>
      <c r="X723" s="86"/>
      <c r="Y723" s="86"/>
      <c r="Z723" s="449"/>
      <c r="AA723" s="449"/>
      <c r="AB723" s="449"/>
      <c r="AC723" s="449"/>
      <c r="AD723" s="449"/>
      <c r="AE723" s="449"/>
    </row>
    <row r="724">
      <c r="A724" s="97"/>
      <c r="B724" s="298"/>
      <c r="C724" s="298"/>
      <c r="D724" s="298"/>
      <c r="E724" s="298"/>
      <c r="F724" s="298"/>
      <c r="G724" s="298"/>
      <c r="H724" s="298"/>
      <c r="I724" s="298"/>
      <c r="J724" s="298"/>
      <c r="K724" s="298"/>
      <c r="L724" s="298"/>
      <c r="M724" s="483"/>
      <c r="N724" s="484"/>
      <c r="O724" s="484"/>
      <c r="P724" s="484"/>
      <c r="Q724" s="484"/>
      <c r="R724" s="298"/>
      <c r="S724" s="86"/>
      <c r="T724" s="86"/>
      <c r="U724" s="86"/>
      <c r="V724" s="86"/>
      <c r="W724" s="86"/>
      <c r="X724" s="86"/>
      <c r="Y724" s="86"/>
      <c r="Z724" s="449"/>
      <c r="AA724" s="449"/>
      <c r="AB724" s="449"/>
      <c r="AC724" s="449"/>
      <c r="AD724" s="449"/>
      <c r="AE724" s="449"/>
    </row>
    <row r="725">
      <c r="A725" s="97"/>
      <c r="B725" s="298"/>
      <c r="C725" s="298"/>
      <c r="D725" s="298"/>
      <c r="E725" s="298"/>
      <c r="F725" s="298"/>
      <c r="G725" s="298"/>
      <c r="H725" s="298"/>
      <c r="I725" s="298"/>
      <c r="J725" s="298"/>
      <c r="K725" s="298"/>
      <c r="L725" s="298"/>
      <c r="M725" s="483"/>
      <c r="N725" s="484"/>
      <c r="O725" s="484"/>
      <c r="P725" s="484"/>
      <c r="Q725" s="484"/>
      <c r="R725" s="298"/>
      <c r="S725" s="86"/>
      <c r="T725" s="86"/>
      <c r="U725" s="86"/>
      <c r="V725" s="86"/>
      <c r="W725" s="86"/>
      <c r="X725" s="86"/>
      <c r="Y725" s="86"/>
      <c r="Z725" s="449"/>
      <c r="AA725" s="449"/>
      <c r="AB725" s="449"/>
      <c r="AC725" s="449"/>
      <c r="AD725" s="449"/>
      <c r="AE725" s="449"/>
    </row>
    <row r="726">
      <c r="A726" s="97"/>
      <c r="B726" s="298"/>
      <c r="C726" s="298"/>
      <c r="D726" s="298"/>
      <c r="E726" s="298"/>
      <c r="F726" s="298"/>
      <c r="G726" s="298"/>
      <c r="H726" s="298"/>
      <c r="I726" s="298"/>
      <c r="J726" s="298"/>
      <c r="K726" s="298"/>
      <c r="L726" s="298"/>
      <c r="M726" s="483"/>
      <c r="N726" s="484"/>
      <c r="O726" s="484"/>
      <c r="P726" s="484"/>
      <c r="Q726" s="484"/>
      <c r="R726" s="298"/>
      <c r="S726" s="86"/>
      <c r="T726" s="86"/>
      <c r="U726" s="86"/>
      <c r="V726" s="86"/>
      <c r="W726" s="86"/>
      <c r="X726" s="86"/>
      <c r="Y726" s="86"/>
      <c r="Z726" s="449"/>
      <c r="AA726" s="449"/>
      <c r="AB726" s="449"/>
      <c r="AC726" s="449"/>
      <c r="AD726" s="449"/>
      <c r="AE726" s="449"/>
    </row>
    <row r="727">
      <c r="A727" s="97"/>
      <c r="B727" s="298"/>
      <c r="C727" s="298"/>
      <c r="D727" s="298"/>
      <c r="E727" s="298"/>
      <c r="F727" s="298"/>
      <c r="G727" s="298"/>
      <c r="H727" s="298"/>
      <c r="I727" s="298"/>
      <c r="J727" s="298"/>
      <c r="K727" s="298"/>
      <c r="L727" s="298"/>
      <c r="M727" s="483"/>
      <c r="N727" s="484"/>
      <c r="O727" s="484"/>
      <c r="P727" s="484"/>
      <c r="Q727" s="484"/>
      <c r="R727" s="298"/>
      <c r="S727" s="86"/>
      <c r="T727" s="86"/>
      <c r="U727" s="86"/>
      <c r="V727" s="86"/>
      <c r="W727" s="86"/>
      <c r="X727" s="86"/>
      <c r="Y727" s="86"/>
      <c r="Z727" s="449"/>
      <c r="AA727" s="449"/>
      <c r="AB727" s="449"/>
      <c r="AC727" s="449"/>
      <c r="AD727" s="449"/>
      <c r="AE727" s="449"/>
    </row>
    <row r="728">
      <c r="A728" s="97"/>
      <c r="B728" s="298"/>
      <c r="C728" s="298"/>
      <c r="D728" s="298"/>
      <c r="E728" s="298"/>
      <c r="F728" s="298"/>
      <c r="G728" s="298"/>
      <c r="H728" s="298"/>
      <c r="I728" s="298"/>
      <c r="J728" s="298"/>
      <c r="K728" s="298"/>
      <c r="L728" s="298"/>
      <c r="M728" s="483"/>
      <c r="N728" s="484"/>
      <c r="O728" s="484"/>
      <c r="P728" s="484"/>
      <c r="Q728" s="484"/>
      <c r="R728" s="298"/>
      <c r="S728" s="86"/>
      <c r="T728" s="86"/>
      <c r="U728" s="86"/>
      <c r="V728" s="86"/>
      <c r="W728" s="86"/>
      <c r="X728" s="86"/>
      <c r="Y728" s="86"/>
      <c r="Z728" s="449"/>
      <c r="AA728" s="449"/>
      <c r="AB728" s="449"/>
      <c r="AC728" s="449"/>
      <c r="AD728" s="449"/>
      <c r="AE728" s="449"/>
    </row>
    <row r="729">
      <c r="A729" s="97"/>
      <c r="B729" s="298"/>
      <c r="C729" s="298"/>
      <c r="D729" s="298"/>
      <c r="E729" s="298"/>
      <c r="F729" s="298"/>
      <c r="G729" s="298"/>
      <c r="H729" s="298"/>
      <c r="I729" s="298"/>
      <c r="J729" s="298"/>
      <c r="K729" s="298"/>
      <c r="L729" s="298"/>
      <c r="M729" s="483"/>
      <c r="N729" s="484"/>
      <c r="O729" s="484"/>
      <c r="P729" s="484"/>
      <c r="Q729" s="484"/>
      <c r="R729" s="298"/>
      <c r="S729" s="86"/>
      <c r="T729" s="86"/>
      <c r="U729" s="86"/>
      <c r="V729" s="86"/>
      <c r="W729" s="86"/>
      <c r="X729" s="86"/>
      <c r="Y729" s="86"/>
      <c r="Z729" s="449"/>
      <c r="AA729" s="449"/>
      <c r="AB729" s="449"/>
      <c r="AC729" s="449"/>
      <c r="AD729" s="449"/>
      <c r="AE729" s="449"/>
    </row>
    <row r="730">
      <c r="A730" s="97"/>
      <c r="B730" s="298"/>
      <c r="C730" s="298"/>
      <c r="D730" s="298"/>
      <c r="E730" s="298"/>
      <c r="F730" s="298"/>
      <c r="G730" s="298"/>
      <c r="H730" s="298"/>
      <c r="I730" s="298"/>
      <c r="J730" s="298"/>
      <c r="K730" s="298"/>
      <c r="L730" s="298"/>
      <c r="M730" s="483"/>
      <c r="N730" s="484"/>
      <c r="O730" s="484"/>
      <c r="P730" s="484"/>
      <c r="Q730" s="484"/>
      <c r="R730" s="298"/>
      <c r="S730" s="86"/>
      <c r="T730" s="86"/>
      <c r="U730" s="86"/>
      <c r="V730" s="86"/>
      <c r="W730" s="86"/>
      <c r="X730" s="86"/>
      <c r="Y730" s="86"/>
      <c r="Z730" s="449"/>
      <c r="AA730" s="449"/>
      <c r="AB730" s="449"/>
      <c r="AC730" s="449"/>
      <c r="AD730" s="449"/>
      <c r="AE730" s="449"/>
    </row>
    <row r="731">
      <c r="A731" s="97"/>
      <c r="B731" s="298"/>
      <c r="C731" s="298"/>
      <c r="D731" s="298"/>
      <c r="E731" s="298"/>
      <c r="F731" s="298"/>
      <c r="G731" s="298"/>
      <c r="H731" s="298"/>
      <c r="I731" s="298"/>
      <c r="J731" s="298"/>
      <c r="K731" s="298"/>
      <c r="L731" s="298"/>
      <c r="M731" s="483"/>
      <c r="N731" s="484"/>
      <c r="O731" s="484"/>
      <c r="P731" s="484"/>
      <c r="Q731" s="484"/>
      <c r="R731" s="298"/>
      <c r="S731" s="86"/>
      <c r="T731" s="86"/>
      <c r="U731" s="86"/>
      <c r="V731" s="86"/>
      <c r="W731" s="86"/>
      <c r="X731" s="86"/>
      <c r="Y731" s="86"/>
      <c r="Z731" s="449"/>
      <c r="AA731" s="449"/>
      <c r="AB731" s="449"/>
      <c r="AC731" s="449"/>
      <c r="AD731" s="449"/>
      <c r="AE731" s="449"/>
    </row>
    <row r="732">
      <c r="A732" s="97"/>
      <c r="B732" s="298"/>
      <c r="C732" s="298"/>
      <c r="D732" s="298"/>
      <c r="E732" s="298"/>
      <c r="F732" s="298"/>
      <c r="G732" s="298"/>
      <c r="H732" s="298"/>
      <c r="I732" s="298"/>
      <c r="J732" s="298"/>
      <c r="K732" s="298"/>
      <c r="L732" s="298"/>
      <c r="M732" s="483"/>
      <c r="N732" s="484"/>
      <c r="O732" s="484"/>
      <c r="P732" s="484"/>
      <c r="Q732" s="484"/>
      <c r="R732" s="298"/>
      <c r="S732" s="86"/>
      <c r="T732" s="86"/>
      <c r="U732" s="86"/>
      <c r="V732" s="86"/>
      <c r="W732" s="86"/>
      <c r="X732" s="86"/>
      <c r="Y732" s="86"/>
      <c r="Z732" s="449"/>
      <c r="AA732" s="449"/>
      <c r="AB732" s="449"/>
      <c r="AC732" s="449"/>
      <c r="AD732" s="449"/>
      <c r="AE732" s="449"/>
    </row>
    <row r="733">
      <c r="A733" s="97"/>
      <c r="B733" s="298"/>
      <c r="C733" s="298"/>
      <c r="D733" s="298"/>
      <c r="E733" s="298"/>
      <c r="F733" s="298"/>
      <c r="G733" s="298"/>
      <c r="H733" s="298"/>
      <c r="I733" s="298"/>
      <c r="J733" s="298"/>
      <c r="K733" s="298"/>
      <c r="L733" s="298"/>
      <c r="M733" s="483"/>
      <c r="N733" s="484"/>
      <c r="O733" s="484"/>
      <c r="P733" s="484"/>
      <c r="Q733" s="484"/>
      <c r="R733" s="298"/>
      <c r="S733" s="86"/>
      <c r="T733" s="86"/>
      <c r="U733" s="86"/>
      <c r="V733" s="86"/>
      <c r="W733" s="86"/>
      <c r="X733" s="86"/>
      <c r="Y733" s="86"/>
      <c r="Z733" s="449"/>
      <c r="AA733" s="449"/>
      <c r="AB733" s="449"/>
      <c r="AC733" s="449"/>
      <c r="AD733" s="449"/>
      <c r="AE733" s="449"/>
    </row>
    <row r="734">
      <c r="A734" s="97"/>
      <c r="B734" s="298"/>
      <c r="C734" s="298"/>
      <c r="D734" s="298"/>
      <c r="E734" s="298"/>
      <c r="F734" s="298"/>
      <c r="G734" s="298"/>
      <c r="H734" s="298"/>
      <c r="I734" s="298"/>
      <c r="J734" s="298"/>
      <c r="K734" s="298"/>
      <c r="L734" s="298"/>
      <c r="M734" s="483"/>
      <c r="N734" s="484"/>
      <c r="O734" s="484"/>
      <c r="P734" s="484"/>
      <c r="Q734" s="484"/>
      <c r="R734" s="298"/>
      <c r="S734" s="86"/>
      <c r="T734" s="86"/>
      <c r="U734" s="86"/>
      <c r="V734" s="86"/>
      <c r="W734" s="86"/>
      <c r="X734" s="86"/>
      <c r="Y734" s="86"/>
      <c r="Z734" s="449"/>
      <c r="AA734" s="449"/>
      <c r="AB734" s="449"/>
      <c r="AC734" s="449"/>
      <c r="AD734" s="449"/>
      <c r="AE734" s="449"/>
    </row>
    <row r="735">
      <c r="A735" s="97"/>
      <c r="B735" s="298"/>
      <c r="C735" s="298"/>
      <c r="D735" s="298"/>
      <c r="E735" s="298"/>
      <c r="F735" s="298"/>
      <c r="G735" s="298"/>
      <c r="H735" s="298"/>
      <c r="I735" s="298"/>
      <c r="J735" s="298"/>
      <c r="K735" s="298"/>
      <c r="L735" s="298"/>
      <c r="M735" s="483"/>
      <c r="N735" s="484"/>
      <c r="O735" s="484"/>
      <c r="P735" s="484"/>
      <c r="Q735" s="484"/>
      <c r="R735" s="298"/>
      <c r="S735" s="86"/>
      <c r="T735" s="86"/>
      <c r="U735" s="86"/>
      <c r="V735" s="86"/>
      <c r="W735" s="86"/>
      <c r="X735" s="86"/>
      <c r="Y735" s="86"/>
      <c r="Z735" s="449"/>
      <c r="AA735" s="449"/>
      <c r="AB735" s="449"/>
      <c r="AC735" s="449"/>
      <c r="AD735" s="449"/>
      <c r="AE735" s="449"/>
    </row>
    <row r="736">
      <c r="A736" s="97"/>
      <c r="B736" s="298"/>
      <c r="C736" s="298"/>
      <c r="D736" s="298"/>
      <c r="E736" s="298"/>
      <c r="F736" s="298"/>
      <c r="G736" s="298"/>
      <c r="H736" s="298"/>
      <c r="I736" s="298"/>
      <c r="J736" s="298"/>
      <c r="K736" s="298"/>
      <c r="L736" s="298"/>
      <c r="M736" s="483"/>
      <c r="N736" s="484"/>
      <c r="O736" s="484"/>
      <c r="P736" s="484"/>
      <c r="Q736" s="484"/>
      <c r="R736" s="298"/>
      <c r="S736" s="86"/>
      <c r="T736" s="86"/>
      <c r="U736" s="86"/>
      <c r="V736" s="86"/>
      <c r="W736" s="86"/>
      <c r="X736" s="86"/>
      <c r="Y736" s="86"/>
      <c r="Z736" s="449"/>
      <c r="AA736" s="449"/>
      <c r="AB736" s="449"/>
      <c r="AC736" s="449"/>
      <c r="AD736" s="449"/>
      <c r="AE736" s="449"/>
    </row>
    <row r="737">
      <c r="A737" s="97"/>
      <c r="B737" s="298"/>
      <c r="C737" s="298"/>
      <c r="D737" s="298"/>
      <c r="E737" s="298"/>
      <c r="F737" s="298"/>
      <c r="G737" s="298"/>
      <c r="H737" s="298"/>
      <c r="I737" s="298"/>
      <c r="J737" s="298"/>
      <c r="K737" s="298"/>
      <c r="L737" s="298"/>
      <c r="M737" s="483"/>
      <c r="N737" s="484"/>
      <c r="O737" s="484"/>
      <c r="P737" s="484"/>
      <c r="Q737" s="484"/>
      <c r="R737" s="298"/>
      <c r="S737" s="86"/>
      <c r="T737" s="86"/>
      <c r="U737" s="86"/>
      <c r="V737" s="86"/>
      <c r="W737" s="86"/>
      <c r="X737" s="86"/>
      <c r="Y737" s="86"/>
      <c r="Z737" s="449"/>
      <c r="AA737" s="449"/>
      <c r="AB737" s="449"/>
      <c r="AC737" s="449"/>
      <c r="AD737" s="449"/>
      <c r="AE737" s="449"/>
    </row>
    <row r="738">
      <c r="A738" s="97"/>
      <c r="B738" s="298"/>
      <c r="C738" s="298"/>
      <c r="D738" s="298"/>
      <c r="E738" s="298"/>
      <c r="F738" s="298"/>
      <c r="G738" s="298"/>
      <c r="H738" s="298"/>
      <c r="I738" s="298"/>
      <c r="J738" s="298"/>
      <c r="K738" s="298"/>
      <c r="L738" s="298"/>
      <c r="M738" s="483"/>
      <c r="N738" s="484"/>
      <c r="O738" s="484"/>
      <c r="P738" s="484"/>
      <c r="Q738" s="484"/>
      <c r="R738" s="298"/>
      <c r="S738" s="86"/>
      <c r="T738" s="86"/>
      <c r="U738" s="86"/>
      <c r="V738" s="86"/>
      <c r="W738" s="86"/>
      <c r="X738" s="86"/>
      <c r="Y738" s="86"/>
      <c r="Z738" s="449"/>
      <c r="AA738" s="449"/>
      <c r="AB738" s="449"/>
      <c r="AC738" s="449"/>
      <c r="AD738" s="449"/>
      <c r="AE738" s="449"/>
    </row>
    <row r="739">
      <c r="A739" s="97"/>
      <c r="B739" s="298"/>
      <c r="C739" s="298"/>
      <c r="D739" s="298"/>
      <c r="E739" s="298"/>
      <c r="F739" s="298"/>
      <c r="G739" s="298"/>
      <c r="H739" s="298"/>
      <c r="I739" s="298"/>
      <c r="J739" s="298"/>
      <c r="K739" s="298"/>
      <c r="L739" s="298"/>
      <c r="M739" s="483"/>
      <c r="N739" s="484"/>
      <c r="O739" s="484"/>
      <c r="P739" s="484"/>
      <c r="Q739" s="484"/>
      <c r="R739" s="298"/>
      <c r="S739" s="86"/>
      <c r="T739" s="86"/>
      <c r="U739" s="86"/>
      <c r="V739" s="86"/>
      <c r="W739" s="86"/>
      <c r="X739" s="86"/>
      <c r="Y739" s="86"/>
      <c r="Z739" s="449"/>
      <c r="AA739" s="449"/>
      <c r="AB739" s="449"/>
      <c r="AC739" s="449"/>
      <c r="AD739" s="449"/>
      <c r="AE739" s="449"/>
    </row>
    <row r="740">
      <c r="A740" s="97"/>
      <c r="B740" s="298"/>
      <c r="C740" s="298"/>
      <c r="D740" s="298"/>
      <c r="E740" s="298"/>
      <c r="F740" s="298"/>
      <c r="G740" s="298"/>
      <c r="H740" s="298"/>
      <c r="I740" s="298"/>
      <c r="J740" s="298"/>
      <c r="K740" s="298"/>
      <c r="L740" s="298"/>
      <c r="M740" s="483"/>
      <c r="N740" s="484"/>
      <c r="O740" s="484"/>
      <c r="P740" s="484"/>
      <c r="Q740" s="484"/>
      <c r="R740" s="298"/>
      <c r="S740" s="86"/>
      <c r="T740" s="86"/>
      <c r="U740" s="86"/>
      <c r="V740" s="86"/>
      <c r="W740" s="86"/>
      <c r="X740" s="86"/>
      <c r="Y740" s="86"/>
      <c r="Z740" s="449"/>
      <c r="AA740" s="449"/>
      <c r="AB740" s="449"/>
      <c r="AC740" s="449"/>
      <c r="AD740" s="449"/>
      <c r="AE740" s="449"/>
    </row>
    <row r="741">
      <c r="A741" s="97"/>
      <c r="B741" s="298"/>
      <c r="C741" s="298"/>
      <c r="D741" s="298"/>
      <c r="E741" s="298"/>
      <c r="F741" s="298"/>
      <c r="G741" s="298"/>
      <c r="H741" s="298"/>
      <c r="I741" s="298"/>
      <c r="J741" s="298"/>
      <c r="K741" s="298"/>
      <c r="L741" s="298"/>
      <c r="M741" s="483"/>
      <c r="N741" s="484"/>
      <c r="O741" s="484"/>
      <c r="P741" s="484"/>
      <c r="Q741" s="484"/>
      <c r="R741" s="298"/>
      <c r="S741" s="86"/>
      <c r="T741" s="86"/>
      <c r="U741" s="86"/>
      <c r="V741" s="86"/>
      <c r="W741" s="86"/>
      <c r="X741" s="86"/>
      <c r="Y741" s="86"/>
      <c r="Z741" s="449"/>
      <c r="AA741" s="449"/>
      <c r="AB741" s="449"/>
      <c r="AC741" s="449"/>
      <c r="AD741" s="449"/>
      <c r="AE741" s="449"/>
    </row>
    <row r="742">
      <c r="A742" s="97"/>
      <c r="B742" s="298"/>
      <c r="C742" s="298"/>
      <c r="D742" s="298"/>
      <c r="E742" s="298"/>
      <c r="F742" s="298"/>
      <c r="G742" s="298"/>
      <c r="H742" s="298"/>
      <c r="I742" s="298"/>
      <c r="J742" s="298"/>
      <c r="K742" s="298"/>
      <c r="L742" s="298"/>
      <c r="M742" s="483"/>
      <c r="N742" s="484"/>
      <c r="O742" s="484"/>
      <c r="P742" s="484"/>
      <c r="Q742" s="484"/>
      <c r="R742" s="298"/>
      <c r="S742" s="86"/>
      <c r="T742" s="86"/>
      <c r="U742" s="86"/>
      <c r="V742" s="86"/>
      <c r="W742" s="86"/>
      <c r="X742" s="86"/>
      <c r="Y742" s="86"/>
      <c r="Z742" s="449"/>
      <c r="AA742" s="449"/>
      <c r="AB742" s="449"/>
      <c r="AC742" s="449"/>
      <c r="AD742" s="449"/>
      <c r="AE742" s="449"/>
    </row>
    <row r="743">
      <c r="A743" s="97"/>
      <c r="B743" s="298"/>
      <c r="C743" s="298"/>
      <c r="D743" s="298"/>
      <c r="E743" s="298"/>
      <c r="F743" s="298"/>
      <c r="G743" s="298"/>
      <c r="H743" s="298"/>
      <c r="I743" s="298"/>
      <c r="J743" s="298"/>
      <c r="K743" s="298"/>
      <c r="L743" s="298"/>
      <c r="M743" s="483"/>
      <c r="N743" s="484"/>
      <c r="O743" s="484"/>
      <c r="P743" s="484"/>
      <c r="Q743" s="484"/>
      <c r="R743" s="298"/>
      <c r="S743" s="86"/>
      <c r="T743" s="86"/>
      <c r="U743" s="86"/>
      <c r="V743" s="86"/>
      <c r="W743" s="86"/>
      <c r="X743" s="86"/>
      <c r="Y743" s="86"/>
      <c r="Z743" s="449"/>
      <c r="AA743" s="449"/>
      <c r="AB743" s="449"/>
      <c r="AC743" s="449"/>
      <c r="AD743" s="449"/>
      <c r="AE743" s="449"/>
    </row>
    <row r="744">
      <c r="A744" s="97"/>
      <c r="B744" s="298"/>
      <c r="C744" s="298"/>
      <c r="D744" s="298"/>
      <c r="E744" s="298"/>
      <c r="F744" s="298"/>
      <c r="G744" s="298"/>
      <c r="H744" s="298"/>
      <c r="I744" s="298"/>
      <c r="J744" s="298"/>
      <c r="K744" s="298"/>
      <c r="L744" s="298"/>
      <c r="M744" s="483"/>
      <c r="N744" s="484"/>
      <c r="O744" s="484"/>
      <c r="P744" s="484"/>
      <c r="Q744" s="484"/>
      <c r="R744" s="298"/>
      <c r="S744" s="86"/>
      <c r="T744" s="86"/>
      <c r="U744" s="86"/>
      <c r="V744" s="86"/>
      <c r="W744" s="86"/>
      <c r="X744" s="86"/>
      <c r="Y744" s="86"/>
      <c r="Z744" s="449"/>
      <c r="AA744" s="449"/>
      <c r="AB744" s="449"/>
      <c r="AC744" s="449"/>
      <c r="AD744" s="449"/>
      <c r="AE744" s="449"/>
    </row>
    <row r="745">
      <c r="A745" s="97"/>
      <c r="B745" s="298"/>
      <c r="C745" s="298"/>
      <c r="D745" s="298"/>
      <c r="E745" s="298"/>
      <c r="F745" s="298"/>
      <c r="G745" s="298"/>
      <c r="H745" s="298"/>
      <c r="I745" s="298"/>
      <c r="J745" s="298"/>
      <c r="K745" s="298"/>
      <c r="L745" s="298"/>
      <c r="M745" s="483"/>
      <c r="N745" s="484"/>
      <c r="O745" s="484"/>
      <c r="P745" s="484"/>
      <c r="Q745" s="484"/>
      <c r="R745" s="298"/>
      <c r="S745" s="86"/>
      <c r="T745" s="86"/>
      <c r="U745" s="86"/>
      <c r="V745" s="86"/>
      <c r="W745" s="86"/>
      <c r="X745" s="86"/>
      <c r="Y745" s="86"/>
      <c r="Z745" s="449"/>
      <c r="AA745" s="449"/>
      <c r="AB745" s="449"/>
      <c r="AC745" s="449"/>
      <c r="AD745" s="449"/>
      <c r="AE745" s="449"/>
    </row>
    <row r="746">
      <c r="A746" s="97"/>
      <c r="B746" s="298"/>
      <c r="C746" s="298"/>
      <c r="D746" s="298"/>
      <c r="E746" s="298"/>
      <c r="F746" s="298"/>
      <c r="G746" s="298"/>
      <c r="H746" s="298"/>
      <c r="I746" s="298"/>
      <c r="J746" s="298"/>
      <c r="K746" s="298"/>
      <c r="L746" s="298"/>
      <c r="M746" s="483"/>
      <c r="N746" s="484"/>
      <c r="O746" s="484"/>
      <c r="P746" s="484"/>
      <c r="Q746" s="484"/>
      <c r="R746" s="298"/>
      <c r="S746" s="86"/>
      <c r="T746" s="86"/>
      <c r="U746" s="86"/>
      <c r="V746" s="86"/>
      <c r="W746" s="86"/>
      <c r="X746" s="86"/>
      <c r="Y746" s="86"/>
      <c r="Z746" s="449"/>
      <c r="AA746" s="449"/>
      <c r="AB746" s="449"/>
      <c r="AC746" s="449"/>
      <c r="AD746" s="449"/>
      <c r="AE746" s="449"/>
    </row>
    <row r="747">
      <c r="A747" s="97"/>
      <c r="B747" s="298"/>
      <c r="C747" s="298"/>
      <c r="D747" s="298"/>
      <c r="E747" s="298"/>
      <c r="F747" s="298"/>
      <c r="G747" s="298"/>
      <c r="H747" s="298"/>
      <c r="I747" s="298"/>
      <c r="J747" s="298"/>
      <c r="K747" s="298"/>
      <c r="L747" s="298"/>
      <c r="M747" s="483"/>
      <c r="N747" s="484"/>
      <c r="O747" s="484"/>
      <c r="P747" s="484"/>
      <c r="Q747" s="484"/>
      <c r="R747" s="298"/>
      <c r="S747" s="86"/>
      <c r="T747" s="86"/>
      <c r="U747" s="86"/>
      <c r="V747" s="86"/>
      <c r="W747" s="86"/>
      <c r="X747" s="86"/>
      <c r="Y747" s="86"/>
      <c r="Z747" s="449"/>
      <c r="AA747" s="449"/>
      <c r="AB747" s="449"/>
      <c r="AC747" s="449"/>
      <c r="AD747" s="449"/>
      <c r="AE747" s="449"/>
    </row>
    <row r="748">
      <c r="A748" s="97"/>
      <c r="B748" s="298"/>
      <c r="C748" s="298"/>
      <c r="D748" s="298"/>
      <c r="E748" s="298"/>
      <c r="F748" s="298"/>
      <c r="G748" s="298"/>
      <c r="H748" s="298"/>
      <c r="I748" s="298"/>
      <c r="J748" s="298"/>
      <c r="K748" s="298"/>
      <c r="L748" s="298"/>
      <c r="M748" s="483"/>
      <c r="N748" s="484"/>
      <c r="O748" s="484"/>
      <c r="P748" s="484"/>
      <c r="Q748" s="484"/>
      <c r="R748" s="298"/>
      <c r="S748" s="86"/>
      <c r="T748" s="86"/>
      <c r="U748" s="86"/>
      <c r="V748" s="86"/>
      <c r="W748" s="86"/>
      <c r="X748" s="86"/>
      <c r="Y748" s="86"/>
      <c r="Z748" s="449"/>
      <c r="AA748" s="449"/>
      <c r="AB748" s="449"/>
      <c r="AC748" s="449"/>
      <c r="AD748" s="449"/>
      <c r="AE748" s="449"/>
    </row>
    <row r="749">
      <c r="A749" s="97"/>
      <c r="B749" s="298"/>
      <c r="C749" s="298"/>
      <c r="D749" s="298"/>
      <c r="E749" s="298"/>
      <c r="F749" s="298"/>
      <c r="G749" s="298"/>
      <c r="H749" s="298"/>
      <c r="I749" s="298"/>
      <c r="J749" s="298"/>
      <c r="K749" s="298"/>
      <c r="L749" s="298"/>
      <c r="M749" s="483"/>
      <c r="N749" s="484"/>
      <c r="O749" s="484"/>
      <c r="P749" s="484"/>
      <c r="Q749" s="484"/>
      <c r="R749" s="298"/>
      <c r="S749" s="86"/>
      <c r="T749" s="86"/>
      <c r="U749" s="86"/>
      <c r="V749" s="86"/>
      <c r="W749" s="86"/>
      <c r="X749" s="86"/>
      <c r="Y749" s="86"/>
      <c r="Z749" s="449"/>
      <c r="AA749" s="449"/>
      <c r="AB749" s="449"/>
      <c r="AC749" s="449"/>
      <c r="AD749" s="449"/>
      <c r="AE749" s="449"/>
    </row>
    <row r="750">
      <c r="A750" s="97"/>
      <c r="B750" s="298"/>
      <c r="C750" s="298"/>
      <c r="D750" s="298"/>
      <c r="E750" s="298"/>
      <c r="F750" s="298"/>
      <c r="G750" s="298"/>
      <c r="H750" s="298"/>
      <c r="I750" s="298"/>
      <c r="J750" s="298"/>
      <c r="K750" s="298"/>
      <c r="L750" s="298"/>
      <c r="M750" s="483"/>
      <c r="N750" s="484"/>
      <c r="O750" s="484"/>
      <c r="P750" s="484"/>
      <c r="Q750" s="484"/>
      <c r="R750" s="298"/>
      <c r="S750" s="86"/>
      <c r="T750" s="86"/>
      <c r="U750" s="86"/>
      <c r="V750" s="86"/>
      <c r="W750" s="86"/>
      <c r="X750" s="86"/>
      <c r="Y750" s="86"/>
      <c r="Z750" s="449"/>
      <c r="AA750" s="449"/>
      <c r="AB750" s="449"/>
      <c r="AC750" s="449"/>
      <c r="AD750" s="449"/>
      <c r="AE750" s="449"/>
    </row>
    <row r="751">
      <c r="A751" s="97"/>
      <c r="B751" s="298"/>
      <c r="C751" s="298"/>
      <c r="D751" s="298"/>
      <c r="E751" s="298"/>
      <c r="F751" s="298"/>
      <c r="G751" s="298"/>
      <c r="H751" s="298"/>
      <c r="I751" s="298"/>
      <c r="J751" s="298"/>
      <c r="K751" s="298"/>
      <c r="L751" s="298"/>
      <c r="M751" s="483"/>
      <c r="N751" s="484"/>
      <c r="O751" s="484"/>
      <c r="P751" s="484"/>
      <c r="Q751" s="484"/>
      <c r="R751" s="298"/>
      <c r="S751" s="86"/>
      <c r="T751" s="86"/>
      <c r="U751" s="86"/>
      <c r="V751" s="86"/>
      <c r="W751" s="86"/>
      <c r="X751" s="86"/>
      <c r="Y751" s="86"/>
      <c r="Z751" s="449"/>
      <c r="AA751" s="449"/>
      <c r="AB751" s="449"/>
      <c r="AC751" s="449"/>
      <c r="AD751" s="449"/>
      <c r="AE751" s="449"/>
    </row>
    <row r="752">
      <c r="A752" s="97"/>
      <c r="B752" s="298"/>
      <c r="C752" s="298"/>
      <c r="D752" s="298"/>
      <c r="E752" s="298"/>
      <c r="F752" s="298"/>
      <c r="G752" s="298"/>
      <c r="H752" s="298"/>
      <c r="I752" s="298"/>
      <c r="J752" s="298"/>
      <c r="K752" s="298"/>
      <c r="L752" s="298"/>
      <c r="M752" s="483"/>
      <c r="N752" s="484"/>
      <c r="O752" s="484"/>
      <c r="P752" s="484"/>
      <c r="Q752" s="484"/>
      <c r="R752" s="298"/>
      <c r="S752" s="86"/>
      <c r="T752" s="86"/>
      <c r="U752" s="86"/>
      <c r="V752" s="86"/>
      <c r="W752" s="86"/>
      <c r="X752" s="86"/>
      <c r="Y752" s="86"/>
      <c r="Z752" s="449"/>
      <c r="AA752" s="449"/>
      <c r="AB752" s="449"/>
      <c r="AC752" s="449"/>
      <c r="AD752" s="449"/>
      <c r="AE752" s="449"/>
    </row>
    <row r="753">
      <c r="A753" s="97"/>
      <c r="B753" s="298"/>
      <c r="C753" s="298"/>
      <c r="D753" s="298"/>
      <c r="E753" s="298"/>
      <c r="F753" s="298"/>
      <c r="G753" s="298"/>
      <c r="H753" s="298"/>
      <c r="I753" s="298"/>
      <c r="J753" s="298"/>
      <c r="K753" s="298"/>
      <c r="L753" s="298"/>
      <c r="M753" s="483"/>
      <c r="N753" s="484"/>
      <c r="O753" s="484"/>
      <c r="P753" s="484"/>
      <c r="Q753" s="484"/>
      <c r="R753" s="298"/>
      <c r="S753" s="86"/>
      <c r="T753" s="86"/>
      <c r="U753" s="86"/>
      <c r="V753" s="86"/>
      <c r="W753" s="86"/>
      <c r="X753" s="86"/>
      <c r="Y753" s="86"/>
      <c r="Z753" s="449"/>
      <c r="AA753" s="449"/>
      <c r="AB753" s="449"/>
      <c r="AC753" s="449"/>
      <c r="AD753" s="449"/>
      <c r="AE753" s="449"/>
    </row>
    <row r="754">
      <c r="A754" s="97"/>
      <c r="B754" s="298"/>
      <c r="C754" s="298"/>
      <c r="D754" s="298"/>
      <c r="E754" s="298"/>
      <c r="F754" s="298"/>
      <c r="G754" s="298"/>
      <c r="H754" s="298"/>
      <c r="I754" s="298"/>
      <c r="J754" s="298"/>
      <c r="K754" s="298"/>
      <c r="L754" s="298"/>
      <c r="M754" s="483"/>
      <c r="N754" s="484"/>
      <c r="O754" s="484"/>
      <c r="P754" s="484"/>
      <c r="Q754" s="484"/>
      <c r="R754" s="298"/>
      <c r="S754" s="86"/>
      <c r="T754" s="86"/>
      <c r="U754" s="86"/>
      <c r="V754" s="86"/>
      <c r="W754" s="86"/>
      <c r="X754" s="86"/>
      <c r="Y754" s="86"/>
      <c r="Z754" s="449"/>
      <c r="AA754" s="449"/>
      <c r="AB754" s="449"/>
      <c r="AC754" s="449"/>
      <c r="AD754" s="449"/>
      <c r="AE754" s="449"/>
    </row>
    <row r="755">
      <c r="A755" s="97"/>
      <c r="B755" s="298"/>
      <c r="C755" s="298"/>
      <c r="D755" s="298"/>
      <c r="E755" s="298"/>
      <c r="F755" s="298"/>
      <c r="G755" s="298"/>
      <c r="H755" s="298"/>
      <c r="I755" s="298"/>
      <c r="J755" s="298"/>
      <c r="K755" s="298"/>
      <c r="L755" s="298"/>
      <c r="M755" s="483"/>
      <c r="N755" s="484"/>
      <c r="O755" s="484"/>
      <c r="P755" s="484"/>
      <c r="Q755" s="484"/>
      <c r="R755" s="298"/>
      <c r="S755" s="86"/>
      <c r="T755" s="86"/>
      <c r="U755" s="86"/>
      <c r="V755" s="86"/>
      <c r="W755" s="86"/>
      <c r="X755" s="86"/>
      <c r="Y755" s="86"/>
      <c r="Z755" s="449"/>
      <c r="AA755" s="449"/>
      <c r="AB755" s="449"/>
      <c r="AC755" s="449"/>
      <c r="AD755" s="449"/>
      <c r="AE755" s="449"/>
    </row>
    <row r="756">
      <c r="A756" s="97"/>
      <c r="B756" s="298"/>
      <c r="C756" s="298"/>
      <c r="D756" s="298"/>
      <c r="E756" s="298"/>
      <c r="F756" s="298"/>
      <c r="G756" s="298"/>
      <c r="H756" s="298"/>
      <c r="I756" s="298"/>
      <c r="J756" s="298"/>
      <c r="K756" s="298"/>
      <c r="L756" s="298"/>
      <c r="M756" s="483"/>
      <c r="N756" s="484"/>
      <c r="O756" s="484"/>
      <c r="P756" s="484"/>
      <c r="Q756" s="484"/>
      <c r="R756" s="298"/>
      <c r="S756" s="86"/>
      <c r="T756" s="86"/>
      <c r="U756" s="86"/>
      <c r="V756" s="86"/>
      <c r="W756" s="86"/>
      <c r="X756" s="86"/>
      <c r="Y756" s="86"/>
      <c r="Z756" s="449"/>
      <c r="AA756" s="449"/>
      <c r="AB756" s="449"/>
      <c r="AC756" s="449"/>
      <c r="AD756" s="449"/>
      <c r="AE756" s="449"/>
    </row>
    <row r="757">
      <c r="A757" s="97"/>
      <c r="B757" s="298"/>
      <c r="C757" s="298"/>
      <c r="D757" s="298"/>
      <c r="E757" s="298"/>
      <c r="F757" s="298"/>
      <c r="G757" s="298"/>
      <c r="H757" s="298"/>
      <c r="I757" s="298"/>
      <c r="J757" s="298"/>
      <c r="K757" s="298"/>
      <c r="L757" s="298"/>
      <c r="M757" s="483"/>
      <c r="N757" s="484"/>
      <c r="O757" s="484"/>
      <c r="P757" s="484"/>
      <c r="Q757" s="484"/>
      <c r="R757" s="298"/>
      <c r="S757" s="86"/>
      <c r="T757" s="86"/>
      <c r="U757" s="86"/>
      <c r="V757" s="86"/>
      <c r="W757" s="86"/>
      <c r="X757" s="86"/>
      <c r="Y757" s="86"/>
      <c r="Z757" s="449"/>
      <c r="AA757" s="449"/>
      <c r="AB757" s="449"/>
      <c r="AC757" s="449"/>
      <c r="AD757" s="449"/>
      <c r="AE757" s="449"/>
    </row>
    <row r="758">
      <c r="A758" s="97"/>
      <c r="B758" s="298"/>
      <c r="C758" s="298"/>
      <c r="D758" s="298"/>
      <c r="E758" s="298"/>
      <c r="F758" s="298"/>
      <c r="G758" s="298"/>
      <c r="H758" s="298"/>
      <c r="I758" s="298"/>
      <c r="J758" s="298"/>
      <c r="K758" s="298"/>
      <c r="L758" s="298"/>
      <c r="M758" s="483"/>
      <c r="N758" s="484"/>
      <c r="O758" s="484"/>
      <c r="P758" s="484"/>
      <c r="Q758" s="484"/>
      <c r="R758" s="298"/>
      <c r="S758" s="86"/>
      <c r="T758" s="86"/>
      <c r="U758" s="86"/>
      <c r="V758" s="86"/>
      <c r="W758" s="86"/>
      <c r="X758" s="86"/>
      <c r="Y758" s="86"/>
      <c r="Z758" s="449"/>
      <c r="AA758" s="449"/>
      <c r="AB758" s="449"/>
      <c r="AC758" s="449"/>
      <c r="AD758" s="449"/>
      <c r="AE758" s="449"/>
    </row>
    <row r="759">
      <c r="A759" s="97"/>
      <c r="B759" s="298"/>
      <c r="C759" s="298"/>
      <c r="D759" s="298"/>
      <c r="E759" s="298"/>
      <c r="F759" s="298"/>
      <c r="G759" s="298"/>
      <c r="H759" s="298"/>
      <c r="I759" s="298"/>
      <c r="J759" s="298"/>
      <c r="K759" s="298"/>
      <c r="L759" s="298"/>
      <c r="M759" s="483"/>
      <c r="N759" s="484"/>
      <c r="O759" s="484"/>
      <c r="P759" s="484"/>
      <c r="Q759" s="484"/>
      <c r="R759" s="298"/>
      <c r="S759" s="86"/>
      <c r="T759" s="86"/>
      <c r="U759" s="86"/>
      <c r="V759" s="86"/>
      <c r="W759" s="86"/>
      <c r="X759" s="86"/>
      <c r="Y759" s="86"/>
      <c r="Z759" s="449"/>
      <c r="AA759" s="449"/>
      <c r="AB759" s="449"/>
      <c r="AC759" s="449"/>
      <c r="AD759" s="449"/>
      <c r="AE759" s="449"/>
    </row>
    <row r="760">
      <c r="A760" s="97"/>
      <c r="B760" s="298"/>
      <c r="C760" s="298"/>
      <c r="D760" s="298"/>
      <c r="E760" s="298"/>
      <c r="F760" s="298"/>
      <c r="G760" s="298"/>
      <c r="H760" s="298"/>
      <c r="I760" s="298"/>
      <c r="J760" s="298"/>
      <c r="K760" s="298"/>
      <c r="L760" s="298"/>
      <c r="M760" s="483"/>
      <c r="N760" s="484"/>
      <c r="O760" s="484"/>
      <c r="P760" s="484"/>
      <c r="Q760" s="484"/>
      <c r="R760" s="298"/>
      <c r="S760" s="86"/>
      <c r="T760" s="86"/>
      <c r="U760" s="86"/>
      <c r="V760" s="86"/>
      <c r="W760" s="86"/>
      <c r="X760" s="86"/>
      <c r="Y760" s="86"/>
      <c r="Z760" s="449"/>
      <c r="AA760" s="449"/>
      <c r="AB760" s="449"/>
      <c r="AC760" s="449"/>
      <c r="AD760" s="449"/>
      <c r="AE760" s="449"/>
    </row>
    <row r="761">
      <c r="A761" s="97"/>
      <c r="B761" s="298"/>
      <c r="C761" s="298"/>
      <c r="D761" s="298"/>
      <c r="E761" s="298"/>
      <c r="F761" s="298"/>
      <c r="G761" s="298"/>
      <c r="H761" s="298"/>
      <c r="I761" s="298"/>
      <c r="J761" s="298"/>
      <c r="K761" s="298"/>
      <c r="L761" s="298"/>
      <c r="M761" s="483"/>
      <c r="N761" s="484"/>
      <c r="O761" s="484"/>
      <c r="P761" s="484"/>
      <c r="Q761" s="484"/>
      <c r="R761" s="298"/>
      <c r="S761" s="86"/>
      <c r="T761" s="86"/>
      <c r="U761" s="86"/>
      <c r="V761" s="86"/>
      <c r="W761" s="86"/>
      <c r="X761" s="86"/>
      <c r="Y761" s="86"/>
      <c r="Z761" s="449"/>
      <c r="AA761" s="449"/>
      <c r="AB761" s="449"/>
      <c r="AC761" s="449"/>
      <c r="AD761" s="449"/>
      <c r="AE761" s="449"/>
    </row>
    <row r="762">
      <c r="A762" s="97"/>
      <c r="B762" s="298"/>
      <c r="C762" s="298"/>
      <c r="D762" s="298"/>
      <c r="E762" s="298"/>
      <c r="F762" s="298"/>
      <c r="G762" s="298"/>
      <c r="H762" s="298"/>
      <c r="I762" s="298"/>
      <c r="J762" s="298"/>
      <c r="K762" s="298"/>
      <c r="L762" s="298"/>
      <c r="M762" s="483"/>
      <c r="N762" s="484"/>
      <c r="O762" s="484"/>
      <c r="P762" s="484"/>
      <c r="Q762" s="484"/>
      <c r="R762" s="298"/>
      <c r="S762" s="86"/>
      <c r="T762" s="86"/>
      <c r="U762" s="86"/>
      <c r="V762" s="86"/>
      <c r="W762" s="86"/>
      <c r="X762" s="86"/>
      <c r="Y762" s="86"/>
      <c r="Z762" s="449"/>
      <c r="AA762" s="449"/>
      <c r="AB762" s="449"/>
      <c r="AC762" s="449"/>
      <c r="AD762" s="449"/>
      <c r="AE762" s="449"/>
    </row>
    <row r="763">
      <c r="A763" s="97"/>
      <c r="B763" s="298"/>
      <c r="C763" s="298"/>
      <c r="D763" s="298"/>
      <c r="E763" s="298"/>
      <c r="F763" s="298"/>
      <c r="G763" s="298"/>
      <c r="H763" s="298"/>
      <c r="I763" s="298"/>
      <c r="J763" s="298"/>
      <c r="K763" s="298"/>
      <c r="L763" s="298"/>
      <c r="M763" s="483"/>
      <c r="N763" s="484"/>
      <c r="O763" s="484"/>
      <c r="P763" s="484"/>
      <c r="Q763" s="484"/>
      <c r="R763" s="298"/>
      <c r="S763" s="86"/>
      <c r="T763" s="86"/>
      <c r="U763" s="86"/>
      <c r="V763" s="86"/>
      <c r="W763" s="86"/>
      <c r="X763" s="86"/>
      <c r="Y763" s="86"/>
      <c r="Z763" s="449"/>
      <c r="AA763" s="449"/>
      <c r="AB763" s="449"/>
      <c r="AC763" s="449"/>
      <c r="AD763" s="449"/>
      <c r="AE763" s="449"/>
    </row>
    <row r="764">
      <c r="A764" s="97"/>
      <c r="B764" s="298"/>
      <c r="C764" s="298"/>
      <c r="D764" s="298"/>
      <c r="E764" s="298"/>
      <c r="F764" s="298"/>
      <c r="G764" s="298"/>
      <c r="H764" s="298"/>
      <c r="I764" s="298"/>
      <c r="J764" s="298"/>
      <c r="K764" s="298"/>
      <c r="L764" s="298"/>
      <c r="M764" s="483"/>
      <c r="N764" s="484"/>
      <c r="O764" s="484"/>
      <c r="P764" s="484"/>
      <c r="Q764" s="484"/>
      <c r="R764" s="298"/>
      <c r="S764" s="86"/>
      <c r="T764" s="86"/>
      <c r="U764" s="86"/>
      <c r="V764" s="86"/>
      <c r="W764" s="86"/>
      <c r="X764" s="86"/>
      <c r="Y764" s="86"/>
      <c r="Z764" s="449"/>
      <c r="AA764" s="449"/>
      <c r="AB764" s="449"/>
      <c r="AC764" s="449"/>
      <c r="AD764" s="449"/>
      <c r="AE764" s="449"/>
    </row>
    <row r="765">
      <c r="A765" s="97"/>
      <c r="B765" s="298"/>
      <c r="C765" s="298"/>
      <c r="D765" s="298"/>
      <c r="E765" s="298"/>
      <c r="F765" s="298"/>
      <c r="G765" s="298"/>
      <c r="H765" s="298"/>
      <c r="I765" s="298"/>
      <c r="J765" s="298"/>
      <c r="K765" s="298"/>
      <c r="L765" s="298"/>
      <c r="M765" s="483"/>
      <c r="N765" s="484"/>
      <c r="O765" s="484"/>
      <c r="P765" s="484"/>
      <c r="Q765" s="484"/>
      <c r="R765" s="298"/>
      <c r="S765" s="86"/>
      <c r="T765" s="86"/>
      <c r="U765" s="86"/>
      <c r="V765" s="86"/>
      <c r="W765" s="86"/>
      <c r="X765" s="86"/>
      <c r="Y765" s="86"/>
      <c r="Z765" s="449"/>
      <c r="AA765" s="449"/>
      <c r="AB765" s="449"/>
      <c r="AC765" s="449"/>
      <c r="AD765" s="449"/>
      <c r="AE765" s="449"/>
    </row>
    <row r="766">
      <c r="A766" s="97"/>
      <c r="B766" s="298"/>
      <c r="C766" s="298"/>
      <c r="D766" s="298"/>
      <c r="E766" s="298"/>
      <c r="F766" s="298"/>
      <c r="G766" s="298"/>
      <c r="H766" s="298"/>
      <c r="I766" s="298"/>
      <c r="J766" s="298"/>
      <c r="K766" s="298"/>
      <c r="L766" s="298"/>
      <c r="M766" s="483"/>
      <c r="N766" s="484"/>
      <c r="O766" s="484"/>
      <c r="P766" s="484"/>
      <c r="Q766" s="484"/>
      <c r="R766" s="298"/>
      <c r="S766" s="86"/>
      <c r="T766" s="86"/>
      <c r="U766" s="86"/>
      <c r="V766" s="86"/>
      <c r="W766" s="86"/>
      <c r="X766" s="86"/>
      <c r="Y766" s="86"/>
      <c r="Z766" s="449"/>
      <c r="AA766" s="449"/>
      <c r="AB766" s="449"/>
      <c r="AC766" s="449"/>
      <c r="AD766" s="449"/>
      <c r="AE766" s="449"/>
    </row>
    <row r="767">
      <c r="A767" s="97"/>
      <c r="B767" s="298"/>
      <c r="C767" s="298"/>
      <c r="D767" s="298"/>
      <c r="E767" s="298"/>
      <c r="F767" s="298"/>
      <c r="G767" s="298"/>
      <c r="H767" s="298"/>
      <c r="I767" s="298"/>
      <c r="J767" s="298"/>
      <c r="K767" s="298"/>
      <c r="L767" s="298"/>
      <c r="M767" s="483"/>
      <c r="N767" s="484"/>
      <c r="O767" s="484"/>
      <c r="P767" s="484"/>
      <c r="Q767" s="484"/>
      <c r="R767" s="298"/>
      <c r="S767" s="86"/>
      <c r="T767" s="86"/>
      <c r="U767" s="86"/>
      <c r="V767" s="86"/>
      <c r="W767" s="86"/>
      <c r="X767" s="86"/>
      <c r="Y767" s="86"/>
      <c r="Z767" s="449"/>
      <c r="AA767" s="449"/>
      <c r="AB767" s="449"/>
      <c r="AC767" s="449"/>
      <c r="AD767" s="449"/>
      <c r="AE767" s="449"/>
    </row>
    <row r="768">
      <c r="A768" s="97"/>
      <c r="B768" s="298"/>
      <c r="C768" s="298"/>
      <c r="D768" s="298"/>
      <c r="E768" s="298"/>
      <c r="F768" s="298"/>
      <c r="G768" s="298"/>
      <c r="H768" s="298"/>
      <c r="I768" s="298"/>
      <c r="J768" s="298"/>
      <c r="K768" s="298"/>
      <c r="L768" s="298"/>
      <c r="M768" s="483"/>
      <c r="N768" s="484"/>
      <c r="O768" s="484"/>
      <c r="P768" s="484"/>
      <c r="Q768" s="484"/>
      <c r="R768" s="298"/>
      <c r="S768" s="86"/>
      <c r="T768" s="86"/>
      <c r="U768" s="86"/>
      <c r="V768" s="86"/>
      <c r="W768" s="86"/>
      <c r="X768" s="86"/>
      <c r="Y768" s="86"/>
      <c r="Z768" s="449"/>
      <c r="AA768" s="449"/>
      <c r="AB768" s="449"/>
      <c r="AC768" s="449"/>
      <c r="AD768" s="449"/>
      <c r="AE768" s="449"/>
    </row>
    <row r="769">
      <c r="A769" s="97"/>
      <c r="B769" s="298"/>
      <c r="C769" s="298"/>
      <c r="D769" s="298"/>
      <c r="E769" s="298"/>
      <c r="F769" s="298"/>
      <c r="G769" s="298"/>
      <c r="H769" s="298"/>
      <c r="I769" s="298"/>
      <c r="J769" s="298"/>
      <c r="K769" s="298"/>
      <c r="L769" s="298"/>
      <c r="M769" s="483"/>
      <c r="N769" s="484"/>
      <c r="O769" s="484"/>
      <c r="P769" s="484"/>
      <c r="Q769" s="484"/>
      <c r="R769" s="298"/>
      <c r="S769" s="86"/>
      <c r="T769" s="86"/>
      <c r="U769" s="86"/>
      <c r="V769" s="86"/>
      <c r="W769" s="86"/>
      <c r="X769" s="86"/>
      <c r="Y769" s="86"/>
      <c r="Z769" s="449"/>
      <c r="AA769" s="449"/>
      <c r="AB769" s="449"/>
      <c r="AC769" s="449"/>
      <c r="AD769" s="449"/>
      <c r="AE769" s="449"/>
    </row>
    <row r="770">
      <c r="A770" s="97"/>
      <c r="B770" s="298"/>
      <c r="C770" s="298"/>
      <c r="D770" s="298"/>
      <c r="E770" s="298"/>
      <c r="F770" s="298"/>
      <c r="G770" s="298"/>
      <c r="H770" s="298"/>
      <c r="I770" s="298"/>
      <c r="J770" s="298"/>
      <c r="K770" s="298"/>
      <c r="L770" s="298"/>
      <c r="M770" s="483"/>
      <c r="N770" s="484"/>
      <c r="O770" s="484"/>
      <c r="P770" s="484"/>
      <c r="Q770" s="484"/>
      <c r="R770" s="298"/>
      <c r="S770" s="86"/>
      <c r="T770" s="86"/>
      <c r="U770" s="86"/>
      <c r="V770" s="86"/>
      <c r="W770" s="86"/>
      <c r="X770" s="86"/>
      <c r="Y770" s="86"/>
      <c r="Z770" s="449"/>
      <c r="AA770" s="449"/>
      <c r="AB770" s="449"/>
      <c r="AC770" s="449"/>
      <c r="AD770" s="449"/>
      <c r="AE770" s="449"/>
    </row>
    <row r="771">
      <c r="A771" s="97"/>
      <c r="B771" s="298"/>
      <c r="C771" s="298"/>
      <c r="D771" s="298"/>
      <c r="E771" s="298"/>
      <c r="F771" s="298"/>
      <c r="G771" s="298"/>
      <c r="H771" s="298"/>
      <c r="I771" s="298"/>
      <c r="J771" s="298"/>
      <c r="K771" s="298"/>
      <c r="L771" s="298"/>
      <c r="M771" s="483"/>
      <c r="N771" s="484"/>
      <c r="O771" s="484"/>
      <c r="P771" s="484"/>
      <c r="Q771" s="484"/>
      <c r="R771" s="298"/>
      <c r="S771" s="86"/>
      <c r="T771" s="86"/>
      <c r="U771" s="86"/>
      <c r="V771" s="86"/>
      <c r="W771" s="86"/>
      <c r="X771" s="86"/>
      <c r="Y771" s="86"/>
      <c r="Z771" s="449"/>
      <c r="AA771" s="449"/>
      <c r="AB771" s="449"/>
      <c r="AC771" s="449"/>
      <c r="AD771" s="449"/>
      <c r="AE771" s="449"/>
    </row>
    <row r="772">
      <c r="A772" s="97"/>
      <c r="B772" s="298"/>
      <c r="C772" s="298"/>
      <c r="D772" s="298"/>
      <c r="E772" s="298"/>
      <c r="F772" s="298"/>
      <c r="G772" s="298"/>
      <c r="H772" s="298"/>
      <c r="I772" s="298"/>
      <c r="J772" s="298"/>
      <c r="K772" s="298"/>
      <c r="L772" s="298"/>
      <c r="M772" s="483"/>
      <c r="N772" s="484"/>
      <c r="O772" s="484"/>
      <c r="P772" s="484"/>
      <c r="Q772" s="484"/>
      <c r="R772" s="298"/>
      <c r="S772" s="86"/>
      <c r="T772" s="86"/>
      <c r="U772" s="86"/>
      <c r="V772" s="86"/>
      <c r="W772" s="86"/>
      <c r="X772" s="86"/>
      <c r="Y772" s="86"/>
      <c r="Z772" s="449"/>
      <c r="AA772" s="449"/>
      <c r="AB772" s="449"/>
      <c r="AC772" s="449"/>
      <c r="AD772" s="449"/>
      <c r="AE772" s="449"/>
    </row>
    <row r="773">
      <c r="A773" s="97"/>
      <c r="B773" s="298"/>
      <c r="C773" s="298"/>
      <c r="D773" s="298"/>
      <c r="E773" s="298"/>
      <c r="F773" s="298"/>
      <c r="G773" s="298"/>
      <c r="H773" s="298"/>
      <c r="I773" s="298"/>
      <c r="J773" s="298"/>
      <c r="K773" s="298"/>
      <c r="L773" s="298"/>
      <c r="M773" s="483"/>
      <c r="N773" s="484"/>
      <c r="O773" s="484"/>
      <c r="P773" s="484"/>
      <c r="Q773" s="484"/>
      <c r="R773" s="298"/>
      <c r="S773" s="86"/>
      <c r="T773" s="86"/>
      <c r="U773" s="86"/>
      <c r="V773" s="86"/>
      <c r="W773" s="86"/>
      <c r="X773" s="86"/>
      <c r="Y773" s="86"/>
      <c r="Z773" s="449"/>
      <c r="AA773" s="449"/>
      <c r="AB773" s="449"/>
      <c r="AC773" s="449"/>
      <c r="AD773" s="449"/>
      <c r="AE773" s="449"/>
    </row>
    <row r="774">
      <c r="A774" s="97"/>
      <c r="B774" s="298"/>
      <c r="C774" s="298"/>
      <c r="D774" s="298"/>
      <c r="E774" s="298"/>
      <c r="F774" s="298"/>
      <c r="G774" s="298"/>
      <c r="H774" s="298"/>
      <c r="I774" s="298"/>
      <c r="J774" s="298"/>
      <c r="K774" s="298"/>
      <c r="L774" s="298"/>
      <c r="M774" s="483"/>
      <c r="N774" s="484"/>
      <c r="O774" s="484"/>
      <c r="P774" s="484"/>
      <c r="Q774" s="484"/>
      <c r="R774" s="298"/>
      <c r="S774" s="86"/>
      <c r="T774" s="86"/>
      <c r="U774" s="86"/>
      <c r="V774" s="86"/>
      <c r="W774" s="86"/>
      <c r="X774" s="86"/>
      <c r="Y774" s="86"/>
      <c r="Z774" s="449"/>
      <c r="AA774" s="449"/>
      <c r="AB774" s="449"/>
      <c r="AC774" s="449"/>
      <c r="AD774" s="449"/>
      <c r="AE774" s="449"/>
    </row>
    <row r="775">
      <c r="A775" s="97"/>
      <c r="B775" s="298"/>
      <c r="C775" s="298"/>
      <c r="D775" s="298"/>
      <c r="E775" s="298"/>
      <c r="F775" s="298"/>
      <c r="G775" s="298"/>
      <c r="H775" s="298"/>
      <c r="I775" s="298"/>
      <c r="J775" s="298"/>
      <c r="K775" s="298"/>
      <c r="L775" s="298"/>
      <c r="M775" s="483"/>
      <c r="N775" s="484"/>
      <c r="O775" s="484"/>
      <c r="P775" s="484"/>
      <c r="Q775" s="484"/>
      <c r="R775" s="298"/>
      <c r="S775" s="86"/>
      <c r="T775" s="86"/>
      <c r="U775" s="86"/>
      <c r="V775" s="86"/>
      <c r="W775" s="86"/>
      <c r="X775" s="86"/>
      <c r="Y775" s="86"/>
      <c r="Z775" s="449"/>
      <c r="AA775" s="449"/>
      <c r="AB775" s="449"/>
      <c r="AC775" s="449"/>
      <c r="AD775" s="449"/>
      <c r="AE775" s="449"/>
    </row>
    <row r="776">
      <c r="A776" s="97"/>
      <c r="B776" s="298"/>
      <c r="C776" s="298"/>
      <c r="D776" s="298"/>
      <c r="E776" s="298"/>
      <c r="F776" s="298"/>
      <c r="G776" s="298"/>
      <c r="H776" s="298"/>
      <c r="I776" s="298"/>
      <c r="J776" s="298"/>
      <c r="K776" s="298"/>
      <c r="L776" s="298"/>
      <c r="M776" s="483"/>
      <c r="N776" s="484"/>
      <c r="O776" s="484"/>
      <c r="P776" s="484"/>
      <c r="Q776" s="484"/>
      <c r="R776" s="298"/>
      <c r="S776" s="86"/>
      <c r="T776" s="86"/>
      <c r="U776" s="86"/>
      <c r="V776" s="86"/>
      <c r="W776" s="86"/>
      <c r="X776" s="86"/>
      <c r="Y776" s="86"/>
      <c r="Z776" s="449"/>
      <c r="AA776" s="449"/>
      <c r="AB776" s="449"/>
      <c r="AC776" s="449"/>
      <c r="AD776" s="449"/>
      <c r="AE776" s="449"/>
    </row>
    <row r="777">
      <c r="A777" s="97"/>
      <c r="B777" s="298"/>
      <c r="C777" s="298"/>
      <c r="D777" s="298"/>
      <c r="E777" s="298"/>
      <c r="F777" s="298"/>
      <c r="G777" s="298"/>
      <c r="H777" s="298"/>
      <c r="I777" s="298"/>
      <c r="J777" s="298"/>
      <c r="K777" s="298"/>
      <c r="L777" s="298"/>
      <c r="M777" s="483"/>
      <c r="N777" s="484"/>
      <c r="O777" s="484"/>
      <c r="P777" s="484"/>
      <c r="Q777" s="484"/>
      <c r="R777" s="298"/>
      <c r="S777" s="86"/>
      <c r="T777" s="86"/>
      <c r="U777" s="86"/>
      <c r="V777" s="86"/>
      <c r="W777" s="86"/>
      <c r="X777" s="86"/>
      <c r="Y777" s="86"/>
      <c r="Z777" s="449"/>
      <c r="AA777" s="449"/>
      <c r="AB777" s="449"/>
      <c r="AC777" s="449"/>
      <c r="AD777" s="449"/>
      <c r="AE777" s="449"/>
    </row>
    <row r="778">
      <c r="A778" s="97"/>
      <c r="B778" s="298"/>
      <c r="C778" s="298"/>
      <c r="D778" s="298"/>
      <c r="E778" s="298"/>
      <c r="F778" s="298"/>
      <c r="G778" s="298"/>
      <c r="H778" s="298"/>
      <c r="I778" s="298"/>
      <c r="J778" s="298"/>
      <c r="K778" s="298"/>
      <c r="L778" s="298"/>
      <c r="M778" s="483"/>
      <c r="N778" s="484"/>
      <c r="O778" s="484"/>
      <c r="P778" s="484"/>
      <c r="Q778" s="484"/>
      <c r="R778" s="298"/>
      <c r="S778" s="86"/>
      <c r="T778" s="86"/>
      <c r="U778" s="86"/>
      <c r="V778" s="86"/>
      <c r="W778" s="86"/>
      <c r="X778" s="86"/>
      <c r="Y778" s="86"/>
      <c r="Z778" s="449"/>
      <c r="AA778" s="449"/>
      <c r="AB778" s="449"/>
      <c r="AC778" s="449"/>
      <c r="AD778" s="449"/>
      <c r="AE778" s="449"/>
    </row>
    <row r="779">
      <c r="A779" s="97"/>
      <c r="B779" s="298"/>
      <c r="C779" s="298"/>
      <c r="D779" s="298"/>
      <c r="E779" s="298"/>
      <c r="F779" s="298"/>
      <c r="G779" s="298"/>
      <c r="H779" s="298"/>
      <c r="I779" s="298"/>
      <c r="J779" s="298"/>
      <c r="K779" s="298"/>
      <c r="L779" s="298"/>
      <c r="M779" s="483"/>
      <c r="N779" s="484"/>
      <c r="O779" s="484"/>
      <c r="P779" s="484"/>
      <c r="Q779" s="484"/>
      <c r="R779" s="298"/>
      <c r="S779" s="86"/>
      <c r="T779" s="86"/>
      <c r="U779" s="86"/>
      <c r="V779" s="86"/>
      <c r="W779" s="86"/>
      <c r="X779" s="86"/>
      <c r="Y779" s="86"/>
      <c r="Z779" s="449"/>
      <c r="AA779" s="449"/>
      <c r="AB779" s="449"/>
      <c r="AC779" s="449"/>
      <c r="AD779" s="449"/>
      <c r="AE779" s="449"/>
    </row>
    <row r="780">
      <c r="A780" s="97"/>
      <c r="B780" s="298"/>
      <c r="C780" s="298"/>
      <c r="D780" s="298"/>
      <c r="E780" s="298"/>
      <c r="F780" s="298"/>
      <c r="G780" s="298"/>
      <c r="H780" s="298"/>
      <c r="I780" s="298"/>
      <c r="J780" s="298"/>
      <c r="K780" s="298"/>
      <c r="L780" s="298"/>
      <c r="M780" s="483"/>
      <c r="N780" s="484"/>
      <c r="O780" s="484"/>
      <c r="P780" s="484"/>
      <c r="Q780" s="484"/>
      <c r="R780" s="298"/>
      <c r="S780" s="86"/>
      <c r="T780" s="86"/>
      <c r="U780" s="86"/>
      <c r="V780" s="86"/>
      <c r="W780" s="86"/>
      <c r="X780" s="86"/>
      <c r="Y780" s="86"/>
      <c r="Z780" s="449"/>
      <c r="AA780" s="449"/>
      <c r="AB780" s="449"/>
      <c r="AC780" s="449"/>
      <c r="AD780" s="449"/>
      <c r="AE780" s="449"/>
    </row>
    <row r="781">
      <c r="A781" s="97"/>
      <c r="B781" s="298"/>
      <c r="C781" s="298"/>
      <c r="D781" s="298"/>
      <c r="E781" s="298"/>
      <c r="F781" s="298"/>
      <c r="G781" s="298"/>
      <c r="H781" s="298"/>
      <c r="I781" s="298"/>
      <c r="J781" s="298"/>
      <c r="K781" s="298"/>
      <c r="L781" s="298"/>
      <c r="M781" s="483"/>
      <c r="N781" s="484"/>
      <c r="O781" s="484"/>
      <c r="P781" s="484"/>
      <c r="Q781" s="484"/>
      <c r="R781" s="298"/>
      <c r="S781" s="86"/>
      <c r="T781" s="86"/>
      <c r="U781" s="86"/>
      <c r="V781" s="86"/>
      <c r="W781" s="86"/>
      <c r="X781" s="86"/>
      <c r="Y781" s="86"/>
      <c r="Z781" s="449"/>
      <c r="AA781" s="449"/>
      <c r="AB781" s="449"/>
      <c r="AC781" s="449"/>
      <c r="AD781" s="449"/>
      <c r="AE781" s="449"/>
    </row>
    <row r="782">
      <c r="A782" s="97"/>
      <c r="B782" s="298"/>
      <c r="C782" s="298"/>
      <c r="D782" s="298"/>
      <c r="E782" s="298"/>
      <c r="F782" s="298"/>
      <c r="G782" s="298"/>
      <c r="H782" s="298"/>
      <c r="I782" s="298"/>
      <c r="J782" s="298"/>
      <c r="K782" s="298"/>
      <c r="L782" s="298"/>
      <c r="M782" s="483"/>
      <c r="N782" s="484"/>
      <c r="O782" s="484"/>
      <c r="P782" s="484"/>
      <c r="Q782" s="484"/>
      <c r="R782" s="298"/>
      <c r="S782" s="86"/>
      <c r="T782" s="86"/>
      <c r="U782" s="86"/>
      <c r="V782" s="86"/>
      <c r="W782" s="86"/>
      <c r="X782" s="86"/>
      <c r="Y782" s="86"/>
      <c r="Z782" s="449"/>
      <c r="AA782" s="449"/>
      <c r="AB782" s="449"/>
      <c r="AC782" s="449"/>
      <c r="AD782" s="449"/>
      <c r="AE782" s="449"/>
    </row>
    <row r="783">
      <c r="A783" s="97"/>
      <c r="B783" s="298"/>
      <c r="C783" s="298"/>
      <c r="D783" s="298"/>
      <c r="E783" s="298"/>
      <c r="F783" s="298"/>
      <c r="G783" s="298"/>
      <c r="H783" s="298"/>
      <c r="I783" s="298"/>
      <c r="J783" s="298"/>
      <c r="K783" s="298"/>
      <c r="L783" s="298"/>
      <c r="M783" s="483"/>
      <c r="N783" s="484"/>
      <c r="O783" s="484"/>
      <c r="P783" s="484"/>
      <c r="Q783" s="484"/>
      <c r="R783" s="298"/>
      <c r="S783" s="86"/>
      <c r="T783" s="86"/>
      <c r="U783" s="86"/>
      <c r="V783" s="86"/>
      <c r="W783" s="86"/>
      <c r="X783" s="86"/>
      <c r="Y783" s="86"/>
      <c r="Z783" s="449"/>
      <c r="AA783" s="449"/>
      <c r="AB783" s="449"/>
      <c r="AC783" s="449"/>
      <c r="AD783" s="449"/>
      <c r="AE783" s="449"/>
    </row>
    <row r="784">
      <c r="A784" s="97"/>
      <c r="B784" s="298"/>
      <c r="C784" s="298"/>
      <c r="D784" s="298"/>
      <c r="E784" s="298"/>
      <c r="F784" s="298"/>
      <c r="G784" s="298"/>
      <c r="H784" s="298"/>
      <c r="I784" s="298"/>
      <c r="J784" s="298"/>
      <c r="K784" s="298"/>
      <c r="L784" s="298"/>
      <c r="M784" s="483"/>
      <c r="N784" s="484"/>
      <c r="O784" s="484"/>
      <c r="P784" s="484"/>
      <c r="Q784" s="484"/>
      <c r="R784" s="298"/>
      <c r="S784" s="86"/>
      <c r="T784" s="86"/>
      <c r="U784" s="86"/>
      <c r="V784" s="86"/>
      <c r="W784" s="86"/>
      <c r="X784" s="86"/>
      <c r="Y784" s="86"/>
      <c r="Z784" s="449"/>
      <c r="AA784" s="449"/>
      <c r="AB784" s="449"/>
      <c r="AC784" s="449"/>
      <c r="AD784" s="449"/>
      <c r="AE784" s="449"/>
    </row>
    <row r="785">
      <c r="A785" s="97"/>
      <c r="B785" s="298"/>
      <c r="C785" s="298"/>
      <c r="D785" s="298"/>
      <c r="E785" s="298"/>
      <c r="F785" s="298"/>
      <c r="G785" s="298"/>
      <c r="H785" s="298"/>
      <c r="I785" s="298"/>
      <c r="J785" s="298"/>
      <c r="K785" s="298"/>
      <c r="L785" s="298"/>
      <c r="M785" s="483"/>
      <c r="N785" s="484"/>
      <c r="O785" s="484"/>
      <c r="P785" s="484"/>
      <c r="Q785" s="484"/>
      <c r="R785" s="298"/>
      <c r="S785" s="86"/>
      <c r="T785" s="86"/>
      <c r="U785" s="86"/>
      <c r="V785" s="86"/>
      <c r="W785" s="86"/>
      <c r="X785" s="86"/>
      <c r="Y785" s="86"/>
      <c r="Z785" s="449"/>
      <c r="AA785" s="449"/>
      <c r="AB785" s="449"/>
      <c r="AC785" s="449"/>
      <c r="AD785" s="449"/>
      <c r="AE785" s="449"/>
    </row>
    <row r="786">
      <c r="A786" s="97"/>
      <c r="B786" s="298"/>
      <c r="C786" s="298"/>
      <c r="D786" s="298"/>
      <c r="E786" s="298"/>
      <c r="F786" s="298"/>
      <c r="G786" s="298"/>
      <c r="H786" s="298"/>
      <c r="I786" s="298"/>
      <c r="J786" s="298"/>
      <c r="K786" s="298"/>
      <c r="L786" s="298"/>
      <c r="M786" s="483"/>
      <c r="N786" s="484"/>
      <c r="O786" s="484"/>
      <c r="P786" s="484"/>
      <c r="Q786" s="484"/>
      <c r="R786" s="298"/>
      <c r="S786" s="86"/>
      <c r="T786" s="86"/>
      <c r="U786" s="86"/>
      <c r="V786" s="86"/>
      <c r="W786" s="86"/>
      <c r="X786" s="86"/>
      <c r="Y786" s="86"/>
      <c r="Z786" s="449"/>
      <c r="AA786" s="449"/>
      <c r="AB786" s="449"/>
      <c r="AC786" s="449"/>
      <c r="AD786" s="449"/>
      <c r="AE786" s="449"/>
    </row>
    <row r="787">
      <c r="A787" s="97"/>
      <c r="B787" s="298"/>
      <c r="C787" s="298"/>
      <c r="D787" s="298"/>
      <c r="E787" s="298"/>
      <c r="F787" s="298"/>
      <c r="G787" s="298"/>
      <c r="H787" s="298"/>
      <c r="I787" s="298"/>
      <c r="J787" s="298"/>
      <c r="K787" s="298"/>
      <c r="L787" s="298"/>
      <c r="M787" s="483"/>
      <c r="N787" s="484"/>
      <c r="O787" s="484"/>
      <c r="P787" s="484"/>
      <c r="Q787" s="484"/>
      <c r="R787" s="298"/>
      <c r="S787" s="86"/>
      <c r="T787" s="86"/>
      <c r="U787" s="86"/>
      <c r="V787" s="86"/>
      <c r="W787" s="86"/>
      <c r="X787" s="86"/>
      <c r="Y787" s="86"/>
      <c r="Z787" s="449"/>
      <c r="AA787" s="449"/>
      <c r="AB787" s="449"/>
      <c r="AC787" s="449"/>
      <c r="AD787" s="449"/>
      <c r="AE787" s="449"/>
    </row>
    <row r="788">
      <c r="A788" s="97"/>
      <c r="B788" s="298"/>
      <c r="C788" s="298"/>
      <c r="D788" s="298"/>
      <c r="E788" s="298"/>
      <c r="F788" s="298"/>
      <c r="G788" s="298"/>
      <c r="H788" s="298"/>
      <c r="I788" s="298"/>
      <c r="J788" s="298"/>
      <c r="K788" s="298"/>
      <c r="L788" s="298"/>
      <c r="M788" s="483"/>
      <c r="N788" s="484"/>
      <c r="O788" s="484"/>
      <c r="P788" s="484"/>
      <c r="Q788" s="484"/>
      <c r="R788" s="298"/>
      <c r="S788" s="86"/>
      <c r="T788" s="86"/>
      <c r="U788" s="86"/>
      <c r="V788" s="86"/>
      <c r="W788" s="86"/>
      <c r="X788" s="86"/>
      <c r="Y788" s="86"/>
      <c r="Z788" s="449"/>
      <c r="AA788" s="449"/>
      <c r="AB788" s="449"/>
      <c r="AC788" s="449"/>
      <c r="AD788" s="449"/>
      <c r="AE788" s="449"/>
    </row>
    <row r="789">
      <c r="A789" s="97"/>
      <c r="B789" s="298"/>
      <c r="C789" s="298"/>
      <c r="D789" s="298"/>
      <c r="E789" s="298"/>
      <c r="F789" s="298"/>
      <c r="G789" s="298"/>
      <c r="H789" s="298"/>
      <c r="I789" s="298"/>
      <c r="J789" s="298"/>
      <c r="K789" s="298"/>
      <c r="L789" s="298"/>
      <c r="M789" s="483"/>
      <c r="N789" s="484"/>
      <c r="O789" s="484"/>
      <c r="P789" s="484"/>
      <c r="Q789" s="484"/>
      <c r="R789" s="298"/>
      <c r="S789" s="86"/>
      <c r="T789" s="86"/>
      <c r="U789" s="86"/>
      <c r="V789" s="86"/>
      <c r="W789" s="86"/>
      <c r="X789" s="86"/>
      <c r="Y789" s="86"/>
      <c r="Z789" s="449"/>
      <c r="AA789" s="449"/>
      <c r="AB789" s="449"/>
      <c r="AC789" s="449"/>
      <c r="AD789" s="449"/>
      <c r="AE789" s="449"/>
    </row>
    <row r="790">
      <c r="A790" s="97"/>
      <c r="B790" s="298"/>
      <c r="C790" s="298"/>
      <c r="D790" s="298"/>
      <c r="E790" s="298"/>
      <c r="F790" s="298"/>
      <c r="G790" s="298"/>
      <c r="H790" s="298"/>
      <c r="I790" s="298"/>
      <c r="J790" s="298"/>
      <c r="K790" s="298"/>
      <c r="L790" s="298"/>
      <c r="M790" s="483"/>
      <c r="N790" s="484"/>
      <c r="O790" s="484"/>
      <c r="P790" s="484"/>
      <c r="Q790" s="484"/>
      <c r="R790" s="298"/>
      <c r="S790" s="86"/>
      <c r="T790" s="86"/>
      <c r="U790" s="86"/>
      <c r="V790" s="86"/>
      <c r="W790" s="86"/>
      <c r="X790" s="86"/>
      <c r="Y790" s="86"/>
      <c r="Z790" s="449"/>
      <c r="AA790" s="449"/>
      <c r="AB790" s="449"/>
      <c r="AC790" s="449"/>
      <c r="AD790" s="449"/>
      <c r="AE790" s="449"/>
    </row>
    <row r="791">
      <c r="A791" s="97"/>
      <c r="B791" s="298"/>
      <c r="C791" s="298"/>
      <c r="D791" s="298"/>
      <c r="E791" s="298"/>
      <c r="F791" s="298"/>
      <c r="G791" s="298"/>
      <c r="H791" s="298"/>
      <c r="I791" s="298"/>
      <c r="J791" s="298"/>
      <c r="K791" s="298"/>
      <c r="L791" s="298"/>
      <c r="M791" s="483"/>
      <c r="N791" s="484"/>
      <c r="O791" s="484"/>
      <c r="P791" s="484"/>
      <c r="Q791" s="484"/>
      <c r="R791" s="298"/>
      <c r="S791" s="86"/>
      <c r="T791" s="86"/>
      <c r="U791" s="86"/>
      <c r="V791" s="86"/>
      <c r="W791" s="86"/>
      <c r="X791" s="86"/>
      <c r="Y791" s="86"/>
      <c r="Z791" s="449"/>
      <c r="AA791" s="449"/>
      <c r="AB791" s="449"/>
      <c r="AC791" s="449"/>
      <c r="AD791" s="449"/>
      <c r="AE791" s="449"/>
    </row>
  </sheetData>
  <mergeCells count="23">
    <mergeCell ref="S102:T102"/>
    <mergeCell ref="S103:T103"/>
    <mergeCell ref="S104:T104"/>
    <mergeCell ref="S105:T105"/>
    <mergeCell ref="S106:T106"/>
    <mergeCell ref="S107:T107"/>
    <mergeCell ref="S108:T108"/>
    <mergeCell ref="S174:T174"/>
    <mergeCell ref="S190:T190"/>
    <mergeCell ref="S191:T191"/>
    <mergeCell ref="S192:T192"/>
    <mergeCell ref="S193:T193"/>
    <mergeCell ref="S197:T197"/>
    <mergeCell ref="S198:T198"/>
    <mergeCell ref="S242:T242"/>
    <mergeCell ref="S243:T243"/>
    <mergeCell ref="S199:T199"/>
    <mergeCell ref="S209:T209"/>
    <mergeCell ref="S210:T210"/>
    <mergeCell ref="S211:T211"/>
    <mergeCell ref="S212:T212"/>
    <mergeCell ref="S240:T240"/>
    <mergeCell ref="S241:T24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4.89"/>
    <col customWidth="1" min="3" max="3" width="12.78"/>
  </cols>
  <sheetData>
    <row r="1">
      <c r="A1" s="485" t="s">
        <v>457</v>
      </c>
      <c r="B1" s="486" t="s">
        <v>0</v>
      </c>
      <c r="C1" s="486" t="s">
        <v>918</v>
      </c>
      <c r="D1" s="486" t="s">
        <v>919</v>
      </c>
      <c r="E1" s="486" t="s">
        <v>920</v>
      </c>
      <c r="F1" s="486" t="s">
        <v>921</v>
      </c>
      <c r="G1" s="487"/>
      <c r="H1" s="487"/>
      <c r="I1" s="486" t="s">
        <v>922</v>
      </c>
      <c r="J1" s="486" t="s">
        <v>923</v>
      </c>
      <c r="K1" s="486" t="s">
        <v>924</v>
      </c>
      <c r="L1" s="486" t="s">
        <v>925</v>
      </c>
      <c r="M1" s="488" t="s">
        <v>926</v>
      </c>
      <c r="N1" s="488" t="s">
        <v>927</v>
      </c>
      <c r="O1" s="489" t="s">
        <v>7</v>
      </c>
    </row>
    <row r="2">
      <c r="A2" s="490">
        <v>45505.0</v>
      </c>
      <c r="B2" s="491" t="s">
        <v>928</v>
      </c>
      <c r="C2" s="491">
        <v>1.0</v>
      </c>
      <c r="D2" s="491">
        <v>921.0</v>
      </c>
      <c r="E2" s="491" t="s">
        <v>929</v>
      </c>
      <c r="F2" s="491">
        <v>0.0</v>
      </c>
      <c r="G2" s="491">
        <v>0.0</v>
      </c>
      <c r="H2" s="492">
        <v>0.0</v>
      </c>
      <c r="I2" s="493">
        <v>45505.5622337963</v>
      </c>
      <c r="J2" s="491">
        <v>2.224</v>
      </c>
      <c r="K2" s="491">
        <v>128.85</v>
      </c>
      <c r="L2" s="491">
        <v>1.0</v>
      </c>
      <c r="M2" s="494">
        <f t="shared" ref="M2:M102" si="1">J2</f>
        <v>2.224</v>
      </c>
      <c r="N2" s="495">
        <f t="shared" ref="N2:N8" si="2">M2</f>
        <v>2.224</v>
      </c>
      <c r="O2" s="489" t="s">
        <v>12</v>
      </c>
    </row>
    <row r="3">
      <c r="A3" s="490">
        <v>45505.0</v>
      </c>
      <c r="B3" s="491" t="s">
        <v>930</v>
      </c>
      <c r="C3" s="491">
        <v>2.0</v>
      </c>
      <c r="D3" s="491">
        <v>921.0</v>
      </c>
      <c r="E3" s="491" t="s">
        <v>931</v>
      </c>
      <c r="F3" s="491">
        <v>0.0</v>
      </c>
      <c r="G3" s="491">
        <v>0.0</v>
      </c>
      <c r="H3" s="492">
        <v>0.0</v>
      </c>
      <c r="I3" s="493">
        <v>45505.563159722224</v>
      </c>
      <c r="J3" s="491">
        <v>2.225</v>
      </c>
      <c r="K3" s="491">
        <v>128.92</v>
      </c>
      <c r="L3" s="491">
        <v>1.0</v>
      </c>
      <c r="M3" s="494">
        <f t="shared" si="1"/>
        <v>2.225</v>
      </c>
      <c r="N3" s="495">
        <f t="shared" si="2"/>
        <v>2.225</v>
      </c>
      <c r="O3" s="489" t="s">
        <v>12</v>
      </c>
    </row>
    <row r="4">
      <c r="A4" s="490">
        <v>45505.0</v>
      </c>
      <c r="B4" s="491">
        <v>2.22</v>
      </c>
      <c r="C4" s="491">
        <v>3.0</v>
      </c>
      <c r="D4" s="491">
        <v>921.0</v>
      </c>
      <c r="E4" s="491" t="s">
        <v>932</v>
      </c>
      <c r="F4" s="491">
        <v>0.0</v>
      </c>
      <c r="G4" s="491">
        <v>0.0</v>
      </c>
      <c r="H4" s="492">
        <v>0.0</v>
      </c>
      <c r="I4" s="493">
        <v>45505.56408564815</v>
      </c>
      <c r="J4" s="491">
        <v>2.227</v>
      </c>
      <c r="K4" s="491">
        <v>128.99</v>
      </c>
      <c r="L4" s="491">
        <v>1.0</v>
      </c>
      <c r="M4" s="494">
        <f t="shared" si="1"/>
        <v>2.227</v>
      </c>
      <c r="N4" s="495">
        <f t="shared" si="2"/>
        <v>2.227</v>
      </c>
      <c r="O4" s="489" t="s">
        <v>12</v>
      </c>
    </row>
    <row r="5">
      <c r="A5" s="490">
        <v>45505.0</v>
      </c>
      <c r="B5" s="487"/>
      <c r="C5" s="491">
        <v>4.0</v>
      </c>
      <c r="D5" s="491">
        <v>0.0</v>
      </c>
      <c r="E5" s="491" t="s">
        <v>933</v>
      </c>
      <c r="F5" s="491">
        <v>0.0</v>
      </c>
      <c r="G5" s="491">
        <v>0.0</v>
      </c>
      <c r="H5" s="492">
        <v>0.0</v>
      </c>
      <c r="I5" s="493">
        <v>45505.56501157407</v>
      </c>
      <c r="J5" s="491">
        <v>1.277</v>
      </c>
      <c r="K5" s="491">
        <v>82.93</v>
      </c>
      <c r="L5" s="491">
        <v>1.0</v>
      </c>
      <c r="M5" s="494">
        <f t="shared" si="1"/>
        <v>1.277</v>
      </c>
      <c r="N5" s="495">
        <f t="shared" si="2"/>
        <v>1.277</v>
      </c>
      <c r="O5" s="489" t="s">
        <v>12</v>
      </c>
    </row>
    <row r="6">
      <c r="A6" s="490">
        <v>45505.0</v>
      </c>
      <c r="B6" s="491">
        <v>1.11</v>
      </c>
      <c r="C6" s="491">
        <v>5.0</v>
      </c>
      <c r="D6" s="491">
        <v>902.0</v>
      </c>
      <c r="E6" s="491" t="s">
        <v>932</v>
      </c>
      <c r="F6" s="491">
        <v>0.0</v>
      </c>
      <c r="G6" s="491">
        <v>0.0</v>
      </c>
      <c r="H6" s="492">
        <v>0.0</v>
      </c>
      <c r="I6" s="493">
        <v>45505.5659375</v>
      </c>
      <c r="J6" s="491">
        <v>1.068</v>
      </c>
      <c r="K6" s="491">
        <v>72.79</v>
      </c>
      <c r="L6" s="491">
        <v>1.0</v>
      </c>
      <c r="M6" s="494">
        <f t="shared" si="1"/>
        <v>1.068</v>
      </c>
      <c r="N6" s="495">
        <f t="shared" si="2"/>
        <v>1.068</v>
      </c>
      <c r="O6" s="489" t="s">
        <v>12</v>
      </c>
    </row>
    <row r="7">
      <c r="A7" s="490">
        <v>45505.0</v>
      </c>
      <c r="B7" s="491">
        <v>0.55</v>
      </c>
      <c r="C7" s="491">
        <v>6.0</v>
      </c>
      <c r="D7" s="491">
        <v>903.0</v>
      </c>
      <c r="E7" s="491" t="s">
        <v>932</v>
      </c>
      <c r="F7" s="491">
        <v>0.0</v>
      </c>
      <c r="G7" s="491">
        <v>0.0</v>
      </c>
      <c r="H7" s="492">
        <v>0.0</v>
      </c>
      <c r="I7" s="493">
        <v>45505.56686342593</v>
      </c>
      <c r="J7" s="491">
        <v>0.606</v>
      </c>
      <c r="K7" s="491">
        <v>50.36</v>
      </c>
      <c r="L7" s="491">
        <v>1.0</v>
      </c>
      <c r="M7" s="494">
        <f t="shared" si="1"/>
        <v>0.606</v>
      </c>
      <c r="N7" s="495">
        <f t="shared" si="2"/>
        <v>0.606</v>
      </c>
      <c r="O7" s="489" t="s">
        <v>12</v>
      </c>
    </row>
    <row r="8">
      <c r="A8" s="490">
        <v>45505.0</v>
      </c>
      <c r="B8" s="487"/>
      <c r="C8" s="491">
        <v>7.0</v>
      </c>
      <c r="D8" s="491">
        <v>0.0</v>
      </c>
      <c r="E8" s="491" t="s">
        <v>933</v>
      </c>
      <c r="F8" s="491">
        <v>0.0</v>
      </c>
      <c r="G8" s="491">
        <v>0.0</v>
      </c>
      <c r="H8" s="492">
        <v>0.0</v>
      </c>
      <c r="I8" s="493">
        <v>45505.56778935185</v>
      </c>
      <c r="J8" s="491">
        <v>0.635</v>
      </c>
      <c r="K8" s="491">
        <v>51.75</v>
      </c>
      <c r="L8" s="491">
        <v>1.0</v>
      </c>
      <c r="M8" s="494">
        <f t="shared" si="1"/>
        <v>0.635</v>
      </c>
      <c r="N8" s="495">
        <f t="shared" si="2"/>
        <v>0.635</v>
      </c>
      <c r="O8" s="489" t="s">
        <v>12</v>
      </c>
    </row>
    <row r="9">
      <c r="A9" s="490">
        <v>45505.0</v>
      </c>
      <c r="B9" s="491" t="s">
        <v>79</v>
      </c>
      <c r="C9" s="491">
        <v>8.0</v>
      </c>
      <c r="D9" s="491">
        <v>905.0</v>
      </c>
      <c r="E9" s="491" t="s">
        <v>932</v>
      </c>
      <c r="F9" s="491">
        <v>0.0</v>
      </c>
      <c r="G9" s="491">
        <v>0.0</v>
      </c>
      <c r="H9" s="492">
        <v>0.0</v>
      </c>
      <c r="I9" s="493">
        <v>45505.568715277775</v>
      </c>
      <c r="J9" s="491">
        <v>-0.022</v>
      </c>
      <c r="K9" s="491">
        <v>19.9</v>
      </c>
      <c r="L9" s="491">
        <v>1.0</v>
      </c>
      <c r="M9" s="496">
        <f t="shared" si="1"/>
        <v>-0.022</v>
      </c>
      <c r="N9" s="489" t="s">
        <v>934</v>
      </c>
      <c r="O9" s="489" t="s">
        <v>12</v>
      </c>
    </row>
    <row r="10">
      <c r="A10" s="490">
        <v>45505.0</v>
      </c>
      <c r="B10" s="491" t="s">
        <v>935</v>
      </c>
      <c r="C10" s="491">
        <v>9.0</v>
      </c>
      <c r="D10" s="491">
        <v>0.0</v>
      </c>
      <c r="E10" s="491" t="s">
        <v>936</v>
      </c>
      <c r="F10" s="491">
        <v>0.0</v>
      </c>
      <c r="G10" s="491">
        <v>0.0</v>
      </c>
      <c r="H10" s="492">
        <v>0.0</v>
      </c>
      <c r="I10" s="493">
        <v>45505.56964120371</v>
      </c>
      <c r="J10" s="491">
        <v>-0.432</v>
      </c>
      <c r="K10" s="491">
        <v>0.0</v>
      </c>
      <c r="L10" s="491">
        <v>1.0</v>
      </c>
      <c r="M10" s="496">
        <f t="shared" si="1"/>
        <v>-0.432</v>
      </c>
      <c r="N10" s="489" t="s">
        <v>934</v>
      </c>
      <c r="O10" s="489" t="s">
        <v>12</v>
      </c>
    </row>
    <row r="11">
      <c r="A11" s="490">
        <v>45505.0</v>
      </c>
      <c r="B11" s="491" t="s">
        <v>937</v>
      </c>
      <c r="C11" s="491">
        <v>10.0</v>
      </c>
      <c r="D11" s="491">
        <v>921.0</v>
      </c>
      <c r="E11" s="491" t="s">
        <v>938</v>
      </c>
      <c r="F11" s="491">
        <v>0.0</v>
      </c>
      <c r="G11" s="491">
        <v>1.0</v>
      </c>
      <c r="H11" s="492">
        <v>1.0</v>
      </c>
      <c r="I11" s="493">
        <v>45505.57241898148</v>
      </c>
      <c r="J11" s="491">
        <v>2.227</v>
      </c>
      <c r="K11" s="491">
        <v>128.99</v>
      </c>
      <c r="L11" s="491">
        <v>1.0</v>
      </c>
      <c r="M11" s="494">
        <f t="shared" si="1"/>
        <v>2.227</v>
      </c>
      <c r="N11" s="495">
        <f t="shared" ref="N11:N13" si="3">M11</f>
        <v>2.227</v>
      </c>
      <c r="O11" s="489" t="s">
        <v>12</v>
      </c>
    </row>
    <row r="12">
      <c r="A12" s="490">
        <v>45505.0</v>
      </c>
      <c r="B12" s="491" t="s">
        <v>939</v>
      </c>
      <c r="C12" s="491">
        <v>11.0</v>
      </c>
      <c r="D12" s="491">
        <v>904.0</v>
      </c>
      <c r="E12" s="491" t="s">
        <v>940</v>
      </c>
      <c r="F12" s="491">
        <v>0.0</v>
      </c>
      <c r="G12" s="491">
        <v>1.0</v>
      </c>
      <c r="H12" s="492">
        <v>2.0</v>
      </c>
      <c r="I12" s="493">
        <v>45505.57334490741</v>
      </c>
      <c r="J12" s="491">
        <v>0.635</v>
      </c>
      <c r="K12" s="491">
        <v>51.75</v>
      </c>
      <c r="L12" s="491">
        <v>1.0</v>
      </c>
      <c r="M12" s="494">
        <f t="shared" si="1"/>
        <v>0.635</v>
      </c>
      <c r="N12" s="495">
        <f t="shared" si="3"/>
        <v>0.635</v>
      </c>
      <c r="O12" s="489" t="s">
        <v>12</v>
      </c>
    </row>
    <row r="13">
      <c r="A13" s="490">
        <v>45505.0</v>
      </c>
      <c r="B13" s="491" t="s">
        <v>939</v>
      </c>
      <c r="C13" s="491">
        <v>12.0</v>
      </c>
      <c r="D13" s="491">
        <v>904.0</v>
      </c>
      <c r="E13" s="491" t="s">
        <v>940</v>
      </c>
      <c r="F13" s="491">
        <v>0.0</v>
      </c>
      <c r="G13" s="491">
        <v>1.0</v>
      </c>
      <c r="H13" s="492">
        <v>3.0</v>
      </c>
      <c r="I13" s="493">
        <v>45505.574270833335</v>
      </c>
      <c r="J13" s="491">
        <v>0.635</v>
      </c>
      <c r="K13" s="491">
        <v>51.75</v>
      </c>
      <c r="L13" s="491">
        <v>1.0</v>
      </c>
      <c r="M13" s="494">
        <f t="shared" si="1"/>
        <v>0.635</v>
      </c>
      <c r="N13" s="495">
        <f t="shared" si="3"/>
        <v>0.635</v>
      </c>
      <c r="O13" s="489" t="s">
        <v>12</v>
      </c>
    </row>
    <row r="14">
      <c r="A14" s="490">
        <v>45505.0</v>
      </c>
      <c r="B14" s="491" t="s">
        <v>79</v>
      </c>
      <c r="C14" s="491">
        <v>13.0</v>
      </c>
      <c r="D14" s="491">
        <v>905.0</v>
      </c>
      <c r="E14" s="491" t="s">
        <v>941</v>
      </c>
      <c r="F14" s="491">
        <v>0.0</v>
      </c>
      <c r="G14" s="491">
        <v>0.0</v>
      </c>
      <c r="H14" s="492">
        <v>1.0</v>
      </c>
      <c r="I14" s="493">
        <v>45505.57519675926</v>
      </c>
      <c r="J14" s="491">
        <v>-0.025</v>
      </c>
      <c r="K14" s="491">
        <v>19.71</v>
      </c>
      <c r="L14" s="491">
        <v>1.0</v>
      </c>
      <c r="M14" s="496">
        <f t="shared" si="1"/>
        <v>-0.025</v>
      </c>
      <c r="N14" s="489" t="s">
        <v>934</v>
      </c>
      <c r="O14" s="489" t="s">
        <v>12</v>
      </c>
    </row>
    <row r="15">
      <c r="A15" s="490">
        <v>45505.0</v>
      </c>
      <c r="B15" s="491" t="s">
        <v>942</v>
      </c>
      <c r="C15" s="491">
        <v>14.0</v>
      </c>
      <c r="D15" s="491">
        <v>906.0</v>
      </c>
      <c r="E15" s="491" t="s">
        <v>943</v>
      </c>
      <c r="F15" s="491">
        <v>0.0</v>
      </c>
      <c r="G15" s="491">
        <v>0.0</v>
      </c>
      <c r="H15" s="492">
        <v>2.0</v>
      </c>
      <c r="I15" s="493">
        <v>45505.57612268518</v>
      </c>
      <c r="J15" s="491">
        <v>0.948</v>
      </c>
      <c r="K15" s="491">
        <v>66.96</v>
      </c>
      <c r="L15" s="491">
        <v>1.0</v>
      </c>
      <c r="M15" s="494">
        <f t="shared" si="1"/>
        <v>0.948</v>
      </c>
      <c r="N15" s="495">
        <f t="shared" ref="N15:N28" si="4">M15</f>
        <v>0.948</v>
      </c>
      <c r="O15" s="489" t="s">
        <v>12</v>
      </c>
    </row>
    <row r="16">
      <c r="A16" s="490">
        <v>45505.0</v>
      </c>
      <c r="B16" s="491" t="s">
        <v>944</v>
      </c>
      <c r="C16" s="491">
        <v>15.0</v>
      </c>
      <c r="D16" s="491">
        <v>907.0</v>
      </c>
      <c r="E16" s="491" t="s">
        <v>945</v>
      </c>
      <c r="F16" s="491">
        <v>0.0</v>
      </c>
      <c r="G16" s="491">
        <v>0.0</v>
      </c>
      <c r="H16" s="492">
        <v>0.0</v>
      </c>
      <c r="I16" s="493">
        <v>45505.577048611114</v>
      </c>
      <c r="J16" s="491">
        <v>1.483</v>
      </c>
      <c r="K16" s="491">
        <v>92.89</v>
      </c>
      <c r="L16" s="491">
        <v>1.0</v>
      </c>
      <c r="M16" s="494">
        <f t="shared" si="1"/>
        <v>1.483</v>
      </c>
      <c r="N16" s="495">
        <f t="shared" si="4"/>
        <v>1.483</v>
      </c>
      <c r="O16" s="489" t="s">
        <v>12</v>
      </c>
    </row>
    <row r="17">
      <c r="A17" s="490">
        <v>45505.0</v>
      </c>
      <c r="B17" s="491">
        <v>10.0</v>
      </c>
      <c r="C17" s="491">
        <v>16.0</v>
      </c>
      <c r="D17" s="491">
        <v>1.0</v>
      </c>
      <c r="E17" s="491" t="s">
        <v>941</v>
      </c>
      <c r="F17" s="491">
        <v>0.0</v>
      </c>
      <c r="G17" s="491">
        <v>0.0</v>
      </c>
      <c r="H17" s="492">
        <v>0.0</v>
      </c>
      <c r="I17" s="493">
        <v>45505.57797453704</v>
      </c>
      <c r="J17" s="491">
        <v>0.086</v>
      </c>
      <c r="K17" s="491">
        <v>25.14</v>
      </c>
      <c r="L17" s="491">
        <v>1.0</v>
      </c>
      <c r="M17" s="494">
        <f t="shared" si="1"/>
        <v>0.086</v>
      </c>
      <c r="N17" s="495">
        <f t="shared" si="4"/>
        <v>0.086</v>
      </c>
      <c r="O17" s="489" t="s">
        <v>12</v>
      </c>
    </row>
    <row r="18">
      <c r="A18" s="490">
        <v>45505.0</v>
      </c>
      <c r="B18" s="491">
        <v>75.0</v>
      </c>
      <c r="C18" s="491">
        <v>17.0</v>
      </c>
      <c r="D18" s="491">
        <v>2.0</v>
      </c>
      <c r="E18" s="491" t="s">
        <v>941</v>
      </c>
      <c r="F18" s="491">
        <v>0.0</v>
      </c>
      <c r="G18" s="491">
        <v>0.0</v>
      </c>
      <c r="H18" s="492">
        <v>0.0</v>
      </c>
      <c r="I18" s="493">
        <v>45505.57890046296</v>
      </c>
      <c r="J18" s="491">
        <v>0.399</v>
      </c>
      <c r="K18" s="491">
        <v>40.29</v>
      </c>
      <c r="L18" s="491">
        <v>1.0</v>
      </c>
      <c r="M18" s="494">
        <f t="shared" si="1"/>
        <v>0.399</v>
      </c>
      <c r="N18" s="495">
        <f t="shared" si="4"/>
        <v>0.399</v>
      </c>
      <c r="O18" s="489" t="s">
        <v>12</v>
      </c>
    </row>
    <row r="19">
      <c r="A19" s="490">
        <v>45505.0</v>
      </c>
      <c r="B19" s="491">
        <v>114.0</v>
      </c>
      <c r="C19" s="491">
        <v>18.0</v>
      </c>
      <c r="D19" s="491">
        <v>3.0</v>
      </c>
      <c r="E19" s="491" t="s">
        <v>941</v>
      </c>
      <c r="F19" s="491">
        <v>0.0</v>
      </c>
      <c r="G19" s="491">
        <v>0.0</v>
      </c>
      <c r="H19" s="492">
        <v>0.0</v>
      </c>
      <c r="I19" s="493">
        <v>45505.57982638889</v>
      </c>
      <c r="J19" s="491">
        <v>0.212</v>
      </c>
      <c r="K19" s="491">
        <v>31.22</v>
      </c>
      <c r="L19" s="491">
        <v>1.0</v>
      </c>
      <c r="M19" s="494">
        <f t="shared" si="1"/>
        <v>0.212</v>
      </c>
      <c r="N19" s="495">
        <f t="shared" si="4"/>
        <v>0.212</v>
      </c>
      <c r="O19" s="489" t="s">
        <v>12</v>
      </c>
    </row>
    <row r="20">
      <c r="A20" s="490">
        <v>45505.0</v>
      </c>
      <c r="B20" s="491">
        <v>62.0</v>
      </c>
      <c r="C20" s="491">
        <v>19.0</v>
      </c>
      <c r="D20" s="491">
        <v>4.0</v>
      </c>
      <c r="E20" s="491" t="s">
        <v>941</v>
      </c>
      <c r="F20" s="491">
        <v>0.0</v>
      </c>
      <c r="G20" s="491">
        <v>0.0</v>
      </c>
      <c r="H20" s="492">
        <v>0.0</v>
      </c>
      <c r="I20" s="493">
        <v>45505.58075231482</v>
      </c>
      <c r="J20" s="491">
        <v>0.115</v>
      </c>
      <c r="K20" s="491">
        <v>26.54</v>
      </c>
      <c r="L20" s="491">
        <v>1.0</v>
      </c>
      <c r="M20" s="494">
        <f t="shared" si="1"/>
        <v>0.115</v>
      </c>
      <c r="N20" s="495">
        <f t="shared" si="4"/>
        <v>0.115</v>
      </c>
      <c r="O20" s="489" t="s">
        <v>12</v>
      </c>
    </row>
    <row r="21">
      <c r="A21" s="490">
        <v>45505.0</v>
      </c>
      <c r="B21" s="491">
        <v>88.0</v>
      </c>
      <c r="C21" s="491">
        <v>20.0</v>
      </c>
      <c r="D21" s="491">
        <v>5.0</v>
      </c>
      <c r="E21" s="491" t="s">
        <v>941</v>
      </c>
      <c r="F21" s="491">
        <v>0.0</v>
      </c>
      <c r="G21" s="497">
        <v>0.0</v>
      </c>
      <c r="H21" s="492">
        <v>1.0</v>
      </c>
      <c r="I21" s="493">
        <v>45505.58167824074</v>
      </c>
      <c r="J21" s="491">
        <v>0.14</v>
      </c>
      <c r="K21" s="491">
        <v>27.74</v>
      </c>
      <c r="L21" s="491">
        <v>1.0</v>
      </c>
      <c r="M21" s="494">
        <f t="shared" si="1"/>
        <v>0.14</v>
      </c>
      <c r="N21" s="495">
        <f t="shared" si="4"/>
        <v>0.14</v>
      </c>
      <c r="O21" s="489" t="s">
        <v>12</v>
      </c>
    </row>
    <row r="22">
      <c r="A22" s="490">
        <v>45505.0</v>
      </c>
      <c r="B22" s="491">
        <v>205.0</v>
      </c>
      <c r="C22" s="491">
        <v>21.0</v>
      </c>
      <c r="D22" s="491">
        <v>6.0</v>
      </c>
      <c r="E22" s="491" t="s">
        <v>941</v>
      </c>
      <c r="F22" s="491">
        <v>0.0</v>
      </c>
      <c r="G22" s="497">
        <v>0.0</v>
      </c>
      <c r="H22" s="492">
        <v>0.0</v>
      </c>
      <c r="I22" s="493">
        <v>45505.582604166666</v>
      </c>
      <c r="J22" s="491">
        <v>0.086</v>
      </c>
      <c r="K22" s="491">
        <v>25.13</v>
      </c>
      <c r="L22" s="491">
        <v>1.0</v>
      </c>
      <c r="M22" s="494">
        <f t="shared" si="1"/>
        <v>0.086</v>
      </c>
      <c r="N22" s="495">
        <f t="shared" si="4"/>
        <v>0.086</v>
      </c>
      <c r="O22" s="489" t="s">
        <v>12</v>
      </c>
    </row>
    <row r="23">
      <c r="A23" s="490">
        <v>45505.0</v>
      </c>
      <c r="B23" s="491">
        <v>270.0</v>
      </c>
      <c r="C23" s="491">
        <v>22.0</v>
      </c>
      <c r="D23" s="491">
        <v>7.0</v>
      </c>
      <c r="E23" s="491" t="s">
        <v>941</v>
      </c>
      <c r="F23" s="491">
        <v>0.0</v>
      </c>
      <c r="G23" s="497">
        <v>0.0</v>
      </c>
      <c r="H23" s="492">
        <v>0.0</v>
      </c>
      <c r="I23" s="493">
        <v>45505.58353009259</v>
      </c>
      <c r="J23" s="491">
        <v>0.962</v>
      </c>
      <c r="K23" s="491">
        <v>67.65</v>
      </c>
      <c r="L23" s="491">
        <v>1.0</v>
      </c>
      <c r="M23" s="494">
        <f t="shared" si="1"/>
        <v>0.962</v>
      </c>
      <c r="N23" s="495">
        <f t="shared" si="4"/>
        <v>0.962</v>
      </c>
      <c r="O23" s="489" t="s">
        <v>12</v>
      </c>
    </row>
    <row r="24">
      <c r="A24" s="490">
        <v>45505.0</v>
      </c>
      <c r="B24" s="491">
        <v>101.0</v>
      </c>
      <c r="C24" s="491">
        <v>23.0</v>
      </c>
      <c r="D24" s="491">
        <v>8.0</v>
      </c>
      <c r="E24" s="491" t="s">
        <v>941</v>
      </c>
      <c r="F24" s="491">
        <v>0.0</v>
      </c>
      <c r="G24" s="497">
        <v>0.0</v>
      </c>
      <c r="H24" s="492">
        <v>0.0</v>
      </c>
      <c r="I24" s="493">
        <v>45505.58445601852</v>
      </c>
      <c r="J24" s="491">
        <v>0.158</v>
      </c>
      <c r="K24" s="491">
        <v>28.61</v>
      </c>
      <c r="L24" s="491">
        <v>1.0</v>
      </c>
      <c r="M24" s="494">
        <f t="shared" si="1"/>
        <v>0.158</v>
      </c>
      <c r="N24" s="495">
        <f t="shared" si="4"/>
        <v>0.158</v>
      </c>
      <c r="O24" s="489" t="s">
        <v>12</v>
      </c>
    </row>
    <row r="25">
      <c r="A25" s="490">
        <v>45505.0</v>
      </c>
      <c r="B25" s="491">
        <v>127.0</v>
      </c>
      <c r="C25" s="491">
        <v>24.0</v>
      </c>
      <c r="D25" s="491">
        <v>9.0</v>
      </c>
      <c r="E25" s="491" t="s">
        <v>941</v>
      </c>
      <c r="F25" s="491">
        <v>0.0</v>
      </c>
      <c r="G25" s="497">
        <v>0.0</v>
      </c>
      <c r="H25" s="492">
        <v>0.0</v>
      </c>
      <c r="I25" s="493">
        <v>45505.585381944446</v>
      </c>
      <c r="J25" s="491">
        <v>0.08</v>
      </c>
      <c r="K25" s="491">
        <v>24.81</v>
      </c>
      <c r="L25" s="491">
        <v>1.0</v>
      </c>
      <c r="M25" s="494">
        <f t="shared" si="1"/>
        <v>0.08</v>
      </c>
      <c r="N25" s="495">
        <f t="shared" si="4"/>
        <v>0.08</v>
      </c>
      <c r="O25" s="489" t="s">
        <v>12</v>
      </c>
    </row>
    <row r="26">
      <c r="A26" s="490">
        <v>45505.0</v>
      </c>
      <c r="B26" s="491">
        <v>439.0</v>
      </c>
      <c r="C26" s="491">
        <v>25.0</v>
      </c>
      <c r="D26" s="491">
        <v>10.0</v>
      </c>
      <c r="E26" s="491" t="s">
        <v>941</v>
      </c>
      <c r="F26" s="491">
        <v>0.0</v>
      </c>
      <c r="G26" s="497">
        <v>0.0</v>
      </c>
      <c r="H26" s="492">
        <v>1.0</v>
      </c>
      <c r="I26" s="493">
        <v>45505.58630787037</v>
      </c>
      <c r="J26" s="491">
        <v>0.034</v>
      </c>
      <c r="K26" s="491">
        <v>22.58</v>
      </c>
      <c r="L26" s="491">
        <v>1.0</v>
      </c>
      <c r="M26" s="494">
        <f t="shared" si="1"/>
        <v>0.034</v>
      </c>
      <c r="N26" s="495">
        <f t="shared" si="4"/>
        <v>0.034</v>
      </c>
      <c r="O26" s="489" t="s">
        <v>12</v>
      </c>
    </row>
    <row r="27">
      <c r="A27" s="490">
        <v>45505.0</v>
      </c>
      <c r="B27" s="491" t="s">
        <v>946</v>
      </c>
      <c r="C27" s="491">
        <v>26.0</v>
      </c>
      <c r="D27" s="491">
        <v>11.0</v>
      </c>
      <c r="E27" s="491" t="s">
        <v>943</v>
      </c>
      <c r="F27" s="491">
        <v>0.0</v>
      </c>
      <c r="G27" s="497">
        <v>0.0</v>
      </c>
      <c r="H27" s="492">
        <v>2.0</v>
      </c>
      <c r="I27" s="493">
        <v>45505.587233796294</v>
      </c>
      <c r="J27" s="491">
        <v>1.217</v>
      </c>
      <c r="K27" s="491">
        <v>79.97</v>
      </c>
      <c r="L27" s="491">
        <v>1.0</v>
      </c>
      <c r="M27" s="494">
        <f t="shared" si="1"/>
        <v>1.217</v>
      </c>
      <c r="N27" s="495">
        <f t="shared" si="4"/>
        <v>1.217</v>
      </c>
      <c r="O27" s="489" t="s">
        <v>12</v>
      </c>
    </row>
    <row r="28">
      <c r="A28" s="490">
        <v>45505.0</v>
      </c>
      <c r="B28" s="491" t="s">
        <v>944</v>
      </c>
      <c r="C28" s="491">
        <v>27.0</v>
      </c>
      <c r="D28" s="491">
        <v>907.0</v>
      </c>
      <c r="E28" s="491" t="s">
        <v>945</v>
      </c>
      <c r="F28" s="491">
        <v>0.0</v>
      </c>
      <c r="G28" s="497">
        <v>0.0</v>
      </c>
      <c r="H28" s="492">
        <v>0.0</v>
      </c>
      <c r="I28" s="493">
        <v>45505.588159722225</v>
      </c>
      <c r="J28" s="491">
        <v>1.532</v>
      </c>
      <c r="K28" s="491">
        <v>95.26</v>
      </c>
      <c r="L28" s="491">
        <v>1.0</v>
      </c>
      <c r="M28" s="494">
        <f t="shared" si="1"/>
        <v>1.532</v>
      </c>
      <c r="N28" s="495">
        <f t="shared" si="4"/>
        <v>1.532</v>
      </c>
      <c r="O28" s="489" t="s">
        <v>12</v>
      </c>
    </row>
    <row r="29">
      <c r="A29" s="490">
        <v>45505.0</v>
      </c>
      <c r="B29" s="491" t="s">
        <v>935</v>
      </c>
      <c r="C29" s="491">
        <v>28.0</v>
      </c>
      <c r="D29" s="491">
        <v>0.0</v>
      </c>
      <c r="E29" s="491" t="s">
        <v>936</v>
      </c>
      <c r="F29" s="491">
        <v>0.0</v>
      </c>
      <c r="G29" s="497">
        <v>0.0</v>
      </c>
      <c r="H29" s="492">
        <v>0.0</v>
      </c>
      <c r="I29" s="493">
        <v>45505.58908564815</v>
      </c>
      <c r="J29" s="491">
        <v>-0.432</v>
      </c>
      <c r="K29" s="491">
        <v>0.0</v>
      </c>
      <c r="L29" s="491">
        <v>1.0</v>
      </c>
      <c r="M29" s="496">
        <f t="shared" si="1"/>
        <v>-0.432</v>
      </c>
      <c r="N29" s="489" t="s">
        <v>934</v>
      </c>
      <c r="O29" s="489" t="s">
        <v>12</v>
      </c>
    </row>
    <row r="30">
      <c r="A30" s="490">
        <v>45505.0</v>
      </c>
      <c r="B30" s="491">
        <v>153.0</v>
      </c>
      <c r="C30" s="491">
        <v>29.0</v>
      </c>
      <c r="D30" s="491">
        <v>12.0</v>
      </c>
      <c r="E30" s="491" t="s">
        <v>941</v>
      </c>
      <c r="F30" s="491">
        <v>0.0</v>
      </c>
      <c r="G30" s="497">
        <v>0.0</v>
      </c>
      <c r="H30" s="492">
        <v>0.0</v>
      </c>
      <c r="I30" s="493">
        <v>45505.59186342593</v>
      </c>
      <c r="J30" s="491">
        <v>0.125</v>
      </c>
      <c r="K30" s="491">
        <v>27.01</v>
      </c>
      <c r="L30" s="491">
        <v>1.0</v>
      </c>
      <c r="M30" s="494">
        <f t="shared" si="1"/>
        <v>0.125</v>
      </c>
      <c r="N30" s="495">
        <f t="shared" ref="N30:N41" si="5">M30</f>
        <v>0.125</v>
      </c>
      <c r="O30" s="489" t="s">
        <v>12</v>
      </c>
    </row>
    <row r="31">
      <c r="A31" s="490">
        <v>45505.0</v>
      </c>
      <c r="B31" s="491">
        <v>283.0</v>
      </c>
      <c r="C31" s="491">
        <v>30.0</v>
      </c>
      <c r="D31" s="491">
        <v>13.0</v>
      </c>
      <c r="E31" s="491" t="s">
        <v>941</v>
      </c>
      <c r="F31" s="491">
        <v>0.0</v>
      </c>
      <c r="G31" s="497">
        <v>0.0</v>
      </c>
      <c r="H31" s="492">
        <v>0.0</v>
      </c>
      <c r="I31" s="493">
        <v>45505.59278935185</v>
      </c>
      <c r="J31" s="491">
        <v>0.071</v>
      </c>
      <c r="K31" s="491">
        <v>24.38</v>
      </c>
      <c r="L31" s="491">
        <v>1.0</v>
      </c>
      <c r="M31" s="494">
        <f t="shared" si="1"/>
        <v>0.071</v>
      </c>
      <c r="N31" s="495">
        <f t="shared" si="5"/>
        <v>0.071</v>
      </c>
      <c r="O31" s="489" t="s">
        <v>12</v>
      </c>
    </row>
    <row r="32">
      <c r="A32" s="490">
        <v>45505.0</v>
      </c>
      <c r="B32" s="491">
        <v>322.0</v>
      </c>
      <c r="C32" s="491">
        <v>31.0</v>
      </c>
      <c r="D32" s="491">
        <v>14.0</v>
      </c>
      <c r="E32" s="491" t="s">
        <v>941</v>
      </c>
      <c r="F32" s="491">
        <v>0.0</v>
      </c>
      <c r="G32" s="497">
        <v>0.0</v>
      </c>
      <c r="H32" s="492">
        <v>0.0</v>
      </c>
      <c r="I32" s="493">
        <v>45505.59371527778</v>
      </c>
      <c r="J32" s="491">
        <v>0.554</v>
      </c>
      <c r="K32" s="491">
        <v>47.84</v>
      </c>
      <c r="L32" s="491">
        <v>1.0</v>
      </c>
      <c r="M32" s="494">
        <f t="shared" si="1"/>
        <v>0.554</v>
      </c>
      <c r="N32" s="495">
        <f t="shared" si="5"/>
        <v>0.554</v>
      </c>
      <c r="O32" s="489" t="s">
        <v>12</v>
      </c>
    </row>
    <row r="33">
      <c r="A33" s="490">
        <v>45505.0</v>
      </c>
      <c r="B33" s="491">
        <v>348.0</v>
      </c>
      <c r="C33" s="491">
        <v>32.0</v>
      </c>
      <c r="D33" s="491">
        <v>15.0</v>
      </c>
      <c r="E33" s="491" t="s">
        <v>941</v>
      </c>
      <c r="F33" s="491">
        <v>0.0</v>
      </c>
      <c r="G33" s="497">
        <v>0.0</v>
      </c>
      <c r="H33" s="492">
        <v>0.0</v>
      </c>
      <c r="I33" s="493">
        <v>45505.5946412037</v>
      </c>
      <c r="J33" s="491">
        <v>0.154</v>
      </c>
      <c r="K33" s="491">
        <v>28.41</v>
      </c>
      <c r="L33" s="491">
        <v>1.0</v>
      </c>
      <c r="M33" s="494">
        <f t="shared" si="1"/>
        <v>0.154</v>
      </c>
      <c r="N33" s="495">
        <f t="shared" si="5"/>
        <v>0.154</v>
      </c>
      <c r="O33" s="489" t="s">
        <v>12</v>
      </c>
    </row>
    <row r="34">
      <c r="A34" s="490">
        <v>45505.0</v>
      </c>
      <c r="B34" s="491">
        <v>166.0</v>
      </c>
      <c r="C34" s="491">
        <v>33.0</v>
      </c>
      <c r="D34" s="491">
        <v>16.0</v>
      </c>
      <c r="E34" s="491" t="s">
        <v>941</v>
      </c>
      <c r="F34" s="491">
        <v>0.0</v>
      </c>
      <c r="G34" s="497">
        <v>0.0</v>
      </c>
      <c r="H34" s="492">
        <v>1.0</v>
      </c>
      <c r="I34" s="493">
        <v>45505.59556712963</v>
      </c>
      <c r="J34" s="491">
        <v>0.295</v>
      </c>
      <c r="K34" s="491">
        <v>35.26</v>
      </c>
      <c r="L34" s="491">
        <v>1.0</v>
      </c>
      <c r="M34" s="494">
        <f t="shared" si="1"/>
        <v>0.295</v>
      </c>
      <c r="N34" s="495">
        <f t="shared" si="5"/>
        <v>0.295</v>
      </c>
      <c r="O34" s="489" t="s">
        <v>12</v>
      </c>
    </row>
    <row r="35">
      <c r="A35" s="490">
        <v>45505.0</v>
      </c>
      <c r="B35" s="491">
        <v>140.0</v>
      </c>
      <c r="C35" s="491">
        <v>34.0</v>
      </c>
      <c r="D35" s="491">
        <v>17.0</v>
      </c>
      <c r="E35" s="491" t="s">
        <v>941</v>
      </c>
      <c r="F35" s="491">
        <v>0.0</v>
      </c>
      <c r="G35" s="497">
        <v>0.0</v>
      </c>
      <c r="H35" s="492">
        <v>0.0</v>
      </c>
      <c r="I35" s="493">
        <v>45505.59649305556</v>
      </c>
      <c r="J35" s="491">
        <v>0.409</v>
      </c>
      <c r="K35" s="491">
        <v>40.77</v>
      </c>
      <c r="L35" s="491">
        <v>1.0</v>
      </c>
      <c r="M35" s="494">
        <f t="shared" si="1"/>
        <v>0.409</v>
      </c>
      <c r="N35" s="495">
        <f t="shared" si="5"/>
        <v>0.409</v>
      </c>
      <c r="O35" s="489" t="s">
        <v>12</v>
      </c>
    </row>
    <row r="36">
      <c r="A36" s="490">
        <v>45505.0</v>
      </c>
      <c r="B36" s="491">
        <v>23.0</v>
      </c>
      <c r="C36" s="491">
        <v>35.0</v>
      </c>
      <c r="D36" s="491">
        <v>18.0</v>
      </c>
      <c r="E36" s="491" t="s">
        <v>941</v>
      </c>
      <c r="F36" s="491">
        <v>0.0</v>
      </c>
      <c r="G36" s="497">
        <v>0.0</v>
      </c>
      <c r="H36" s="492">
        <v>0.0</v>
      </c>
      <c r="I36" s="493">
        <v>45505.59741898148</v>
      </c>
      <c r="J36" s="491">
        <v>0.169</v>
      </c>
      <c r="K36" s="491">
        <v>29.16</v>
      </c>
      <c r="L36" s="491">
        <v>1.0</v>
      </c>
      <c r="M36" s="494">
        <f t="shared" si="1"/>
        <v>0.169</v>
      </c>
      <c r="N36" s="495">
        <f t="shared" si="5"/>
        <v>0.169</v>
      </c>
      <c r="O36" s="489" t="s">
        <v>12</v>
      </c>
    </row>
    <row r="37">
      <c r="A37" s="490">
        <v>45505.0</v>
      </c>
      <c r="B37" s="491">
        <v>36.0</v>
      </c>
      <c r="C37" s="491">
        <v>36.0</v>
      </c>
      <c r="D37" s="491">
        <v>19.0</v>
      </c>
      <c r="E37" s="491" t="s">
        <v>941</v>
      </c>
      <c r="F37" s="491">
        <v>0.0</v>
      </c>
      <c r="G37" s="497">
        <v>0.0</v>
      </c>
      <c r="H37" s="492">
        <v>0.0</v>
      </c>
      <c r="I37" s="493">
        <v>45505.598344907405</v>
      </c>
      <c r="J37" s="491">
        <v>0.374</v>
      </c>
      <c r="K37" s="491">
        <v>39.07</v>
      </c>
      <c r="L37" s="491">
        <v>1.0</v>
      </c>
      <c r="M37" s="494">
        <f t="shared" si="1"/>
        <v>0.374</v>
      </c>
      <c r="N37" s="495">
        <f t="shared" si="5"/>
        <v>0.374</v>
      </c>
      <c r="O37" s="489" t="s">
        <v>12</v>
      </c>
    </row>
    <row r="38">
      <c r="A38" s="490">
        <v>45505.0</v>
      </c>
      <c r="B38" s="491">
        <v>179.0</v>
      </c>
      <c r="C38" s="491">
        <v>37.0</v>
      </c>
      <c r="D38" s="491">
        <v>20.0</v>
      </c>
      <c r="E38" s="491" t="s">
        <v>941</v>
      </c>
      <c r="F38" s="491">
        <v>0.0</v>
      </c>
      <c r="G38" s="497">
        <v>0.0</v>
      </c>
      <c r="H38" s="492">
        <v>0.0</v>
      </c>
      <c r="I38" s="493">
        <v>45505.599270833336</v>
      </c>
      <c r="J38" s="491">
        <v>0.341</v>
      </c>
      <c r="K38" s="491">
        <v>37.51</v>
      </c>
      <c r="L38" s="491">
        <v>1.0</v>
      </c>
      <c r="M38" s="494">
        <f t="shared" si="1"/>
        <v>0.341</v>
      </c>
      <c r="N38" s="495">
        <f t="shared" si="5"/>
        <v>0.341</v>
      </c>
      <c r="O38" s="489" t="s">
        <v>12</v>
      </c>
    </row>
    <row r="39">
      <c r="A39" s="490">
        <v>45505.0</v>
      </c>
      <c r="B39" s="491">
        <v>569.0</v>
      </c>
      <c r="C39" s="491">
        <v>38.0</v>
      </c>
      <c r="D39" s="491">
        <v>21.0</v>
      </c>
      <c r="E39" s="491" t="s">
        <v>941</v>
      </c>
      <c r="F39" s="491">
        <v>0.0</v>
      </c>
      <c r="G39" s="497">
        <v>0.0</v>
      </c>
      <c r="H39" s="492">
        <v>0.0</v>
      </c>
      <c r="I39" s="493">
        <v>45505.60019675926</v>
      </c>
      <c r="J39" s="491">
        <v>0.116</v>
      </c>
      <c r="K39" s="491">
        <v>26.57</v>
      </c>
      <c r="L39" s="491">
        <v>1.0</v>
      </c>
      <c r="M39" s="494">
        <f t="shared" si="1"/>
        <v>0.116</v>
      </c>
      <c r="N39" s="495">
        <f t="shared" si="5"/>
        <v>0.116</v>
      </c>
      <c r="O39" s="489" t="s">
        <v>12</v>
      </c>
    </row>
    <row r="40">
      <c r="A40" s="490">
        <v>45505.0</v>
      </c>
      <c r="B40" s="491" t="s">
        <v>947</v>
      </c>
      <c r="C40" s="491">
        <v>39.0</v>
      </c>
      <c r="D40" s="491">
        <v>22.0</v>
      </c>
      <c r="E40" s="491" t="s">
        <v>943</v>
      </c>
      <c r="F40" s="491">
        <v>0.0</v>
      </c>
      <c r="G40" s="497">
        <v>0.0</v>
      </c>
      <c r="H40" s="492">
        <v>1.0</v>
      </c>
      <c r="I40" s="493">
        <v>45505.601122685184</v>
      </c>
      <c r="J40" s="491">
        <v>1.142</v>
      </c>
      <c r="K40" s="491">
        <v>76.37</v>
      </c>
      <c r="L40" s="491">
        <v>1.0</v>
      </c>
      <c r="M40" s="494">
        <f t="shared" si="1"/>
        <v>1.142</v>
      </c>
      <c r="N40" s="495">
        <f t="shared" si="5"/>
        <v>1.142</v>
      </c>
      <c r="O40" s="489" t="s">
        <v>12</v>
      </c>
    </row>
    <row r="41">
      <c r="A41" s="490">
        <v>45505.0</v>
      </c>
      <c r="B41" s="491" t="s">
        <v>944</v>
      </c>
      <c r="C41" s="491">
        <v>40.0</v>
      </c>
      <c r="D41" s="491">
        <v>907.0</v>
      </c>
      <c r="E41" s="491" t="s">
        <v>945</v>
      </c>
      <c r="F41" s="491">
        <v>0.0</v>
      </c>
      <c r="G41" s="497">
        <v>0.0</v>
      </c>
      <c r="H41" s="492">
        <v>0.0</v>
      </c>
      <c r="I41" s="493">
        <v>45505.60204861111</v>
      </c>
      <c r="J41" s="491">
        <v>1.481</v>
      </c>
      <c r="K41" s="491">
        <v>92.78</v>
      </c>
      <c r="L41" s="491">
        <v>1.0</v>
      </c>
      <c r="M41" s="494">
        <f t="shared" si="1"/>
        <v>1.481</v>
      </c>
      <c r="N41" s="495">
        <f t="shared" si="5"/>
        <v>1.481</v>
      </c>
      <c r="O41" s="489" t="s">
        <v>12</v>
      </c>
    </row>
    <row r="42">
      <c r="A42" s="490">
        <v>45505.0</v>
      </c>
      <c r="B42" s="491" t="s">
        <v>935</v>
      </c>
      <c r="C42" s="491">
        <v>41.0</v>
      </c>
      <c r="D42" s="491">
        <v>0.0</v>
      </c>
      <c r="E42" s="491" t="s">
        <v>936</v>
      </c>
      <c r="F42" s="491">
        <v>0.0</v>
      </c>
      <c r="G42" s="497">
        <v>0.0</v>
      </c>
      <c r="H42" s="492">
        <v>0.0</v>
      </c>
      <c r="I42" s="493">
        <v>45505.60297453704</v>
      </c>
      <c r="J42" s="491">
        <v>-0.432</v>
      </c>
      <c r="K42" s="491">
        <v>0.0</v>
      </c>
      <c r="L42" s="491">
        <v>1.0</v>
      </c>
      <c r="M42" s="496">
        <f t="shared" si="1"/>
        <v>-0.432</v>
      </c>
      <c r="N42" s="489" t="s">
        <v>934</v>
      </c>
      <c r="O42" s="489" t="s">
        <v>12</v>
      </c>
    </row>
    <row r="43">
      <c r="A43" s="490">
        <v>45505.0</v>
      </c>
      <c r="B43" s="491">
        <v>231.0</v>
      </c>
      <c r="C43" s="491">
        <v>42.0</v>
      </c>
      <c r="D43" s="491">
        <v>23.0</v>
      </c>
      <c r="E43" s="491" t="s">
        <v>941</v>
      </c>
      <c r="F43" s="491">
        <v>0.0</v>
      </c>
      <c r="G43" s="497">
        <v>0.0</v>
      </c>
      <c r="H43" s="492">
        <v>0.0</v>
      </c>
      <c r="I43" s="493">
        <v>45505.60575231481</v>
      </c>
      <c r="J43" s="491">
        <v>0.404</v>
      </c>
      <c r="K43" s="491">
        <v>40.54</v>
      </c>
      <c r="L43" s="491">
        <v>1.0</v>
      </c>
      <c r="M43" s="494">
        <f t="shared" si="1"/>
        <v>0.404</v>
      </c>
      <c r="N43" s="495">
        <f t="shared" ref="N43:N44" si="6">M43</f>
        <v>0.404</v>
      </c>
      <c r="O43" s="489" t="s">
        <v>12</v>
      </c>
    </row>
    <row r="44">
      <c r="A44" s="490">
        <v>45505.0</v>
      </c>
      <c r="B44" s="491">
        <v>218.0</v>
      </c>
      <c r="C44" s="491">
        <v>43.0</v>
      </c>
      <c r="D44" s="491">
        <v>24.0</v>
      </c>
      <c r="E44" s="491" t="s">
        <v>941</v>
      </c>
      <c r="F44" s="491">
        <v>0.0</v>
      </c>
      <c r="G44" s="497">
        <v>0.0</v>
      </c>
      <c r="H44" s="492">
        <v>0.0</v>
      </c>
      <c r="I44" s="493">
        <v>45505.60667824074</v>
      </c>
      <c r="J44" s="491">
        <v>0.117</v>
      </c>
      <c r="K44" s="491">
        <v>26.62</v>
      </c>
      <c r="L44" s="491">
        <v>1.0</v>
      </c>
      <c r="M44" s="494">
        <f t="shared" si="1"/>
        <v>0.117</v>
      </c>
      <c r="N44" s="495">
        <f t="shared" si="6"/>
        <v>0.117</v>
      </c>
      <c r="O44" s="489" t="s">
        <v>12</v>
      </c>
    </row>
    <row r="45">
      <c r="A45" s="490">
        <v>45505.0</v>
      </c>
      <c r="B45" s="491">
        <v>257.0</v>
      </c>
      <c r="C45" s="491">
        <v>44.0</v>
      </c>
      <c r="D45" s="491">
        <v>25.0</v>
      </c>
      <c r="E45" s="491" t="s">
        <v>941</v>
      </c>
      <c r="F45" s="491">
        <v>0.0</v>
      </c>
      <c r="G45" s="497">
        <v>0.0</v>
      </c>
      <c r="H45" s="492">
        <v>0.0</v>
      </c>
      <c r="I45" s="493">
        <v>45505.60760416667</v>
      </c>
      <c r="J45" s="491">
        <v>-0.054</v>
      </c>
      <c r="K45" s="491">
        <v>18.32</v>
      </c>
      <c r="L45" s="491">
        <v>1.0</v>
      </c>
      <c r="M45" s="496">
        <f t="shared" si="1"/>
        <v>-0.054</v>
      </c>
      <c r="N45" s="489" t="s">
        <v>934</v>
      </c>
      <c r="O45" s="489" t="s">
        <v>12</v>
      </c>
    </row>
    <row r="46">
      <c r="A46" s="490">
        <v>45505.0</v>
      </c>
      <c r="B46" s="491">
        <v>309.0</v>
      </c>
      <c r="C46" s="491">
        <v>45.0</v>
      </c>
      <c r="D46" s="491">
        <v>26.0</v>
      </c>
      <c r="E46" s="491" t="s">
        <v>941</v>
      </c>
      <c r="F46" s="491">
        <v>0.0</v>
      </c>
      <c r="G46" s="497">
        <v>0.0</v>
      </c>
      <c r="H46" s="492">
        <v>0.0</v>
      </c>
      <c r="I46" s="493">
        <v>45505.60853009259</v>
      </c>
      <c r="J46" s="491">
        <v>0.652</v>
      </c>
      <c r="K46" s="491">
        <v>52.6</v>
      </c>
      <c r="L46" s="491">
        <v>1.0</v>
      </c>
      <c r="M46" s="494">
        <f t="shared" si="1"/>
        <v>0.652</v>
      </c>
      <c r="N46" s="495">
        <f t="shared" ref="N46:N50" si="7">M46</f>
        <v>0.652</v>
      </c>
      <c r="O46" s="489" t="s">
        <v>12</v>
      </c>
    </row>
    <row r="47">
      <c r="A47" s="490">
        <v>45505.0</v>
      </c>
      <c r="B47" s="491">
        <v>192.0</v>
      </c>
      <c r="C47" s="491">
        <v>46.0</v>
      </c>
      <c r="D47" s="491">
        <v>27.0</v>
      </c>
      <c r="E47" s="491" t="s">
        <v>941</v>
      </c>
      <c r="F47" s="491">
        <v>0.0</v>
      </c>
      <c r="G47" s="497">
        <v>0.0</v>
      </c>
      <c r="H47" s="492">
        <v>0.0</v>
      </c>
      <c r="I47" s="493">
        <v>45505.609456018516</v>
      </c>
      <c r="J47" s="491">
        <v>0.383</v>
      </c>
      <c r="K47" s="491">
        <v>39.52</v>
      </c>
      <c r="L47" s="491">
        <v>1.0</v>
      </c>
      <c r="M47" s="494">
        <f t="shared" si="1"/>
        <v>0.383</v>
      </c>
      <c r="N47" s="495">
        <f t="shared" si="7"/>
        <v>0.383</v>
      </c>
      <c r="O47" s="489" t="s">
        <v>12</v>
      </c>
    </row>
    <row r="48">
      <c r="A48" s="490">
        <v>45505.0</v>
      </c>
      <c r="B48" s="491">
        <v>296.0</v>
      </c>
      <c r="C48" s="491">
        <v>47.0</v>
      </c>
      <c r="D48" s="491">
        <v>28.0</v>
      </c>
      <c r="E48" s="491" t="s">
        <v>941</v>
      </c>
      <c r="F48" s="491">
        <v>0.0</v>
      </c>
      <c r="G48" s="497">
        <v>0.0</v>
      </c>
      <c r="H48" s="492">
        <v>0.0</v>
      </c>
      <c r="I48" s="493">
        <v>45505.61038194445</v>
      </c>
      <c r="J48" s="491">
        <v>0.131</v>
      </c>
      <c r="K48" s="491">
        <v>27.32</v>
      </c>
      <c r="L48" s="491">
        <v>1.0</v>
      </c>
      <c r="M48" s="494">
        <f t="shared" si="1"/>
        <v>0.131</v>
      </c>
      <c r="N48" s="495">
        <f t="shared" si="7"/>
        <v>0.131</v>
      </c>
      <c r="O48" s="489" t="s">
        <v>12</v>
      </c>
    </row>
    <row r="49">
      <c r="A49" s="490">
        <v>45505.0</v>
      </c>
      <c r="B49" s="491">
        <v>244.0</v>
      </c>
      <c r="C49" s="491">
        <v>48.0</v>
      </c>
      <c r="D49" s="491">
        <v>29.0</v>
      </c>
      <c r="E49" s="491" t="s">
        <v>941</v>
      </c>
      <c r="F49" s="491">
        <v>0.0</v>
      </c>
      <c r="G49" s="497">
        <v>0.0</v>
      </c>
      <c r="H49" s="492">
        <v>0.0</v>
      </c>
      <c r="I49" s="493">
        <v>45505.61130787037</v>
      </c>
      <c r="J49" s="491">
        <v>0.306</v>
      </c>
      <c r="K49" s="491">
        <v>35.8</v>
      </c>
      <c r="L49" s="491">
        <v>1.0</v>
      </c>
      <c r="M49" s="494">
        <f t="shared" si="1"/>
        <v>0.306</v>
      </c>
      <c r="N49" s="495">
        <f t="shared" si="7"/>
        <v>0.306</v>
      </c>
      <c r="O49" s="489" t="s">
        <v>12</v>
      </c>
    </row>
    <row r="50">
      <c r="A50" s="490">
        <v>45505.0</v>
      </c>
      <c r="B50" s="491">
        <v>49.0</v>
      </c>
      <c r="C50" s="491">
        <v>49.0</v>
      </c>
      <c r="D50" s="491">
        <v>30.0</v>
      </c>
      <c r="E50" s="491" t="s">
        <v>941</v>
      </c>
      <c r="F50" s="491">
        <v>0.0</v>
      </c>
      <c r="G50" s="497">
        <v>0.0</v>
      </c>
      <c r="H50" s="492">
        <v>0.0</v>
      </c>
      <c r="I50" s="493">
        <v>45505.612233796295</v>
      </c>
      <c r="J50" s="491">
        <v>0.187</v>
      </c>
      <c r="K50" s="491">
        <v>30.0</v>
      </c>
      <c r="L50" s="491">
        <v>1.0</v>
      </c>
      <c r="M50" s="494">
        <f t="shared" si="1"/>
        <v>0.187</v>
      </c>
      <c r="N50" s="495">
        <f t="shared" si="7"/>
        <v>0.187</v>
      </c>
      <c r="O50" s="489" t="s">
        <v>12</v>
      </c>
    </row>
    <row r="51">
      <c r="A51" s="490">
        <v>45505.0</v>
      </c>
      <c r="B51" s="491">
        <v>582.0</v>
      </c>
      <c r="C51" s="491">
        <v>50.0</v>
      </c>
      <c r="D51" s="491">
        <v>31.0</v>
      </c>
      <c r="E51" s="491" t="s">
        <v>941</v>
      </c>
      <c r="F51" s="491">
        <v>0.0</v>
      </c>
      <c r="G51" s="497">
        <v>0.0</v>
      </c>
      <c r="H51" s="492">
        <v>0.0</v>
      </c>
      <c r="I51" s="493">
        <v>45505.61315972222</v>
      </c>
      <c r="J51" s="491">
        <v>-0.012</v>
      </c>
      <c r="K51" s="491">
        <v>20.37</v>
      </c>
      <c r="L51" s="491">
        <v>1.0</v>
      </c>
      <c r="M51" s="496">
        <f t="shared" si="1"/>
        <v>-0.012</v>
      </c>
      <c r="N51" s="489" t="s">
        <v>934</v>
      </c>
      <c r="O51" s="489" t="s">
        <v>12</v>
      </c>
    </row>
    <row r="52">
      <c r="A52" s="490">
        <v>45505.0</v>
      </c>
      <c r="B52" s="491" t="s">
        <v>948</v>
      </c>
      <c r="C52" s="491">
        <v>51.0</v>
      </c>
      <c r="D52" s="491">
        <v>32.0</v>
      </c>
      <c r="E52" s="491" t="s">
        <v>943</v>
      </c>
      <c r="F52" s="491">
        <v>0.0</v>
      </c>
      <c r="G52" s="497">
        <v>0.0</v>
      </c>
      <c r="H52" s="492">
        <v>1.0</v>
      </c>
      <c r="I52" s="493">
        <v>45505.61408564815</v>
      </c>
      <c r="J52" s="491">
        <v>1.135</v>
      </c>
      <c r="K52" s="491">
        <v>76.01</v>
      </c>
      <c r="L52" s="491">
        <v>1.0</v>
      </c>
      <c r="M52" s="494">
        <f t="shared" si="1"/>
        <v>1.135</v>
      </c>
      <c r="N52" s="495">
        <f t="shared" ref="N52:N53" si="8">M52</f>
        <v>1.135</v>
      </c>
      <c r="O52" s="489" t="s">
        <v>12</v>
      </c>
    </row>
    <row r="53">
      <c r="A53" s="490">
        <v>45505.0</v>
      </c>
      <c r="B53" s="491" t="s">
        <v>944</v>
      </c>
      <c r="C53" s="491">
        <v>52.0</v>
      </c>
      <c r="D53" s="491">
        <v>907.0</v>
      </c>
      <c r="E53" s="491" t="s">
        <v>945</v>
      </c>
      <c r="F53" s="491">
        <v>0.0</v>
      </c>
      <c r="G53" s="497">
        <v>0.0</v>
      </c>
      <c r="H53" s="492">
        <v>0.0</v>
      </c>
      <c r="I53" s="493">
        <v>45505.615011574075</v>
      </c>
      <c r="J53" s="491">
        <v>1.483</v>
      </c>
      <c r="K53" s="491">
        <v>92.9</v>
      </c>
      <c r="L53" s="491">
        <v>1.0</v>
      </c>
      <c r="M53" s="494">
        <f t="shared" si="1"/>
        <v>1.483</v>
      </c>
      <c r="N53" s="495">
        <f t="shared" si="8"/>
        <v>1.483</v>
      </c>
      <c r="O53" s="489" t="s">
        <v>12</v>
      </c>
    </row>
    <row r="54">
      <c r="A54" s="490">
        <v>45505.0</v>
      </c>
      <c r="B54" s="491" t="s">
        <v>935</v>
      </c>
      <c r="C54" s="491">
        <v>53.0</v>
      </c>
      <c r="D54" s="491">
        <v>0.0</v>
      </c>
      <c r="E54" s="491" t="s">
        <v>936</v>
      </c>
      <c r="F54" s="491">
        <v>0.0</v>
      </c>
      <c r="G54" s="497">
        <v>0.0</v>
      </c>
      <c r="H54" s="492">
        <v>0.0</v>
      </c>
      <c r="I54" s="493">
        <v>45505.6159375</v>
      </c>
      <c r="J54" s="491">
        <v>-0.432</v>
      </c>
      <c r="K54" s="491">
        <v>0.0</v>
      </c>
      <c r="L54" s="491">
        <v>1.0</v>
      </c>
      <c r="M54" s="496">
        <f t="shared" si="1"/>
        <v>-0.432</v>
      </c>
      <c r="N54" s="489" t="s">
        <v>934</v>
      </c>
      <c r="O54" s="489" t="s">
        <v>12</v>
      </c>
    </row>
    <row r="55">
      <c r="A55" s="490">
        <v>45505.0</v>
      </c>
      <c r="B55" s="491">
        <v>517.0</v>
      </c>
      <c r="C55" s="491">
        <v>54.0</v>
      </c>
      <c r="D55" s="491">
        <v>33.0</v>
      </c>
      <c r="E55" s="491" t="s">
        <v>941</v>
      </c>
      <c r="F55" s="491">
        <v>0.0</v>
      </c>
      <c r="G55" s="497">
        <v>0.0</v>
      </c>
      <c r="H55" s="492">
        <v>0.0</v>
      </c>
      <c r="I55" s="493">
        <v>45505.61871527778</v>
      </c>
      <c r="J55" s="491">
        <v>0.142</v>
      </c>
      <c r="K55" s="491">
        <v>27.82</v>
      </c>
      <c r="L55" s="491">
        <v>1.0</v>
      </c>
      <c r="M55" s="494">
        <f t="shared" si="1"/>
        <v>0.142</v>
      </c>
      <c r="N55" s="495">
        <f>M55</f>
        <v>0.142</v>
      </c>
      <c r="O55" s="489" t="s">
        <v>12</v>
      </c>
    </row>
    <row r="56">
      <c r="A56" s="490">
        <v>45505.0</v>
      </c>
      <c r="B56" s="491">
        <v>452.0</v>
      </c>
      <c r="C56" s="491">
        <v>55.0</v>
      </c>
      <c r="D56" s="491">
        <v>34.0</v>
      </c>
      <c r="E56" s="491" t="s">
        <v>941</v>
      </c>
      <c r="F56" s="491">
        <v>0.0</v>
      </c>
      <c r="G56" s="497">
        <v>0.0</v>
      </c>
      <c r="H56" s="492">
        <v>0.0</v>
      </c>
      <c r="I56" s="493">
        <v>45505.6196412037</v>
      </c>
      <c r="J56" s="491">
        <v>-0.012</v>
      </c>
      <c r="K56" s="491">
        <v>20.35</v>
      </c>
      <c r="L56" s="491">
        <v>1.0</v>
      </c>
      <c r="M56" s="496">
        <f t="shared" si="1"/>
        <v>-0.012</v>
      </c>
      <c r="N56" s="489" t="s">
        <v>934</v>
      </c>
      <c r="O56" s="489" t="s">
        <v>12</v>
      </c>
    </row>
    <row r="57">
      <c r="A57" s="490">
        <v>45505.0</v>
      </c>
      <c r="B57" s="491">
        <v>400.0</v>
      </c>
      <c r="C57" s="491">
        <v>56.0</v>
      </c>
      <c r="D57" s="491">
        <v>35.0</v>
      </c>
      <c r="E57" s="491" t="s">
        <v>941</v>
      </c>
      <c r="F57" s="491">
        <v>0.0</v>
      </c>
      <c r="G57" s="497">
        <v>0.0</v>
      </c>
      <c r="H57" s="492">
        <v>0.0</v>
      </c>
      <c r="I57" s="493">
        <v>45505.62056712963</v>
      </c>
      <c r="J57" s="491">
        <v>0.017</v>
      </c>
      <c r="K57" s="491">
        <v>21.76</v>
      </c>
      <c r="L57" s="491">
        <v>1.0</v>
      </c>
      <c r="M57" s="494">
        <f t="shared" si="1"/>
        <v>0.017</v>
      </c>
      <c r="N57" s="495">
        <f t="shared" ref="N57:N58" si="9">M57</f>
        <v>0.017</v>
      </c>
      <c r="O57" s="489" t="s">
        <v>12</v>
      </c>
    </row>
    <row r="58">
      <c r="A58" s="490">
        <v>45505.0</v>
      </c>
      <c r="B58" s="491">
        <v>413.0</v>
      </c>
      <c r="C58" s="491">
        <v>57.0</v>
      </c>
      <c r="D58" s="491">
        <v>36.0</v>
      </c>
      <c r="E58" s="491" t="s">
        <v>941</v>
      </c>
      <c r="F58" s="491">
        <v>0.0</v>
      </c>
      <c r="G58" s="497">
        <v>0.0</v>
      </c>
      <c r="H58" s="492">
        <v>0.0</v>
      </c>
      <c r="I58" s="493">
        <v>45505.62149305556</v>
      </c>
      <c r="J58" s="491">
        <v>0.088</v>
      </c>
      <c r="K58" s="491">
        <v>25.21</v>
      </c>
      <c r="L58" s="491">
        <v>1.0</v>
      </c>
      <c r="M58" s="494">
        <f t="shared" si="1"/>
        <v>0.088</v>
      </c>
      <c r="N58" s="495">
        <f t="shared" si="9"/>
        <v>0.088</v>
      </c>
      <c r="O58" s="489" t="s">
        <v>12</v>
      </c>
    </row>
    <row r="59">
      <c r="A59" s="490">
        <v>45505.0</v>
      </c>
      <c r="B59" s="491">
        <v>374.0</v>
      </c>
      <c r="C59" s="491">
        <v>58.0</v>
      </c>
      <c r="D59" s="491">
        <v>37.0</v>
      </c>
      <c r="E59" s="491" t="s">
        <v>941</v>
      </c>
      <c r="F59" s="491">
        <v>0.0</v>
      </c>
      <c r="G59" s="497">
        <v>0.0</v>
      </c>
      <c r="H59" s="492">
        <v>0.0</v>
      </c>
      <c r="I59" s="493">
        <v>45505.62241898148</v>
      </c>
      <c r="J59" s="491">
        <v>-0.018</v>
      </c>
      <c r="K59" s="491">
        <v>20.07</v>
      </c>
      <c r="L59" s="491">
        <v>1.0</v>
      </c>
      <c r="M59" s="496">
        <f t="shared" si="1"/>
        <v>-0.018</v>
      </c>
      <c r="N59" s="489" t="s">
        <v>934</v>
      </c>
      <c r="O59" s="489" t="s">
        <v>12</v>
      </c>
    </row>
    <row r="60">
      <c r="A60" s="490">
        <v>45505.0</v>
      </c>
      <c r="B60" s="491">
        <v>543.0</v>
      </c>
      <c r="C60" s="491">
        <v>59.0</v>
      </c>
      <c r="D60" s="491">
        <v>38.0</v>
      </c>
      <c r="E60" s="491" t="s">
        <v>941</v>
      </c>
      <c r="F60" s="491">
        <v>0.0</v>
      </c>
      <c r="G60" s="497">
        <v>0.0</v>
      </c>
      <c r="H60" s="492">
        <v>0.0</v>
      </c>
      <c r="I60" s="493">
        <v>45505.623344907406</v>
      </c>
      <c r="J60" s="491">
        <v>0.076</v>
      </c>
      <c r="K60" s="491">
        <v>24.62</v>
      </c>
      <c r="L60" s="491">
        <v>1.0</v>
      </c>
      <c r="M60" s="494">
        <f t="shared" si="1"/>
        <v>0.076</v>
      </c>
      <c r="N60" s="495">
        <f>M60</f>
        <v>0.076</v>
      </c>
      <c r="O60" s="489" t="s">
        <v>12</v>
      </c>
    </row>
    <row r="61">
      <c r="A61" s="490">
        <v>45505.0</v>
      </c>
      <c r="B61" s="491">
        <v>504.0</v>
      </c>
      <c r="C61" s="491">
        <v>60.0</v>
      </c>
      <c r="D61" s="491">
        <v>39.0</v>
      </c>
      <c r="E61" s="491" t="s">
        <v>941</v>
      </c>
      <c r="F61" s="491">
        <v>0.0</v>
      </c>
      <c r="G61" s="497">
        <v>0.0</v>
      </c>
      <c r="H61" s="492">
        <v>0.0</v>
      </c>
      <c r="I61" s="493">
        <v>45505.62427083333</v>
      </c>
      <c r="J61" s="491">
        <v>-0.014</v>
      </c>
      <c r="K61" s="491">
        <v>20.28</v>
      </c>
      <c r="L61" s="491">
        <v>1.0</v>
      </c>
      <c r="M61" s="496">
        <f t="shared" si="1"/>
        <v>-0.014</v>
      </c>
      <c r="N61" s="489" t="s">
        <v>934</v>
      </c>
      <c r="O61" s="489" t="s">
        <v>12</v>
      </c>
    </row>
    <row r="62">
      <c r="A62" s="490">
        <v>45505.0</v>
      </c>
      <c r="B62" s="491">
        <v>608.0</v>
      </c>
      <c r="C62" s="491">
        <v>61.0</v>
      </c>
      <c r="D62" s="491">
        <v>40.0</v>
      </c>
      <c r="E62" s="491" t="s">
        <v>941</v>
      </c>
      <c r="F62" s="491">
        <v>0.0</v>
      </c>
      <c r="G62" s="497">
        <v>0.0</v>
      </c>
      <c r="H62" s="492">
        <v>0.0</v>
      </c>
      <c r="I62" s="493">
        <v>45505.62519675926</v>
      </c>
      <c r="J62" s="491">
        <v>-0.017</v>
      </c>
      <c r="K62" s="491">
        <v>20.13</v>
      </c>
      <c r="L62" s="491">
        <v>1.0</v>
      </c>
      <c r="M62" s="496">
        <f t="shared" si="1"/>
        <v>-0.017</v>
      </c>
      <c r="N62" s="489" t="s">
        <v>934</v>
      </c>
      <c r="O62" s="489" t="s">
        <v>12</v>
      </c>
    </row>
    <row r="63">
      <c r="A63" s="490">
        <v>45505.0</v>
      </c>
      <c r="B63" s="491">
        <v>426.0</v>
      </c>
      <c r="C63" s="491">
        <v>62.0</v>
      </c>
      <c r="D63" s="491">
        <v>41.0</v>
      </c>
      <c r="E63" s="491" t="s">
        <v>941</v>
      </c>
      <c r="F63" s="491">
        <v>0.0</v>
      </c>
      <c r="G63" s="497">
        <v>0.0</v>
      </c>
      <c r="H63" s="492">
        <v>0.0</v>
      </c>
      <c r="I63" s="493">
        <v>45505.626122685186</v>
      </c>
      <c r="J63" s="491">
        <v>0.006</v>
      </c>
      <c r="K63" s="491">
        <v>21.25</v>
      </c>
      <c r="L63" s="491">
        <v>1.0</v>
      </c>
      <c r="M63" s="496">
        <f t="shared" si="1"/>
        <v>0.006</v>
      </c>
      <c r="N63" s="489" t="s">
        <v>934</v>
      </c>
      <c r="O63" s="489" t="s">
        <v>12</v>
      </c>
    </row>
    <row r="64">
      <c r="A64" s="490">
        <v>45505.0</v>
      </c>
      <c r="B64" s="491">
        <v>361.0</v>
      </c>
      <c r="C64" s="491">
        <v>63.0</v>
      </c>
      <c r="D64" s="491">
        <v>42.0</v>
      </c>
      <c r="E64" s="491" t="s">
        <v>941</v>
      </c>
      <c r="F64" s="491">
        <v>0.0</v>
      </c>
      <c r="G64" s="497">
        <v>0.0</v>
      </c>
      <c r="H64" s="492">
        <v>0.0</v>
      </c>
      <c r="I64" s="493">
        <v>45505.62704861111</v>
      </c>
      <c r="J64" s="491">
        <v>0.032</v>
      </c>
      <c r="K64" s="491">
        <v>22.5</v>
      </c>
      <c r="L64" s="491">
        <v>1.0</v>
      </c>
      <c r="M64" s="494">
        <f t="shared" si="1"/>
        <v>0.032</v>
      </c>
      <c r="N64" s="495">
        <f t="shared" ref="N64:N66" si="10">M64</f>
        <v>0.032</v>
      </c>
      <c r="O64" s="489" t="s">
        <v>12</v>
      </c>
    </row>
    <row r="65">
      <c r="A65" s="490">
        <v>45505.0</v>
      </c>
      <c r="B65" s="491" t="s">
        <v>949</v>
      </c>
      <c r="C65" s="491">
        <v>64.0</v>
      </c>
      <c r="D65" s="491">
        <v>43.0</v>
      </c>
      <c r="E65" s="491" t="s">
        <v>943</v>
      </c>
      <c r="F65" s="491">
        <v>0.0</v>
      </c>
      <c r="G65" s="497">
        <v>0.0</v>
      </c>
      <c r="H65" s="492">
        <v>1.0</v>
      </c>
      <c r="I65" s="493">
        <v>45505.627974537034</v>
      </c>
      <c r="J65" s="491">
        <v>1.16</v>
      </c>
      <c r="K65" s="491">
        <v>77.23</v>
      </c>
      <c r="L65" s="491">
        <v>1.0</v>
      </c>
      <c r="M65" s="494">
        <f t="shared" si="1"/>
        <v>1.16</v>
      </c>
      <c r="N65" s="495">
        <f t="shared" si="10"/>
        <v>1.16</v>
      </c>
      <c r="O65" s="489" t="s">
        <v>12</v>
      </c>
    </row>
    <row r="66">
      <c r="A66" s="490">
        <v>45505.0</v>
      </c>
      <c r="B66" s="491" t="s">
        <v>944</v>
      </c>
      <c r="C66" s="491">
        <v>65.0</v>
      </c>
      <c r="D66" s="491">
        <v>907.0</v>
      </c>
      <c r="E66" s="491" t="s">
        <v>945</v>
      </c>
      <c r="F66" s="491">
        <v>0.0</v>
      </c>
      <c r="G66" s="497">
        <v>0.0</v>
      </c>
      <c r="H66" s="492">
        <v>0.0</v>
      </c>
      <c r="I66" s="493">
        <v>45505.628900462965</v>
      </c>
      <c r="J66" s="491">
        <v>1.477</v>
      </c>
      <c r="K66" s="491">
        <v>92.62</v>
      </c>
      <c r="L66" s="491">
        <v>1.0</v>
      </c>
      <c r="M66" s="494">
        <f t="shared" si="1"/>
        <v>1.477</v>
      </c>
      <c r="N66" s="495">
        <f t="shared" si="10"/>
        <v>1.477</v>
      </c>
      <c r="O66" s="489" t="s">
        <v>12</v>
      </c>
    </row>
    <row r="67">
      <c r="A67" s="490">
        <v>45505.0</v>
      </c>
      <c r="B67" s="491" t="s">
        <v>935</v>
      </c>
      <c r="C67" s="491">
        <v>66.0</v>
      </c>
      <c r="D67" s="491">
        <v>0.0</v>
      </c>
      <c r="E67" s="491" t="s">
        <v>936</v>
      </c>
      <c r="F67" s="491">
        <v>0.0</v>
      </c>
      <c r="G67" s="497">
        <v>0.0</v>
      </c>
      <c r="H67" s="492">
        <v>0.0</v>
      </c>
      <c r="I67" s="493">
        <v>45505.62982638889</v>
      </c>
      <c r="J67" s="491">
        <v>-0.432</v>
      </c>
      <c r="K67" s="491">
        <v>0.0</v>
      </c>
      <c r="L67" s="491">
        <v>1.0</v>
      </c>
      <c r="M67" s="496">
        <f t="shared" si="1"/>
        <v>-0.432</v>
      </c>
      <c r="N67" s="489" t="s">
        <v>934</v>
      </c>
      <c r="O67" s="489" t="s">
        <v>12</v>
      </c>
    </row>
    <row r="68">
      <c r="A68" s="490">
        <v>45505.0</v>
      </c>
      <c r="B68" s="491">
        <v>621.0</v>
      </c>
      <c r="C68" s="491">
        <v>67.0</v>
      </c>
      <c r="D68" s="491">
        <v>44.0</v>
      </c>
      <c r="E68" s="491" t="s">
        <v>941</v>
      </c>
      <c r="F68" s="491">
        <v>0.0</v>
      </c>
      <c r="G68" s="497">
        <v>0.0</v>
      </c>
      <c r="H68" s="492">
        <v>0.0</v>
      </c>
      <c r="I68" s="493">
        <v>45505.63260416667</v>
      </c>
      <c r="J68" s="491">
        <v>0.02</v>
      </c>
      <c r="K68" s="491">
        <v>21.9</v>
      </c>
      <c r="L68" s="491">
        <v>1.0</v>
      </c>
      <c r="M68" s="494">
        <f t="shared" si="1"/>
        <v>0.02</v>
      </c>
      <c r="N68" s="495">
        <f>M68</f>
        <v>0.02</v>
      </c>
      <c r="O68" s="489" t="s">
        <v>12</v>
      </c>
    </row>
    <row r="69">
      <c r="A69" s="490">
        <v>45505.0</v>
      </c>
      <c r="B69" s="491">
        <v>478.0</v>
      </c>
      <c r="C69" s="491">
        <v>68.0</v>
      </c>
      <c r="D69" s="491">
        <v>45.0</v>
      </c>
      <c r="E69" s="491" t="s">
        <v>941</v>
      </c>
      <c r="F69" s="491">
        <v>0.0</v>
      </c>
      <c r="G69" s="497">
        <v>0.0</v>
      </c>
      <c r="H69" s="492">
        <v>0.0</v>
      </c>
      <c r="I69" s="493">
        <v>45505.63353009259</v>
      </c>
      <c r="J69" s="491">
        <v>0.0</v>
      </c>
      <c r="K69" s="491">
        <v>20.93</v>
      </c>
      <c r="L69" s="491">
        <v>1.0</v>
      </c>
      <c r="M69" s="496">
        <f t="shared" si="1"/>
        <v>0</v>
      </c>
      <c r="N69" s="489" t="s">
        <v>934</v>
      </c>
      <c r="O69" s="489" t="s">
        <v>12</v>
      </c>
    </row>
    <row r="70">
      <c r="A70" s="490">
        <v>45505.0</v>
      </c>
      <c r="B70" s="491">
        <v>335.0</v>
      </c>
      <c r="C70" s="491">
        <v>69.0</v>
      </c>
      <c r="D70" s="491">
        <v>46.0</v>
      </c>
      <c r="E70" s="491" t="s">
        <v>941</v>
      </c>
      <c r="F70" s="491">
        <v>0.0</v>
      </c>
      <c r="G70" s="497">
        <v>0.0</v>
      </c>
      <c r="H70" s="492">
        <v>0.0</v>
      </c>
      <c r="I70" s="493">
        <v>45505.63445601852</v>
      </c>
      <c r="J70" s="491">
        <v>0.188</v>
      </c>
      <c r="K70" s="491">
        <v>30.04</v>
      </c>
      <c r="L70" s="491">
        <v>1.0</v>
      </c>
      <c r="M70" s="494">
        <f t="shared" si="1"/>
        <v>0.188</v>
      </c>
      <c r="N70" s="495">
        <f t="shared" ref="N70:N72" si="11">M70</f>
        <v>0.188</v>
      </c>
      <c r="O70" s="489" t="s">
        <v>12</v>
      </c>
    </row>
    <row r="71">
      <c r="A71" s="490">
        <v>45505.0</v>
      </c>
      <c r="B71" s="491">
        <v>530.0</v>
      </c>
      <c r="C71" s="491">
        <v>70.0</v>
      </c>
      <c r="D71" s="491">
        <v>47.0</v>
      </c>
      <c r="E71" s="491" t="s">
        <v>941</v>
      </c>
      <c r="F71" s="491">
        <v>0.0</v>
      </c>
      <c r="G71" s="497">
        <v>0.0</v>
      </c>
      <c r="H71" s="492">
        <v>0.0</v>
      </c>
      <c r="I71" s="493">
        <v>45505.63538194444</v>
      </c>
      <c r="J71" s="491">
        <v>0.305</v>
      </c>
      <c r="K71" s="491">
        <v>35.73</v>
      </c>
      <c r="L71" s="491">
        <v>1.0</v>
      </c>
      <c r="M71" s="494">
        <f t="shared" si="1"/>
        <v>0.305</v>
      </c>
      <c r="N71" s="495">
        <f t="shared" si="11"/>
        <v>0.305</v>
      </c>
      <c r="O71" s="489" t="s">
        <v>12</v>
      </c>
    </row>
    <row r="72">
      <c r="A72" s="490">
        <v>45505.0</v>
      </c>
      <c r="B72" s="491">
        <v>556.0</v>
      </c>
      <c r="C72" s="491">
        <v>71.0</v>
      </c>
      <c r="D72" s="491">
        <v>48.0</v>
      </c>
      <c r="E72" s="491" t="s">
        <v>941</v>
      </c>
      <c r="F72" s="491">
        <v>0.0</v>
      </c>
      <c r="G72" s="497">
        <v>0.0</v>
      </c>
      <c r="H72" s="492">
        <v>0.0</v>
      </c>
      <c r="I72" s="493">
        <v>45505.63630787037</v>
      </c>
      <c r="J72" s="491">
        <v>0.035</v>
      </c>
      <c r="K72" s="491">
        <v>22.63</v>
      </c>
      <c r="L72" s="491">
        <v>1.0</v>
      </c>
      <c r="M72" s="494">
        <f t="shared" si="1"/>
        <v>0.035</v>
      </c>
      <c r="N72" s="495">
        <f t="shared" si="11"/>
        <v>0.035</v>
      </c>
      <c r="O72" s="489" t="s">
        <v>12</v>
      </c>
    </row>
    <row r="73">
      <c r="A73" s="490">
        <v>45505.0</v>
      </c>
      <c r="B73" s="491">
        <v>387.0</v>
      </c>
      <c r="C73" s="491">
        <v>72.0</v>
      </c>
      <c r="D73" s="491">
        <v>49.0</v>
      </c>
      <c r="E73" s="491" t="s">
        <v>941</v>
      </c>
      <c r="F73" s="491">
        <v>0.0</v>
      </c>
      <c r="G73" s="497">
        <v>0.0</v>
      </c>
      <c r="H73" s="492">
        <v>0.0</v>
      </c>
      <c r="I73" s="493">
        <v>45505.6372337963</v>
      </c>
      <c r="J73" s="491">
        <v>-0.008</v>
      </c>
      <c r="K73" s="491">
        <v>20.57</v>
      </c>
      <c r="L73" s="491">
        <v>1.0</v>
      </c>
      <c r="M73" s="496">
        <f t="shared" si="1"/>
        <v>-0.008</v>
      </c>
      <c r="N73" s="489" t="s">
        <v>934</v>
      </c>
      <c r="O73" s="489" t="s">
        <v>12</v>
      </c>
    </row>
    <row r="74">
      <c r="A74" s="490">
        <v>45505.0</v>
      </c>
      <c r="B74" s="491">
        <v>491.0</v>
      </c>
      <c r="C74" s="491">
        <v>73.0</v>
      </c>
      <c r="D74" s="491">
        <v>50.0</v>
      </c>
      <c r="E74" s="491" t="s">
        <v>941</v>
      </c>
      <c r="F74" s="491">
        <v>0.0</v>
      </c>
      <c r="G74" s="497">
        <v>0.0</v>
      </c>
      <c r="H74" s="492">
        <v>0.0</v>
      </c>
      <c r="I74" s="493">
        <v>45505.63815972222</v>
      </c>
      <c r="J74" s="491">
        <v>0.001</v>
      </c>
      <c r="K74" s="491">
        <v>21.0</v>
      </c>
      <c r="L74" s="491">
        <v>1.0</v>
      </c>
      <c r="M74" s="496">
        <f t="shared" si="1"/>
        <v>0.001</v>
      </c>
      <c r="N74" s="489" t="s">
        <v>934</v>
      </c>
      <c r="O74" s="489" t="s">
        <v>12</v>
      </c>
    </row>
    <row r="75">
      <c r="A75" s="490">
        <v>45505.0</v>
      </c>
      <c r="B75" s="498" t="s">
        <v>950</v>
      </c>
      <c r="C75" s="491">
        <v>74.0</v>
      </c>
      <c r="D75" s="491">
        <v>51.0</v>
      </c>
      <c r="E75" s="491" t="s">
        <v>941</v>
      </c>
      <c r="F75" s="491">
        <v>0.0</v>
      </c>
      <c r="G75" s="497">
        <v>0.0</v>
      </c>
      <c r="H75" s="492">
        <v>0.0</v>
      </c>
      <c r="I75" s="493">
        <v>45505.639085648145</v>
      </c>
      <c r="J75" s="491">
        <v>1.036</v>
      </c>
      <c r="K75" s="491">
        <v>71.21</v>
      </c>
      <c r="L75" s="491">
        <v>1.0</v>
      </c>
      <c r="M75" s="494">
        <f t="shared" si="1"/>
        <v>1.036</v>
      </c>
      <c r="N75" s="495">
        <f t="shared" ref="N75:N78" si="12">M75</f>
        <v>1.036</v>
      </c>
      <c r="O75" s="489" t="s">
        <v>12</v>
      </c>
    </row>
    <row r="76">
      <c r="A76" s="490">
        <v>45505.0</v>
      </c>
      <c r="B76" s="491">
        <v>465.0</v>
      </c>
      <c r="C76" s="491">
        <v>75.0</v>
      </c>
      <c r="D76" s="491">
        <v>52.0</v>
      </c>
      <c r="E76" s="491" t="s">
        <v>941</v>
      </c>
      <c r="F76" s="491">
        <v>0.0</v>
      </c>
      <c r="G76" s="497">
        <v>0.0</v>
      </c>
      <c r="H76" s="492">
        <v>0.0</v>
      </c>
      <c r="I76" s="493">
        <v>45505.640011574076</v>
      </c>
      <c r="J76" s="491">
        <v>0.12</v>
      </c>
      <c r="K76" s="491">
        <v>26.78</v>
      </c>
      <c r="L76" s="491">
        <v>1.0</v>
      </c>
      <c r="M76" s="494">
        <f t="shared" si="1"/>
        <v>0.12</v>
      </c>
      <c r="N76" s="495">
        <f t="shared" si="12"/>
        <v>0.12</v>
      </c>
      <c r="O76" s="489" t="s">
        <v>12</v>
      </c>
    </row>
    <row r="77">
      <c r="A77" s="490">
        <v>45505.0</v>
      </c>
      <c r="B77" s="491" t="s">
        <v>951</v>
      </c>
      <c r="C77" s="491">
        <v>76.0</v>
      </c>
      <c r="D77" s="491">
        <v>53.0</v>
      </c>
      <c r="E77" s="491" t="s">
        <v>943</v>
      </c>
      <c r="F77" s="491">
        <v>0.0</v>
      </c>
      <c r="G77" s="497">
        <v>0.0</v>
      </c>
      <c r="H77" s="492">
        <v>1.0</v>
      </c>
      <c r="I77" s="493">
        <v>45505.6409375</v>
      </c>
      <c r="J77" s="491">
        <v>1.214</v>
      </c>
      <c r="K77" s="491">
        <v>79.86</v>
      </c>
      <c r="L77" s="491">
        <v>1.0</v>
      </c>
      <c r="M77" s="494">
        <f t="shared" si="1"/>
        <v>1.214</v>
      </c>
      <c r="N77" s="495">
        <f t="shared" si="12"/>
        <v>1.214</v>
      </c>
      <c r="O77" s="489" t="s">
        <v>12</v>
      </c>
    </row>
    <row r="78">
      <c r="A78" s="490">
        <v>45505.0</v>
      </c>
      <c r="B78" s="491" t="s">
        <v>944</v>
      </c>
      <c r="C78" s="491">
        <v>77.0</v>
      </c>
      <c r="D78" s="491">
        <v>907.0</v>
      </c>
      <c r="E78" s="491" t="s">
        <v>945</v>
      </c>
      <c r="F78" s="491">
        <v>0.0</v>
      </c>
      <c r="G78" s="497">
        <v>0.0</v>
      </c>
      <c r="H78" s="492">
        <v>0.0</v>
      </c>
      <c r="I78" s="493">
        <v>45505.641863425924</v>
      </c>
      <c r="J78" s="491">
        <v>1.466</v>
      </c>
      <c r="K78" s="491">
        <v>92.06</v>
      </c>
      <c r="L78" s="491">
        <v>1.0</v>
      </c>
      <c r="M78" s="494">
        <f t="shared" si="1"/>
        <v>1.466</v>
      </c>
      <c r="N78" s="495">
        <f t="shared" si="12"/>
        <v>1.466</v>
      </c>
      <c r="O78" s="489" t="s">
        <v>12</v>
      </c>
    </row>
    <row r="79">
      <c r="A79" s="490">
        <v>45505.0</v>
      </c>
      <c r="B79" s="491" t="s">
        <v>935</v>
      </c>
      <c r="C79" s="491">
        <v>78.0</v>
      </c>
      <c r="D79" s="491">
        <v>0.0</v>
      </c>
      <c r="E79" s="491" t="s">
        <v>936</v>
      </c>
      <c r="F79" s="491">
        <v>0.0</v>
      </c>
      <c r="G79" s="497">
        <v>0.0</v>
      </c>
      <c r="H79" s="492">
        <v>0.0</v>
      </c>
      <c r="I79" s="493">
        <v>45505.64278935185</v>
      </c>
      <c r="J79" s="491">
        <v>-0.432</v>
      </c>
      <c r="K79" s="491">
        <v>0.0</v>
      </c>
      <c r="L79" s="491">
        <v>1.0</v>
      </c>
      <c r="M79" s="496">
        <f t="shared" si="1"/>
        <v>-0.432</v>
      </c>
      <c r="N79" s="489" t="s">
        <v>934</v>
      </c>
      <c r="O79" s="489" t="s">
        <v>12</v>
      </c>
    </row>
    <row r="80">
      <c r="A80" s="490">
        <v>45505.0</v>
      </c>
      <c r="B80" s="491" t="s">
        <v>952</v>
      </c>
      <c r="C80" s="491">
        <v>79.0</v>
      </c>
      <c r="D80" s="491">
        <v>54.0</v>
      </c>
      <c r="E80" s="491" t="s">
        <v>941</v>
      </c>
      <c r="F80" s="491">
        <v>0.0</v>
      </c>
      <c r="G80" s="497">
        <v>0.0</v>
      </c>
      <c r="H80" s="492">
        <v>0.0</v>
      </c>
      <c r="I80" s="493">
        <v>45505.64556712963</v>
      </c>
      <c r="J80" s="491">
        <v>0.977</v>
      </c>
      <c r="K80" s="491">
        <v>68.34</v>
      </c>
      <c r="L80" s="491">
        <v>1.0</v>
      </c>
      <c r="M80" s="494">
        <f t="shared" si="1"/>
        <v>0.977</v>
      </c>
      <c r="N80" s="495">
        <f t="shared" ref="N80:N81" si="13">M80</f>
        <v>0.977</v>
      </c>
      <c r="O80" s="489" t="s">
        <v>12</v>
      </c>
    </row>
    <row r="81">
      <c r="A81" s="490">
        <v>45505.0</v>
      </c>
      <c r="B81" s="491" t="s">
        <v>953</v>
      </c>
      <c r="C81" s="491">
        <v>80.0</v>
      </c>
      <c r="D81" s="491">
        <v>55.0</v>
      </c>
      <c r="E81" s="491" t="s">
        <v>941</v>
      </c>
      <c r="F81" s="491">
        <v>0.0</v>
      </c>
      <c r="G81" s="497">
        <v>0.0</v>
      </c>
      <c r="H81" s="492">
        <v>0.0</v>
      </c>
      <c r="I81" s="493">
        <v>45505.64649305555</v>
      </c>
      <c r="J81" s="491">
        <v>0.998</v>
      </c>
      <c r="K81" s="491">
        <v>69.38</v>
      </c>
      <c r="L81" s="491">
        <v>1.0</v>
      </c>
      <c r="M81" s="494">
        <f t="shared" si="1"/>
        <v>0.998</v>
      </c>
      <c r="N81" s="495">
        <f t="shared" si="13"/>
        <v>0.998</v>
      </c>
      <c r="O81" s="489" t="s">
        <v>12</v>
      </c>
    </row>
    <row r="82">
      <c r="A82" s="490">
        <v>45505.0</v>
      </c>
      <c r="B82" s="491" t="s">
        <v>954</v>
      </c>
      <c r="C82" s="491">
        <v>81.0</v>
      </c>
      <c r="D82" s="491">
        <v>56.0</v>
      </c>
      <c r="E82" s="491" t="s">
        <v>941</v>
      </c>
      <c r="F82" s="491">
        <v>0.0</v>
      </c>
      <c r="G82" s="497">
        <v>0.0</v>
      </c>
      <c r="H82" s="492">
        <v>0.0</v>
      </c>
      <c r="I82" s="493">
        <v>45505.64741898148</v>
      </c>
      <c r="J82" s="491">
        <v>-0.015</v>
      </c>
      <c r="K82" s="491">
        <v>20.21</v>
      </c>
      <c r="L82" s="491">
        <v>1.0</v>
      </c>
      <c r="M82" s="496">
        <f t="shared" si="1"/>
        <v>-0.015</v>
      </c>
      <c r="N82" s="489" t="s">
        <v>934</v>
      </c>
      <c r="O82" s="489" t="s">
        <v>12</v>
      </c>
    </row>
    <row r="83">
      <c r="A83" s="490">
        <v>45505.0</v>
      </c>
      <c r="B83" s="491" t="s">
        <v>955</v>
      </c>
      <c r="C83" s="491">
        <v>82.0</v>
      </c>
      <c r="D83" s="491">
        <v>57.0</v>
      </c>
      <c r="E83" s="491" t="s">
        <v>941</v>
      </c>
      <c r="F83" s="491">
        <v>0.0</v>
      </c>
      <c r="G83" s="497">
        <v>0.0</v>
      </c>
      <c r="H83" s="492">
        <v>0.0</v>
      </c>
      <c r="I83" s="493">
        <v>45505.64834490741</v>
      </c>
      <c r="J83" s="491">
        <v>0.87</v>
      </c>
      <c r="K83" s="491">
        <v>63.17</v>
      </c>
      <c r="L83" s="491">
        <v>1.0</v>
      </c>
      <c r="M83" s="494">
        <f t="shared" si="1"/>
        <v>0.87</v>
      </c>
      <c r="N83" s="495">
        <f t="shared" ref="N83:N86" si="14">M83</f>
        <v>0.87</v>
      </c>
      <c r="O83" s="489" t="s">
        <v>12</v>
      </c>
    </row>
    <row r="84">
      <c r="A84" s="490">
        <v>45505.0</v>
      </c>
      <c r="B84" s="491" t="s">
        <v>956</v>
      </c>
      <c r="C84" s="491">
        <v>83.0</v>
      </c>
      <c r="D84" s="491">
        <v>58.0</v>
      </c>
      <c r="E84" s="491" t="s">
        <v>941</v>
      </c>
      <c r="F84" s="491">
        <v>0.0</v>
      </c>
      <c r="G84" s="497">
        <v>0.0</v>
      </c>
      <c r="H84" s="492">
        <v>0.0</v>
      </c>
      <c r="I84" s="493">
        <v>45505.64927083333</v>
      </c>
      <c r="J84" s="491">
        <v>0.902</v>
      </c>
      <c r="K84" s="491">
        <v>64.73</v>
      </c>
      <c r="L84" s="491">
        <v>1.0</v>
      </c>
      <c r="M84" s="494">
        <f t="shared" si="1"/>
        <v>0.902</v>
      </c>
      <c r="N84" s="495">
        <f t="shared" si="14"/>
        <v>0.902</v>
      </c>
      <c r="O84" s="489" t="s">
        <v>12</v>
      </c>
    </row>
    <row r="85">
      <c r="A85" s="490">
        <v>45505.0</v>
      </c>
      <c r="B85" s="491" t="s">
        <v>957</v>
      </c>
      <c r="C85" s="491">
        <v>84.0</v>
      </c>
      <c r="D85" s="491">
        <v>59.0</v>
      </c>
      <c r="E85" s="491" t="s">
        <v>941</v>
      </c>
      <c r="F85" s="491">
        <v>0.0</v>
      </c>
      <c r="G85" s="497">
        <v>0.0</v>
      </c>
      <c r="H85" s="492">
        <v>0.0</v>
      </c>
      <c r="I85" s="493">
        <v>45505.650196759256</v>
      </c>
      <c r="J85" s="491">
        <v>0.832</v>
      </c>
      <c r="K85" s="491">
        <v>61.3</v>
      </c>
      <c r="L85" s="491">
        <v>1.0</v>
      </c>
      <c r="M85" s="494">
        <f t="shared" si="1"/>
        <v>0.832</v>
      </c>
      <c r="N85" s="495">
        <f t="shared" si="14"/>
        <v>0.832</v>
      </c>
      <c r="O85" s="489" t="s">
        <v>12</v>
      </c>
    </row>
    <row r="86">
      <c r="A86" s="490">
        <v>45505.0</v>
      </c>
      <c r="B86" s="491" t="s">
        <v>944</v>
      </c>
      <c r="C86" s="491">
        <v>85.0</v>
      </c>
      <c r="D86" s="491">
        <v>907.0</v>
      </c>
      <c r="E86" s="491" t="s">
        <v>945</v>
      </c>
      <c r="F86" s="491">
        <v>0.0</v>
      </c>
      <c r="G86" s="497">
        <v>0.0</v>
      </c>
      <c r="H86" s="492">
        <v>0.0</v>
      </c>
      <c r="I86" s="493">
        <v>45505.65112268519</v>
      </c>
      <c r="J86" s="491">
        <v>1.474</v>
      </c>
      <c r="K86" s="491">
        <v>92.45</v>
      </c>
      <c r="L86" s="491">
        <v>1.0</v>
      </c>
      <c r="M86" s="494">
        <f t="shared" si="1"/>
        <v>1.474</v>
      </c>
      <c r="N86" s="495">
        <f t="shared" si="14"/>
        <v>1.474</v>
      </c>
      <c r="O86" s="489" t="s">
        <v>12</v>
      </c>
    </row>
    <row r="87">
      <c r="A87" s="490">
        <v>45505.0</v>
      </c>
      <c r="B87" s="491" t="s">
        <v>935</v>
      </c>
      <c r="C87" s="491">
        <v>86.0</v>
      </c>
      <c r="D87" s="491">
        <v>0.0</v>
      </c>
      <c r="E87" s="491" t="s">
        <v>936</v>
      </c>
      <c r="F87" s="491">
        <v>0.0</v>
      </c>
      <c r="G87" s="497">
        <v>0.0</v>
      </c>
      <c r="H87" s="492">
        <v>0.0</v>
      </c>
      <c r="I87" s="493">
        <v>45505.65204861111</v>
      </c>
      <c r="J87" s="491">
        <v>-0.432</v>
      </c>
      <c r="K87" s="491">
        <v>0.0</v>
      </c>
      <c r="L87" s="491">
        <v>1.0</v>
      </c>
      <c r="M87" s="496">
        <f t="shared" si="1"/>
        <v>-0.432</v>
      </c>
      <c r="N87" s="489" t="s">
        <v>934</v>
      </c>
      <c r="O87" s="489" t="s">
        <v>12</v>
      </c>
    </row>
    <row r="88">
      <c r="A88" s="490">
        <v>45505.0</v>
      </c>
      <c r="B88" s="491" t="s">
        <v>79</v>
      </c>
      <c r="C88" s="491">
        <v>87.0</v>
      </c>
      <c r="D88" s="491">
        <v>905.0</v>
      </c>
      <c r="E88" s="491" t="s">
        <v>941</v>
      </c>
      <c r="F88" s="491">
        <v>0.0</v>
      </c>
      <c r="G88" s="497">
        <v>0.0</v>
      </c>
      <c r="H88" s="492">
        <v>0.0</v>
      </c>
      <c r="I88" s="493">
        <v>45505.65482638889</v>
      </c>
      <c r="J88" s="491">
        <v>-0.028</v>
      </c>
      <c r="K88" s="491">
        <v>19.57</v>
      </c>
      <c r="L88" s="491">
        <v>1.0</v>
      </c>
      <c r="M88" s="496">
        <f t="shared" si="1"/>
        <v>-0.028</v>
      </c>
      <c r="N88" s="489" t="s">
        <v>934</v>
      </c>
      <c r="O88" s="489" t="s">
        <v>12</v>
      </c>
    </row>
    <row r="89">
      <c r="A89" s="490">
        <v>45505.0</v>
      </c>
      <c r="B89" s="491" t="s">
        <v>79</v>
      </c>
      <c r="C89" s="491">
        <v>88.0</v>
      </c>
      <c r="D89" s="491">
        <v>905.0</v>
      </c>
      <c r="E89" s="491" t="s">
        <v>941</v>
      </c>
      <c r="F89" s="491">
        <v>0.0</v>
      </c>
      <c r="G89" s="497">
        <v>0.0</v>
      </c>
      <c r="H89" s="492">
        <v>0.0</v>
      </c>
      <c r="I89" s="493">
        <v>45505.655752314815</v>
      </c>
      <c r="J89" s="491">
        <v>-0.032</v>
      </c>
      <c r="K89" s="491">
        <v>19.41</v>
      </c>
      <c r="L89" s="491">
        <v>1.0</v>
      </c>
      <c r="M89" s="496">
        <f t="shared" si="1"/>
        <v>-0.032</v>
      </c>
      <c r="N89" s="489" t="s">
        <v>934</v>
      </c>
      <c r="O89" s="489" t="s">
        <v>12</v>
      </c>
    </row>
    <row r="90">
      <c r="A90" s="490">
        <v>45505.0</v>
      </c>
      <c r="B90" s="491" t="s">
        <v>79</v>
      </c>
      <c r="C90" s="491">
        <v>89.0</v>
      </c>
      <c r="D90" s="491">
        <v>905.0</v>
      </c>
      <c r="E90" s="491" t="s">
        <v>941</v>
      </c>
      <c r="F90" s="491">
        <v>0.0</v>
      </c>
      <c r="G90" s="497">
        <v>0.0</v>
      </c>
      <c r="H90" s="492">
        <v>0.0</v>
      </c>
      <c r="I90" s="493">
        <v>45505.65667824074</v>
      </c>
      <c r="J90" s="491">
        <v>-0.03</v>
      </c>
      <c r="K90" s="491">
        <v>19.49</v>
      </c>
      <c r="L90" s="491">
        <v>1.0</v>
      </c>
      <c r="M90" s="496">
        <f t="shared" si="1"/>
        <v>-0.03</v>
      </c>
      <c r="N90" s="489" t="s">
        <v>934</v>
      </c>
      <c r="O90" s="489" t="s">
        <v>12</v>
      </c>
    </row>
    <row r="91">
      <c r="A91" s="490">
        <v>45505.0</v>
      </c>
      <c r="B91" s="491" t="s">
        <v>79</v>
      </c>
      <c r="C91" s="491">
        <v>90.0</v>
      </c>
      <c r="D91" s="491">
        <v>905.0</v>
      </c>
      <c r="E91" s="491" t="s">
        <v>941</v>
      </c>
      <c r="F91" s="491">
        <v>0.0</v>
      </c>
      <c r="G91" s="497">
        <v>0.0</v>
      </c>
      <c r="H91" s="492">
        <v>0.0</v>
      </c>
      <c r="I91" s="493">
        <v>45505.65760416666</v>
      </c>
      <c r="J91" s="491">
        <v>-0.029</v>
      </c>
      <c r="K91" s="491">
        <v>19.54</v>
      </c>
      <c r="L91" s="491">
        <v>1.0</v>
      </c>
      <c r="M91" s="496">
        <f t="shared" si="1"/>
        <v>-0.029</v>
      </c>
      <c r="N91" s="489" t="s">
        <v>934</v>
      </c>
      <c r="O91" s="489" t="s">
        <v>12</v>
      </c>
    </row>
    <row r="92">
      <c r="A92" s="490">
        <v>45505.0</v>
      </c>
      <c r="B92" s="491" t="s">
        <v>79</v>
      </c>
      <c r="C92" s="491">
        <v>91.0</v>
      </c>
      <c r="D92" s="491">
        <v>905.0</v>
      </c>
      <c r="E92" s="491" t="s">
        <v>941</v>
      </c>
      <c r="F92" s="491">
        <v>0.0</v>
      </c>
      <c r="G92" s="497">
        <v>0.0</v>
      </c>
      <c r="H92" s="492">
        <v>0.0</v>
      </c>
      <c r="I92" s="493">
        <v>45505.658530092594</v>
      </c>
      <c r="J92" s="491">
        <v>-0.022</v>
      </c>
      <c r="K92" s="491">
        <v>19.89</v>
      </c>
      <c r="L92" s="491">
        <v>1.0</v>
      </c>
      <c r="M92" s="496">
        <f t="shared" si="1"/>
        <v>-0.022</v>
      </c>
      <c r="N92" s="489" t="s">
        <v>934</v>
      </c>
      <c r="O92" s="489" t="s">
        <v>12</v>
      </c>
    </row>
    <row r="93">
      <c r="A93" s="490">
        <v>45505.0</v>
      </c>
      <c r="B93" s="491" t="s">
        <v>79</v>
      </c>
      <c r="C93" s="491">
        <v>92.0</v>
      </c>
      <c r="D93" s="491">
        <v>905.0</v>
      </c>
      <c r="E93" s="491" t="s">
        <v>941</v>
      </c>
      <c r="F93" s="491">
        <v>0.0</v>
      </c>
      <c r="G93" s="497">
        <v>0.0</v>
      </c>
      <c r="H93" s="492">
        <v>0.0</v>
      </c>
      <c r="I93" s="493">
        <v>45505.65945601852</v>
      </c>
      <c r="J93" s="491">
        <v>-0.035</v>
      </c>
      <c r="K93" s="491">
        <v>19.25</v>
      </c>
      <c r="L93" s="491">
        <v>1.0</v>
      </c>
      <c r="M93" s="496">
        <f t="shared" si="1"/>
        <v>-0.035</v>
      </c>
      <c r="N93" s="489" t="s">
        <v>934</v>
      </c>
      <c r="O93" s="489" t="s">
        <v>12</v>
      </c>
    </row>
    <row r="94">
      <c r="A94" s="490">
        <v>45505.0</v>
      </c>
      <c r="B94" s="491" t="s">
        <v>79</v>
      </c>
      <c r="C94" s="491">
        <v>93.0</v>
      </c>
      <c r="D94" s="491">
        <v>905.0</v>
      </c>
      <c r="E94" s="491" t="s">
        <v>941</v>
      </c>
      <c r="F94" s="491">
        <v>0.0</v>
      </c>
      <c r="G94" s="497">
        <v>0.0</v>
      </c>
      <c r="H94" s="492">
        <v>0.0</v>
      </c>
      <c r="I94" s="493">
        <v>45505.66038194444</v>
      </c>
      <c r="J94" s="491">
        <v>-0.026</v>
      </c>
      <c r="K94" s="491">
        <v>19.66</v>
      </c>
      <c r="L94" s="491">
        <v>1.0</v>
      </c>
      <c r="M94" s="496">
        <f t="shared" si="1"/>
        <v>-0.026</v>
      </c>
      <c r="N94" s="489" t="s">
        <v>934</v>
      </c>
      <c r="O94" s="489" t="s">
        <v>12</v>
      </c>
    </row>
    <row r="95">
      <c r="A95" s="490">
        <v>45505.0</v>
      </c>
      <c r="B95" s="491" t="s">
        <v>79</v>
      </c>
      <c r="C95" s="491">
        <v>94.0</v>
      </c>
      <c r="D95" s="491">
        <v>905.0</v>
      </c>
      <c r="E95" s="491" t="s">
        <v>941</v>
      </c>
      <c r="F95" s="491">
        <v>0.0</v>
      </c>
      <c r="G95" s="491">
        <v>0.0</v>
      </c>
      <c r="H95" s="492">
        <v>0.0</v>
      </c>
      <c r="I95" s="493">
        <v>45505.661307870374</v>
      </c>
      <c r="J95" s="491">
        <v>-0.031</v>
      </c>
      <c r="K95" s="491">
        <v>19.44</v>
      </c>
      <c r="L95" s="491">
        <v>1.0</v>
      </c>
      <c r="M95" s="496">
        <f t="shared" si="1"/>
        <v>-0.031</v>
      </c>
      <c r="N95" s="489" t="s">
        <v>934</v>
      </c>
      <c r="O95" s="489" t="s">
        <v>12</v>
      </c>
    </row>
    <row r="96">
      <c r="A96" s="490">
        <v>45505.0</v>
      </c>
      <c r="B96" s="491" t="s">
        <v>79</v>
      </c>
      <c r="C96" s="491">
        <v>95.0</v>
      </c>
      <c r="D96" s="491">
        <v>905.0</v>
      </c>
      <c r="E96" s="491" t="s">
        <v>941</v>
      </c>
      <c r="F96" s="491">
        <v>0.0</v>
      </c>
      <c r="G96" s="491">
        <v>0.0</v>
      </c>
      <c r="H96" s="492">
        <v>0.0</v>
      </c>
      <c r="I96" s="493">
        <v>45505.6622337963</v>
      </c>
      <c r="J96" s="491">
        <v>-0.034</v>
      </c>
      <c r="K96" s="491">
        <v>19.27</v>
      </c>
      <c r="L96" s="491">
        <v>1.0</v>
      </c>
      <c r="M96" s="496">
        <f t="shared" si="1"/>
        <v>-0.034</v>
      </c>
      <c r="N96" s="489" t="s">
        <v>934</v>
      </c>
      <c r="O96" s="489" t="s">
        <v>12</v>
      </c>
    </row>
    <row r="97">
      <c r="A97" s="490">
        <v>45505.0</v>
      </c>
      <c r="B97" s="491" t="s">
        <v>79</v>
      </c>
      <c r="C97" s="491">
        <v>96.0</v>
      </c>
      <c r="D97" s="491">
        <v>905.0</v>
      </c>
      <c r="E97" s="491" t="s">
        <v>941</v>
      </c>
      <c r="F97" s="491">
        <v>0.0</v>
      </c>
      <c r="G97" s="491">
        <v>0.0</v>
      </c>
      <c r="H97" s="492">
        <v>0.0</v>
      </c>
      <c r="I97" s="493">
        <v>45505.66315972222</v>
      </c>
      <c r="J97" s="491">
        <v>-0.034</v>
      </c>
      <c r="K97" s="491">
        <v>19.31</v>
      </c>
      <c r="L97" s="491">
        <v>1.0</v>
      </c>
      <c r="M97" s="496">
        <f t="shared" si="1"/>
        <v>-0.034</v>
      </c>
      <c r="N97" s="489" t="s">
        <v>934</v>
      </c>
      <c r="O97" s="489" t="s">
        <v>12</v>
      </c>
    </row>
    <row r="98">
      <c r="A98" s="490">
        <v>45505.0</v>
      </c>
      <c r="B98" s="491" t="s">
        <v>958</v>
      </c>
      <c r="C98" s="491">
        <v>97.0</v>
      </c>
      <c r="D98" s="491">
        <v>906.0</v>
      </c>
      <c r="E98" s="491" t="s">
        <v>943</v>
      </c>
      <c r="F98" s="491">
        <v>0.0</v>
      </c>
      <c r="G98" s="491">
        <v>0.0</v>
      </c>
      <c r="H98" s="492">
        <v>1.0</v>
      </c>
      <c r="I98" s="493">
        <v>45505.664085648146</v>
      </c>
      <c r="J98" s="491">
        <v>0.934</v>
      </c>
      <c r="K98" s="491">
        <v>66.24</v>
      </c>
      <c r="L98" s="491">
        <v>1.0</v>
      </c>
      <c r="M98" s="494">
        <f t="shared" si="1"/>
        <v>0.934</v>
      </c>
      <c r="N98" s="495">
        <f t="shared" ref="N98:N99" si="15">M98</f>
        <v>0.934</v>
      </c>
      <c r="O98" s="489" t="s">
        <v>12</v>
      </c>
    </row>
    <row r="99">
      <c r="A99" s="490">
        <v>45505.0</v>
      </c>
      <c r="B99" s="491" t="s">
        <v>944</v>
      </c>
      <c r="C99" s="491">
        <v>98.0</v>
      </c>
      <c r="D99" s="491">
        <v>907.0</v>
      </c>
      <c r="E99" s="491" t="s">
        <v>945</v>
      </c>
      <c r="F99" s="491">
        <v>0.0</v>
      </c>
      <c r="G99" s="491">
        <v>0.0</v>
      </c>
      <c r="H99" s="492">
        <v>0.0</v>
      </c>
      <c r="I99" s="493">
        <v>45505.66501157408</v>
      </c>
      <c r="J99" s="491">
        <v>1.466</v>
      </c>
      <c r="K99" s="491">
        <v>92.07</v>
      </c>
      <c r="L99" s="491">
        <v>1.0</v>
      </c>
      <c r="M99" s="494">
        <f t="shared" si="1"/>
        <v>1.466</v>
      </c>
      <c r="N99" s="495">
        <f t="shared" si="15"/>
        <v>1.466</v>
      </c>
      <c r="O99" s="489" t="s">
        <v>12</v>
      </c>
    </row>
    <row r="100">
      <c r="A100" s="490">
        <v>45505.0</v>
      </c>
      <c r="B100" s="491" t="s">
        <v>935</v>
      </c>
      <c r="C100" s="491">
        <v>99.0</v>
      </c>
      <c r="D100" s="491">
        <v>0.0</v>
      </c>
      <c r="E100" s="491" t="s">
        <v>936</v>
      </c>
      <c r="F100" s="491">
        <v>0.0</v>
      </c>
      <c r="G100" s="491">
        <v>0.0</v>
      </c>
      <c r="H100" s="492">
        <v>0.0</v>
      </c>
      <c r="I100" s="493">
        <v>45505.6659375</v>
      </c>
      <c r="J100" s="491">
        <v>-0.432</v>
      </c>
      <c r="K100" s="491">
        <v>0.0</v>
      </c>
      <c r="L100" s="491">
        <v>1.0</v>
      </c>
      <c r="M100" s="496">
        <f t="shared" si="1"/>
        <v>-0.432</v>
      </c>
      <c r="N100" s="489" t="s">
        <v>934</v>
      </c>
      <c r="O100" s="489" t="s">
        <v>12</v>
      </c>
    </row>
    <row r="101">
      <c r="A101" s="490">
        <v>45505.0</v>
      </c>
      <c r="B101" s="491" t="s">
        <v>930</v>
      </c>
      <c r="C101" s="491">
        <v>100.0</v>
      </c>
      <c r="D101" s="491">
        <v>921.0</v>
      </c>
      <c r="E101" s="491" t="s">
        <v>931</v>
      </c>
      <c r="F101" s="491">
        <v>0.0</v>
      </c>
      <c r="G101" s="491">
        <v>0.0</v>
      </c>
      <c r="H101" s="492">
        <v>0.0</v>
      </c>
      <c r="I101" s="493">
        <v>45505.66871527778</v>
      </c>
      <c r="J101" s="491">
        <v>2.225</v>
      </c>
      <c r="K101" s="491">
        <v>128.92</v>
      </c>
      <c r="L101" s="491">
        <v>1.0</v>
      </c>
      <c r="M101" s="494">
        <f t="shared" si="1"/>
        <v>2.225</v>
      </c>
      <c r="N101" s="495">
        <f>M101</f>
        <v>2.225</v>
      </c>
      <c r="O101" s="489" t="s">
        <v>12</v>
      </c>
    </row>
    <row r="102">
      <c r="A102" s="490">
        <v>45505.0</v>
      </c>
      <c r="B102" s="491" t="s">
        <v>959</v>
      </c>
      <c r="C102" s="491">
        <v>101.0</v>
      </c>
      <c r="D102" s="491">
        <v>0.0</v>
      </c>
      <c r="E102" s="491" t="s">
        <v>960</v>
      </c>
      <c r="F102" s="491">
        <v>0.0</v>
      </c>
      <c r="G102" s="491">
        <v>0.0</v>
      </c>
      <c r="H102" s="492">
        <v>0.0</v>
      </c>
      <c r="I102" s="493">
        <v>45505.669641203705</v>
      </c>
      <c r="J102" s="491">
        <v>-0.432</v>
      </c>
      <c r="K102" s="491">
        <v>0.0</v>
      </c>
      <c r="L102" s="491">
        <v>1.0</v>
      </c>
      <c r="M102" s="496">
        <f t="shared" si="1"/>
        <v>-0.432</v>
      </c>
      <c r="N102" s="489" t="s">
        <v>934</v>
      </c>
      <c r="O102" s="489" t="s">
        <v>12</v>
      </c>
    </row>
    <row r="103">
      <c r="A103" s="499"/>
      <c r="B103" s="499"/>
      <c r="C103" s="499"/>
      <c r="D103" s="499"/>
      <c r="E103" s="499"/>
      <c r="F103" s="499"/>
      <c r="G103" s="499"/>
      <c r="H103" s="500"/>
      <c r="I103" s="499"/>
      <c r="J103" s="499"/>
      <c r="K103" s="499"/>
      <c r="L103" s="499"/>
      <c r="M103" s="501"/>
    </row>
    <row r="104">
      <c r="A104" s="499"/>
      <c r="B104" s="499"/>
      <c r="C104" s="499"/>
      <c r="D104" s="499"/>
      <c r="E104" s="499"/>
      <c r="F104" s="499"/>
      <c r="G104" s="499"/>
      <c r="H104" s="500"/>
      <c r="I104" s="499"/>
      <c r="J104" s="499"/>
      <c r="K104" s="499"/>
      <c r="L104" s="499"/>
      <c r="M104" s="501"/>
    </row>
    <row r="105">
      <c r="A105" s="499"/>
      <c r="B105" s="499"/>
      <c r="C105" s="499"/>
      <c r="D105" s="499"/>
      <c r="E105" s="499"/>
      <c r="F105" s="499"/>
      <c r="G105" s="499"/>
      <c r="H105" s="500"/>
      <c r="I105" s="499"/>
      <c r="J105" s="499"/>
      <c r="K105" s="499"/>
      <c r="L105" s="499"/>
      <c r="M105" s="501"/>
    </row>
    <row r="106">
      <c r="A106" s="499"/>
      <c r="B106" s="499"/>
      <c r="C106" s="499"/>
      <c r="D106" s="499"/>
      <c r="E106" s="499"/>
      <c r="F106" s="499"/>
      <c r="G106" s="499"/>
      <c r="H106" s="500"/>
      <c r="I106" s="499"/>
      <c r="J106" s="499"/>
      <c r="K106" s="499"/>
      <c r="L106" s="499"/>
      <c r="M106" s="501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sheetData>
    <row r="1">
      <c r="A1" s="485" t="s">
        <v>457</v>
      </c>
      <c r="B1" s="486" t="s">
        <v>0</v>
      </c>
      <c r="C1" s="486" t="s">
        <v>918</v>
      </c>
      <c r="D1" s="486" t="s">
        <v>919</v>
      </c>
      <c r="E1" s="486" t="s">
        <v>920</v>
      </c>
      <c r="F1" s="486" t="s">
        <v>921</v>
      </c>
      <c r="G1" s="487"/>
      <c r="H1" s="487"/>
      <c r="I1" s="486" t="s">
        <v>922</v>
      </c>
      <c r="J1" s="486" t="s">
        <v>923</v>
      </c>
      <c r="K1" s="486" t="s">
        <v>924</v>
      </c>
      <c r="L1" s="486" t="s">
        <v>961</v>
      </c>
      <c r="M1" s="486" t="s">
        <v>924</v>
      </c>
      <c r="N1" s="486" t="s">
        <v>925</v>
      </c>
      <c r="O1" s="502" t="s">
        <v>962</v>
      </c>
      <c r="P1" s="503" t="s">
        <v>963</v>
      </c>
      <c r="Q1" s="503" t="s">
        <v>964</v>
      </c>
      <c r="R1" s="503" t="s">
        <v>965</v>
      </c>
      <c r="S1" s="489" t="s">
        <v>7</v>
      </c>
    </row>
    <row r="2">
      <c r="A2" s="490">
        <v>45490.0</v>
      </c>
      <c r="B2" s="491" t="s">
        <v>928</v>
      </c>
      <c r="C2" s="491">
        <v>1.0</v>
      </c>
      <c r="D2" s="491">
        <v>921.0</v>
      </c>
      <c r="E2" s="491" t="s">
        <v>929</v>
      </c>
      <c r="F2" s="491">
        <v>0.0</v>
      </c>
      <c r="G2" s="497">
        <v>0.0</v>
      </c>
      <c r="H2" s="492">
        <v>0.0</v>
      </c>
      <c r="I2" s="493">
        <v>45490.55273148148</v>
      </c>
      <c r="J2" s="491">
        <v>0.243</v>
      </c>
      <c r="K2" s="491">
        <v>130.84</v>
      </c>
      <c r="L2" s="491">
        <v>0.2</v>
      </c>
      <c r="M2" s="491">
        <v>85.84</v>
      </c>
      <c r="N2" s="491">
        <v>1.0</v>
      </c>
      <c r="O2" s="491">
        <f t="shared" ref="O2:O138" si="2">J2</f>
        <v>0.243</v>
      </c>
      <c r="P2" s="504">
        <f t="shared" ref="P2:P138" si="3">L2</f>
        <v>0.2</v>
      </c>
      <c r="Q2" s="504">
        <f t="shared" ref="Q2:R2" si="1">O2</f>
        <v>0.243</v>
      </c>
      <c r="R2" s="504">
        <f t="shared" si="1"/>
        <v>0.2</v>
      </c>
      <c r="S2" s="489" t="s">
        <v>12</v>
      </c>
    </row>
    <row r="3">
      <c r="A3" s="490">
        <v>45490.0</v>
      </c>
      <c r="B3" s="491" t="s">
        <v>930</v>
      </c>
      <c r="C3" s="491">
        <v>2.0</v>
      </c>
      <c r="D3" s="491">
        <v>921.0</v>
      </c>
      <c r="E3" s="491" t="s">
        <v>931</v>
      </c>
      <c r="F3" s="491">
        <v>0.0</v>
      </c>
      <c r="G3" s="497">
        <v>0.0</v>
      </c>
      <c r="H3" s="492">
        <v>0.0</v>
      </c>
      <c r="I3" s="493">
        <v>45490.55354166667</v>
      </c>
      <c r="J3" s="491">
        <v>0.208</v>
      </c>
      <c r="K3" s="491">
        <v>112.77</v>
      </c>
      <c r="L3" s="491">
        <v>0.2</v>
      </c>
      <c r="M3" s="491">
        <v>85.93</v>
      </c>
      <c r="N3" s="491">
        <v>1.0</v>
      </c>
      <c r="O3" s="491">
        <f t="shared" si="2"/>
        <v>0.208</v>
      </c>
      <c r="P3" s="504">
        <f t="shared" si="3"/>
        <v>0.2</v>
      </c>
      <c r="Q3" s="504">
        <f t="shared" ref="Q3:R3" si="4">O3</f>
        <v>0.208</v>
      </c>
      <c r="R3" s="504">
        <f t="shared" si="4"/>
        <v>0.2</v>
      </c>
      <c r="S3" s="489" t="s">
        <v>12</v>
      </c>
    </row>
    <row r="4">
      <c r="A4" s="490">
        <v>45490.0</v>
      </c>
      <c r="B4" s="491">
        <v>0.2</v>
      </c>
      <c r="C4" s="491">
        <v>3.0</v>
      </c>
      <c r="D4" s="491">
        <v>921.0</v>
      </c>
      <c r="E4" s="491" t="s">
        <v>932</v>
      </c>
      <c r="F4" s="491">
        <v>0.0</v>
      </c>
      <c r="G4" s="497">
        <v>0.0</v>
      </c>
      <c r="H4" s="492">
        <v>0.0</v>
      </c>
      <c r="I4" s="493">
        <v>45490.55435185185</v>
      </c>
      <c r="J4" s="491">
        <v>0.199</v>
      </c>
      <c r="K4" s="491">
        <v>108.35</v>
      </c>
      <c r="L4" s="491">
        <v>0.2</v>
      </c>
      <c r="M4" s="491">
        <v>85.75</v>
      </c>
      <c r="N4" s="491">
        <v>1.0</v>
      </c>
      <c r="O4" s="491">
        <f t="shared" si="2"/>
        <v>0.199</v>
      </c>
      <c r="P4" s="504">
        <f t="shared" si="3"/>
        <v>0.2</v>
      </c>
      <c r="Q4" s="504">
        <f t="shared" ref="Q4:R4" si="5">O4</f>
        <v>0.199</v>
      </c>
      <c r="R4" s="504">
        <f t="shared" si="5"/>
        <v>0.2</v>
      </c>
      <c r="S4" s="489" t="s">
        <v>12</v>
      </c>
    </row>
    <row r="5">
      <c r="A5" s="490">
        <v>45490.0</v>
      </c>
      <c r="B5" s="491">
        <v>0.1</v>
      </c>
      <c r="C5" s="491">
        <v>4.0</v>
      </c>
      <c r="D5" s="491">
        <v>901.0</v>
      </c>
      <c r="E5" s="491" t="s">
        <v>932</v>
      </c>
      <c r="F5" s="491">
        <v>0.0</v>
      </c>
      <c r="G5" s="497">
        <v>0.0</v>
      </c>
      <c r="H5" s="492">
        <v>0.0</v>
      </c>
      <c r="I5" s="493">
        <v>45490.55516203704</v>
      </c>
      <c r="J5" s="491">
        <v>0.1</v>
      </c>
      <c r="K5" s="491">
        <v>57.36</v>
      </c>
      <c r="L5" s="491">
        <v>0.1</v>
      </c>
      <c r="M5" s="491">
        <v>45.36</v>
      </c>
      <c r="N5" s="491">
        <v>1.0</v>
      </c>
      <c r="O5" s="491">
        <f t="shared" si="2"/>
        <v>0.1</v>
      </c>
      <c r="P5" s="504">
        <f t="shared" si="3"/>
        <v>0.1</v>
      </c>
      <c r="Q5" s="504">
        <f t="shared" ref="Q5:R5" si="6">O5</f>
        <v>0.1</v>
      </c>
      <c r="R5" s="504">
        <f t="shared" si="6"/>
        <v>0.1</v>
      </c>
      <c r="S5" s="489" t="s">
        <v>12</v>
      </c>
    </row>
    <row r="6">
      <c r="A6" s="490">
        <v>45490.0</v>
      </c>
      <c r="B6" s="491">
        <v>0.05</v>
      </c>
      <c r="C6" s="491">
        <v>5.0</v>
      </c>
      <c r="D6" s="491">
        <v>902.0</v>
      </c>
      <c r="E6" s="491" t="s">
        <v>932</v>
      </c>
      <c r="F6" s="491">
        <v>0.0</v>
      </c>
      <c r="G6" s="497">
        <v>0.0</v>
      </c>
      <c r="H6" s="492">
        <v>0.0</v>
      </c>
      <c r="I6" s="493">
        <v>45490.555972222224</v>
      </c>
      <c r="J6" s="491">
        <v>0.053</v>
      </c>
      <c r="K6" s="491">
        <v>33.54</v>
      </c>
      <c r="L6" s="491">
        <v>0.05</v>
      </c>
      <c r="M6" s="491">
        <v>25.04</v>
      </c>
      <c r="N6" s="491">
        <v>1.0</v>
      </c>
      <c r="O6" s="491">
        <f t="shared" si="2"/>
        <v>0.053</v>
      </c>
      <c r="P6" s="504">
        <f t="shared" si="3"/>
        <v>0.05</v>
      </c>
      <c r="Q6" s="504">
        <f t="shared" ref="Q6:R6" si="7">O6</f>
        <v>0.053</v>
      </c>
      <c r="R6" s="504">
        <f t="shared" si="7"/>
        <v>0.05</v>
      </c>
      <c r="S6" s="489" t="s">
        <v>12</v>
      </c>
    </row>
    <row r="7">
      <c r="A7" s="490">
        <v>45490.0</v>
      </c>
      <c r="B7" s="491">
        <v>0.025</v>
      </c>
      <c r="C7" s="491">
        <v>6.0</v>
      </c>
      <c r="D7" s="491">
        <v>903.0</v>
      </c>
      <c r="E7" s="491" t="s">
        <v>932</v>
      </c>
      <c r="F7" s="491">
        <v>0.0</v>
      </c>
      <c r="G7" s="497">
        <v>0.0</v>
      </c>
      <c r="H7" s="492">
        <v>0.0</v>
      </c>
      <c r="I7" s="493">
        <v>45490.55678240741</v>
      </c>
      <c r="J7" s="491">
        <v>0.029</v>
      </c>
      <c r="K7" s="491">
        <v>21.14</v>
      </c>
      <c r="L7" s="491">
        <v>0.025</v>
      </c>
      <c r="M7" s="491">
        <v>14.86</v>
      </c>
      <c r="N7" s="491">
        <v>1.0</v>
      </c>
      <c r="O7" s="491">
        <f t="shared" si="2"/>
        <v>0.029</v>
      </c>
      <c r="P7" s="504">
        <f t="shared" si="3"/>
        <v>0.025</v>
      </c>
      <c r="Q7" s="504">
        <f t="shared" ref="Q7:R7" si="8">O7</f>
        <v>0.029</v>
      </c>
      <c r="R7" s="504">
        <f t="shared" si="8"/>
        <v>0.025</v>
      </c>
      <c r="S7" s="489" t="s">
        <v>12</v>
      </c>
    </row>
    <row r="8">
      <c r="A8" s="490">
        <v>45490.0</v>
      </c>
      <c r="B8" s="491">
        <v>0.01</v>
      </c>
      <c r="C8" s="491">
        <v>7.0</v>
      </c>
      <c r="D8" s="491">
        <v>904.0</v>
      </c>
      <c r="E8" s="491" t="s">
        <v>932</v>
      </c>
      <c r="F8" s="491">
        <v>0.0</v>
      </c>
      <c r="G8" s="497">
        <v>0.0</v>
      </c>
      <c r="H8" s="492">
        <v>0.0</v>
      </c>
      <c r="I8" s="493">
        <v>45490.557592592595</v>
      </c>
      <c r="J8" s="491">
        <v>0.009</v>
      </c>
      <c r="K8" s="491">
        <v>10.88</v>
      </c>
      <c r="L8" s="491">
        <v>0.01</v>
      </c>
      <c r="M8" s="491">
        <v>8.6</v>
      </c>
      <c r="N8" s="491">
        <v>1.0</v>
      </c>
      <c r="O8" s="491">
        <f t="shared" si="2"/>
        <v>0.009</v>
      </c>
      <c r="P8" s="504">
        <f t="shared" si="3"/>
        <v>0.01</v>
      </c>
      <c r="Q8" s="504">
        <f t="shared" ref="Q8:R8" si="9">O8</f>
        <v>0.009</v>
      </c>
      <c r="R8" s="504">
        <f t="shared" si="9"/>
        <v>0.01</v>
      </c>
      <c r="S8" s="489" t="s">
        <v>12</v>
      </c>
    </row>
    <row r="9">
      <c r="A9" s="490">
        <v>45490.0</v>
      </c>
      <c r="B9" s="491" t="s">
        <v>966</v>
      </c>
      <c r="C9" s="491">
        <v>8.0</v>
      </c>
      <c r="D9" s="491">
        <v>0.0</v>
      </c>
      <c r="E9" s="491" t="s">
        <v>933</v>
      </c>
      <c r="F9" s="491">
        <v>0.0</v>
      </c>
      <c r="G9" s="497">
        <v>0.0</v>
      </c>
      <c r="H9" s="492">
        <v>0.0</v>
      </c>
      <c r="I9" s="493">
        <v>45490.55840277778</v>
      </c>
      <c r="J9" s="491">
        <v>0.006</v>
      </c>
      <c r="K9" s="491">
        <v>9.41</v>
      </c>
      <c r="L9" s="491">
        <v>0.01</v>
      </c>
      <c r="M9" s="491">
        <v>8.51</v>
      </c>
      <c r="N9" s="491">
        <v>1.0</v>
      </c>
      <c r="O9" s="491">
        <f t="shared" si="2"/>
        <v>0.006</v>
      </c>
      <c r="P9" s="504">
        <f t="shared" si="3"/>
        <v>0.01</v>
      </c>
      <c r="Q9" s="504">
        <f t="shared" ref="Q9:R9" si="10">O9</f>
        <v>0.006</v>
      </c>
      <c r="R9" s="504">
        <f t="shared" si="10"/>
        <v>0.01</v>
      </c>
      <c r="S9" s="489" t="s">
        <v>12</v>
      </c>
    </row>
    <row r="10">
      <c r="A10" s="490">
        <v>45490.0</v>
      </c>
      <c r="B10" s="491" t="s">
        <v>79</v>
      </c>
      <c r="C10" s="491">
        <v>9.0</v>
      </c>
      <c r="D10" s="491">
        <v>906.0</v>
      </c>
      <c r="E10" s="491" t="s">
        <v>932</v>
      </c>
      <c r="F10" s="491">
        <v>0.0</v>
      </c>
      <c r="G10" s="497">
        <v>0.0</v>
      </c>
      <c r="H10" s="492">
        <v>0.0</v>
      </c>
      <c r="I10" s="493">
        <v>45490.559212962966</v>
      </c>
      <c r="J10" s="491">
        <v>-0.005</v>
      </c>
      <c r="K10" s="491">
        <v>3.68</v>
      </c>
      <c r="L10" s="491">
        <v>-0.001</v>
      </c>
      <c r="M10" s="491">
        <v>4.18</v>
      </c>
      <c r="N10" s="491">
        <v>1.0</v>
      </c>
      <c r="O10" s="505">
        <f t="shared" si="2"/>
        <v>-0.005</v>
      </c>
      <c r="P10" s="506">
        <f t="shared" si="3"/>
        <v>-0.001</v>
      </c>
      <c r="Q10" s="504" t="s">
        <v>967</v>
      </c>
      <c r="R10" s="485" t="s">
        <v>967</v>
      </c>
      <c r="S10" s="489" t="s">
        <v>12</v>
      </c>
    </row>
    <row r="11">
      <c r="A11" s="490">
        <v>45490.0</v>
      </c>
      <c r="B11" s="491" t="s">
        <v>935</v>
      </c>
      <c r="C11" s="491">
        <v>10.0</v>
      </c>
      <c r="D11" s="491">
        <v>0.0</v>
      </c>
      <c r="E11" s="491" t="s">
        <v>936</v>
      </c>
      <c r="F11" s="491">
        <v>0.0</v>
      </c>
      <c r="G11" s="497">
        <v>0.0</v>
      </c>
      <c r="H11" s="492">
        <v>0.0</v>
      </c>
      <c r="I11" s="493">
        <v>45490.56002314815</v>
      </c>
      <c r="J11" s="491">
        <v>-0.012</v>
      </c>
      <c r="K11" s="491">
        <v>0.0</v>
      </c>
      <c r="L11" s="491">
        <v>-0.011</v>
      </c>
      <c r="M11" s="491">
        <v>0.0</v>
      </c>
      <c r="N11" s="491">
        <v>1.0</v>
      </c>
      <c r="O11" s="505">
        <f t="shared" si="2"/>
        <v>-0.012</v>
      </c>
      <c r="P11" s="506">
        <f t="shared" si="3"/>
        <v>-0.011</v>
      </c>
      <c r="Q11" s="504" t="s">
        <v>967</v>
      </c>
      <c r="R11" s="485" t="s">
        <v>967</v>
      </c>
      <c r="S11" s="489" t="s">
        <v>12</v>
      </c>
    </row>
    <row r="12">
      <c r="A12" s="490">
        <v>45490.0</v>
      </c>
      <c r="B12" s="491" t="s">
        <v>937</v>
      </c>
      <c r="C12" s="491">
        <v>11.0</v>
      </c>
      <c r="D12" s="491">
        <v>921.0</v>
      </c>
      <c r="E12" s="491" t="s">
        <v>938</v>
      </c>
      <c r="F12" s="491">
        <v>0.0</v>
      </c>
      <c r="G12" s="497">
        <v>1.0</v>
      </c>
      <c r="H12" s="492">
        <v>1.0</v>
      </c>
      <c r="I12" s="493">
        <v>45490.5624537037</v>
      </c>
      <c r="J12" s="491">
        <v>0.231</v>
      </c>
      <c r="K12" s="491">
        <v>124.92</v>
      </c>
      <c r="L12" s="491">
        <v>0.2</v>
      </c>
      <c r="M12" s="491">
        <v>86.0</v>
      </c>
      <c r="N12" s="491">
        <v>1.0</v>
      </c>
      <c r="O12" s="491">
        <f t="shared" si="2"/>
        <v>0.231</v>
      </c>
      <c r="P12" s="504">
        <f t="shared" si="3"/>
        <v>0.2</v>
      </c>
      <c r="Q12" s="504">
        <f t="shared" ref="Q12:R12" si="11">O12</f>
        <v>0.231</v>
      </c>
      <c r="R12" s="504">
        <f t="shared" si="11"/>
        <v>0.2</v>
      </c>
      <c r="S12" s="489" t="s">
        <v>12</v>
      </c>
    </row>
    <row r="13">
      <c r="A13" s="490">
        <v>45490.0</v>
      </c>
      <c r="B13" s="491" t="s">
        <v>939</v>
      </c>
      <c r="C13" s="491">
        <v>12.0</v>
      </c>
      <c r="D13" s="491">
        <v>905.0</v>
      </c>
      <c r="E13" s="491" t="s">
        <v>940</v>
      </c>
      <c r="F13" s="491">
        <v>0.0</v>
      </c>
      <c r="G13" s="497">
        <v>1.0</v>
      </c>
      <c r="H13" s="492">
        <v>2.0</v>
      </c>
      <c r="I13" s="493">
        <v>45490.563263888886</v>
      </c>
      <c r="J13" s="491">
        <v>0.003</v>
      </c>
      <c r="K13" s="491">
        <v>7.73</v>
      </c>
      <c r="L13" s="491">
        <v>0.01</v>
      </c>
      <c r="M13" s="491">
        <v>8.49</v>
      </c>
      <c r="N13" s="491">
        <v>1.0</v>
      </c>
      <c r="O13" s="491">
        <f t="shared" si="2"/>
        <v>0.003</v>
      </c>
      <c r="P13" s="504">
        <f t="shared" si="3"/>
        <v>0.01</v>
      </c>
      <c r="Q13" s="504">
        <f t="shared" ref="Q13:R13" si="12">O13</f>
        <v>0.003</v>
      </c>
      <c r="R13" s="504">
        <f t="shared" si="12"/>
        <v>0.01</v>
      </c>
      <c r="S13" s="489" t="s">
        <v>12</v>
      </c>
    </row>
    <row r="14">
      <c r="A14" s="490">
        <v>45490.0</v>
      </c>
      <c r="B14" s="491" t="s">
        <v>939</v>
      </c>
      <c r="C14" s="491">
        <v>13.0</v>
      </c>
      <c r="D14" s="491">
        <v>905.0</v>
      </c>
      <c r="E14" s="491" t="s">
        <v>940</v>
      </c>
      <c r="F14" s="491">
        <v>0.0</v>
      </c>
      <c r="G14" s="497">
        <v>1.0</v>
      </c>
      <c r="H14" s="492">
        <v>3.0</v>
      </c>
      <c r="I14" s="493">
        <v>45490.56407407407</v>
      </c>
      <c r="J14" s="491">
        <v>0.005</v>
      </c>
      <c r="K14" s="491">
        <v>8.92</v>
      </c>
      <c r="L14" s="491">
        <v>0.01</v>
      </c>
      <c r="M14" s="491">
        <v>8.49</v>
      </c>
      <c r="N14" s="491">
        <v>1.0</v>
      </c>
      <c r="O14" s="491">
        <f t="shared" si="2"/>
        <v>0.005</v>
      </c>
      <c r="P14" s="504">
        <f t="shared" si="3"/>
        <v>0.01</v>
      </c>
      <c r="Q14" s="504">
        <f t="shared" ref="Q14:R14" si="13">O14</f>
        <v>0.005</v>
      </c>
      <c r="R14" s="504">
        <f t="shared" si="13"/>
        <v>0.01</v>
      </c>
      <c r="S14" s="489" t="s">
        <v>12</v>
      </c>
    </row>
    <row r="15">
      <c r="A15" s="490">
        <v>45490.0</v>
      </c>
      <c r="B15" s="491" t="s">
        <v>79</v>
      </c>
      <c r="C15" s="491">
        <v>14.0</v>
      </c>
      <c r="D15" s="491">
        <v>906.0</v>
      </c>
      <c r="E15" s="491" t="s">
        <v>941</v>
      </c>
      <c r="F15" s="491">
        <v>0.0</v>
      </c>
      <c r="G15" s="497">
        <v>0.0</v>
      </c>
      <c r="H15" s="492">
        <v>0.0</v>
      </c>
      <c r="I15" s="493">
        <v>45490.564884259256</v>
      </c>
      <c r="J15" s="491">
        <v>0.0</v>
      </c>
      <c r="K15" s="491">
        <v>6.31</v>
      </c>
      <c r="L15" s="491">
        <v>-0.001</v>
      </c>
      <c r="M15" s="491">
        <v>4.2</v>
      </c>
      <c r="N15" s="491">
        <v>1.0</v>
      </c>
      <c r="O15" s="505">
        <f t="shared" si="2"/>
        <v>0</v>
      </c>
      <c r="P15" s="506">
        <f t="shared" si="3"/>
        <v>-0.001</v>
      </c>
      <c r="Q15" s="504" t="s">
        <v>967</v>
      </c>
      <c r="R15" s="485" t="s">
        <v>967</v>
      </c>
      <c r="S15" s="489" t="s">
        <v>12</v>
      </c>
    </row>
    <row r="16">
      <c r="A16" s="490">
        <v>45490.0</v>
      </c>
      <c r="B16" s="491" t="s">
        <v>958</v>
      </c>
      <c r="C16" s="491">
        <v>15.0</v>
      </c>
      <c r="D16" s="491">
        <v>907.0</v>
      </c>
      <c r="E16" s="491" t="s">
        <v>943</v>
      </c>
      <c r="F16" s="491">
        <v>0.0</v>
      </c>
      <c r="G16" s="497">
        <v>0.0</v>
      </c>
      <c r="H16" s="492">
        <v>1.0</v>
      </c>
      <c r="I16" s="493">
        <v>45490.56569444444</v>
      </c>
      <c r="J16" s="491">
        <v>0.166</v>
      </c>
      <c r="K16" s="491">
        <v>91.35</v>
      </c>
      <c r="L16" s="491">
        <v>0.146</v>
      </c>
      <c r="M16" s="491">
        <v>63.92</v>
      </c>
      <c r="N16" s="491">
        <v>1.0</v>
      </c>
      <c r="O16" s="491">
        <f t="shared" si="2"/>
        <v>0.166</v>
      </c>
      <c r="P16" s="504">
        <f t="shared" si="3"/>
        <v>0.146</v>
      </c>
      <c r="Q16" s="504">
        <f t="shared" ref="Q16:R16" si="14">O16</f>
        <v>0.166</v>
      </c>
      <c r="R16" s="504">
        <f t="shared" si="14"/>
        <v>0.146</v>
      </c>
      <c r="S16" s="489" t="s">
        <v>12</v>
      </c>
    </row>
    <row r="17">
      <c r="A17" s="490">
        <v>45490.0</v>
      </c>
      <c r="B17" s="491" t="s">
        <v>968</v>
      </c>
      <c r="C17" s="491">
        <v>16.0</v>
      </c>
      <c r="D17" s="491">
        <v>908.0</v>
      </c>
      <c r="E17" s="491" t="s">
        <v>945</v>
      </c>
      <c r="F17" s="491">
        <v>0.0</v>
      </c>
      <c r="G17" s="497">
        <v>0.0</v>
      </c>
      <c r="H17" s="492">
        <v>0.0</v>
      </c>
      <c r="I17" s="493">
        <v>45490.56650462963</v>
      </c>
      <c r="J17" s="491">
        <v>0.159</v>
      </c>
      <c r="K17" s="491">
        <v>87.63</v>
      </c>
      <c r="L17" s="491">
        <v>0.027</v>
      </c>
      <c r="M17" s="491">
        <v>15.59</v>
      </c>
      <c r="N17" s="491">
        <v>1.0</v>
      </c>
      <c r="O17" s="491">
        <f t="shared" si="2"/>
        <v>0.159</v>
      </c>
      <c r="P17" s="504">
        <f t="shared" si="3"/>
        <v>0.027</v>
      </c>
      <c r="Q17" s="504">
        <f t="shared" ref="Q17:R17" si="15">O17</f>
        <v>0.159</v>
      </c>
      <c r="R17" s="504">
        <f t="shared" si="15"/>
        <v>0.027</v>
      </c>
      <c r="S17" s="489" t="s">
        <v>12</v>
      </c>
    </row>
    <row r="18">
      <c r="A18" s="490">
        <v>45490.0</v>
      </c>
      <c r="B18" s="491" t="s">
        <v>969</v>
      </c>
      <c r="C18" s="491">
        <v>17.0</v>
      </c>
      <c r="D18" s="491">
        <v>909.0</v>
      </c>
      <c r="E18" s="491" t="s">
        <v>945</v>
      </c>
      <c r="F18" s="491">
        <v>0.0</v>
      </c>
      <c r="G18" s="497">
        <v>0.0</v>
      </c>
      <c r="H18" s="492">
        <v>0.0</v>
      </c>
      <c r="I18" s="493">
        <v>45490.56731481481</v>
      </c>
      <c r="J18" s="491">
        <v>0.171</v>
      </c>
      <c r="K18" s="491">
        <v>94.24</v>
      </c>
      <c r="L18" s="491">
        <v>0.027</v>
      </c>
      <c r="M18" s="491">
        <v>15.46</v>
      </c>
      <c r="N18" s="491">
        <v>1.0</v>
      </c>
      <c r="O18" s="491">
        <f t="shared" si="2"/>
        <v>0.171</v>
      </c>
      <c r="P18" s="504">
        <f t="shared" si="3"/>
        <v>0.027</v>
      </c>
      <c r="Q18" s="504">
        <f t="shared" ref="Q18:R18" si="16">O18</f>
        <v>0.171</v>
      </c>
      <c r="R18" s="504">
        <f t="shared" si="16"/>
        <v>0.027</v>
      </c>
      <c r="S18" s="489" t="s">
        <v>12</v>
      </c>
    </row>
    <row r="19">
      <c r="A19" s="490">
        <v>45490.0</v>
      </c>
      <c r="B19" s="491">
        <v>152.0</v>
      </c>
      <c r="C19" s="491">
        <v>18.0</v>
      </c>
      <c r="D19" s="491">
        <v>1.0</v>
      </c>
      <c r="E19" s="491" t="s">
        <v>941</v>
      </c>
      <c r="F19" s="491">
        <v>0.0</v>
      </c>
      <c r="G19" s="497">
        <v>0.0</v>
      </c>
      <c r="H19" s="492">
        <v>0.0</v>
      </c>
      <c r="I19" s="493">
        <v>45490.568125</v>
      </c>
      <c r="J19" s="491">
        <v>0.021</v>
      </c>
      <c r="K19" s="491">
        <v>16.92</v>
      </c>
      <c r="L19" s="491">
        <v>-0.002</v>
      </c>
      <c r="M19" s="491">
        <v>3.51</v>
      </c>
      <c r="N19" s="491">
        <v>1.0</v>
      </c>
      <c r="O19" s="491">
        <f t="shared" si="2"/>
        <v>0.021</v>
      </c>
      <c r="P19" s="506">
        <f t="shared" si="3"/>
        <v>-0.002</v>
      </c>
      <c r="Q19" s="504">
        <f t="shared" ref="Q19:Q31" si="17">O19</f>
        <v>0.021</v>
      </c>
      <c r="R19" s="485" t="s">
        <v>967</v>
      </c>
      <c r="S19" s="489" t="s">
        <v>12</v>
      </c>
    </row>
    <row r="20">
      <c r="A20" s="490">
        <v>45490.0</v>
      </c>
      <c r="B20" s="491">
        <v>347.0</v>
      </c>
      <c r="C20" s="491">
        <v>19.0</v>
      </c>
      <c r="D20" s="491">
        <v>2.0</v>
      </c>
      <c r="E20" s="491" t="s">
        <v>941</v>
      </c>
      <c r="F20" s="491">
        <v>0.0</v>
      </c>
      <c r="G20" s="497">
        <v>0.0</v>
      </c>
      <c r="H20" s="492">
        <v>0.0</v>
      </c>
      <c r="I20" s="493">
        <v>45490.56893518518</v>
      </c>
      <c r="J20" s="491">
        <v>0.03</v>
      </c>
      <c r="K20" s="491">
        <v>21.71</v>
      </c>
      <c r="L20" s="491">
        <v>0.02</v>
      </c>
      <c r="M20" s="491">
        <v>12.75</v>
      </c>
      <c r="N20" s="491">
        <v>1.0</v>
      </c>
      <c r="O20" s="491">
        <f t="shared" si="2"/>
        <v>0.03</v>
      </c>
      <c r="P20" s="504">
        <f t="shared" si="3"/>
        <v>0.02</v>
      </c>
      <c r="Q20" s="504">
        <f t="shared" si="17"/>
        <v>0.03</v>
      </c>
      <c r="R20" s="504">
        <f>P20</f>
        <v>0.02</v>
      </c>
      <c r="S20" s="489" t="s">
        <v>12</v>
      </c>
    </row>
    <row r="21">
      <c r="A21" s="490">
        <v>45490.0</v>
      </c>
      <c r="B21" s="491">
        <v>100.0</v>
      </c>
      <c r="C21" s="491">
        <v>20.0</v>
      </c>
      <c r="D21" s="491">
        <v>3.0</v>
      </c>
      <c r="E21" s="491" t="s">
        <v>941</v>
      </c>
      <c r="F21" s="491">
        <v>0.0</v>
      </c>
      <c r="G21" s="497">
        <v>0.0</v>
      </c>
      <c r="H21" s="492">
        <v>0.0</v>
      </c>
      <c r="I21" s="493">
        <v>45490.56974537037</v>
      </c>
      <c r="J21" s="491">
        <v>0.021</v>
      </c>
      <c r="K21" s="491">
        <v>17.25</v>
      </c>
      <c r="L21" s="491">
        <v>0.0</v>
      </c>
      <c r="M21" s="491">
        <v>4.63</v>
      </c>
      <c r="N21" s="491">
        <v>1.0</v>
      </c>
      <c r="O21" s="491">
        <f t="shared" si="2"/>
        <v>0.021</v>
      </c>
      <c r="P21" s="506">
        <f t="shared" si="3"/>
        <v>0</v>
      </c>
      <c r="Q21" s="504">
        <f t="shared" si="17"/>
        <v>0.021</v>
      </c>
      <c r="R21" s="485" t="s">
        <v>967</v>
      </c>
      <c r="S21" s="489" t="s">
        <v>12</v>
      </c>
    </row>
    <row r="22">
      <c r="A22" s="490">
        <v>45490.0</v>
      </c>
      <c r="B22" s="491">
        <v>204.0</v>
      </c>
      <c r="C22" s="491">
        <v>21.0</v>
      </c>
      <c r="D22" s="491">
        <v>4.0</v>
      </c>
      <c r="E22" s="491" t="s">
        <v>941</v>
      </c>
      <c r="F22" s="491">
        <v>0.0</v>
      </c>
      <c r="G22" s="497">
        <v>0.0</v>
      </c>
      <c r="H22" s="492">
        <v>0.0</v>
      </c>
      <c r="I22" s="493">
        <v>45490.570555555554</v>
      </c>
      <c r="J22" s="491">
        <v>0.021</v>
      </c>
      <c r="K22" s="491">
        <v>16.79</v>
      </c>
      <c r="L22" s="491">
        <v>0.0</v>
      </c>
      <c r="M22" s="491">
        <v>4.54</v>
      </c>
      <c r="N22" s="491">
        <v>1.0</v>
      </c>
      <c r="O22" s="491">
        <f t="shared" si="2"/>
        <v>0.021</v>
      </c>
      <c r="P22" s="506">
        <f t="shared" si="3"/>
        <v>0</v>
      </c>
      <c r="Q22" s="504">
        <f t="shared" si="17"/>
        <v>0.021</v>
      </c>
      <c r="R22" s="485" t="s">
        <v>967</v>
      </c>
      <c r="S22" s="489" t="s">
        <v>12</v>
      </c>
    </row>
    <row r="23">
      <c r="A23" s="490">
        <v>45490.0</v>
      </c>
      <c r="B23" s="491">
        <v>87.0</v>
      </c>
      <c r="C23" s="491">
        <v>22.0</v>
      </c>
      <c r="D23" s="491">
        <v>5.0</v>
      </c>
      <c r="E23" s="491" t="s">
        <v>941</v>
      </c>
      <c r="F23" s="491">
        <v>0.0</v>
      </c>
      <c r="G23" s="497">
        <v>0.0</v>
      </c>
      <c r="H23" s="492">
        <v>0.0</v>
      </c>
      <c r="I23" s="493">
        <v>45490.57136574074</v>
      </c>
      <c r="J23" s="491">
        <v>0.021</v>
      </c>
      <c r="K23" s="491">
        <v>16.99</v>
      </c>
      <c r="L23" s="491">
        <v>-0.001</v>
      </c>
      <c r="M23" s="491">
        <v>4.07</v>
      </c>
      <c r="N23" s="491">
        <v>1.0</v>
      </c>
      <c r="O23" s="491">
        <f t="shared" si="2"/>
        <v>0.021</v>
      </c>
      <c r="P23" s="506">
        <f t="shared" si="3"/>
        <v>-0.001</v>
      </c>
      <c r="Q23" s="504">
        <f t="shared" si="17"/>
        <v>0.021</v>
      </c>
      <c r="R23" s="485" t="s">
        <v>967</v>
      </c>
      <c r="S23" s="489" t="s">
        <v>12</v>
      </c>
    </row>
    <row r="24">
      <c r="A24" s="490">
        <v>45490.0</v>
      </c>
      <c r="B24" s="491">
        <v>61.0</v>
      </c>
      <c r="C24" s="491">
        <v>23.0</v>
      </c>
      <c r="D24" s="491">
        <v>6.0</v>
      </c>
      <c r="E24" s="491" t="s">
        <v>941</v>
      </c>
      <c r="F24" s="491">
        <v>0.0</v>
      </c>
      <c r="G24" s="497">
        <v>0.0</v>
      </c>
      <c r="H24" s="492">
        <v>0.0</v>
      </c>
      <c r="I24" s="493">
        <v>45490.572175925925</v>
      </c>
      <c r="J24" s="491">
        <v>0.012</v>
      </c>
      <c r="K24" s="491">
        <v>12.18</v>
      </c>
      <c r="L24" s="491">
        <v>0.009</v>
      </c>
      <c r="M24" s="491">
        <v>8.18</v>
      </c>
      <c r="N24" s="491">
        <v>1.0</v>
      </c>
      <c r="O24" s="491">
        <f t="shared" si="2"/>
        <v>0.012</v>
      </c>
      <c r="P24" s="504">
        <f t="shared" si="3"/>
        <v>0.009</v>
      </c>
      <c r="Q24" s="504">
        <f t="shared" si="17"/>
        <v>0.012</v>
      </c>
      <c r="R24" s="504">
        <f>P24</f>
        <v>0.009</v>
      </c>
      <c r="S24" s="489" t="s">
        <v>12</v>
      </c>
    </row>
    <row r="25">
      <c r="A25" s="490">
        <v>45490.0</v>
      </c>
      <c r="B25" s="491">
        <v>269.0</v>
      </c>
      <c r="C25" s="491">
        <v>24.0</v>
      </c>
      <c r="D25" s="491">
        <v>7.0</v>
      </c>
      <c r="E25" s="491" t="s">
        <v>941</v>
      </c>
      <c r="F25" s="491">
        <v>0.0</v>
      </c>
      <c r="G25" s="497">
        <v>0.0</v>
      </c>
      <c r="H25" s="492">
        <v>0.0</v>
      </c>
      <c r="I25" s="493">
        <v>45490.57298611111</v>
      </c>
      <c r="J25" s="491">
        <v>0.018</v>
      </c>
      <c r="K25" s="491">
        <v>15.28</v>
      </c>
      <c r="L25" s="491">
        <v>0.001</v>
      </c>
      <c r="M25" s="491">
        <v>4.91</v>
      </c>
      <c r="N25" s="491">
        <v>1.0</v>
      </c>
      <c r="O25" s="491">
        <f t="shared" si="2"/>
        <v>0.018</v>
      </c>
      <c r="P25" s="506">
        <f t="shared" si="3"/>
        <v>0.001</v>
      </c>
      <c r="Q25" s="504">
        <f t="shared" si="17"/>
        <v>0.018</v>
      </c>
      <c r="R25" s="485" t="s">
        <v>967</v>
      </c>
      <c r="S25" s="489" t="s">
        <v>12</v>
      </c>
    </row>
    <row r="26">
      <c r="A26" s="490">
        <v>45490.0</v>
      </c>
      <c r="B26" s="491">
        <v>9.0</v>
      </c>
      <c r="C26" s="491">
        <v>25.0</v>
      </c>
      <c r="D26" s="491">
        <v>8.0</v>
      </c>
      <c r="E26" s="491" t="s">
        <v>941</v>
      </c>
      <c r="F26" s="491">
        <v>0.0</v>
      </c>
      <c r="G26" s="497">
        <v>0.0</v>
      </c>
      <c r="H26" s="492">
        <v>0.0</v>
      </c>
      <c r="I26" s="493">
        <v>45490.573796296296</v>
      </c>
      <c r="J26" s="491">
        <v>0.015</v>
      </c>
      <c r="K26" s="491">
        <v>13.97</v>
      </c>
      <c r="L26" s="491">
        <v>-0.003</v>
      </c>
      <c r="M26" s="491">
        <v>3.24</v>
      </c>
      <c r="N26" s="491">
        <v>1.0</v>
      </c>
      <c r="O26" s="491">
        <f t="shared" si="2"/>
        <v>0.015</v>
      </c>
      <c r="P26" s="506">
        <f t="shared" si="3"/>
        <v>-0.003</v>
      </c>
      <c r="Q26" s="504">
        <f t="shared" si="17"/>
        <v>0.015</v>
      </c>
      <c r="R26" s="485" t="s">
        <v>967</v>
      </c>
      <c r="S26" s="489" t="s">
        <v>12</v>
      </c>
    </row>
    <row r="27">
      <c r="A27" s="490">
        <v>45490.0</v>
      </c>
      <c r="B27" s="491">
        <v>243.0</v>
      </c>
      <c r="C27" s="491">
        <v>26.0</v>
      </c>
      <c r="D27" s="491">
        <v>9.0</v>
      </c>
      <c r="E27" s="491" t="s">
        <v>941</v>
      </c>
      <c r="F27" s="491">
        <v>0.0</v>
      </c>
      <c r="G27" s="497">
        <v>0.0</v>
      </c>
      <c r="H27" s="492">
        <v>0.0</v>
      </c>
      <c r="I27" s="493">
        <v>45490.57460648148</v>
      </c>
      <c r="J27" s="491">
        <v>0.013</v>
      </c>
      <c r="K27" s="491">
        <v>13.04</v>
      </c>
      <c r="L27" s="491">
        <v>0.004</v>
      </c>
      <c r="M27" s="491">
        <v>6.18</v>
      </c>
      <c r="N27" s="491">
        <v>1.0</v>
      </c>
      <c r="O27" s="491">
        <f t="shared" si="2"/>
        <v>0.013</v>
      </c>
      <c r="P27" s="504">
        <f t="shared" si="3"/>
        <v>0.004</v>
      </c>
      <c r="Q27" s="504">
        <f t="shared" si="17"/>
        <v>0.013</v>
      </c>
      <c r="R27" s="504">
        <f>P27</f>
        <v>0.004</v>
      </c>
      <c r="S27" s="489" t="s">
        <v>12</v>
      </c>
    </row>
    <row r="28">
      <c r="A28" s="490">
        <v>45490.0</v>
      </c>
      <c r="B28" s="491">
        <v>165.0</v>
      </c>
      <c r="C28" s="491">
        <v>27.0</v>
      </c>
      <c r="D28" s="491">
        <v>10.0</v>
      </c>
      <c r="E28" s="491" t="s">
        <v>941</v>
      </c>
      <c r="F28" s="491">
        <v>0.0</v>
      </c>
      <c r="G28" s="497">
        <v>0.0</v>
      </c>
      <c r="H28" s="492">
        <v>0.0</v>
      </c>
      <c r="I28" s="493">
        <v>45490.57541666667</v>
      </c>
      <c r="J28" s="491">
        <v>0.022</v>
      </c>
      <c r="K28" s="491">
        <v>17.68</v>
      </c>
      <c r="L28" s="491">
        <v>-0.004</v>
      </c>
      <c r="M28" s="491">
        <v>2.99</v>
      </c>
      <c r="N28" s="491">
        <v>1.0</v>
      </c>
      <c r="O28" s="491">
        <f t="shared" si="2"/>
        <v>0.022</v>
      </c>
      <c r="P28" s="506">
        <f t="shared" si="3"/>
        <v>-0.004</v>
      </c>
      <c r="Q28" s="504">
        <f t="shared" si="17"/>
        <v>0.022</v>
      </c>
      <c r="R28" s="485" t="s">
        <v>967</v>
      </c>
      <c r="S28" s="489" t="s">
        <v>12</v>
      </c>
    </row>
    <row r="29">
      <c r="A29" s="490">
        <v>45490.0</v>
      </c>
      <c r="B29" s="491" t="s">
        <v>970</v>
      </c>
      <c r="C29" s="491">
        <v>28.0</v>
      </c>
      <c r="D29" s="491">
        <v>11.0</v>
      </c>
      <c r="E29" s="491" t="s">
        <v>943</v>
      </c>
      <c r="F29" s="491">
        <v>0.0</v>
      </c>
      <c r="G29" s="497">
        <v>0.0</v>
      </c>
      <c r="H29" s="492">
        <v>1.0</v>
      </c>
      <c r="I29" s="493">
        <v>45490.57622685185</v>
      </c>
      <c r="J29" s="491">
        <v>0.186</v>
      </c>
      <c r="K29" s="491">
        <v>101.82</v>
      </c>
      <c r="L29" s="491">
        <v>0.142</v>
      </c>
      <c r="M29" s="491">
        <v>62.31</v>
      </c>
      <c r="N29" s="491">
        <v>1.0</v>
      </c>
      <c r="O29" s="491">
        <f t="shared" si="2"/>
        <v>0.186</v>
      </c>
      <c r="P29" s="504">
        <f t="shared" si="3"/>
        <v>0.142</v>
      </c>
      <c r="Q29" s="504">
        <f t="shared" si="17"/>
        <v>0.186</v>
      </c>
      <c r="R29" s="504">
        <f t="shared" ref="R29:R31" si="18">P29</f>
        <v>0.142</v>
      </c>
      <c r="S29" s="489" t="s">
        <v>12</v>
      </c>
    </row>
    <row r="30">
      <c r="A30" s="490">
        <v>45490.0</v>
      </c>
      <c r="B30" s="491" t="s">
        <v>968</v>
      </c>
      <c r="C30" s="491">
        <v>29.0</v>
      </c>
      <c r="D30" s="491">
        <v>908.0</v>
      </c>
      <c r="E30" s="491" t="s">
        <v>945</v>
      </c>
      <c r="F30" s="491">
        <v>0.0</v>
      </c>
      <c r="G30" s="497">
        <v>0.0</v>
      </c>
      <c r="H30" s="492">
        <v>0.0</v>
      </c>
      <c r="I30" s="493">
        <v>45490.57703703704</v>
      </c>
      <c r="J30" s="491">
        <v>0.155</v>
      </c>
      <c r="K30" s="491">
        <v>85.54</v>
      </c>
      <c r="L30" s="491">
        <v>0.027</v>
      </c>
      <c r="M30" s="491">
        <v>15.39</v>
      </c>
      <c r="N30" s="491">
        <v>1.0</v>
      </c>
      <c r="O30" s="491">
        <f t="shared" si="2"/>
        <v>0.155</v>
      </c>
      <c r="P30" s="504">
        <f t="shared" si="3"/>
        <v>0.027</v>
      </c>
      <c r="Q30" s="504">
        <f t="shared" si="17"/>
        <v>0.155</v>
      </c>
      <c r="R30" s="504">
        <f t="shared" si="18"/>
        <v>0.027</v>
      </c>
      <c r="S30" s="489" t="s">
        <v>12</v>
      </c>
    </row>
    <row r="31">
      <c r="A31" s="490">
        <v>45490.0</v>
      </c>
      <c r="B31" s="491" t="s">
        <v>969</v>
      </c>
      <c r="C31" s="491">
        <v>30.0</v>
      </c>
      <c r="D31" s="491">
        <v>909.0</v>
      </c>
      <c r="E31" s="491" t="s">
        <v>945</v>
      </c>
      <c r="F31" s="491">
        <v>0.0</v>
      </c>
      <c r="G31" s="497">
        <v>0.0</v>
      </c>
      <c r="H31" s="492">
        <v>0.0</v>
      </c>
      <c r="I31" s="493">
        <v>45490.57784722222</v>
      </c>
      <c r="J31" s="491">
        <v>0.166</v>
      </c>
      <c r="K31" s="491">
        <v>91.31</v>
      </c>
      <c r="L31" s="491">
        <v>0.027</v>
      </c>
      <c r="M31" s="491">
        <v>15.71</v>
      </c>
      <c r="N31" s="491">
        <v>1.0</v>
      </c>
      <c r="O31" s="491">
        <f t="shared" si="2"/>
        <v>0.166</v>
      </c>
      <c r="P31" s="504">
        <f t="shared" si="3"/>
        <v>0.027</v>
      </c>
      <c r="Q31" s="504">
        <f t="shared" si="17"/>
        <v>0.166</v>
      </c>
      <c r="R31" s="504">
        <f t="shared" si="18"/>
        <v>0.027</v>
      </c>
      <c r="S31" s="489" t="s">
        <v>12</v>
      </c>
    </row>
    <row r="32">
      <c r="A32" s="490">
        <v>45490.0</v>
      </c>
      <c r="B32" s="491" t="s">
        <v>935</v>
      </c>
      <c r="C32" s="491">
        <v>31.0</v>
      </c>
      <c r="D32" s="491">
        <v>0.0</v>
      </c>
      <c r="E32" s="491" t="s">
        <v>936</v>
      </c>
      <c r="F32" s="491">
        <v>0.0</v>
      </c>
      <c r="G32" s="497">
        <v>0.0</v>
      </c>
      <c r="H32" s="492">
        <v>0.0</v>
      </c>
      <c r="I32" s="493">
        <v>45490.57865740741</v>
      </c>
      <c r="J32" s="491">
        <v>-0.012</v>
      </c>
      <c r="K32" s="491">
        <v>0.0</v>
      </c>
      <c r="L32" s="491">
        <v>-0.011</v>
      </c>
      <c r="M32" s="491">
        <v>0.0</v>
      </c>
      <c r="N32" s="491">
        <v>1.0</v>
      </c>
      <c r="O32" s="505">
        <f t="shared" si="2"/>
        <v>-0.012</v>
      </c>
      <c r="P32" s="506">
        <f t="shared" si="3"/>
        <v>-0.011</v>
      </c>
      <c r="Q32" s="504" t="s">
        <v>967</v>
      </c>
      <c r="R32" s="485" t="s">
        <v>967</v>
      </c>
      <c r="S32" s="489" t="s">
        <v>12</v>
      </c>
    </row>
    <row r="33">
      <c r="A33" s="490">
        <v>45490.0</v>
      </c>
      <c r="B33" s="491">
        <v>139.0</v>
      </c>
      <c r="C33" s="491">
        <v>32.0</v>
      </c>
      <c r="D33" s="491">
        <v>12.0</v>
      </c>
      <c r="E33" s="491" t="s">
        <v>941</v>
      </c>
      <c r="F33" s="491">
        <v>0.0</v>
      </c>
      <c r="G33" s="497">
        <v>0.0</v>
      </c>
      <c r="H33" s="492">
        <v>0.0</v>
      </c>
      <c r="I33" s="493">
        <v>45490.581087962964</v>
      </c>
      <c r="J33" s="491">
        <v>0.025</v>
      </c>
      <c r="K33" s="491">
        <v>19.12</v>
      </c>
      <c r="L33" s="491">
        <v>-0.003</v>
      </c>
      <c r="M33" s="491">
        <v>3.29</v>
      </c>
      <c r="N33" s="491">
        <v>1.0</v>
      </c>
      <c r="O33" s="491">
        <f t="shared" si="2"/>
        <v>0.025</v>
      </c>
      <c r="P33" s="506">
        <f t="shared" si="3"/>
        <v>-0.003</v>
      </c>
      <c r="Q33" s="504">
        <f t="shared" ref="Q33:Q45" si="19">O33</f>
        <v>0.025</v>
      </c>
      <c r="R33" s="485" t="s">
        <v>967</v>
      </c>
      <c r="S33" s="489" t="s">
        <v>12</v>
      </c>
    </row>
    <row r="34">
      <c r="A34" s="490">
        <v>45490.0</v>
      </c>
      <c r="B34" s="491">
        <v>35.0</v>
      </c>
      <c r="C34" s="491">
        <v>33.0</v>
      </c>
      <c r="D34" s="491">
        <v>13.0</v>
      </c>
      <c r="E34" s="491" t="s">
        <v>941</v>
      </c>
      <c r="F34" s="491">
        <v>0.0</v>
      </c>
      <c r="G34" s="497">
        <v>0.0</v>
      </c>
      <c r="H34" s="492">
        <v>0.0</v>
      </c>
      <c r="I34" s="493">
        <v>45490.58189814815</v>
      </c>
      <c r="J34" s="491">
        <v>0.014</v>
      </c>
      <c r="K34" s="491">
        <v>13.49</v>
      </c>
      <c r="L34" s="491">
        <v>0.003</v>
      </c>
      <c r="M34" s="491">
        <v>5.81</v>
      </c>
      <c r="N34" s="491">
        <v>1.0</v>
      </c>
      <c r="O34" s="491">
        <f t="shared" si="2"/>
        <v>0.014</v>
      </c>
      <c r="P34" s="504">
        <f t="shared" si="3"/>
        <v>0.003</v>
      </c>
      <c r="Q34" s="504">
        <f t="shared" si="19"/>
        <v>0.014</v>
      </c>
      <c r="R34" s="504">
        <f>P34</f>
        <v>0.003</v>
      </c>
      <c r="S34" s="489" t="s">
        <v>12</v>
      </c>
    </row>
    <row r="35">
      <c r="A35" s="490">
        <v>45490.0</v>
      </c>
      <c r="B35" s="491">
        <v>22.0</v>
      </c>
      <c r="C35" s="491">
        <v>34.0</v>
      </c>
      <c r="D35" s="491">
        <v>14.0</v>
      </c>
      <c r="E35" s="491" t="s">
        <v>941</v>
      </c>
      <c r="F35" s="491">
        <v>0.0</v>
      </c>
      <c r="G35" s="497">
        <v>0.0</v>
      </c>
      <c r="H35" s="492">
        <v>0.0</v>
      </c>
      <c r="I35" s="493">
        <v>45490.582708333335</v>
      </c>
      <c r="J35" s="491">
        <v>0.006</v>
      </c>
      <c r="K35" s="491">
        <v>9.44</v>
      </c>
      <c r="L35" s="491">
        <v>-0.004</v>
      </c>
      <c r="M35" s="491">
        <v>2.8</v>
      </c>
      <c r="N35" s="491">
        <v>1.0</v>
      </c>
      <c r="O35" s="491">
        <f t="shared" si="2"/>
        <v>0.006</v>
      </c>
      <c r="P35" s="506">
        <f t="shared" si="3"/>
        <v>-0.004</v>
      </c>
      <c r="Q35" s="504">
        <f t="shared" si="19"/>
        <v>0.006</v>
      </c>
      <c r="R35" s="485" t="s">
        <v>967</v>
      </c>
      <c r="S35" s="489" t="s">
        <v>12</v>
      </c>
    </row>
    <row r="36">
      <c r="A36" s="490">
        <v>45490.0</v>
      </c>
      <c r="B36" s="491">
        <v>230.0</v>
      </c>
      <c r="C36" s="491">
        <v>35.0</v>
      </c>
      <c r="D36" s="491">
        <v>15.0</v>
      </c>
      <c r="E36" s="491" t="s">
        <v>941</v>
      </c>
      <c r="F36" s="491">
        <v>0.0</v>
      </c>
      <c r="G36" s="497">
        <v>0.0</v>
      </c>
      <c r="H36" s="492">
        <v>0.0</v>
      </c>
      <c r="I36" s="493">
        <v>45490.58351851852</v>
      </c>
      <c r="J36" s="491">
        <v>0.011</v>
      </c>
      <c r="K36" s="491">
        <v>11.61</v>
      </c>
      <c r="L36" s="491">
        <v>-0.004</v>
      </c>
      <c r="M36" s="491">
        <v>2.95</v>
      </c>
      <c r="N36" s="491">
        <v>1.0</v>
      </c>
      <c r="O36" s="491">
        <f t="shared" si="2"/>
        <v>0.011</v>
      </c>
      <c r="P36" s="506">
        <f t="shared" si="3"/>
        <v>-0.004</v>
      </c>
      <c r="Q36" s="504">
        <f t="shared" si="19"/>
        <v>0.011</v>
      </c>
      <c r="R36" s="485" t="s">
        <v>967</v>
      </c>
      <c r="S36" s="489" t="s">
        <v>12</v>
      </c>
    </row>
    <row r="37">
      <c r="A37" s="490">
        <v>45490.0</v>
      </c>
      <c r="B37" s="491">
        <v>48.0</v>
      </c>
      <c r="C37" s="491">
        <v>36.0</v>
      </c>
      <c r="D37" s="491">
        <v>16.0</v>
      </c>
      <c r="E37" s="491" t="s">
        <v>941</v>
      </c>
      <c r="F37" s="491">
        <v>0.0</v>
      </c>
      <c r="G37" s="497">
        <v>0.0</v>
      </c>
      <c r="H37" s="492">
        <v>0.0</v>
      </c>
      <c r="I37" s="493">
        <v>45490.584328703706</v>
      </c>
      <c r="J37" s="491">
        <v>0.025</v>
      </c>
      <c r="K37" s="491">
        <v>18.84</v>
      </c>
      <c r="L37" s="491">
        <v>-0.004</v>
      </c>
      <c r="M37" s="491">
        <v>2.75</v>
      </c>
      <c r="N37" s="491">
        <v>1.0</v>
      </c>
      <c r="O37" s="491">
        <f t="shared" si="2"/>
        <v>0.025</v>
      </c>
      <c r="P37" s="506">
        <f t="shared" si="3"/>
        <v>-0.004</v>
      </c>
      <c r="Q37" s="504">
        <f t="shared" si="19"/>
        <v>0.025</v>
      </c>
      <c r="R37" s="485" t="s">
        <v>967</v>
      </c>
      <c r="S37" s="489" t="s">
        <v>12</v>
      </c>
    </row>
    <row r="38">
      <c r="A38" s="490">
        <v>45490.0</v>
      </c>
      <c r="B38" s="491">
        <v>308.0</v>
      </c>
      <c r="C38" s="491">
        <v>37.0</v>
      </c>
      <c r="D38" s="491">
        <v>17.0</v>
      </c>
      <c r="E38" s="491" t="s">
        <v>941</v>
      </c>
      <c r="F38" s="491">
        <v>0.0</v>
      </c>
      <c r="G38" s="497">
        <v>0.0</v>
      </c>
      <c r="H38" s="492">
        <v>0.0</v>
      </c>
      <c r="I38" s="493">
        <v>45490.58513888889</v>
      </c>
      <c r="J38" s="491">
        <v>0.016</v>
      </c>
      <c r="K38" s="491">
        <v>14.18</v>
      </c>
      <c r="L38" s="491">
        <v>-0.004</v>
      </c>
      <c r="M38" s="491">
        <v>3.0</v>
      </c>
      <c r="N38" s="491">
        <v>1.0</v>
      </c>
      <c r="O38" s="491">
        <f t="shared" si="2"/>
        <v>0.016</v>
      </c>
      <c r="P38" s="506">
        <f t="shared" si="3"/>
        <v>-0.004</v>
      </c>
      <c r="Q38" s="504">
        <f t="shared" si="19"/>
        <v>0.016</v>
      </c>
      <c r="R38" s="485" t="s">
        <v>967</v>
      </c>
      <c r="S38" s="489" t="s">
        <v>12</v>
      </c>
    </row>
    <row r="39">
      <c r="A39" s="490">
        <v>45490.0</v>
      </c>
      <c r="B39" s="491">
        <v>191.0</v>
      </c>
      <c r="C39" s="491">
        <v>38.0</v>
      </c>
      <c r="D39" s="491">
        <v>18.0</v>
      </c>
      <c r="E39" s="491" t="s">
        <v>941</v>
      </c>
      <c r="F39" s="491">
        <v>0.0</v>
      </c>
      <c r="G39" s="497">
        <v>0.0</v>
      </c>
      <c r="H39" s="492">
        <v>0.0</v>
      </c>
      <c r="I39" s="493">
        <v>45490.58594907408</v>
      </c>
      <c r="J39" s="491">
        <v>0.011</v>
      </c>
      <c r="K39" s="491">
        <v>11.87</v>
      </c>
      <c r="L39" s="491">
        <v>-0.004</v>
      </c>
      <c r="M39" s="491">
        <v>2.7</v>
      </c>
      <c r="N39" s="491">
        <v>1.0</v>
      </c>
      <c r="O39" s="491">
        <f t="shared" si="2"/>
        <v>0.011</v>
      </c>
      <c r="P39" s="506">
        <f t="shared" si="3"/>
        <v>-0.004</v>
      </c>
      <c r="Q39" s="504">
        <f t="shared" si="19"/>
        <v>0.011</v>
      </c>
      <c r="R39" s="485" t="s">
        <v>967</v>
      </c>
      <c r="S39" s="489" t="s">
        <v>12</v>
      </c>
    </row>
    <row r="40">
      <c r="A40" s="490">
        <v>45490.0</v>
      </c>
      <c r="B40" s="491">
        <v>295.0</v>
      </c>
      <c r="C40" s="491">
        <v>39.0</v>
      </c>
      <c r="D40" s="491">
        <v>19.0</v>
      </c>
      <c r="E40" s="491" t="s">
        <v>941</v>
      </c>
      <c r="F40" s="491">
        <v>0.0</v>
      </c>
      <c r="G40" s="497">
        <v>0.0</v>
      </c>
      <c r="H40" s="492">
        <v>0.0</v>
      </c>
      <c r="I40" s="493">
        <v>45490.58675925926</v>
      </c>
      <c r="J40" s="491">
        <v>0.011</v>
      </c>
      <c r="K40" s="491">
        <v>12.11</v>
      </c>
      <c r="L40" s="491">
        <v>-0.003</v>
      </c>
      <c r="M40" s="491">
        <v>3.19</v>
      </c>
      <c r="N40" s="491">
        <v>1.0</v>
      </c>
      <c r="O40" s="491">
        <f t="shared" si="2"/>
        <v>0.011</v>
      </c>
      <c r="P40" s="506">
        <f t="shared" si="3"/>
        <v>-0.003</v>
      </c>
      <c r="Q40" s="504">
        <f t="shared" si="19"/>
        <v>0.011</v>
      </c>
      <c r="R40" s="485" t="s">
        <v>967</v>
      </c>
      <c r="S40" s="489" t="s">
        <v>12</v>
      </c>
    </row>
    <row r="41">
      <c r="A41" s="490">
        <v>45490.0</v>
      </c>
      <c r="B41" s="491">
        <v>282.0</v>
      </c>
      <c r="C41" s="491">
        <v>40.0</v>
      </c>
      <c r="D41" s="491">
        <v>20.0</v>
      </c>
      <c r="E41" s="491" t="s">
        <v>941</v>
      </c>
      <c r="F41" s="491">
        <v>0.0</v>
      </c>
      <c r="G41" s="497">
        <v>0.0</v>
      </c>
      <c r="H41" s="492">
        <v>0.0</v>
      </c>
      <c r="I41" s="493">
        <v>45490.58756944445</v>
      </c>
      <c r="J41" s="491">
        <v>0.012</v>
      </c>
      <c r="K41" s="491">
        <v>12.17</v>
      </c>
      <c r="L41" s="491">
        <v>-0.003</v>
      </c>
      <c r="M41" s="491">
        <v>3.31</v>
      </c>
      <c r="N41" s="491">
        <v>1.0</v>
      </c>
      <c r="O41" s="491">
        <f t="shared" si="2"/>
        <v>0.012</v>
      </c>
      <c r="P41" s="506">
        <f t="shared" si="3"/>
        <v>-0.003</v>
      </c>
      <c r="Q41" s="504">
        <f t="shared" si="19"/>
        <v>0.012</v>
      </c>
      <c r="R41" s="485" t="s">
        <v>967</v>
      </c>
      <c r="S41" s="489" t="s">
        <v>12</v>
      </c>
    </row>
    <row r="42">
      <c r="A42" s="490">
        <v>45490.0</v>
      </c>
      <c r="B42" s="491">
        <v>178.0</v>
      </c>
      <c r="C42" s="491">
        <v>41.0</v>
      </c>
      <c r="D42" s="491">
        <v>21.0</v>
      </c>
      <c r="E42" s="491" t="s">
        <v>941</v>
      </c>
      <c r="F42" s="491">
        <v>0.0</v>
      </c>
      <c r="G42" s="497">
        <v>0.0</v>
      </c>
      <c r="H42" s="492">
        <v>0.0</v>
      </c>
      <c r="I42" s="493">
        <v>45490.58837962963</v>
      </c>
      <c r="J42" s="491">
        <v>0.01</v>
      </c>
      <c r="K42" s="491">
        <v>11.12</v>
      </c>
      <c r="L42" s="491">
        <v>-0.004</v>
      </c>
      <c r="M42" s="491">
        <v>2.88</v>
      </c>
      <c r="N42" s="491">
        <v>1.0</v>
      </c>
      <c r="O42" s="491">
        <f t="shared" si="2"/>
        <v>0.01</v>
      </c>
      <c r="P42" s="506">
        <f t="shared" si="3"/>
        <v>-0.004</v>
      </c>
      <c r="Q42" s="504">
        <f t="shared" si="19"/>
        <v>0.01</v>
      </c>
      <c r="R42" s="485" t="s">
        <v>967</v>
      </c>
      <c r="S42" s="489" t="s">
        <v>12</v>
      </c>
    </row>
    <row r="43">
      <c r="A43" s="490">
        <v>45490.0</v>
      </c>
      <c r="B43" s="491" t="s">
        <v>971</v>
      </c>
      <c r="C43" s="491">
        <v>42.0</v>
      </c>
      <c r="D43" s="491">
        <v>22.0</v>
      </c>
      <c r="E43" s="491" t="s">
        <v>943</v>
      </c>
      <c r="F43" s="491">
        <v>0.0</v>
      </c>
      <c r="G43" s="497">
        <v>0.0</v>
      </c>
      <c r="H43" s="492">
        <v>1.0</v>
      </c>
      <c r="I43" s="493">
        <v>45490.58918981482</v>
      </c>
      <c r="J43" s="491">
        <v>0.152</v>
      </c>
      <c r="K43" s="491">
        <v>84.27</v>
      </c>
      <c r="L43" s="491">
        <v>0.141</v>
      </c>
      <c r="M43" s="491">
        <v>62.03</v>
      </c>
      <c r="N43" s="491">
        <v>1.0</v>
      </c>
      <c r="O43" s="491">
        <f t="shared" si="2"/>
        <v>0.152</v>
      </c>
      <c r="P43" s="504">
        <f t="shared" si="3"/>
        <v>0.141</v>
      </c>
      <c r="Q43" s="504">
        <f t="shared" si="19"/>
        <v>0.152</v>
      </c>
      <c r="R43" s="504">
        <f t="shared" ref="R43:R45" si="20">P43</f>
        <v>0.141</v>
      </c>
      <c r="S43" s="489" t="s">
        <v>12</v>
      </c>
    </row>
    <row r="44">
      <c r="A44" s="490">
        <v>45490.0</v>
      </c>
      <c r="B44" s="491" t="s">
        <v>968</v>
      </c>
      <c r="C44" s="491">
        <v>43.0</v>
      </c>
      <c r="D44" s="491">
        <v>908.0</v>
      </c>
      <c r="E44" s="491" t="s">
        <v>945</v>
      </c>
      <c r="F44" s="491">
        <v>0.0</v>
      </c>
      <c r="G44" s="497">
        <v>0.0</v>
      </c>
      <c r="H44" s="492">
        <v>0.0</v>
      </c>
      <c r="I44" s="493">
        <v>45490.59</v>
      </c>
      <c r="J44" s="491">
        <v>0.153</v>
      </c>
      <c r="K44" s="491">
        <v>84.53</v>
      </c>
      <c r="L44" s="491">
        <v>0.027</v>
      </c>
      <c r="M44" s="491">
        <v>15.41</v>
      </c>
      <c r="N44" s="491">
        <v>1.0</v>
      </c>
      <c r="O44" s="491">
        <f t="shared" si="2"/>
        <v>0.153</v>
      </c>
      <c r="P44" s="504">
        <f t="shared" si="3"/>
        <v>0.027</v>
      </c>
      <c r="Q44" s="504">
        <f t="shared" si="19"/>
        <v>0.153</v>
      </c>
      <c r="R44" s="504">
        <f t="shared" si="20"/>
        <v>0.027</v>
      </c>
      <c r="S44" s="489" t="s">
        <v>12</v>
      </c>
    </row>
    <row r="45">
      <c r="A45" s="490">
        <v>45490.0</v>
      </c>
      <c r="B45" s="491" t="s">
        <v>969</v>
      </c>
      <c r="C45" s="491">
        <v>44.0</v>
      </c>
      <c r="D45" s="491">
        <v>909.0</v>
      </c>
      <c r="E45" s="491" t="s">
        <v>945</v>
      </c>
      <c r="F45" s="491">
        <v>0.0</v>
      </c>
      <c r="G45" s="497">
        <v>0.0</v>
      </c>
      <c r="H45" s="492">
        <v>0.0</v>
      </c>
      <c r="I45" s="493">
        <v>45490.59081018518</v>
      </c>
      <c r="J45" s="491">
        <v>0.141</v>
      </c>
      <c r="K45" s="491">
        <v>78.4</v>
      </c>
      <c r="L45" s="491">
        <v>0.027</v>
      </c>
      <c r="M45" s="491">
        <v>15.44</v>
      </c>
      <c r="N45" s="491">
        <v>1.0</v>
      </c>
      <c r="O45" s="491">
        <f t="shared" si="2"/>
        <v>0.141</v>
      </c>
      <c r="P45" s="504">
        <f t="shared" si="3"/>
        <v>0.027</v>
      </c>
      <c r="Q45" s="504">
        <f t="shared" si="19"/>
        <v>0.141</v>
      </c>
      <c r="R45" s="504">
        <f t="shared" si="20"/>
        <v>0.027</v>
      </c>
      <c r="S45" s="489" t="s">
        <v>12</v>
      </c>
    </row>
    <row r="46">
      <c r="A46" s="490">
        <v>45490.0</v>
      </c>
      <c r="B46" s="491" t="s">
        <v>935</v>
      </c>
      <c r="C46" s="491">
        <v>45.0</v>
      </c>
      <c r="D46" s="491">
        <v>0.0</v>
      </c>
      <c r="E46" s="491" t="s">
        <v>936</v>
      </c>
      <c r="F46" s="491">
        <v>0.0</v>
      </c>
      <c r="G46" s="497">
        <v>0.0</v>
      </c>
      <c r="H46" s="492">
        <v>0.0</v>
      </c>
      <c r="I46" s="493">
        <v>45490.59162037037</v>
      </c>
      <c r="J46" s="491">
        <v>-0.012</v>
      </c>
      <c r="K46" s="491">
        <v>0.0</v>
      </c>
      <c r="L46" s="491">
        <v>-0.011</v>
      </c>
      <c r="M46" s="491">
        <v>0.0</v>
      </c>
      <c r="N46" s="491">
        <v>1.0</v>
      </c>
      <c r="O46" s="505">
        <f t="shared" si="2"/>
        <v>-0.012</v>
      </c>
      <c r="P46" s="506">
        <f t="shared" si="3"/>
        <v>-0.011</v>
      </c>
      <c r="Q46" s="504" t="s">
        <v>967</v>
      </c>
      <c r="R46" s="485" t="s">
        <v>967</v>
      </c>
      <c r="S46" s="489" t="s">
        <v>12</v>
      </c>
    </row>
    <row r="47">
      <c r="A47" s="490">
        <v>45490.0</v>
      </c>
      <c r="B47" s="491">
        <v>74.0</v>
      </c>
      <c r="C47" s="491">
        <v>46.0</v>
      </c>
      <c r="D47" s="491">
        <v>23.0</v>
      </c>
      <c r="E47" s="491" t="s">
        <v>941</v>
      </c>
      <c r="F47" s="491">
        <v>0.0</v>
      </c>
      <c r="G47" s="497">
        <v>0.0</v>
      </c>
      <c r="H47" s="492">
        <v>0.0</v>
      </c>
      <c r="I47" s="493">
        <v>45490.59405092592</v>
      </c>
      <c r="J47" s="491">
        <v>0.009</v>
      </c>
      <c r="K47" s="491">
        <v>10.66</v>
      </c>
      <c r="L47" s="491">
        <v>0.002</v>
      </c>
      <c r="M47" s="491">
        <v>5.22</v>
      </c>
      <c r="N47" s="491">
        <v>1.0</v>
      </c>
      <c r="O47" s="491">
        <f t="shared" si="2"/>
        <v>0.009</v>
      </c>
      <c r="P47" s="504">
        <f t="shared" si="3"/>
        <v>0.002</v>
      </c>
      <c r="Q47" s="504">
        <f t="shared" ref="Q47:R47" si="21">O47</f>
        <v>0.009</v>
      </c>
      <c r="R47" s="504">
        <f t="shared" si="21"/>
        <v>0.002</v>
      </c>
      <c r="S47" s="489" t="s">
        <v>12</v>
      </c>
    </row>
    <row r="48">
      <c r="A48" s="490">
        <v>45490.0</v>
      </c>
      <c r="B48" s="491">
        <v>113.0</v>
      </c>
      <c r="C48" s="491">
        <v>47.0</v>
      </c>
      <c r="D48" s="491">
        <v>24.0</v>
      </c>
      <c r="E48" s="491" t="s">
        <v>941</v>
      </c>
      <c r="F48" s="491">
        <v>0.0</v>
      </c>
      <c r="G48" s="497">
        <v>0.0</v>
      </c>
      <c r="H48" s="492">
        <v>0.0</v>
      </c>
      <c r="I48" s="493">
        <v>45490.59486111111</v>
      </c>
      <c r="J48" s="491">
        <v>0.013</v>
      </c>
      <c r="K48" s="491">
        <v>12.65</v>
      </c>
      <c r="L48" s="491">
        <v>-0.004</v>
      </c>
      <c r="M48" s="491">
        <v>2.77</v>
      </c>
      <c r="N48" s="491">
        <v>1.0</v>
      </c>
      <c r="O48" s="491">
        <f t="shared" si="2"/>
        <v>0.013</v>
      </c>
      <c r="P48" s="506">
        <f t="shared" si="3"/>
        <v>-0.004</v>
      </c>
      <c r="Q48" s="504">
        <f t="shared" ref="Q48:Q55" si="22">O48</f>
        <v>0.013</v>
      </c>
      <c r="R48" s="485" t="s">
        <v>967</v>
      </c>
      <c r="S48" s="489" t="s">
        <v>12</v>
      </c>
    </row>
    <row r="49">
      <c r="A49" s="490">
        <v>45490.0</v>
      </c>
      <c r="B49" s="491">
        <v>126.0</v>
      </c>
      <c r="C49" s="491">
        <v>48.0</v>
      </c>
      <c r="D49" s="491">
        <v>25.0</v>
      </c>
      <c r="E49" s="491" t="s">
        <v>941</v>
      </c>
      <c r="F49" s="491">
        <v>0.0</v>
      </c>
      <c r="G49" s="497">
        <v>0.0</v>
      </c>
      <c r="H49" s="492">
        <v>0.0</v>
      </c>
      <c r="I49" s="493">
        <v>45490.595671296294</v>
      </c>
      <c r="J49" s="491">
        <v>0.015</v>
      </c>
      <c r="K49" s="491">
        <v>13.94</v>
      </c>
      <c r="L49" s="491">
        <v>-0.005</v>
      </c>
      <c r="M49" s="491">
        <v>2.51</v>
      </c>
      <c r="N49" s="491">
        <v>1.0</v>
      </c>
      <c r="O49" s="491">
        <f t="shared" si="2"/>
        <v>0.015</v>
      </c>
      <c r="P49" s="506">
        <f t="shared" si="3"/>
        <v>-0.005</v>
      </c>
      <c r="Q49" s="504">
        <f t="shared" si="22"/>
        <v>0.015</v>
      </c>
      <c r="R49" s="485" t="s">
        <v>967</v>
      </c>
      <c r="S49" s="489" t="s">
        <v>12</v>
      </c>
    </row>
    <row r="50">
      <c r="A50" s="490">
        <v>45490.0</v>
      </c>
      <c r="B50" s="491">
        <v>321.0</v>
      </c>
      <c r="C50" s="491">
        <v>49.0</v>
      </c>
      <c r="D50" s="491">
        <v>26.0</v>
      </c>
      <c r="E50" s="491" t="s">
        <v>941</v>
      </c>
      <c r="F50" s="491">
        <v>0.0</v>
      </c>
      <c r="G50" s="497">
        <v>0.0</v>
      </c>
      <c r="H50" s="492">
        <v>0.0</v>
      </c>
      <c r="I50" s="493">
        <v>45490.59648148148</v>
      </c>
      <c r="J50" s="491">
        <v>0.016</v>
      </c>
      <c r="K50" s="491">
        <v>14.63</v>
      </c>
      <c r="L50" s="491">
        <v>-0.004</v>
      </c>
      <c r="M50" s="491">
        <v>2.72</v>
      </c>
      <c r="N50" s="491">
        <v>1.0</v>
      </c>
      <c r="O50" s="491">
        <f t="shared" si="2"/>
        <v>0.016</v>
      </c>
      <c r="P50" s="506">
        <f t="shared" si="3"/>
        <v>-0.004</v>
      </c>
      <c r="Q50" s="504">
        <f t="shared" si="22"/>
        <v>0.016</v>
      </c>
      <c r="R50" s="485" t="s">
        <v>967</v>
      </c>
      <c r="S50" s="489" t="s">
        <v>12</v>
      </c>
    </row>
    <row r="51">
      <c r="A51" s="490">
        <v>45490.0</v>
      </c>
      <c r="B51" s="491">
        <v>217.0</v>
      </c>
      <c r="C51" s="491">
        <v>50.0</v>
      </c>
      <c r="D51" s="491">
        <v>27.0</v>
      </c>
      <c r="E51" s="491" t="s">
        <v>941</v>
      </c>
      <c r="F51" s="491">
        <v>0.0</v>
      </c>
      <c r="G51" s="497">
        <v>0.0</v>
      </c>
      <c r="H51" s="492">
        <v>0.0</v>
      </c>
      <c r="I51" s="493">
        <v>45490.597291666665</v>
      </c>
      <c r="J51" s="491">
        <v>0.026</v>
      </c>
      <c r="K51" s="491">
        <v>19.54</v>
      </c>
      <c r="L51" s="491">
        <v>-0.005</v>
      </c>
      <c r="M51" s="491">
        <v>2.61</v>
      </c>
      <c r="N51" s="491">
        <v>1.0</v>
      </c>
      <c r="O51" s="491">
        <f t="shared" si="2"/>
        <v>0.026</v>
      </c>
      <c r="P51" s="506">
        <f t="shared" si="3"/>
        <v>-0.005</v>
      </c>
      <c r="Q51" s="504">
        <f t="shared" si="22"/>
        <v>0.026</v>
      </c>
      <c r="R51" s="485" t="s">
        <v>967</v>
      </c>
      <c r="S51" s="489" t="s">
        <v>12</v>
      </c>
    </row>
    <row r="52">
      <c r="A52" s="490">
        <v>45490.0</v>
      </c>
      <c r="B52" s="491">
        <v>256.0</v>
      </c>
      <c r="C52" s="491">
        <v>51.0</v>
      </c>
      <c r="D52" s="491">
        <v>28.0</v>
      </c>
      <c r="E52" s="491" t="s">
        <v>941</v>
      </c>
      <c r="F52" s="491">
        <v>0.0</v>
      </c>
      <c r="G52" s="497">
        <v>0.0</v>
      </c>
      <c r="H52" s="492">
        <v>0.0</v>
      </c>
      <c r="I52" s="493">
        <v>45490.59810185185</v>
      </c>
      <c r="J52" s="491">
        <v>0.02</v>
      </c>
      <c r="K52" s="491">
        <v>16.48</v>
      </c>
      <c r="L52" s="491">
        <v>-0.005</v>
      </c>
      <c r="M52" s="491">
        <v>2.44</v>
      </c>
      <c r="N52" s="491">
        <v>1.0</v>
      </c>
      <c r="O52" s="491">
        <f t="shared" si="2"/>
        <v>0.02</v>
      </c>
      <c r="P52" s="506">
        <f t="shared" si="3"/>
        <v>-0.005</v>
      </c>
      <c r="Q52" s="504">
        <f t="shared" si="22"/>
        <v>0.02</v>
      </c>
      <c r="R52" s="485" t="s">
        <v>967</v>
      </c>
      <c r="S52" s="489" t="s">
        <v>12</v>
      </c>
    </row>
    <row r="53">
      <c r="A53" s="490">
        <v>45490.0</v>
      </c>
      <c r="B53" s="491" t="s">
        <v>972</v>
      </c>
      <c r="C53" s="491">
        <v>52.0</v>
      </c>
      <c r="D53" s="491">
        <v>29.0</v>
      </c>
      <c r="E53" s="491" t="s">
        <v>943</v>
      </c>
      <c r="F53" s="491">
        <v>0.0</v>
      </c>
      <c r="G53" s="497">
        <v>0.0</v>
      </c>
      <c r="H53" s="492">
        <v>1.0</v>
      </c>
      <c r="I53" s="493">
        <v>45490.598912037036</v>
      </c>
      <c r="J53" s="491">
        <v>0.148</v>
      </c>
      <c r="K53" s="491">
        <v>82.28</v>
      </c>
      <c r="L53" s="491">
        <v>0.138</v>
      </c>
      <c r="M53" s="491">
        <v>60.86</v>
      </c>
      <c r="N53" s="491">
        <v>1.0</v>
      </c>
      <c r="O53" s="491">
        <f t="shared" si="2"/>
        <v>0.148</v>
      </c>
      <c r="P53" s="504">
        <f t="shared" si="3"/>
        <v>0.138</v>
      </c>
      <c r="Q53" s="504">
        <f t="shared" si="22"/>
        <v>0.148</v>
      </c>
      <c r="R53" s="504">
        <f t="shared" ref="R53:R55" si="23">P53</f>
        <v>0.138</v>
      </c>
      <c r="S53" s="489" t="s">
        <v>12</v>
      </c>
    </row>
    <row r="54">
      <c r="A54" s="490">
        <v>45490.0</v>
      </c>
      <c r="B54" s="491" t="s">
        <v>968</v>
      </c>
      <c r="C54" s="491">
        <v>53.0</v>
      </c>
      <c r="D54" s="491">
        <v>908.0</v>
      </c>
      <c r="E54" s="491" t="s">
        <v>945</v>
      </c>
      <c r="F54" s="491">
        <v>0.0</v>
      </c>
      <c r="G54" s="497">
        <v>0.0</v>
      </c>
      <c r="H54" s="492">
        <v>0.0</v>
      </c>
      <c r="I54" s="493">
        <v>45490.59972222222</v>
      </c>
      <c r="J54" s="491">
        <v>0.167</v>
      </c>
      <c r="K54" s="491">
        <v>92.09</v>
      </c>
      <c r="L54" s="491">
        <v>0.026</v>
      </c>
      <c r="M54" s="491">
        <v>15.22</v>
      </c>
      <c r="N54" s="491">
        <v>1.0</v>
      </c>
      <c r="O54" s="491">
        <f t="shared" si="2"/>
        <v>0.167</v>
      </c>
      <c r="P54" s="504">
        <f t="shared" si="3"/>
        <v>0.026</v>
      </c>
      <c r="Q54" s="504">
        <f t="shared" si="22"/>
        <v>0.167</v>
      </c>
      <c r="R54" s="504">
        <f t="shared" si="23"/>
        <v>0.026</v>
      </c>
      <c r="S54" s="489" t="s">
        <v>12</v>
      </c>
    </row>
    <row r="55">
      <c r="A55" s="490">
        <v>45490.0</v>
      </c>
      <c r="B55" s="491" t="s">
        <v>969</v>
      </c>
      <c r="C55" s="491">
        <v>54.0</v>
      </c>
      <c r="D55" s="491">
        <v>909.0</v>
      </c>
      <c r="E55" s="491" t="s">
        <v>945</v>
      </c>
      <c r="F55" s="491">
        <v>0.0</v>
      </c>
      <c r="G55" s="497">
        <v>0.0</v>
      </c>
      <c r="H55" s="492">
        <v>0.0</v>
      </c>
      <c r="I55" s="493">
        <v>45490.60053240741</v>
      </c>
      <c r="J55" s="491">
        <v>0.163</v>
      </c>
      <c r="K55" s="491">
        <v>89.78</v>
      </c>
      <c r="L55" s="491">
        <v>0.026</v>
      </c>
      <c r="M55" s="491">
        <v>15.27</v>
      </c>
      <c r="N55" s="491">
        <v>1.0</v>
      </c>
      <c r="O55" s="491">
        <f t="shared" si="2"/>
        <v>0.163</v>
      </c>
      <c r="P55" s="504">
        <f t="shared" si="3"/>
        <v>0.026</v>
      </c>
      <c r="Q55" s="504">
        <f t="shared" si="22"/>
        <v>0.163</v>
      </c>
      <c r="R55" s="504">
        <f t="shared" si="23"/>
        <v>0.026</v>
      </c>
      <c r="S55" s="489" t="s">
        <v>12</v>
      </c>
    </row>
    <row r="56">
      <c r="A56" s="490">
        <v>45490.0</v>
      </c>
      <c r="B56" s="491" t="s">
        <v>935</v>
      </c>
      <c r="C56" s="491">
        <v>55.0</v>
      </c>
      <c r="D56" s="491">
        <v>0.0</v>
      </c>
      <c r="E56" s="491" t="s">
        <v>936</v>
      </c>
      <c r="F56" s="491">
        <v>0.0</v>
      </c>
      <c r="G56" s="497">
        <v>0.0</v>
      </c>
      <c r="H56" s="492">
        <v>0.0</v>
      </c>
      <c r="I56" s="493">
        <v>45490.60134259259</v>
      </c>
      <c r="J56" s="491">
        <v>-0.012</v>
      </c>
      <c r="K56" s="491">
        <v>0.0</v>
      </c>
      <c r="L56" s="491">
        <v>-0.011</v>
      </c>
      <c r="M56" s="491">
        <v>0.0</v>
      </c>
      <c r="N56" s="491">
        <v>1.0</v>
      </c>
      <c r="O56" s="505">
        <f t="shared" si="2"/>
        <v>-0.012</v>
      </c>
      <c r="P56" s="506">
        <f t="shared" si="3"/>
        <v>-0.011</v>
      </c>
      <c r="Q56" s="504" t="s">
        <v>967</v>
      </c>
      <c r="R56" s="485" t="s">
        <v>967</v>
      </c>
      <c r="S56" s="489" t="s">
        <v>12</v>
      </c>
    </row>
    <row r="57">
      <c r="A57" s="490">
        <v>45490.0</v>
      </c>
      <c r="B57" s="491" t="s">
        <v>79</v>
      </c>
      <c r="C57" s="491">
        <v>56.0</v>
      </c>
      <c r="D57" s="491">
        <v>906.0</v>
      </c>
      <c r="E57" s="491" t="s">
        <v>941</v>
      </c>
      <c r="F57" s="491">
        <v>0.0</v>
      </c>
      <c r="G57" s="497">
        <v>0.0</v>
      </c>
      <c r="H57" s="492">
        <v>0.0</v>
      </c>
      <c r="I57" s="493">
        <v>45490.60377314815</v>
      </c>
      <c r="J57" s="491">
        <v>-0.006</v>
      </c>
      <c r="K57" s="491">
        <v>3.2</v>
      </c>
      <c r="L57" s="491">
        <v>-0.001</v>
      </c>
      <c r="M57" s="491">
        <v>4.02</v>
      </c>
      <c r="N57" s="491">
        <v>1.0</v>
      </c>
      <c r="O57" s="505">
        <f t="shared" si="2"/>
        <v>-0.006</v>
      </c>
      <c r="P57" s="506">
        <f t="shared" si="3"/>
        <v>-0.001</v>
      </c>
      <c r="Q57" s="504" t="s">
        <v>967</v>
      </c>
      <c r="R57" s="485" t="s">
        <v>967</v>
      </c>
      <c r="S57" s="489" t="s">
        <v>12</v>
      </c>
    </row>
    <row r="58">
      <c r="A58" s="490">
        <v>45490.0</v>
      </c>
      <c r="B58" s="491" t="s">
        <v>79</v>
      </c>
      <c r="C58" s="491">
        <v>57.0</v>
      </c>
      <c r="D58" s="491">
        <v>906.0</v>
      </c>
      <c r="E58" s="491" t="s">
        <v>941</v>
      </c>
      <c r="F58" s="491">
        <v>0.0</v>
      </c>
      <c r="G58" s="497">
        <v>0.0</v>
      </c>
      <c r="H58" s="492">
        <v>0.0</v>
      </c>
      <c r="I58" s="493">
        <v>45490.604583333334</v>
      </c>
      <c r="J58" s="491">
        <v>-0.005</v>
      </c>
      <c r="K58" s="491">
        <v>3.59</v>
      </c>
      <c r="L58" s="491">
        <v>0.0</v>
      </c>
      <c r="M58" s="491">
        <v>4.33</v>
      </c>
      <c r="N58" s="491">
        <v>1.0</v>
      </c>
      <c r="O58" s="505">
        <f t="shared" si="2"/>
        <v>-0.005</v>
      </c>
      <c r="P58" s="506">
        <f t="shared" si="3"/>
        <v>0</v>
      </c>
      <c r="Q58" s="504" t="s">
        <v>967</v>
      </c>
      <c r="R58" s="485" t="s">
        <v>967</v>
      </c>
      <c r="S58" s="489" t="s">
        <v>12</v>
      </c>
    </row>
    <row r="59">
      <c r="A59" s="490">
        <v>45490.0</v>
      </c>
      <c r="B59" s="491" t="s">
        <v>79</v>
      </c>
      <c r="C59" s="491">
        <v>58.0</v>
      </c>
      <c r="D59" s="491">
        <v>906.0</v>
      </c>
      <c r="E59" s="491" t="s">
        <v>941</v>
      </c>
      <c r="F59" s="491">
        <v>0.0</v>
      </c>
      <c r="G59" s="497">
        <v>0.0</v>
      </c>
      <c r="H59" s="492">
        <v>0.0</v>
      </c>
      <c r="I59" s="493">
        <v>45490.60539351852</v>
      </c>
      <c r="J59" s="491">
        <v>-0.005</v>
      </c>
      <c r="K59" s="491">
        <v>3.58</v>
      </c>
      <c r="L59" s="491">
        <v>-0.002</v>
      </c>
      <c r="M59" s="491">
        <v>3.89</v>
      </c>
      <c r="N59" s="491">
        <v>1.0</v>
      </c>
      <c r="O59" s="505">
        <f t="shared" si="2"/>
        <v>-0.005</v>
      </c>
      <c r="P59" s="506">
        <f t="shared" si="3"/>
        <v>-0.002</v>
      </c>
      <c r="Q59" s="504" t="s">
        <v>967</v>
      </c>
      <c r="R59" s="485" t="s">
        <v>967</v>
      </c>
      <c r="S59" s="489" t="s">
        <v>12</v>
      </c>
    </row>
    <row r="60">
      <c r="A60" s="490">
        <v>45490.0</v>
      </c>
      <c r="B60" s="491" t="s">
        <v>79</v>
      </c>
      <c r="C60" s="491">
        <v>59.0</v>
      </c>
      <c r="D60" s="491">
        <v>906.0</v>
      </c>
      <c r="E60" s="491" t="s">
        <v>941</v>
      </c>
      <c r="F60" s="491">
        <v>0.0</v>
      </c>
      <c r="G60" s="497">
        <v>0.0</v>
      </c>
      <c r="H60" s="492">
        <v>0.0</v>
      </c>
      <c r="I60" s="493">
        <v>45490.606203703705</v>
      </c>
      <c r="J60" s="491">
        <v>-0.005</v>
      </c>
      <c r="K60" s="491">
        <v>3.64</v>
      </c>
      <c r="L60" s="491">
        <v>-0.001</v>
      </c>
      <c r="M60" s="491">
        <v>4.01</v>
      </c>
      <c r="N60" s="491">
        <v>1.0</v>
      </c>
      <c r="O60" s="505">
        <f t="shared" si="2"/>
        <v>-0.005</v>
      </c>
      <c r="P60" s="506">
        <f t="shared" si="3"/>
        <v>-0.001</v>
      </c>
      <c r="Q60" s="504" t="s">
        <v>967</v>
      </c>
      <c r="R60" s="485" t="s">
        <v>967</v>
      </c>
      <c r="S60" s="489" t="s">
        <v>12</v>
      </c>
    </row>
    <row r="61">
      <c r="A61" s="490">
        <v>45490.0</v>
      </c>
      <c r="B61" s="491" t="s">
        <v>79</v>
      </c>
      <c r="C61" s="491">
        <v>60.0</v>
      </c>
      <c r="D61" s="491">
        <v>906.0</v>
      </c>
      <c r="E61" s="491" t="s">
        <v>941</v>
      </c>
      <c r="F61" s="491">
        <v>0.0</v>
      </c>
      <c r="G61" s="497">
        <v>0.0</v>
      </c>
      <c r="H61" s="492">
        <v>0.0</v>
      </c>
      <c r="I61" s="493">
        <v>45490.60701388889</v>
      </c>
      <c r="J61" s="491">
        <v>-0.005</v>
      </c>
      <c r="K61" s="491">
        <v>3.7</v>
      </c>
      <c r="L61" s="491">
        <v>-0.002</v>
      </c>
      <c r="M61" s="491">
        <v>3.91</v>
      </c>
      <c r="N61" s="491">
        <v>1.0</v>
      </c>
      <c r="O61" s="505">
        <f t="shared" si="2"/>
        <v>-0.005</v>
      </c>
      <c r="P61" s="506">
        <f t="shared" si="3"/>
        <v>-0.002</v>
      </c>
      <c r="Q61" s="504" t="s">
        <v>967</v>
      </c>
      <c r="R61" s="485" t="s">
        <v>967</v>
      </c>
      <c r="S61" s="489" t="s">
        <v>12</v>
      </c>
    </row>
    <row r="62">
      <c r="A62" s="490">
        <v>45490.0</v>
      </c>
      <c r="B62" s="491" t="s">
        <v>79</v>
      </c>
      <c r="C62" s="491">
        <v>61.0</v>
      </c>
      <c r="D62" s="491">
        <v>906.0</v>
      </c>
      <c r="E62" s="491" t="s">
        <v>941</v>
      </c>
      <c r="F62" s="491">
        <v>0.0</v>
      </c>
      <c r="G62" s="497">
        <v>0.0</v>
      </c>
      <c r="H62" s="492">
        <v>0.0</v>
      </c>
      <c r="I62" s="493">
        <v>45490.607824074075</v>
      </c>
      <c r="J62" s="491">
        <v>-0.005</v>
      </c>
      <c r="K62" s="491">
        <v>3.76</v>
      </c>
      <c r="L62" s="491">
        <v>-0.002</v>
      </c>
      <c r="M62" s="491">
        <v>3.84</v>
      </c>
      <c r="N62" s="491">
        <v>1.0</v>
      </c>
      <c r="O62" s="505">
        <f t="shared" si="2"/>
        <v>-0.005</v>
      </c>
      <c r="P62" s="506">
        <f t="shared" si="3"/>
        <v>-0.002</v>
      </c>
      <c r="Q62" s="504" t="s">
        <v>967</v>
      </c>
      <c r="R62" s="485" t="s">
        <v>967</v>
      </c>
      <c r="S62" s="489" t="s">
        <v>12</v>
      </c>
    </row>
    <row r="63">
      <c r="A63" s="490">
        <v>45490.0</v>
      </c>
      <c r="B63" s="491" t="s">
        <v>79</v>
      </c>
      <c r="C63" s="491">
        <v>62.0</v>
      </c>
      <c r="D63" s="491">
        <v>906.0</v>
      </c>
      <c r="E63" s="491" t="s">
        <v>941</v>
      </c>
      <c r="F63" s="491">
        <v>0.0</v>
      </c>
      <c r="G63" s="497">
        <v>0.0</v>
      </c>
      <c r="H63" s="492">
        <v>0.0</v>
      </c>
      <c r="I63" s="493">
        <v>45490.60863425926</v>
      </c>
      <c r="J63" s="491">
        <v>-0.005</v>
      </c>
      <c r="K63" s="491">
        <v>3.76</v>
      </c>
      <c r="L63" s="491">
        <v>-0.002</v>
      </c>
      <c r="M63" s="491">
        <v>3.86</v>
      </c>
      <c r="N63" s="491">
        <v>1.0</v>
      </c>
      <c r="O63" s="505">
        <f t="shared" si="2"/>
        <v>-0.005</v>
      </c>
      <c r="P63" s="506">
        <f t="shared" si="3"/>
        <v>-0.002</v>
      </c>
      <c r="Q63" s="504" t="s">
        <v>967</v>
      </c>
      <c r="R63" s="485" t="s">
        <v>967</v>
      </c>
      <c r="S63" s="489" t="s">
        <v>12</v>
      </c>
    </row>
    <row r="64">
      <c r="A64" s="490">
        <v>45490.0</v>
      </c>
      <c r="B64" s="491" t="s">
        <v>79</v>
      </c>
      <c r="C64" s="491">
        <v>63.0</v>
      </c>
      <c r="D64" s="491">
        <v>906.0</v>
      </c>
      <c r="E64" s="491" t="s">
        <v>941</v>
      </c>
      <c r="F64" s="491">
        <v>0.0</v>
      </c>
      <c r="G64" s="497">
        <v>0.0</v>
      </c>
      <c r="H64" s="492">
        <v>0.0</v>
      </c>
      <c r="I64" s="493">
        <v>45490.609444444446</v>
      </c>
      <c r="J64" s="491">
        <v>-0.004</v>
      </c>
      <c r="K64" s="491">
        <v>3.96</v>
      </c>
      <c r="L64" s="491">
        <v>0.0</v>
      </c>
      <c r="M64" s="491">
        <v>4.38</v>
      </c>
      <c r="N64" s="491">
        <v>1.0</v>
      </c>
      <c r="O64" s="505">
        <f t="shared" si="2"/>
        <v>-0.004</v>
      </c>
      <c r="P64" s="506">
        <f t="shared" si="3"/>
        <v>0</v>
      </c>
      <c r="Q64" s="504" t="s">
        <v>967</v>
      </c>
      <c r="R64" s="485" t="s">
        <v>967</v>
      </c>
      <c r="S64" s="489" t="s">
        <v>12</v>
      </c>
    </row>
    <row r="65">
      <c r="A65" s="490">
        <v>45490.0</v>
      </c>
      <c r="B65" s="491" t="s">
        <v>79</v>
      </c>
      <c r="C65" s="491">
        <v>64.0</v>
      </c>
      <c r="D65" s="491">
        <v>906.0</v>
      </c>
      <c r="E65" s="491" t="s">
        <v>941</v>
      </c>
      <c r="F65" s="491">
        <v>0.0</v>
      </c>
      <c r="G65" s="497">
        <v>0.0</v>
      </c>
      <c r="H65" s="492">
        <v>0.0</v>
      </c>
      <c r="I65" s="493">
        <v>45490.61025462963</v>
      </c>
      <c r="J65" s="491">
        <v>-0.004</v>
      </c>
      <c r="K65" s="491">
        <v>4.06</v>
      </c>
      <c r="L65" s="491">
        <v>-0.001</v>
      </c>
      <c r="M65" s="491">
        <v>4.22</v>
      </c>
      <c r="N65" s="491">
        <v>1.0</v>
      </c>
      <c r="O65" s="505">
        <f t="shared" si="2"/>
        <v>-0.004</v>
      </c>
      <c r="P65" s="506">
        <f t="shared" si="3"/>
        <v>-0.001</v>
      </c>
      <c r="Q65" s="504" t="s">
        <v>967</v>
      </c>
      <c r="R65" s="485" t="s">
        <v>967</v>
      </c>
      <c r="S65" s="489" t="s">
        <v>12</v>
      </c>
    </row>
    <row r="66">
      <c r="A66" s="490">
        <v>45490.0</v>
      </c>
      <c r="B66" s="491" t="s">
        <v>79</v>
      </c>
      <c r="C66" s="491">
        <v>65.0</v>
      </c>
      <c r="D66" s="491">
        <v>906.0</v>
      </c>
      <c r="E66" s="491" t="s">
        <v>941</v>
      </c>
      <c r="F66" s="491">
        <v>0.0</v>
      </c>
      <c r="G66" s="497">
        <v>0.0</v>
      </c>
      <c r="H66" s="492">
        <v>0.0</v>
      </c>
      <c r="I66" s="493">
        <v>45490.61106481482</v>
      </c>
      <c r="J66" s="491">
        <v>-0.003</v>
      </c>
      <c r="K66" s="491">
        <v>4.53</v>
      </c>
      <c r="L66" s="491">
        <v>0.0</v>
      </c>
      <c r="M66" s="491">
        <v>4.34</v>
      </c>
      <c r="N66" s="491">
        <v>1.0</v>
      </c>
      <c r="O66" s="505">
        <f t="shared" si="2"/>
        <v>-0.003</v>
      </c>
      <c r="P66" s="506">
        <f t="shared" si="3"/>
        <v>0</v>
      </c>
      <c r="Q66" s="504" t="s">
        <v>967</v>
      </c>
      <c r="R66" s="485" t="s">
        <v>967</v>
      </c>
      <c r="S66" s="489" t="s">
        <v>12</v>
      </c>
    </row>
    <row r="67">
      <c r="A67" s="490">
        <v>45490.0</v>
      </c>
      <c r="B67" s="491" t="s">
        <v>968</v>
      </c>
      <c r="C67" s="491">
        <v>66.0</v>
      </c>
      <c r="D67" s="491">
        <v>908.0</v>
      </c>
      <c r="E67" s="491" t="s">
        <v>945</v>
      </c>
      <c r="F67" s="491">
        <v>0.0</v>
      </c>
      <c r="G67" s="497">
        <v>0.0</v>
      </c>
      <c r="H67" s="492">
        <v>0.0</v>
      </c>
      <c r="I67" s="493">
        <v>45490.611875</v>
      </c>
      <c r="J67" s="491">
        <v>0.167</v>
      </c>
      <c r="K67" s="491">
        <v>92.04</v>
      </c>
      <c r="L67" s="491">
        <v>0.027</v>
      </c>
      <c r="M67" s="491">
        <v>15.68</v>
      </c>
      <c r="N67" s="491">
        <v>1.0</v>
      </c>
      <c r="O67" s="491">
        <f t="shared" si="2"/>
        <v>0.167</v>
      </c>
      <c r="P67" s="504">
        <f t="shared" si="3"/>
        <v>0.027</v>
      </c>
      <c r="Q67" s="504">
        <f t="shared" ref="Q67:R67" si="24">O67</f>
        <v>0.167</v>
      </c>
      <c r="R67" s="504">
        <f t="shared" si="24"/>
        <v>0.027</v>
      </c>
      <c r="S67" s="489" t="s">
        <v>12</v>
      </c>
    </row>
    <row r="68">
      <c r="A68" s="490">
        <v>45490.0</v>
      </c>
      <c r="B68" s="491" t="s">
        <v>969</v>
      </c>
      <c r="C68" s="491">
        <v>67.0</v>
      </c>
      <c r="D68" s="491">
        <v>909.0</v>
      </c>
      <c r="E68" s="491" t="s">
        <v>945</v>
      </c>
      <c r="F68" s="491">
        <v>0.0</v>
      </c>
      <c r="G68" s="497">
        <v>0.0</v>
      </c>
      <c r="H68" s="492">
        <v>0.0</v>
      </c>
      <c r="I68" s="493">
        <v>45490.61268518519</v>
      </c>
      <c r="J68" s="491">
        <v>0.19</v>
      </c>
      <c r="K68" s="491">
        <v>103.95</v>
      </c>
      <c r="L68" s="491">
        <v>0.027</v>
      </c>
      <c r="M68" s="491">
        <v>15.38</v>
      </c>
      <c r="N68" s="491">
        <v>1.0</v>
      </c>
      <c r="O68" s="491">
        <f t="shared" si="2"/>
        <v>0.19</v>
      </c>
      <c r="P68" s="504">
        <f t="shared" si="3"/>
        <v>0.027</v>
      </c>
      <c r="Q68" s="504">
        <f t="shared" ref="Q68:R68" si="25">O68</f>
        <v>0.19</v>
      </c>
      <c r="R68" s="504">
        <f t="shared" si="25"/>
        <v>0.027</v>
      </c>
      <c r="S68" s="489" t="s">
        <v>12</v>
      </c>
    </row>
    <row r="69">
      <c r="A69" s="490">
        <v>45490.0</v>
      </c>
      <c r="B69" s="491" t="s">
        <v>935</v>
      </c>
      <c r="C69" s="491">
        <v>68.0</v>
      </c>
      <c r="D69" s="491">
        <v>0.0</v>
      </c>
      <c r="E69" s="491" t="s">
        <v>936</v>
      </c>
      <c r="F69" s="491">
        <v>0.0</v>
      </c>
      <c r="G69" s="497">
        <v>0.0</v>
      </c>
      <c r="H69" s="492">
        <v>0.0</v>
      </c>
      <c r="I69" s="493">
        <v>45490.61349537037</v>
      </c>
      <c r="J69" s="491">
        <v>-0.012</v>
      </c>
      <c r="K69" s="491">
        <v>0.0</v>
      </c>
      <c r="L69" s="491">
        <v>-0.011</v>
      </c>
      <c r="M69" s="491">
        <v>0.0</v>
      </c>
      <c r="N69" s="491">
        <v>1.0</v>
      </c>
      <c r="O69" s="505">
        <f t="shared" si="2"/>
        <v>-0.012</v>
      </c>
      <c r="P69" s="506">
        <f t="shared" si="3"/>
        <v>-0.011</v>
      </c>
      <c r="Q69" s="504" t="s">
        <v>967</v>
      </c>
      <c r="R69" s="485" t="s">
        <v>967</v>
      </c>
      <c r="S69" s="489" t="s">
        <v>12</v>
      </c>
    </row>
    <row r="70">
      <c r="A70" s="490">
        <v>45490.0</v>
      </c>
      <c r="B70" s="491" t="s">
        <v>930</v>
      </c>
      <c r="C70" s="491">
        <v>69.0</v>
      </c>
      <c r="D70" s="491">
        <v>921.0</v>
      </c>
      <c r="E70" s="491" t="s">
        <v>931</v>
      </c>
      <c r="F70" s="491">
        <v>0.0</v>
      </c>
      <c r="G70" s="497">
        <v>0.0</v>
      </c>
      <c r="H70" s="492">
        <v>0.0</v>
      </c>
      <c r="I70" s="493">
        <v>45490.61592592593</v>
      </c>
      <c r="J70" s="491">
        <v>0.208</v>
      </c>
      <c r="K70" s="491">
        <v>112.77</v>
      </c>
      <c r="L70" s="491">
        <v>0.2</v>
      </c>
      <c r="M70" s="491">
        <v>85.93</v>
      </c>
      <c r="N70" s="491">
        <v>1.0</v>
      </c>
      <c r="O70" s="491">
        <f t="shared" si="2"/>
        <v>0.208</v>
      </c>
      <c r="P70" s="504">
        <f t="shared" si="3"/>
        <v>0.2</v>
      </c>
      <c r="Q70" s="504">
        <f t="shared" ref="Q70:R70" si="26">O70</f>
        <v>0.208</v>
      </c>
      <c r="R70" s="504">
        <f t="shared" si="26"/>
        <v>0.2</v>
      </c>
      <c r="S70" s="489" t="s">
        <v>12</v>
      </c>
    </row>
    <row r="71">
      <c r="A71" s="490">
        <v>45490.0</v>
      </c>
      <c r="B71" s="491" t="s">
        <v>959</v>
      </c>
      <c r="C71" s="491">
        <v>70.0</v>
      </c>
      <c r="D71" s="491">
        <v>0.0</v>
      </c>
      <c r="E71" s="491" t="s">
        <v>960</v>
      </c>
      <c r="F71" s="491">
        <v>0.0</v>
      </c>
      <c r="G71" s="497">
        <v>0.0</v>
      </c>
      <c r="H71" s="492">
        <v>0.0</v>
      </c>
      <c r="I71" s="493">
        <v>45490.616736111115</v>
      </c>
      <c r="J71" s="491">
        <v>-0.012</v>
      </c>
      <c r="K71" s="491">
        <v>0.0</v>
      </c>
      <c r="L71" s="491">
        <v>-0.011</v>
      </c>
      <c r="M71" s="491">
        <v>0.0</v>
      </c>
      <c r="N71" s="491">
        <v>1.0</v>
      </c>
      <c r="O71" s="505">
        <f t="shared" si="2"/>
        <v>-0.012</v>
      </c>
      <c r="P71" s="506">
        <f t="shared" si="3"/>
        <v>-0.011</v>
      </c>
      <c r="Q71" s="504" t="s">
        <v>967</v>
      </c>
      <c r="R71" s="485" t="s">
        <v>967</v>
      </c>
      <c r="S71" s="489" t="s">
        <v>12</v>
      </c>
    </row>
    <row r="72">
      <c r="A72" s="490">
        <v>45509.0</v>
      </c>
      <c r="B72" s="491" t="s">
        <v>928</v>
      </c>
      <c r="C72" s="491">
        <v>1.0</v>
      </c>
      <c r="D72" s="491">
        <v>921.0</v>
      </c>
      <c r="E72" s="491" t="s">
        <v>929</v>
      </c>
      <c r="F72" s="491">
        <v>0.0</v>
      </c>
      <c r="G72" s="497">
        <v>0.0</v>
      </c>
      <c r="H72" s="492">
        <v>0.0</v>
      </c>
      <c r="I72" s="493">
        <v>45509.58086805556</v>
      </c>
      <c r="J72" s="491">
        <v>0.2</v>
      </c>
      <c r="K72" s="491">
        <v>150.77</v>
      </c>
      <c r="L72" s="491">
        <v>0.198</v>
      </c>
      <c r="M72" s="491">
        <v>13.98</v>
      </c>
      <c r="N72" s="491">
        <v>1.0</v>
      </c>
      <c r="O72" s="485">
        <f t="shared" si="2"/>
        <v>0.2</v>
      </c>
      <c r="P72" s="504">
        <f t="shared" si="3"/>
        <v>0.198</v>
      </c>
      <c r="Q72" s="504">
        <f t="shared" ref="Q72:R72" si="27">O72</f>
        <v>0.2</v>
      </c>
      <c r="R72" s="504">
        <f t="shared" si="27"/>
        <v>0.198</v>
      </c>
      <c r="S72" s="489" t="s">
        <v>12</v>
      </c>
    </row>
    <row r="73">
      <c r="A73" s="490">
        <v>45509.0</v>
      </c>
      <c r="B73" s="491" t="s">
        <v>930</v>
      </c>
      <c r="C73" s="491">
        <v>2.0</v>
      </c>
      <c r="D73" s="491">
        <v>921.0</v>
      </c>
      <c r="E73" s="491" t="s">
        <v>931</v>
      </c>
      <c r="F73" s="491">
        <v>0.0</v>
      </c>
      <c r="G73" s="497">
        <v>0.0</v>
      </c>
      <c r="H73" s="492">
        <v>0.0</v>
      </c>
      <c r="I73" s="493">
        <v>45509.58167824074</v>
      </c>
      <c r="J73" s="491">
        <v>0.199</v>
      </c>
      <c r="K73" s="491">
        <v>149.89</v>
      </c>
      <c r="L73" s="491">
        <v>0.199</v>
      </c>
      <c r="M73" s="491">
        <v>14.05</v>
      </c>
      <c r="N73" s="491">
        <v>1.0</v>
      </c>
      <c r="O73" s="485">
        <f t="shared" si="2"/>
        <v>0.199</v>
      </c>
      <c r="P73" s="504">
        <f t="shared" si="3"/>
        <v>0.199</v>
      </c>
      <c r="Q73" s="504">
        <f t="shared" ref="Q73:R73" si="28">O73</f>
        <v>0.199</v>
      </c>
      <c r="R73" s="504">
        <f t="shared" si="28"/>
        <v>0.199</v>
      </c>
      <c r="S73" s="489" t="s">
        <v>12</v>
      </c>
    </row>
    <row r="74">
      <c r="A74" s="490">
        <v>45509.0</v>
      </c>
      <c r="B74" s="491">
        <v>0.2</v>
      </c>
      <c r="C74" s="491">
        <v>3.0</v>
      </c>
      <c r="D74" s="491">
        <v>921.0</v>
      </c>
      <c r="E74" s="491" t="s">
        <v>932</v>
      </c>
      <c r="F74" s="491">
        <v>0.0</v>
      </c>
      <c r="G74" s="497">
        <v>0.0</v>
      </c>
      <c r="H74" s="492">
        <v>0.0</v>
      </c>
      <c r="I74" s="493">
        <v>45509.58248842593</v>
      </c>
      <c r="J74" s="491">
        <v>0.198</v>
      </c>
      <c r="K74" s="491">
        <v>149.4</v>
      </c>
      <c r="L74" s="491">
        <v>0.2</v>
      </c>
      <c r="M74" s="491">
        <v>14.09</v>
      </c>
      <c r="N74" s="491">
        <v>1.0</v>
      </c>
      <c r="O74" s="485">
        <f t="shared" si="2"/>
        <v>0.198</v>
      </c>
      <c r="P74" s="504">
        <f t="shared" si="3"/>
        <v>0.2</v>
      </c>
      <c r="Q74" s="504">
        <f t="shared" ref="Q74:R74" si="29">O74</f>
        <v>0.198</v>
      </c>
      <c r="R74" s="504">
        <f t="shared" si="29"/>
        <v>0.2</v>
      </c>
      <c r="S74" s="489" t="s">
        <v>12</v>
      </c>
    </row>
    <row r="75">
      <c r="A75" s="490">
        <v>45509.0</v>
      </c>
      <c r="B75" s="491">
        <v>0.1</v>
      </c>
      <c r="C75" s="491">
        <v>4.0</v>
      </c>
      <c r="D75" s="491">
        <v>901.0</v>
      </c>
      <c r="E75" s="491" t="s">
        <v>932</v>
      </c>
      <c r="F75" s="491">
        <v>0.0</v>
      </c>
      <c r="G75" s="497">
        <v>0.0</v>
      </c>
      <c r="H75" s="492">
        <v>0.0</v>
      </c>
      <c r="I75" s="493">
        <v>45509.58329861111</v>
      </c>
      <c r="J75" s="491">
        <v>0.105</v>
      </c>
      <c r="K75" s="491">
        <v>81.22</v>
      </c>
      <c r="L75" s="491">
        <v>0.1</v>
      </c>
      <c r="M75" s="491">
        <v>7.34</v>
      </c>
      <c r="N75" s="491">
        <v>1.0</v>
      </c>
      <c r="O75" s="485">
        <f t="shared" si="2"/>
        <v>0.105</v>
      </c>
      <c r="P75" s="504">
        <f t="shared" si="3"/>
        <v>0.1</v>
      </c>
      <c r="Q75" s="504">
        <f t="shared" ref="Q75:R75" si="30">O75</f>
        <v>0.105</v>
      </c>
      <c r="R75" s="504">
        <f t="shared" si="30"/>
        <v>0.1</v>
      </c>
      <c r="S75" s="489" t="s">
        <v>12</v>
      </c>
    </row>
    <row r="76">
      <c r="A76" s="490">
        <v>45509.0</v>
      </c>
      <c r="B76" s="491">
        <v>0.05</v>
      </c>
      <c r="C76" s="491">
        <v>5.0</v>
      </c>
      <c r="D76" s="491">
        <v>902.0</v>
      </c>
      <c r="E76" s="491" t="s">
        <v>932</v>
      </c>
      <c r="F76" s="491">
        <v>0.0</v>
      </c>
      <c r="G76" s="497">
        <v>0.0</v>
      </c>
      <c r="H76" s="492">
        <v>0.0</v>
      </c>
      <c r="I76" s="493">
        <v>45509.5841087963</v>
      </c>
      <c r="J76" s="491">
        <v>0.046</v>
      </c>
      <c r="K76" s="491">
        <v>37.3</v>
      </c>
      <c r="L76" s="491">
        <v>0.053</v>
      </c>
      <c r="M76" s="491">
        <v>4.14</v>
      </c>
      <c r="N76" s="491">
        <v>1.0</v>
      </c>
      <c r="O76" s="485">
        <f t="shared" si="2"/>
        <v>0.046</v>
      </c>
      <c r="P76" s="504">
        <f t="shared" si="3"/>
        <v>0.053</v>
      </c>
      <c r="Q76" s="504">
        <f t="shared" ref="Q76:R76" si="31">O76</f>
        <v>0.046</v>
      </c>
      <c r="R76" s="504">
        <f t="shared" si="31"/>
        <v>0.053</v>
      </c>
      <c r="S76" s="489" t="s">
        <v>12</v>
      </c>
    </row>
    <row r="77">
      <c r="A77" s="490">
        <v>45509.0</v>
      </c>
      <c r="B77" s="491">
        <v>0.025</v>
      </c>
      <c r="C77" s="491">
        <v>6.0</v>
      </c>
      <c r="D77" s="491">
        <v>903.0</v>
      </c>
      <c r="E77" s="491" t="s">
        <v>932</v>
      </c>
      <c r="F77" s="491">
        <v>0.0</v>
      </c>
      <c r="G77" s="497">
        <v>0.0</v>
      </c>
      <c r="H77" s="492">
        <v>0.0</v>
      </c>
      <c r="I77" s="493">
        <v>45509.58491898148</v>
      </c>
      <c r="J77" s="491">
        <v>0.024</v>
      </c>
      <c r="K77" s="491">
        <v>21.21</v>
      </c>
      <c r="L77" s="491">
        <v>0.024</v>
      </c>
      <c r="M77" s="491">
        <v>2.2</v>
      </c>
      <c r="N77" s="491">
        <v>1.0</v>
      </c>
      <c r="O77" s="485">
        <f t="shared" si="2"/>
        <v>0.024</v>
      </c>
      <c r="P77" s="504">
        <f t="shared" si="3"/>
        <v>0.024</v>
      </c>
      <c r="Q77" s="504">
        <f t="shared" ref="Q77:R77" si="32">O77</f>
        <v>0.024</v>
      </c>
      <c r="R77" s="504">
        <f t="shared" si="32"/>
        <v>0.024</v>
      </c>
      <c r="S77" s="489" t="s">
        <v>12</v>
      </c>
    </row>
    <row r="78">
      <c r="A78" s="490">
        <v>45509.0</v>
      </c>
      <c r="B78" s="491">
        <v>0.01</v>
      </c>
      <c r="C78" s="491">
        <v>7.0</v>
      </c>
      <c r="D78" s="491">
        <v>904.0</v>
      </c>
      <c r="E78" s="491" t="s">
        <v>932</v>
      </c>
      <c r="F78" s="491">
        <v>0.0</v>
      </c>
      <c r="G78" s="497">
        <v>0.0</v>
      </c>
      <c r="H78" s="492">
        <v>0.0</v>
      </c>
      <c r="I78" s="493">
        <v>45509.58572916667</v>
      </c>
      <c r="J78" s="491">
        <v>0.012</v>
      </c>
      <c r="K78" s="491">
        <v>12.71</v>
      </c>
      <c r="L78" s="491">
        <v>0.01</v>
      </c>
      <c r="M78" s="491">
        <v>1.27</v>
      </c>
      <c r="N78" s="491">
        <v>1.0</v>
      </c>
      <c r="O78" s="485">
        <f t="shared" si="2"/>
        <v>0.012</v>
      </c>
      <c r="P78" s="504">
        <f t="shared" si="3"/>
        <v>0.01</v>
      </c>
      <c r="Q78" s="504">
        <f t="shared" ref="Q78:R78" si="33">O78</f>
        <v>0.012</v>
      </c>
      <c r="R78" s="504">
        <f t="shared" si="33"/>
        <v>0.01</v>
      </c>
      <c r="S78" s="489" t="s">
        <v>12</v>
      </c>
    </row>
    <row r="79">
      <c r="A79" s="490">
        <v>45509.0</v>
      </c>
      <c r="B79" s="491">
        <v>0.005</v>
      </c>
      <c r="C79" s="491">
        <v>8.0</v>
      </c>
      <c r="D79" s="491">
        <v>905.0</v>
      </c>
      <c r="E79" s="491" t="s">
        <v>932</v>
      </c>
      <c r="F79" s="491">
        <v>0.0</v>
      </c>
      <c r="G79" s="497">
        <v>0.0</v>
      </c>
      <c r="H79" s="492">
        <v>0.0</v>
      </c>
      <c r="I79" s="493">
        <v>45509.586539351854</v>
      </c>
      <c r="J79" s="491">
        <v>0.006</v>
      </c>
      <c r="K79" s="491">
        <v>8.58</v>
      </c>
      <c r="L79" s="491">
        <v>0.004</v>
      </c>
      <c r="M79" s="491">
        <v>0.83</v>
      </c>
      <c r="N79" s="491">
        <v>1.0</v>
      </c>
      <c r="O79" s="485">
        <f t="shared" si="2"/>
        <v>0.006</v>
      </c>
      <c r="P79" s="504">
        <f t="shared" si="3"/>
        <v>0.004</v>
      </c>
      <c r="Q79" s="504">
        <f t="shared" ref="Q79:R79" si="34">O79</f>
        <v>0.006</v>
      </c>
      <c r="R79" s="504">
        <f t="shared" si="34"/>
        <v>0.004</v>
      </c>
      <c r="S79" s="489" t="s">
        <v>12</v>
      </c>
    </row>
    <row r="80">
      <c r="A80" s="490">
        <v>45509.0</v>
      </c>
      <c r="B80" s="491" t="s">
        <v>79</v>
      </c>
      <c r="C80" s="491">
        <v>9.0</v>
      </c>
      <c r="D80" s="491">
        <v>906.0</v>
      </c>
      <c r="E80" s="491" t="s">
        <v>932</v>
      </c>
      <c r="F80" s="491">
        <v>0.0</v>
      </c>
      <c r="G80" s="497">
        <v>0.0</v>
      </c>
      <c r="H80" s="492">
        <v>0.0</v>
      </c>
      <c r="I80" s="493">
        <v>45509.58734953704</v>
      </c>
      <c r="J80" s="491">
        <v>-0.002</v>
      </c>
      <c r="K80" s="491">
        <v>2.57</v>
      </c>
      <c r="L80" s="491">
        <v>0.0</v>
      </c>
      <c r="M80" s="491">
        <v>0.55</v>
      </c>
      <c r="N80" s="491">
        <v>1.0</v>
      </c>
      <c r="O80" s="507">
        <f t="shared" si="2"/>
        <v>-0.002</v>
      </c>
      <c r="P80" s="506">
        <f t="shared" si="3"/>
        <v>0</v>
      </c>
      <c r="Q80" s="504" t="s">
        <v>973</v>
      </c>
      <c r="R80" s="485" t="s">
        <v>973</v>
      </c>
      <c r="S80" s="489" t="s">
        <v>12</v>
      </c>
    </row>
    <row r="81">
      <c r="A81" s="490">
        <v>45509.0</v>
      </c>
      <c r="B81" s="491" t="s">
        <v>935</v>
      </c>
      <c r="C81" s="491">
        <v>10.0</v>
      </c>
      <c r="D81" s="491">
        <v>0.0</v>
      </c>
      <c r="E81" s="491" t="s">
        <v>936</v>
      </c>
      <c r="F81" s="491">
        <v>0.0</v>
      </c>
      <c r="G81" s="497">
        <v>0.0</v>
      </c>
      <c r="H81" s="492">
        <v>0.0</v>
      </c>
      <c r="I81" s="493">
        <v>45509.588159722225</v>
      </c>
      <c r="J81" s="491">
        <v>-0.005</v>
      </c>
      <c r="K81" s="491">
        <v>0.0</v>
      </c>
      <c r="L81" s="491">
        <v>-0.008</v>
      </c>
      <c r="M81" s="491">
        <v>0.0</v>
      </c>
      <c r="N81" s="491">
        <v>1.0</v>
      </c>
      <c r="O81" s="507">
        <f t="shared" si="2"/>
        <v>-0.005</v>
      </c>
      <c r="P81" s="506">
        <f t="shared" si="3"/>
        <v>-0.008</v>
      </c>
      <c r="Q81" s="504" t="s">
        <v>973</v>
      </c>
      <c r="R81" s="485" t="s">
        <v>973</v>
      </c>
      <c r="S81" s="489" t="s">
        <v>12</v>
      </c>
    </row>
    <row r="82">
      <c r="A82" s="490">
        <v>45509.0</v>
      </c>
      <c r="B82" s="491" t="s">
        <v>937</v>
      </c>
      <c r="C82" s="491">
        <v>11.0</v>
      </c>
      <c r="D82" s="491">
        <v>921.0</v>
      </c>
      <c r="E82" s="491" t="s">
        <v>938</v>
      </c>
      <c r="F82" s="491">
        <v>0.0</v>
      </c>
      <c r="G82" s="497">
        <v>1.0</v>
      </c>
      <c r="H82" s="492">
        <v>1.0</v>
      </c>
      <c r="I82" s="493">
        <v>45509.59059027778</v>
      </c>
      <c r="J82" s="491">
        <v>0.195</v>
      </c>
      <c r="K82" s="491">
        <v>147.16</v>
      </c>
      <c r="L82" s="491">
        <v>0.198</v>
      </c>
      <c r="M82" s="491">
        <v>13.98</v>
      </c>
      <c r="N82" s="491">
        <v>1.0</v>
      </c>
      <c r="O82" s="485">
        <f t="shared" si="2"/>
        <v>0.195</v>
      </c>
      <c r="P82" s="504">
        <f t="shared" si="3"/>
        <v>0.198</v>
      </c>
      <c r="Q82" s="504">
        <f t="shared" ref="Q82:R82" si="35">O82</f>
        <v>0.195</v>
      </c>
      <c r="R82" s="504">
        <f t="shared" si="35"/>
        <v>0.198</v>
      </c>
      <c r="S82" s="489" t="s">
        <v>12</v>
      </c>
    </row>
    <row r="83">
      <c r="A83" s="490">
        <v>45509.0</v>
      </c>
      <c r="B83" s="491" t="s">
        <v>939</v>
      </c>
      <c r="C83" s="491">
        <v>12.0</v>
      </c>
      <c r="D83" s="491">
        <v>905.0</v>
      </c>
      <c r="E83" s="491" t="s">
        <v>940</v>
      </c>
      <c r="F83" s="491">
        <v>0.0</v>
      </c>
      <c r="G83" s="497">
        <v>1.0</v>
      </c>
      <c r="H83" s="492">
        <v>2.0</v>
      </c>
      <c r="I83" s="493">
        <v>45509.59140046296</v>
      </c>
      <c r="J83" s="491">
        <v>0.004</v>
      </c>
      <c r="K83" s="491">
        <v>7.0</v>
      </c>
      <c r="L83" s="491">
        <v>0.002</v>
      </c>
      <c r="M83" s="491">
        <v>0.73</v>
      </c>
      <c r="N83" s="491">
        <v>1.0</v>
      </c>
      <c r="O83" s="485">
        <f t="shared" si="2"/>
        <v>0.004</v>
      </c>
      <c r="P83" s="506">
        <f t="shared" si="3"/>
        <v>0.002</v>
      </c>
      <c r="Q83" s="504">
        <f t="shared" ref="Q83:Q84" si="36">O83</f>
        <v>0.004</v>
      </c>
      <c r="R83" s="485" t="s">
        <v>973</v>
      </c>
      <c r="S83" s="489" t="s">
        <v>12</v>
      </c>
    </row>
    <row r="84">
      <c r="A84" s="490">
        <v>45509.0</v>
      </c>
      <c r="B84" s="491" t="s">
        <v>939</v>
      </c>
      <c r="C84" s="491">
        <v>13.0</v>
      </c>
      <c r="D84" s="491">
        <v>905.0</v>
      </c>
      <c r="E84" s="491" t="s">
        <v>940</v>
      </c>
      <c r="F84" s="491">
        <v>0.0</v>
      </c>
      <c r="G84" s="497">
        <v>1.0</v>
      </c>
      <c r="H84" s="492">
        <v>3.0</v>
      </c>
      <c r="I84" s="493">
        <v>45509.592210648145</v>
      </c>
      <c r="J84" s="491">
        <v>0.006</v>
      </c>
      <c r="K84" s="491">
        <v>7.87</v>
      </c>
      <c r="L84" s="491">
        <v>0.002</v>
      </c>
      <c r="M84" s="491">
        <v>0.73</v>
      </c>
      <c r="N84" s="491">
        <v>1.0</v>
      </c>
      <c r="O84" s="485">
        <f t="shared" si="2"/>
        <v>0.006</v>
      </c>
      <c r="P84" s="506">
        <f t="shared" si="3"/>
        <v>0.002</v>
      </c>
      <c r="Q84" s="504">
        <f t="shared" si="36"/>
        <v>0.006</v>
      </c>
      <c r="R84" s="485" t="s">
        <v>973</v>
      </c>
      <c r="S84" s="489" t="s">
        <v>12</v>
      </c>
    </row>
    <row r="85">
      <c r="A85" s="490">
        <v>45509.0</v>
      </c>
      <c r="B85" s="491" t="s">
        <v>79</v>
      </c>
      <c r="C85" s="491">
        <v>14.0</v>
      </c>
      <c r="D85" s="491">
        <v>906.0</v>
      </c>
      <c r="E85" s="491" t="s">
        <v>941</v>
      </c>
      <c r="F85" s="491">
        <v>0.0</v>
      </c>
      <c r="G85" s="497">
        <v>0.0</v>
      </c>
      <c r="H85" s="492">
        <v>0.0</v>
      </c>
      <c r="I85" s="493">
        <v>45509.59302083333</v>
      </c>
      <c r="J85" s="491">
        <v>-0.001</v>
      </c>
      <c r="K85" s="491">
        <v>3.02</v>
      </c>
      <c r="L85" s="491">
        <v>0.001</v>
      </c>
      <c r="M85" s="491">
        <v>0.65</v>
      </c>
      <c r="N85" s="491">
        <v>1.0</v>
      </c>
      <c r="O85" s="507">
        <f t="shared" si="2"/>
        <v>-0.001</v>
      </c>
      <c r="P85" s="506">
        <f t="shared" si="3"/>
        <v>0.001</v>
      </c>
      <c r="Q85" s="504" t="s">
        <v>973</v>
      </c>
      <c r="R85" s="485" t="s">
        <v>973</v>
      </c>
      <c r="S85" s="489" t="s">
        <v>12</v>
      </c>
    </row>
    <row r="86">
      <c r="A86" s="490">
        <v>45509.0</v>
      </c>
      <c r="B86" s="491" t="s">
        <v>958</v>
      </c>
      <c r="C86" s="491">
        <v>15.0</v>
      </c>
      <c r="D86" s="491">
        <v>907.0</v>
      </c>
      <c r="E86" s="491" t="s">
        <v>943</v>
      </c>
      <c r="F86" s="491">
        <v>0.0</v>
      </c>
      <c r="G86" s="497">
        <v>0.0</v>
      </c>
      <c r="H86" s="492">
        <v>1.0</v>
      </c>
      <c r="I86" s="493">
        <v>45509.593831018516</v>
      </c>
      <c r="J86" s="491">
        <v>0.123</v>
      </c>
      <c r="K86" s="491">
        <v>94.34</v>
      </c>
      <c r="L86" s="491">
        <v>0.142</v>
      </c>
      <c r="M86" s="491">
        <v>10.17</v>
      </c>
      <c r="N86" s="491">
        <v>1.0</v>
      </c>
      <c r="O86" s="485">
        <f t="shared" si="2"/>
        <v>0.123</v>
      </c>
      <c r="P86" s="504">
        <f t="shared" si="3"/>
        <v>0.142</v>
      </c>
      <c r="Q86" s="504">
        <f t="shared" ref="Q86:R86" si="37">O86</f>
        <v>0.123</v>
      </c>
      <c r="R86" s="504">
        <f t="shared" si="37"/>
        <v>0.142</v>
      </c>
      <c r="S86" s="489" t="s">
        <v>12</v>
      </c>
    </row>
    <row r="87">
      <c r="A87" s="490">
        <v>45509.0</v>
      </c>
      <c r="B87" s="491" t="s">
        <v>974</v>
      </c>
      <c r="C87" s="491">
        <v>16.0</v>
      </c>
      <c r="D87" s="491">
        <v>908.0</v>
      </c>
      <c r="E87" s="491" t="s">
        <v>945</v>
      </c>
      <c r="F87" s="491">
        <v>0.0</v>
      </c>
      <c r="G87" s="497">
        <v>0.0</v>
      </c>
      <c r="H87" s="492">
        <v>0.0</v>
      </c>
      <c r="I87" s="493">
        <v>45509.5946412037</v>
      </c>
      <c r="J87" s="491">
        <v>0.143</v>
      </c>
      <c r="K87" s="491">
        <v>108.65</v>
      </c>
      <c r="L87" s="491">
        <v>0.027</v>
      </c>
      <c r="M87" s="491">
        <v>2.4</v>
      </c>
      <c r="N87" s="491">
        <v>1.0</v>
      </c>
      <c r="O87" s="485">
        <f t="shared" si="2"/>
        <v>0.143</v>
      </c>
      <c r="P87" s="504">
        <f t="shared" si="3"/>
        <v>0.027</v>
      </c>
      <c r="Q87" s="504">
        <f t="shared" ref="Q87:R87" si="38">O87</f>
        <v>0.143</v>
      </c>
      <c r="R87" s="504">
        <f t="shared" si="38"/>
        <v>0.027</v>
      </c>
      <c r="S87" s="489" t="s">
        <v>12</v>
      </c>
    </row>
    <row r="88">
      <c r="A88" s="490">
        <v>45509.0</v>
      </c>
      <c r="B88" s="491" t="s">
        <v>969</v>
      </c>
      <c r="C88" s="491">
        <v>17.0</v>
      </c>
      <c r="D88" s="491">
        <v>909.0</v>
      </c>
      <c r="E88" s="491" t="s">
        <v>945</v>
      </c>
      <c r="F88" s="491">
        <v>0.0</v>
      </c>
      <c r="G88" s="497">
        <v>0.0</v>
      </c>
      <c r="H88" s="492">
        <v>0.0</v>
      </c>
      <c r="I88" s="493">
        <v>45509.59545138889</v>
      </c>
      <c r="J88" s="491">
        <v>0.152</v>
      </c>
      <c r="K88" s="491">
        <v>115.69</v>
      </c>
      <c r="L88" s="491">
        <v>0.027</v>
      </c>
      <c r="M88" s="491">
        <v>2.43</v>
      </c>
      <c r="N88" s="491">
        <v>1.0</v>
      </c>
      <c r="O88" s="485">
        <f t="shared" si="2"/>
        <v>0.152</v>
      </c>
      <c r="P88" s="504">
        <f t="shared" si="3"/>
        <v>0.027</v>
      </c>
      <c r="Q88" s="504">
        <f t="shared" ref="Q88:R88" si="39">O88</f>
        <v>0.152</v>
      </c>
      <c r="R88" s="504">
        <f t="shared" si="39"/>
        <v>0.027</v>
      </c>
      <c r="S88" s="489" t="s">
        <v>12</v>
      </c>
    </row>
    <row r="89">
      <c r="A89" s="490">
        <v>45509.0</v>
      </c>
      <c r="B89" s="491">
        <v>412.0</v>
      </c>
      <c r="C89" s="491">
        <v>18.0</v>
      </c>
      <c r="D89" s="491">
        <v>1.0</v>
      </c>
      <c r="E89" s="491" t="s">
        <v>941</v>
      </c>
      <c r="F89" s="491">
        <v>0.0</v>
      </c>
      <c r="G89" s="497">
        <v>0.0</v>
      </c>
      <c r="H89" s="492">
        <v>0.0</v>
      </c>
      <c r="I89" s="493">
        <v>45509.59626157407</v>
      </c>
      <c r="J89" s="491">
        <v>0.01</v>
      </c>
      <c r="K89" s="491">
        <v>11.21</v>
      </c>
      <c r="L89" s="491">
        <v>0.002</v>
      </c>
      <c r="M89" s="491">
        <v>0.74</v>
      </c>
      <c r="N89" s="491">
        <v>1.0</v>
      </c>
      <c r="O89" s="485">
        <f t="shared" si="2"/>
        <v>0.01</v>
      </c>
      <c r="P89" s="506">
        <f t="shared" si="3"/>
        <v>0.002</v>
      </c>
      <c r="Q89" s="504">
        <f t="shared" ref="Q89:Q95" si="40">O89</f>
        <v>0.01</v>
      </c>
      <c r="R89" s="485" t="s">
        <v>973</v>
      </c>
      <c r="S89" s="489" t="s">
        <v>12</v>
      </c>
    </row>
    <row r="90">
      <c r="A90" s="490">
        <v>45509.0</v>
      </c>
      <c r="B90" s="491">
        <v>451.0</v>
      </c>
      <c r="C90" s="491">
        <v>19.0</v>
      </c>
      <c r="D90" s="491">
        <v>2.0</v>
      </c>
      <c r="E90" s="491" t="s">
        <v>941</v>
      </c>
      <c r="F90" s="491">
        <v>0.0</v>
      </c>
      <c r="G90" s="497">
        <v>0.0</v>
      </c>
      <c r="H90" s="492">
        <v>0.0</v>
      </c>
      <c r="I90" s="493">
        <v>45509.59707175926</v>
      </c>
      <c r="J90" s="491">
        <v>0.011</v>
      </c>
      <c r="K90" s="491">
        <v>12.19</v>
      </c>
      <c r="L90" s="491">
        <v>0.003</v>
      </c>
      <c r="M90" s="491">
        <v>0.78</v>
      </c>
      <c r="N90" s="491">
        <v>1.0</v>
      </c>
      <c r="O90" s="485">
        <f t="shared" si="2"/>
        <v>0.011</v>
      </c>
      <c r="P90" s="504">
        <f t="shared" si="3"/>
        <v>0.003</v>
      </c>
      <c r="Q90" s="504">
        <f t="shared" si="40"/>
        <v>0.011</v>
      </c>
      <c r="R90" s="504">
        <f t="shared" ref="R90:R92" si="41">P90</f>
        <v>0.003</v>
      </c>
      <c r="S90" s="489" t="s">
        <v>12</v>
      </c>
    </row>
    <row r="91">
      <c r="A91" s="490">
        <v>45509.0</v>
      </c>
      <c r="B91" s="491">
        <v>477.0</v>
      </c>
      <c r="C91" s="491">
        <v>20.0</v>
      </c>
      <c r="D91" s="491">
        <v>3.0</v>
      </c>
      <c r="E91" s="491" t="s">
        <v>941</v>
      </c>
      <c r="F91" s="491">
        <v>0.0</v>
      </c>
      <c r="G91" s="497">
        <v>0.0</v>
      </c>
      <c r="H91" s="492">
        <v>0.0</v>
      </c>
      <c r="I91" s="493">
        <v>45509.59788194444</v>
      </c>
      <c r="J91" s="491">
        <v>0.011</v>
      </c>
      <c r="K91" s="491">
        <v>12.2</v>
      </c>
      <c r="L91" s="491">
        <v>0.003</v>
      </c>
      <c r="M91" s="491">
        <v>0.79</v>
      </c>
      <c r="N91" s="491">
        <v>1.0</v>
      </c>
      <c r="O91" s="485">
        <f t="shared" si="2"/>
        <v>0.011</v>
      </c>
      <c r="P91" s="504">
        <f t="shared" si="3"/>
        <v>0.003</v>
      </c>
      <c r="Q91" s="504">
        <f t="shared" si="40"/>
        <v>0.011</v>
      </c>
      <c r="R91" s="504">
        <f t="shared" si="41"/>
        <v>0.003</v>
      </c>
      <c r="S91" s="489" t="s">
        <v>12</v>
      </c>
    </row>
    <row r="92">
      <c r="A92" s="490">
        <v>45509.0</v>
      </c>
      <c r="B92" s="491">
        <v>529.0</v>
      </c>
      <c r="C92" s="491">
        <v>21.0</v>
      </c>
      <c r="D92" s="491">
        <v>4.0</v>
      </c>
      <c r="E92" s="491" t="s">
        <v>941</v>
      </c>
      <c r="F92" s="491">
        <v>0.0</v>
      </c>
      <c r="G92" s="497">
        <v>0.0</v>
      </c>
      <c r="H92" s="492">
        <v>0.0</v>
      </c>
      <c r="I92" s="493">
        <v>45509.59869212963</v>
      </c>
      <c r="J92" s="491">
        <v>0.02</v>
      </c>
      <c r="K92" s="491">
        <v>18.6</v>
      </c>
      <c r="L92" s="491">
        <v>0.003</v>
      </c>
      <c r="M92" s="491">
        <v>0.79</v>
      </c>
      <c r="N92" s="491">
        <v>1.0</v>
      </c>
      <c r="O92" s="485">
        <f t="shared" si="2"/>
        <v>0.02</v>
      </c>
      <c r="P92" s="504">
        <f t="shared" si="3"/>
        <v>0.003</v>
      </c>
      <c r="Q92" s="504">
        <f t="shared" si="40"/>
        <v>0.02</v>
      </c>
      <c r="R92" s="504">
        <f t="shared" si="41"/>
        <v>0.003</v>
      </c>
      <c r="S92" s="489" t="s">
        <v>12</v>
      </c>
    </row>
    <row r="93">
      <c r="A93" s="490">
        <v>45509.0</v>
      </c>
      <c r="B93" s="491">
        <v>360.0</v>
      </c>
      <c r="C93" s="491">
        <v>22.0</v>
      </c>
      <c r="D93" s="491">
        <v>5.0</v>
      </c>
      <c r="E93" s="491" t="s">
        <v>941</v>
      </c>
      <c r="F93" s="491">
        <v>0.0</v>
      </c>
      <c r="G93" s="497">
        <v>0.0</v>
      </c>
      <c r="H93" s="492">
        <v>0.0</v>
      </c>
      <c r="I93" s="493">
        <v>45509.59950231481</v>
      </c>
      <c r="J93" s="491">
        <v>0.004</v>
      </c>
      <c r="K93" s="491">
        <v>6.9</v>
      </c>
      <c r="L93" s="491">
        <v>0.002</v>
      </c>
      <c r="M93" s="491">
        <v>0.69</v>
      </c>
      <c r="N93" s="491">
        <v>1.0</v>
      </c>
      <c r="O93" s="485">
        <f t="shared" si="2"/>
        <v>0.004</v>
      </c>
      <c r="P93" s="506">
        <f t="shared" si="3"/>
        <v>0.002</v>
      </c>
      <c r="Q93" s="504">
        <f t="shared" si="40"/>
        <v>0.004</v>
      </c>
      <c r="R93" s="485" t="s">
        <v>973</v>
      </c>
      <c r="S93" s="489" t="s">
        <v>12</v>
      </c>
    </row>
    <row r="94">
      <c r="A94" s="490">
        <v>45509.0</v>
      </c>
      <c r="B94" s="491">
        <v>490.0</v>
      </c>
      <c r="C94" s="491">
        <v>23.0</v>
      </c>
      <c r="D94" s="491">
        <v>6.0</v>
      </c>
      <c r="E94" s="491" t="s">
        <v>941</v>
      </c>
      <c r="F94" s="491">
        <v>0.0</v>
      </c>
      <c r="G94" s="497">
        <v>0.0</v>
      </c>
      <c r="H94" s="492">
        <v>0.0</v>
      </c>
      <c r="I94" s="493">
        <v>45509.6003125</v>
      </c>
      <c r="J94" s="491">
        <v>0.011</v>
      </c>
      <c r="K94" s="491">
        <v>12.11</v>
      </c>
      <c r="L94" s="491">
        <v>0.002</v>
      </c>
      <c r="M94" s="491">
        <v>0.74</v>
      </c>
      <c r="N94" s="491">
        <v>1.0</v>
      </c>
      <c r="O94" s="485">
        <f t="shared" si="2"/>
        <v>0.011</v>
      </c>
      <c r="P94" s="506">
        <f t="shared" si="3"/>
        <v>0.002</v>
      </c>
      <c r="Q94" s="504">
        <f t="shared" si="40"/>
        <v>0.011</v>
      </c>
      <c r="R94" s="485" t="s">
        <v>973</v>
      </c>
      <c r="S94" s="489" t="s">
        <v>12</v>
      </c>
    </row>
    <row r="95">
      <c r="A95" s="490">
        <v>45509.0</v>
      </c>
      <c r="B95" s="491">
        <v>464.0</v>
      </c>
      <c r="C95" s="491">
        <v>24.0</v>
      </c>
      <c r="D95" s="491">
        <v>7.0</v>
      </c>
      <c r="E95" s="491" t="s">
        <v>941</v>
      </c>
      <c r="F95" s="491">
        <v>0.0</v>
      </c>
      <c r="G95" s="497">
        <v>0.0</v>
      </c>
      <c r="H95" s="492">
        <v>0.0</v>
      </c>
      <c r="I95" s="493">
        <v>45509.601122685184</v>
      </c>
      <c r="J95" s="491">
        <v>0.011</v>
      </c>
      <c r="K95" s="491">
        <v>12.09</v>
      </c>
      <c r="L95" s="491">
        <v>0.004</v>
      </c>
      <c r="M95" s="491">
        <v>0.85</v>
      </c>
      <c r="N95" s="491">
        <v>1.0</v>
      </c>
      <c r="O95" s="485">
        <f t="shared" si="2"/>
        <v>0.011</v>
      </c>
      <c r="P95" s="504">
        <f t="shared" si="3"/>
        <v>0.004</v>
      </c>
      <c r="Q95" s="504">
        <f t="shared" si="40"/>
        <v>0.011</v>
      </c>
      <c r="R95" s="504">
        <f>P95</f>
        <v>0.004</v>
      </c>
      <c r="S95" s="489" t="s">
        <v>12</v>
      </c>
    </row>
    <row r="96">
      <c r="A96" s="490">
        <v>45509.0</v>
      </c>
      <c r="B96" s="491">
        <v>542.0</v>
      </c>
      <c r="C96" s="491">
        <v>25.0</v>
      </c>
      <c r="D96" s="491">
        <v>8.0</v>
      </c>
      <c r="E96" s="491" t="s">
        <v>941</v>
      </c>
      <c r="F96" s="491">
        <v>0.0</v>
      </c>
      <c r="G96" s="497">
        <v>0.0</v>
      </c>
      <c r="H96" s="492">
        <v>0.0</v>
      </c>
      <c r="I96" s="493">
        <v>45509.60193287037</v>
      </c>
      <c r="J96" s="491">
        <v>-0.003</v>
      </c>
      <c r="K96" s="491">
        <v>1.62</v>
      </c>
      <c r="L96" s="491">
        <v>0.001</v>
      </c>
      <c r="M96" s="491">
        <v>0.61</v>
      </c>
      <c r="N96" s="491">
        <v>1.0</v>
      </c>
      <c r="O96" s="507">
        <f t="shared" si="2"/>
        <v>-0.003</v>
      </c>
      <c r="P96" s="506">
        <f t="shared" si="3"/>
        <v>0.001</v>
      </c>
      <c r="Q96" s="504" t="s">
        <v>973</v>
      </c>
      <c r="R96" s="485" t="s">
        <v>973</v>
      </c>
      <c r="S96" s="489" t="s">
        <v>280</v>
      </c>
    </row>
    <row r="97">
      <c r="A97" s="490">
        <v>45509.0</v>
      </c>
      <c r="B97" s="491">
        <v>399.0</v>
      </c>
      <c r="C97" s="491">
        <v>26.0</v>
      </c>
      <c r="D97" s="491">
        <v>9.0</v>
      </c>
      <c r="E97" s="491" t="s">
        <v>941</v>
      </c>
      <c r="F97" s="491">
        <v>0.0</v>
      </c>
      <c r="G97" s="497">
        <v>0.0</v>
      </c>
      <c r="H97" s="492">
        <v>0.0</v>
      </c>
      <c r="I97" s="493">
        <v>45509.602743055555</v>
      </c>
      <c r="J97" s="491">
        <v>0.011</v>
      </c>
      <c r="K97" s="491">
        <v>11.92</v>
      </c>
      <c r="L97" s="491">
        <v>0.003</v>
      </c>
      <c r="M97" s="491">
        <v>0.75</v>
      </c>
      <c r="N97" s="491">
        <v>1.0</v>
      </c>
      <c r="O97" s="485">
        <f t="shared" si="2"/>
        <v>0.011</v>
      </c>
      <c r="P97" s="504">
        <f t="shared" si="3"/>
        <v>0.003</v>
      </c>
      <c r="Q97" s="504">
        <f t="shared" ref="Q97:R97" si="42">O97</f>
        <v>0.011</v>
      </c>
      <c r="R97" s="504">
        <f t="shared" si="42"/>
        <v>0.003</v>
      </c>
      <c r="S97" s="489" t="s">
        <v>12</v>
      </c>
    </row>
    <row r="98">
      <c r="A98" s="490">
        <v>45509.0</v>
      </c>
      <c r="B98" s="491">
        <v>425.0</v>
      </c>
      <c r="C98" s="491">
        <v>27.0</v>
      </c>
      <c r="D98" s="491">
        <v>10.0</v>
      </c>
      <c r="E98" s="491" t="s">
        <v>941</v>
      </c>
      <c r="F98" s="491">
        <v>0.0</v>
      </c>
      <c r="G98" s="497">
        <v>0.0</v>
      </c>
      <c r="H98" s="492">
        <v>0.0</v>
      </c>
      <c r="I98" s="493">
        <v>45509.60355324074</v>
      </c>
      <c r="J98" s="491">
        <v>0.007</v>
      </c>
      <c r="K98" s="491">
        <v>9.14</v>
      </c>
      <c r="L98" s="491">
        <v>0.001</v>
      </c>
      <c r="M98" s="491">
        <v>0.63</v>
      </c>
      <c r="N98" s="491">
        <v>1.0</v>
      </c>
      <c r="O98" s="485">
        <f t="shared" si="2"/>
        <v>0.007</v>
      </c>
      <c r="P98" s="506">
        <f t="shared" si="3"/>
        <v>0.001</v>
      </c>
      <c r="Q98" s="504">
        <f t="shared" ref="Q98:Q101" si="43">O98</f>
        <v>0.007</v>
      </c>
      <c r="R98" s="485" t="s">
        <v>973</v>
      </c>
      <c r="S98" s="489" t="s">
        <v>12</v>
      </c>
    </row>
    <row r="99">
      <c r="A99" s="490">
        <v>45509.0</v>
      </c>
      <c r="B99" s="491" t="s">
        <v>975</v>
      </c>
      <c r="C99" s="491">
        <v>28.0</v>
      </c>
      <c r="D99" s="491">
        <v>11.0</v>
      </c>
      <c r="E99" s="491" t="s">
        <v>943</v>
      </c>
      <c r="F99" s="491">
        <v>0.0</v>
      </c>
      <c r="G99" s="497">
        <v>0.0</v>
      </c>
      <c r="H99" s="492">
        <v>1.0</v>
      </c>
      <c r="I99" s="493">
        <v>45509.604363425926</v>
      </c>
      <c r="J99" s="491">
        <v>0.151</v>
      </c>
      <c r="K99" s="491">
        <v>114.35</v>
      </c>
      <c r="L99" s="491">
        <v>0.15</v>
      </c>
      <c r="M99" s="491">
        <v>10.75</v>
      </c>
      <c r="N99" s="491">
        <v>1.0</v>
      </c>
      <c r="O99" s="485">
        <f t="shared" si="2"/>
        <v>0.151</v>
      </c>
      <c r="P99" s="504">
        <f t="shared" si="3"/>
        <v>0.15</v>
      </c>
      <c r="Q99" s="504">
        <f t="shared" si="43"/>
        <v>0.151</v>
      </c>
      <c r="R99" s="504">
        <f t="shared" ref="R99:R101" si="44">P99</f>
        <v>0.15</v>
      </c>
      <c r="S99" s="489" t="s">
        <v>12</v>
      </c>
    </row>
    <row r="100">
      <c r="A100" s="490">
        <v>45509.0</v>
      </c>
      <c r="B100" s="491" t="s">
        <v>974</v>
      </c>
      <c r="C100" s="491">
        <v>29.0</v>
      </c>
      <c r="D100" s="491">
        <v>908.0</v>
      </c>
      <c r="E100" s="491" t="s">
        <v>945</v>
      </c>
      <c r="F100" s="491">
        <v>0.0</v>
      </c>
      <c r="G100" s="497">
        <v>0.0</v>
      </c>
      <c r="H100" s="492">
        <v>0.0</v>
      </c>
      <c r="I100" s="493">
        <v>45509.60517361111</v>
      </c>
      <c r="J100" s="491">
        <v>0.152</v>
      </c>
      <c r="K100" s="491">
        <v>115.4</v>
      </c>
      <c r="L100" s="491">
        <v>0.029</v>
      </c>
      <c r="M100" s="491">
        <v>2.51</v>
      </c>
      <c r="N100" s="491">
        <v>1.0</v>
      </c>
      <c r="O100" s="485">
        <f t="shared" si="2"/>
        <v>0.152</v>
      </c>
      <c r="P100" s="504">
        <f t="shared" si="3"/>
        <v>0.029</v>
      </c>
      <c r="Q100" s="504">
        <f t="shared" si="43"/>
        <v>0.152</v>
      </c>
      <c r="R100" s="504">
        <f t="shared" si="44"/>
        <v>0.029</v>
      </c>
      <c r="S100" s="489" t="s">
        <v>12</v>
      </c>
    </row>
    <row r="101">
      <c r="A101" s="490">
        <v>45509.0</v>
      </c>
      <c r="B101" s="491" t="s">
        <v>969</v>
      </c>
      <c r="C101" s="491">
        <v>30.0</v>
      </c>
      <c r="D101" s="491">
        <v>909.0</v>
      </c>
      <c r="E101" s="491" t="s">
        <v>945</v>
      </c>
      <c r="F101" s="491">
        <v>0.0</v>
      </c>
      <c r="G101" s="491">
        <v>0.0</v>
      </c>
      <c r="H101" s="492">
        <v>0.0</v>
      </c>
      <c r="I101" s="493">
        <v>45509.6059837963</v>
      </c>
      <c r="J101" s="491">
        <v>0.146</v>
      </c>
      <c r="K101" s="491">
        <v>111.16</v>
      </c>
      <c r="L101" s="491">
        <v>0.029</v>
      </c>
      <c r="M101" s="491">
        <v>2.52</v>
      </c>
      <c r="N101" s="491">
        <v>1.0</v>
      </c>
      <c r="O101" s="485">
        <f t="shared" si="2"/>
        <v>0.146</v>
      </c>
      <c r="P101" s="504">
        <f t="shared" si="3"/>
        <v>0.029</v>
      </c>
      <c r="Q101" s="504">
        <f t="shared" si="43"/>
        <v>0.146</v>
      </c>
      <c r="R101" s="504">
        <f t="shared" si="44"/>
        <v>0.029</v>
      </c>
      <c r="S101" s="489" t="s">
        <v>12</v>
      </c>
    </row>
    <row r="102">
      <c r="A102" s="490">
        <v>45509.0</v>
      </c>
      <c r="B102" s="491" t="s">
        <v>935</v>
      </c>
      <c r="C102" s="491">
        <v>31.0</v>
      </c>
      <c r="D102" s="491">
        <v>0.0</v>
      </c>
      <c r="E102" s="491" t="s">
        <v>936</v>
      </c>
      <c r="F102" s="491">
        <v>0.0</v>
      </c>
      <c r="G102" s="491">
        <v>0.0</v>
      </c>
      <c r="H102" s="492">
        <v>0.0</v>
      </c>
      <c r="I102" s="493">
        <v>45509.60679398148</v>
      </c>
      <c r="J102" s="491">
        <v>-0.005</v>
      </c>
      <c r="K102" s="491">
        <v>0.0</v>
      </c>
      <c r="L102" s="491">
        <v>-0.008</v>
      </c>
      <c r="M102" s="491">
        <v>0.0</v>
      </c>
      <c r="N102" s="491">
        <v>1.0</v>
      </c>
      <c r="O102" s="507">
        <f t="shared" si="2"/>
        <v>-0.005</v>
      </c>
      <c r="P102" s="506">
        <f t="shared" si="3"/>
        <v>-0.008</v>
      </c>
      <c r="Q102" s="504" t="s">
        <v>973</v>
      </c>
      <c r="R102" s="485" t="s">
        <v>973</v>
      </c>
      <c r="S102" s="489" t="s">
        <v>12</v>
      </c>
    </row>
    <row r="103">
      <c r="A103" s="490">
        <v>45509.0</v>
      </c>
      <c r="B103" s="491">
        <v>386.0</v>
      </c>
      <c r="C103" s="491">
        <v>32.0</v>
      </c>
      <c r="D103" s="491">
        <v>12.0</v>
      </c>
      <c r="E103" s="491" t="s">
        <v>941</v>
      </c>
      <c r="F103" s="491">
        <v>0.0</v>
      </c>
      <c r="G103" s="491">
        <v>0.0</v>
      </c>
      <c r="H103" s="492">
        <v>0.0</v>
      </c>
      <c r="I103" s="493">
        <v>45509.60922453704</v>
      </c>
      <c r="J103" s="491">
        <v>0.011</v>
      </c>
      <c r="K103" s="491">
        <v>12.18</v>
      </c>
      <c r="L103" s="491">
        <v>0.003</v>
      </c>
      <c r="M103" s="491">
        <v>0.76</v>
      </c>
      <c r="N103" s="491">
        <v>1.0</v>
      </c>
      <c r="O103" s="485">
        <f t="shared" si="2"/>
        <v>0.011</v>
      </c>
      <c r="P103" s="504">
        <f t="shared" si="3"/>
        <v>0.003</v>
      </c>
      <c r="Q103" s="504">
        <f t="shared" ref="Q103:R103" si="45">O103</f>
        <v>0.011</v>
      </c>
      <c r="R103" s="504">
        <f t="shared" si="45"/>
        <v>0.003</v>
      </c>
      <c r="S103" s="489" t="s">
        <v>12</v>
      </c>
    </row>
    <row r="104">
      <c r="A104" s="490">
        <v>45509.0</v>
      </c>
      <c r="B104" s="491">
        <v>581.0</v>
      </c>
      <c r="C104" s="491">
        <v>33.0</v>
      </c>
      <c r="D104" s="491">
        <v>13.0</v>
      </c>
      <c r="E104" s="491" t="s">
        <v>941</v>
      </c>
      <c r="F104" s="491">
        <v>0.0</v>
      </c>
      <c r="G104" s="491">
        <v>0.0</v>
      </c>
      <c r="H104" s="492">
        <v>0.0</v>
      </c>
      <c r="I104" s="493">
        <v>45509.610034722224</v>
      </c>
      <c r="J104" s="491">
        <v>0.011</v>
      </c>
      <c r="K104" s="491">
        <v>11.94</v>
      </c>
      <c r="L104" s="491">
        <v>0.006</v>
      </c>
      <c r="M104" s="491">
        <v>0.98</v>
      </c>
      <c r="N104" s="491">
        <v>1.0</v>
      </c>
      <c r="O104" s="485">
        <f t="shared" si="2"/>
        <v>0.011</v>
      </c>
      <c r="P104" s="504">
        <f t="shared" si="3"/>
        <v>0.006</v>
      </c>
      <c r="Q104" s="504">
        <f t="shared" ref="Q104:R104" si="46">O104</f>
        <v>0.011</v>
      </c>
      <c r="R104" s="504">
        <f t="shared" si="46"/>
        <v>0.006</v>
      </c>
      <c r="S104" s="489" t="s">
        <v>12</v>
      </c>
    </row>
    <row r="105">
      <c r="A105" s="490">
        <v>45509.0</v>
      </c>
      <c r="B105" s="491">
        <v>334.0</v>
      </c>
      <c r="C105" s="491">
        <v>34.0</v>
      </c>
      <c r="D105" s="491">
        <v>14.0</v>
      </c>
      <c r="E105" s="491" t="s">
        <v>941</v>
      </c>
      <c r="F105" s="491">
        <v>0.0</v>
      </c>
      <c r="G105" s="491">
        <v>0.0</v>
      </c>
      <c r="H105" s="492">
        <v>0.0</v>
      </c>
      <c r="I105" s="493">
        <v>45509.61084490741</v>
      </c>
      <c r="J105" s="491">
        <v>0.01</v>
      </c>
      <c r="K105" s="491">
        <v>10.88</v>
      </c>
      <c r="L105" s="491">
        <v>0.003</v>
      </c>
      <c r="M105" s="491">
        <v>0.74</v>
      </c>
      <c r="N105" s="491">
        <v>1.0</v>
      </c>
      <c r="O105" s="485">
        <f t="shared" si="2"/>
        <v>0.01</v>
      </c>
      <c r="P105" s="504">
        <f t="shared" si="3"/>
        <v>0.003</v>
      </c>
      <c r="Q105" s="504">
        <f t="shared" ref="Q105:R105" si="47">O105</f>
        <v>0.01</v>
      </c>
      <c r="R105" s="504">
        <f t="shared" si="47"/>
        <v>0.003</v>
      </c>
      <c r="S105" s="489" t="s">
        <v>12</v>
      </c>
    </row>
    <row r="106">
      <c r="A106" s="490">
        <v>45509.0</v>
      </c>
      <c r="B106" s="491">
        <v>373.0</v>
      </c>
      <c r="C106" s="491">
        <v>35.0</v>
      </c>
      <c r="D106" s="491">
        <v>15.0</v>
      </c>
      <c r="E106" s="491" t="s">
        <v>941</v>
      </c>
      <c r="F106" s="491">
        <v>0.0</v>
      </c>
      <c r="G106" s="491">
        <v>0.0</v>
      </c>
      <c r="H106" s="492">
        <v>0.0</v>
      </c>
      <c r="I106" s="493">
        <v>45509.611655092594</v>
      </c>
      <c r="J106" s="491">
        <v>0.008</v>
      </c>
      <c r="K106" s="491">
        <v>9.94</v>
      </c>
      <c r="L106" s="491">
        <v>0.004</v>
      </c>
      <c r="M106" s="491">
        <v>0.81</v>
      </c>
      <c r="N106" s="491">
        <v>1.0</v>
      </c>
      <c r="O106" s="485">
        <f t="shared" si="2"/>
        <v>0.008</v>
      </c>
      <c r="P106" s="504">
        <f t="shared" si="3"/>
        <v>0.004</v>
      </c>
      <c r="Q106" s="504">
        <f t="shared" ref="Q106:R106" si="48">O106</f>
        <v>0.008</v>
      </c>
      <c r="R106" s="504">
        <f t="shared" si="48"/>
        <v>0.004</v>
      </c>
      <c r="S106" s="489" t="s">
        <v>12</v>
      </c>
    </row>
    <row r="107">
      <c r="A107" s="490">
        <v>45509.0</v>
      </c>
      <c r="B107" s="491">
        <v>516.0</v>
      </c>
      <c r="C107" s="491">
        <v>36.0</v>
      </c>
      <c r="D107" s="491">
        <v>16.0</v>
      </c>
      <c r="E107" s="491" t="s">
        <v>941</v>
      </c>
      <c r="F107" s="491">
        <v>0.0</v>
      </c>
      <c r="G107" s="491">
        <v>0.0</v>
      </c>
      <c r="H107" s="492">
        <v>0.0</v>
      </c>
      <c r="I107" s="493">
        <v>45509.61246527778</v>
      </c>
      <c r="J107" s="491">
        <v>0.005</v>
      </c>
      <c r="K107" s="491">
        <v>7.86</v>
      </c>
      <c r="L107" s="491">
        <v>0.002</v>
      </c>
      <c r="M107" s="491">
        <v>0.72</v>
      </c>
      <c r="N107" s="491">
        <v>1.0</v>
      </c>
      <c r="O107" s="485">
        <f t="shared" si="2"/>
        <v>0.005</v>
      </c>
      <c r="P107" s="506">
        <f t="shared" si="3"/>
        <v>0.002</v>
      </c>
      <c r="Q107" s="504">
        <f t="shared" ref="Q107:Q117" si="49">O107</f>
        <v>0.005</v>
      </c>
      <c r="R107" s="485" t="s">
        <v>973</v>
      </c>
      <c r="S107" s="489" t="s">
        <v>12</v>
      </c>
    </row>
    <row r="108">
      <c r="A108" s="490">
        <v>45509.0</v>
      </c>
      <c r="B108" s="491">
        <v>568.0</v>
      </c>
      <c r="C108" s="491">
        <v>37.0</v>
      </c>
      <c r="D108" s="491">
        <v>17.0</v>
      </c>
      <c r="E108" s="491" t="s">
        <v>941</v>
      </c>
      <c r="F108" s="491">
        <v>0.0</v>
      </c>
      <c r="G108" s="491">
        <v>0.0</v>
      </c>
      <c r="H108" s="492">
        <v>0.0</v>
      </c>
      <c r="I108" s="493">
        <v>45509.613275462965</v>
      </c>
      <c r="J108" s="491">
        <v>0.017</v>
      </c>
      <c r="K108" s="491">
        <v>16.45</v>
      </c>
      <c r="L108" s="491">
        <v>0.003</v>
      </c>
      <c r="M108" s="491">
        <v>0.76</v>
      </c>
      <c r="N108" s="491">
        <v>1.0</v>
      </c>
      <c r="O108" s="485">
        <f t="shared" si="2"/>
        <v>0.017</v>
      </c>
      <c r="P108" s="504">
        <f t="shared" si="3"/>
        <v>0.003</v>
      </c>
      <c r="Q108" s="504">
        <f t="shared" si="49"/>
        <v>0.017</v>
      </c>
      <c r="R108" s="504">
        <f t="shared" ref="R108:R109" si="50">P108</f>
        <v>0.003</v>
      </c>
      <c r="S108" s="489" t="s">
        <v>12</v>
      </c>
    </row>
    <row r="109">
      <c r="A109" s="490">
        <v>45509.0</v>
      </c>
      <c r="B109" s="491">
        <v>607.0</v>
      </c>
      <c r="C109" s="491">
        <v>38.0</v>
      </c>
      <c r="D109" s="491">
        <v>18.0</v>
      </c>
      <c r="E109" s="491" t="s">
        <v>941</v>
      </c>
      <c r="F109" s="491">
        <v>0.0</v>
      </c>
      <c r="G109" s="491">
        <v>0.0</v>
      </c>
      <c r="H109" s="492">
        <v>0.0</v>
      </c>
      <c r="I109" s="493">
        <v>45509.61408564815</v>
      </c>
      <c r="J109" s="491">
        <v>0.009</v>
      </c>
      <c r="K109" s="491">
        <v>10.48</v>
      </c>
      <c r="L109" s="491">
        <v>0.005</v>
      </c>
      <c r="M109" s="491">
        <v>0.9</v>
      </c>
      <c r="N109" s="491">
        <v>1.0</v>
      </c>
      <c r="O109" s="485">
        <f t="shared" si="2"/>
        <v>0.009</v>
      </c>
      <c r="P109" s="504">
        <f t="shared" si="3"/>
        <v>0.005</v>
      </c>
      <c r="Q109" s="504">
        <f t="shared" si="49"/>
        <v>0.009</v>
      </c>
      <c r="R109" s="504">
        <f t="shared" si="50"/>
        <v>0.005</v>
      </c>
      <c r="S109" s="489" t="s">
        <v>12</v>
      </c>
    </row>
    <row r="110">
      <c r="A110" s="490">
        <v>45509.0</v>
      </c>
      <c r="B110" s="491">
        <v>620.0</v>
      </c>
      <c r="C110" s="491">
        <v>39.0</v>
      </c>
      <c r="D110" s="491">
        <v>19.0</v>
      </c>
      <c r="E110" s="491" t="s">
        <v>941</v>
      </c>
      <c r="F110" s="491">
        <v>0.0</v>
      </c>
      <c r="G110" s="491">
        <v>0.0</v>
      </c>
      <c r="H110" s="492">
        <v>0.0</v>
      </c>
      <c r="I110" s="493">
        <v>45509.614895833336</v>
      </c>
      <c r="J110" s="491">
        <v>0.01</v>
      </c>
      <c r="K110" s="491">
        <v>10.9</v>
      </c>
      <c r="L110" s="491">
        <v>0.002</v>
      </c>
      <c r="M110" s="491">
        <v>0.71</v>
      </c>
      <c r="N110" s="491">
        <v>1.0</v>
      </c>
      <c r="O110" s="485">
        <f t="shared" si="2"/>
        <v>0.01</v>
      </c>
      <c r="P110" s="506">
        <f t="shared" si="3"/>
        <v>0.002</v>
      </c>
      <c r="Q110" s="504">
        <f t="shared" si="49"/>
        <v>0.01</v>
      </c>
      <c r="R110" s="485" t="s">
        <v>973</v>
      </c>
      <c r="S110" s="489" t="s">
        <v>12</v>
      </c>
    </row>
    <row r="111">
      <c r="A111" s="490">
        <v>45509.0</v>
      </c>
      <c r="B111" s="491">
        <v>555.0</v>
      </c>
      <c r="C111" s="491">
        <v>40.0</v>
      </c>
      <c r="D111" s="491">
        <v>20.0</v>
      </c>
      <c r="E111" s="491" t="s">
        <v>941</v>
      </c>
      <c r="F111" s="491">
        <v>0.0</v>
      </c>
      <c r="G111" s="491">
        <v>0.0</v>
      </c>
      <c r="H111" s="492">
        <v>0.0</v>
      </c>
      <c r="I111" s="493">
        <v>45509.61570601852</v>
      </c>
      <c r="J111" s="491">
        <v>0.008</v>
      </c>
      <c r="K111" s="491">
        <v>9.45</v>
      </c>
      <c r="L111" s="491">
        <v>0.003</v>
      </c>
      <c r="M111" s="491">
        <v>0.77</v>
      </c>
      <c r="N111" s="491">
        <v>1.0</v>
      </c>
      <c r="O111" s="485">
        <f t="shared" si="2"/>
        <v>0.008</v>
      </c>
      <c r="P111" s="504">
        <f t="shared" si="3"/>
        <v>0.003</v>
      </c>
      <c r="Q111" s="504">
        <f t="shared" si="49"/>
        <v>0.008</v>
      </c>
      <c r="R111" s="504">
        <f t="shared" ref="R111:R117" si="51">P111</f>
        <v>0.003</v>
      </c>
      <c r="S111" s="489" t="s">
        <v>12</v>
      </c>
    </row>
    <row r="112">
      <c r="A112" s="490">
        <v>45509.0</v>
      </c>
      <c r="B112" s="491">
        <v>503.0</v>
      </c>
      <c r="C112" s="491">
        <v>41.0</v>
      </c>
      <c r="D112" s="491">
        <v>21.0</v>
      </c>
      <c r="E112" s="491" t="s">
        <v>941</v>
      </c>
      <c r="F112" s="491">
        <v>0.0</v>
      </c>
      <c r="G112" s="491">
        <v>0.0</v>
      </c>
      <c r="H112" s="492">
        <v>0.0</v>
      </c>
      <c r="I112" s="493">
        <v>45509.61651620371</v>
      </c>
      <c r="J112" s="491">
        <v>0.008</v>
      </c>
      <c r="K112" s="491">
        <v>9.6</v>
      </c>
      <c r="L112" s="491">
        <v>0.004</v>
      </c>
      <c r="M112" s="491">
        <v>0.86</v>
      </c>
      <c r="N112" s="491">
        <v>1.0</v>
      </c>
      <c r="O112" s="485">
        <f t="shared" si="2"/>
        <v>0.008</v>
      </c>
      <c r="P112" s="504">
        <f t="shared" si="3"/>
        <v>0.004</v>
      </c>
      <c r="Q112" s="504">
        <f t="shared" si="49"/>
        <v>0.008</v>
      </c>
      <c r="R112" s="504">
        <f t="shared" si="51"/>
        <v>0.004</v>
      </c>
      <c r="S112" s="489" t="s">
        <v>12</v>
      </c>
    </row>
    <row r="113">
      <c r="A113" s="490">
        <v>45509.0</v>
      </c>
      <c r="B113" s="491" t="s">
        <v>976</v>
      </c>
      <c r="C113" s="491">
        <v>42.0</v>
      </c>
      <c r="D113" s="491">
        <v>22.0</v>
      </c>
      <c r="E113" s="491" t="s">
        <v>943</v>
      </c>
      <c r="F113" s="491">
        <v>0.0</v>
      </c>
      <c r="G113" s="491">
        <v>0.0</v>
      </c>
      <c r="H113" s="492">
        <v>1.0</v>
      </c>
      <c r="I113" s="493">
        <v>45509.61732638889</v>
      </c>
      <c r="J113" s="491">
        <v>0.129</v>
      </c>
      <c r="K113" s="491">
        <v>98.66</v>
      </c>
      <c r="L113" s="491">
        <v>0.149</v>
      </c>
      <c r="M113" s="491">
        <v>10.69</v>
      </c>
      <c r="N113" s="491">
        <v>1.0</v>
      </c>
      <c r="O113" s="485">
        <f t="shared" si="2"/>
        <v>0.129</v>
      </c>
      <c r="P113" s="504">
        <f t="shared" si="3"/>
        <v>0.149</v>
      </c>
      <c r="Q113" s="504">
        <f t="shared" si="49"/>
        <v>0.129</v>
      </c>
      <c r="R113" s="504">
        <f t="shared" si="51"/>
        <v>0.149</v>
      </c>
      <c r="S113" s="489" t="s">
        <v>12</v>
      </c>
    </row>
    <row r="114">
      <c r="A114" s="490">
        <v>45509.0</v>
      </c>
      <c r="B114" s="491">
        <v>438.0</v>
      </c>
      <c r="C114" s="491">
        <v>43.0</v>
      </c>
      <c r="D114" s="491">
        <v>23.0</v>
      </c>
      <c r="E114" s="491" t="s">
        <v>941</v>
      </c>
      <c r="F114" s="491">
        <v>0.0</v>
      </c>
      <c r="G114" s="491">
        <v>0.0</v>
      </c>
      <c r="H114" s="492">
        <v>0.0</v>
      </c>
      <c r="I114" s="493">
        <v>45509.61813657408</v>
      </c>
      <c r="J114" s="491">
        <v>0.012</v>
      </c>
      <c r="K114" s="491">
        <v>12.4</v>
      </c>
      <c r="L114" s="491">
        <v>0.005</v>
      </c>
      <c r="M114" s="491">
        <v>0.94</v>
      </c>
      <c r="N114" s="491">
        <v>1.0</v>
      </c>
      <c r="O114" s="485">
        <f t="shared" si="2"/>
        <v>0.012</v>
      </c>
      <c r="P114" s="504">
        <f t="shared" si="3"/>
        <v>0.005</v>
      </c>
      <c r="Q114" s="504">
        <f t="shared" si="49"/>
        <v>0.012</v>
      </c>
      <c r="R114" s="504">
        <f t="shared" si="51"/>
        <v>0.005</v>
      </c>
      <c r="S114" s="489" t="s">
        <v>12</v>
      </c>
    </row>
    <row r="115">
      <c r="A115" s="490">
        <v>45509.0</v>
      </c>
      <c r="B115" s="491" t="s">
        <v>977</v>
      </c>
      <c r="C115" s="491">
        <v>44.0</v>
      </c>
      <c r="D115" s="491">
        <v>24.0</v>
      </c>
      <c r="E115" s="491" t="s">
        <v>943</v>
      </c>
      <c r="F115" s="491">
        <v>0.0</v>
      </c>
      <c r="G115" s="491">
        <v>0.0</v>
      </c>
      <c r="H115" s="492">
        <v>1.0</v>
      </c>
      <c r="I115" s="493">
        <v>45509.618946759256</v>
      </c>
      <c r="J115" s="491">
        <v>0.221</v>
      </c>
      <c r="K115" s="491">
        <v>166.03</v>
      </c>
      <c r="L115" s="491">
        <v>0.15</v>
      </c>
      <c r="M115" s="491">
        <v>10.72</v>
      </c>
      <c r="N115" s="491">
        <v>1.0</v>
      </c>
      <c r="O115" s="485">
        <f t="shared" si="2"/>
        <v>0.221</v>
      </c>
      <c r="P115" s="504">
        <f t="shared" si="3"/>
        <v>0.15</v>
      </c>
      <c r="Q115" s="504">
        <f t="shared" si="49"/>
        <v>0.221</v>
      </c>
      <c r="R115" s="504">
        <f t="shared" si="51"/>
        <v>0.15</v>
      </c>
      <c r="S115" s="489" t="s">
        <v>12</v>
      </c>
    </row>
    <row r="116">
      <c r="A116" s="490">
        <v>45509.0</v>
      </c>
      <c r="B116" s="491" t="s">
        <v>974</v>
      </c>
      <c r="C116" s="491">
        <v>45.0</v>
      </c>
      <c r="D116" s="491">
        <v>908.0</v>
      </c>
      <c r="E116" s="491" t="s">
        <v>945</v>
      </c>
      <c r="F116" s="491">
        <v>0.0</v>
      </c>
      <c r="G116" s="491">
        <v>0.0</v>
      </c>
      <c r="H116" s="492">
        <v>0.0</v>
      </c>
      <c r="I116" s="493">
        <v>45509.61975694444</v>
      </c>
      <c r="J116" s="491">
        <v>0.173</v>
      </c>
      <c r="K116" s="491">
        <v>130.81</v>
      </c>
      <c r="L116" s="491">
        <v>0.03</v>
      </c>
      <c r="M116" s="491">
        <v>2.58</v>
      </c>
      <c r="N116" s="491">
        <v>1.0</v>
      </c>
      <c r="O116" s="485">
        <f t="shared" si="2"/>
        <v>0.173</v>
      </c>
      <c r="P116" s="504">
        <f t="shared" si="3"/>
        <v>0.03</v>
      </c>
      <c r="Q116" s="504">
        <f t="shared" si="49"/>
        <v>0.173</v>
      </c>
      <c r="R116" s="504">
        <f t="shared" si="51"/>
        <v>0.03</v>
      </c>
      <c r="S116" s="489" t="s">
        <v>12</v>
      </c>
    </row>
    <row r="117">
      <c r="A117" s="490">
        <v>45509.0</v>
      </c>
      <c r="B117" s="491" t="s">
        <v>969</v>
      </c>
      <c r="C117" s="491">
        <v>46.0</v>
      </c>
      <c r="D117" s="491">
        <v>909.0</v>
      </c>
      <c r="E117" s="491" t="s">
        <v>945</v>
      </c>
      <c r="F117" s="491">
        <v>0.0</v>
      </c>
      <c r="G117" s="491">
        <v>0.0</v>
      </c>
      <c r="H117" s="492">
        <v>0.0</v>
      </c>
      <c r="I117" s="493">
        <v>45509.62056712963</v>
      </c>
      <c r="J117" s="491">
        <v>0.161</v>
      </c>
      <c r="K117" s="491">
        <v>121.87</v>
      </c>
      <c r="L117" s="491">
        <v>0.029</v>
      </c>
      <c r="M117" s="491">
        <v>2.52</v>
      </c>
      <c r="N117" s="491">
        <v>1.0</v>
      </c>
      <c r="O117" s="485">
        <f t="shared" si="2"/>
        <v>0.161</v>
      </c>
      <c r="P117" s="504">
        <f t="shared" si="3"/>
        <v>0.029</v>
      </c>
      <c r="Q117" s="504">
        <f t="shared" si="49"/>
        <v>0.161</v>
      </c>
      <c r="R117" s="504">
        <f t="shared" si="51"/>
        <v>0.029</v>
      </c>
      <c r="S117" s="489" t="s">
        <v>12</v>
      </c>
    </row>
    <row r="118">
      <c r="A118" s="490">
        <v>45509.0</v>
      </c>
      <c r="B118" s="491" t="s">
        <v>935</v>
      </c>
      <c r="C118" s="491">
        <v>47.0</v>
      </c>
      <c r="D118" s="491">
        <v>0.0</v>
      </c>
      <c r="E118" s="491" t="s">
        <v>936</v>
      </c>
      <c r="F118" s="491">
        <v>0.0</v>
      </c>
      <c r="G118" s="491">
        <v>0.0</v>
      </c>
      <c r="H118" s="492">
        <v>0.0</v>
      </c>
      <c r="I118" s="493">
        <v>45509.62137731481</v>
      </c>
      <c r="J118" s="491">
        <v>-0.005</v>
      </c>
      <c r="K118" s="491">
        <v>0.0</v>
      </c>
      <c r="L118" s="491">
        <v>-0.008</v>
      </c>
      <c r="M118" s="491">
        <v>0.0</v>
      </c>
      <c r="N118" s="491">
        <v>1.0</v>
      </c>
      <c r="O118" s="507">
        <f t="shared" si="2"/>
        <v>-0.005</v>
      </c>
      <c r="P118" s="506">
        <f t="shared" si="3"/>
        <v>-0.008</v>
      </c>
      <c r="Q118" s="504" t="s">
        <v>973</v>
      </c>
      <c r="R118" s="485" t="s">
        <v>973</v>
      </c>
      <c r="S118" s="489" t="s">
        <v>12</v>
      </c>
    </row>
    <row r="119">
      <c r="A119" s="490">
        <v>45509.0</v>
      </c>
      <c r="B119" s="491" t="s">
        <v>79</v>
      </c>
      <c r="C119" s="491">
        <v>48.0</v>
      </c>
      <c r="D119" s="491">
        <v>906.0</v>
      </c>
      <c r="E119" s="491" t="s">
        <v>941</v>
      </c>
      <c r="F119" s="491">
        <v>0.0</v>
      </c>
      <c r="G119" s="491">
        <v>0.0</v>
      </c>
      <c r="H119" s="492">
        <v>0.0</v>
      </c>
      <c r="I119" s="493">
        <v>45509.62380787037</v>
      </c>
      <c r="J119" s="491">
        <v>-0.002</v>
      </c>
      <c r="K119" s="491">
        <v>2.12</v>
      </c>
      <c r="L119" s="491">
        <v>-0.002</v>
      </c>
      <c r="M119" s="491">
        <v>0.47</v>
      </c>
      <c r="N119" s="491">
        <v>1.0</v>
      </c>
      <c r="O119" s="507">
        <f t="shared" si="2"/>
        <v>-0.002</v>
      </c>
      <c r="P119" s="506">
        <f t="shared" si="3"/>
        <v>-0.002</v>
      </c>
      <c r="Q119" s="504" t="s">
        <v>973</v>
      </c>
      <c r="R119" s="485" t="s">
        <v>973</v>
      </c>
      <c r="S119" s="489" t="s">
        <v>12</v>
      </c>
    </row>
    <row r="120">
      <c r="A120" s="490">
        <v>45509.0</v>
      </c>
      <c r="B120" s="491" t="s">
        <v>79</v>
      </c>
      <c r="C120" s="491">
        <v>49.0</v>
      </c>
      <c r="D120" s="491">
        <v>906.0</v>
      </c>
      <c r="E120" s="491" t="s">
        <v>941</v>
      </c>
      <c r="F120" s="491">
        <v>0.0</v>
      </c>
      <c r="G120" s="491">
        <v>0.0</v>
      </c>
      <c r="H120" s="492">
        <v>0.0</v>
      </c>
      <c r="I120" s="493">
        <v>45509.62461805555</v>
      </c>
      <c r="J120" s="491">
        <v>-0.003</v>
      </c>
      <c r="K120" s="491">
        <v>1.98</v>
      </c>
      <c r="L120" s="491">
        <v>0.0</v>
      </c>
      <c r="M120" s="491">
        <v>0.54</v>
      </c>
      <c r="N120" s="491">
        <v>1.0</v>
      </c>
      <c r="O120" s="507">
        <f t="shared" si="2"/>
        <v>-0.003</v>
      </c>
      <c r="P120" s="506">
        <f t="shared" si="3"/>
        <v>0</v>
      </c>
      <c r="Q120" s="504" t="s">
        <v>973</v>
      </c>
      <c r="R120" s="485" t="s">
        <v>973</v>
      </c>
      <c r="S120" s="489" t="s">
        <v>12</v>
      </c>
    </row>
    <row r="121">
      <c r="A121" s="490">
        <v>45509.0</v>
      </c>
      <c r="B121" s="491" t="s">
        <v>79</v>
      </c>
      <c r="C121" s="491">
        <v>50.0</v>
      </c>
      <c r="D121" s="491">
        <v>906.0</v>
      </c>
      <c r="E121" s="491" t="s">
        <v>941</v>
      </c>
      <c r="F121" s="491">
        <v>0.0</v>
      </c>
      <c r="G121" s="491">
        <v>0.0</v>
      </c>
      <c r="H121" s="492">
        <v>0.0</v>
      </c>
      <c r="I121" s="493">
        <v>45509.62542824074</v>
      </c>
      <c r="J121" s="491">
        <v>-0.003</v>
      </c>
      <c r="K121" s="491">
        <v>1.87</v>
      </c>
      <c r="L121" s="491">
        <v>-0.001</v>
      </c>
      <c r="M121" s="491">
        <v>0.49</v>
      </c>
      <c r="N121" s="491">
        <v>1.0</v>
      </c>
      <c r="O121" s="507">
        <f t="shared" si="2"/>
        <v>-0.003</v>
      </c>
      <c r="P121" s="506">
        <f t="shared" si="3"/>
        <v>-0.001</v>
      </c>
      <c r="Q121" s="504" t="s">
        <v>973</v>
      </c>
      <c r="R121" s="485" t="s">
        <v>973</v>
      </c>
      <c r="S121" s="489" t="s">
        <v>12</v>
      </c>
    </row>
    <row r="122">
      <c r="A122" s="490">
        <v>45509.0</v>
      </c>
      <c r="B122" s="491" t="s">
        <v>79</v>
      </c>
      <c r="C122" s="491">
        <v>51.0</v>
      </c>
      <c r="D122" s="491">
        <v>906.0</v>
      </c>
      <c r="E122" s="491" t="s">
        <v>941</v>
      </c>
      <c r="F122" s="491">
        <v>0.0</v>
      </c>
      <c r="G122" s="491">
        <v>0.0</v>
      </c>
      <c r="H122" s="492">
        <v>0.0</v>
      </c>
      <c r="I122" s="493">
        <v>45509.626238425924</v>
      </c>
      <c r="J122" s="491">
        <v>-0.003</v>
      </c>
      <c r="K122" s="491">
        <v>1.69</v>
      </c>
      <c r="L122" s="491">
        <v>0.0</v>
      </c>
      <c r="M122" s="491">
        <v>0.55</v>
      </c>
      <c r="N122" s="491">
        <v>1.0</v>
      </c>
      <c r="O122" s="507">
        <f t="shared" si="2"/>
        <v>-0.003</v>
      </c>
      <c r="P122" s="506">
        <f t="shared" si="3"/>
        <v>0</v>
      </c>
      <c r="Q122" s="504" t="s">
        <v>973</v>
      </c>
      <c r="R122" s="485" t="s">
        <v>973</v>
      </c>
      <c r="S122" s="489" t="s">
        <v>12</v>
      </c>
    </row>
    <row r="123">
      <c r="A123" s="490">
        <v>45509.0</v>
      </c>
      <c r="B123" s="491" t="s">
        <v>79</v>
      </c>
      <c r="C123" s="491">
        <v>52.0</v>
      </c>
      <c r="D123" s="491">
        <v>906.0</v>
      </c>
      <c r="E123" s="491" t="s">
        <v>941</v>
      </c>
      <c r="F123" s="491">
        <v>0.0</v>
      </c>
      <c r="G123" s="491">
        <v>0.0</v>
      </c>
      <c r="H123" s="492">
        <v>0.0</v>
      </c>
      <c r="I123" s="493">
        <v>45509.62704861111</v>
      </c>
      <c r="J123" s="491">
        <v>-0.004</v>
      </c>
      <c r="K123" s="491">
        <v>1.16</v>
      </c>
      <c r="L123" s="491">
        <v>-0.002</v>
      </c>
      <c r="M123" s="491">
        <v>0.43</v>
      </c>
      <c r="N123" s="491">
        <v>1.0</v>
      </c>
      <c r="O123" s="507">
        <f t="shared" si="2"/>
        <v>-0.004</v>
      </c>
      <c r="P123" s="506">
        <f t="shared" si="3"/>
        <v>-0.002</v>
      </c>
      <c r="Q123" s="504" t="s">
        <v>973</v>
      </c>
      <c r="R123" s="485" t="s">
        <v>973</v>
      </c>
      <c r="S123" s="489" t="s">
        <v>12</v>
      </c>
    </row>
    <row r="124">
      <c r="A124" s="490">
        <v>45509.0</v>
      </c>
      <c r="B124" s="491" t="s">
        <v>79</v>
      </c>
      <c r="C124" s="491">
        <v>53.0</v>
      </c>
      <c r="D124" s="491">
        <v>906.0</v>
      </c>
      <c r="E124" s="491" t="s">
        <v>941</v>
      </c>
      <c r="F124" s="491">
        <v>0.0</v>
      </c>
      <c r="G124" s="491">
        <v>0.0</v>
      </c>
      <c r="H124" s="492">
        <v>0.0</v>
      </c>
      <c r="I124" s="493">
        <v>45509.627858796295</v>
      </c>
      <c r="J124" s="491">
        <v>-0.004</v>
      </c>
      <c r="K124" s="491">
        <v>0.91</v>
      </c>
      <c r="L124" s="491">
        <v>-0.002</v>
      </c>
      <c r="M124" s="491">
        <v>0.42</v>
      </c>
      <c r="N124" s="491">
        <v>1.0</v>
      </c>
      <c r="O124" s="507">
        <f t="shared" si="2"/>
        <v>-0.004</v>
      </c>
      <c r="P124" s="506">
        <f t="shared" si="3"/>
        <v>-0.002</v>
      </c>
      <c r="Q124" s="504" t="s">
        <v>973</v>
      </c>
      <c r="R124" s="485" t="s">
        <v>973</v>
      </c>
      <c r="S124" s="489" t="s">
        <v>12</v>
      </c>
    </row>
    <row r="125">
      <c r="A125" s="490">
        <v>45509.0</v>
      </c>
      <c r="B125" s="491" t="s">
        <v>79</v>
      </c>
      <c r="C125" s="491">
        <v>54.0</v>
      </c>
      <c r="D125" s="491">
        <v>906.0</v>
      </c>
      <c r="E125" s="491" t="s">
        <v>941</v>
      </c>
      <c r="F125" s="491">
        <v>0.0</v>
      </c>
      <c r="G125" s="491">
        <v>0.0</v>
      </c>
      <c r="H125" s="492">
        <v>0.0</v>
      </c>
      <c r="I125" s="493">
        <v>45509.62866898148</v>
      </c>
      <c r="J125" s="491">
        <v>-0.004</v>
      </c>
      <c r="K125" s="491">
        <v>0.76</v>
      </c>
      <c r="L125" s="491">
        <v>-0.002</v>
      </c>
      <c r="M125" s="491">
        <v>0.43</v>
      </c>
      <c r="N125" s="491">
        <v>1.0</v>
      </c>
      <c r="O125" s="507">
        <f t="shared" si="2"/>
        <v>-0.004</v>
      </c>
      <c r="P125" s="506">
        <f t="shared" si="3"/>
        <v>-0.002</v>
      </c>
      <c r="Q125" s="504" t="s">
        <v>973</v>
      </c>
      <c r="R125" s="485" t="s">
        <v>973</v>
      </c>
      <c r="S125" s="489" t="s">
        <v>12</v>
      </c>
    </row>
    <row r="126">
      <c r="A126" s="490">
        <v>45509.0</v>
      </c>
      <c r="B126" s="491" t="s">
        <v>79</v>
      </c>
      <c r="C126" s="491">
        <v>55.0</v>
      </c>
      <c r="D126" s="491">
        <v>906.0</v>
      </c>
      <c r="E126" s="491" t="s">
        <v>941</v>
      </c>
      <c r="F126" s="491">
        <v>0.0</v>
      </c>
      <c r="G126" s="491">
        <v>0.0</v>
      </c>
      <c r="H126" s="492">
        <v>0.0</v>
      </c>
      <c r="I126" s="493">
        <v>45509.629479166666</v>
      </c>
      <c r="J126" s="491">
        <v>-0.004</v>
      </c>
      <c r="K126" s="491">
        <v>0.57</v>
      </c>
      <c r="L126" s="491">
        <v>0.0</v>
      </c>
      <c r="M126" s="491">
        <v>0.56</v>
      </c>
      <c r="N126" s="491">
        <v>1.0</v>
      </c>
      <c r="O126" s="507">
        <f t="shared" si="2"/>
        <v>-0.004</v>
      </c>
      <c r="P126" s="506">
        <f t="shared" si="3"/>
        <v>0</v>
      </c>
      <c r="Q126" s="504" t="s">
        <v>973</v>
      </c>
      <c r="R126" s="485" t="s">
        <v>973</v>
      </c>
      <c r="S126" s="489" t="s">
        <v>12</v>
      </c>
    </row>
    <row r="127">
      <c r="A127" s="490">
        <v>45509.0</v>
      </c>
      <c r="B127" s="491" t="s">
        <v>79</v>
      </c>
      <c r="C127" s="491">
        <v>56.0</v>
      </c>
      <c r="D127" s="491">
        <v>906.0</v>
      </c>
      <c r="E127" s="491" t="s">
        <v>941</v>
      </c>
      <c r="F127" s="491">
        <v>0.0</v>
      </c>
      <c r="G127" s="491">
        <v>0.0</v>
      </c>
      <c r="H127" s="492">
        <v>0.0</v>
      </c>
      <c r="I127" s="493">
        <v>45509.63028935185</v>
      </c>
      <c r="J127" s="491">
        <v>-0.005</v>
      </c>
      <c r="K127" s="491">
        <v>0.31</v>
      </c>
      <c r="L127" s="491">
        <v>-0.002</v>
      </c>
      <c r="M127" s="491">
        <v>0.45</v>
      </c>
      <c r="N127" s="491">
        <v>1.0</v>
      </c>
      <c r="O127" s="507">
        <f t="shared" si="2"/>
        <v>-0.005</v>
      </c>
      <c r="P127" s="506">
        <f t="shared" si="3"/>
        <v>-0.002</v>
      </c>
      <c r="Q127" s="504" t="s">
        <v>973</v>
      </c>
      <c r="R127" s="485" t="s">
        <v>973</v>
      </c>
      <c r="S127" s="489" t="s">
        <v>12</v>
      </c>
    </row>
    <row r="128">
      <c r="A128" s="490">
        <v>45509.0</v>
      </c>
      <c r="B128" s="491" t="s">
        <v>79</v>
      </c>
      <c r="C128" s="491">
        <v>57.0</v>
      </c>
      <c r="D128" s="491">
        <v>906.0</v>
      </c>
      <c r="E128" s="491" t="s">
        <v>941</v>
      </c>
      <c r="F128" s="491">
        <v>0.0</v>
      </c>
      <c r="G128" s="491">
        <v>0.0</v>
      </c>
      <c r="H128" s="492">
        <v>0.0</v>
      </c>
      <c r="I128" s="493">
        <v>45509.63109953704</v>
      </c>
      <c r="J128" s="491">
        <v>-0.002</v>
      </c>
      <c r="K128" s="491">
        <v>2.37</v>
      </c>
      <c r="L128" s="491">
        <v>-0.002</v>
      </c>
      <c r="M128" s="491">
        <v>0.47</v>
      </c>
      <c r="N128" s="491">
        <v>1.0</v>
      </c>
      <c r="O128" s="507">
        <f t="shared" si="2"/>
        <v>-0.002</v>
      </c>
      <c r="P128" s="506">
        <f t="shared" si="3"/>
        <v>-0.002</v>
      </c>
      <c r="Q128" s="504" t="s">
        <v>973</v>
      </c>
      <c r="R128" s="485" t="s">
        <v>973</v>
      </c>
      <c r="S128" s="489" t="s">
        <v>12</v>
      </c>
    </row>
    <row r="129">
      <c r="A129" s="490">
        <v>45509.0</v>
      </c>
      <c r="B129" s="491" t="s">
        <v>958</v>
      </c>
      <c r="C129" s="491">
        <v>58.0</v>
      </c>
      <c r="D129" s="491">
        <v>907.0</v>
      </c>
      <c r="E129" s="491" t="s">
        <v>943</v>
      </c>
      <c r="F129" s="491">
        <v>0.0</v>
      </c>
      <c r="G129" s="491">
        <v>0.0</v>
      </c>
      <c r="H129" s="492">
        <v>1.0</v>
      </c>
      <c r="I129" s="493">
        <v>45509.63190972222</v>
      </c>
      <c r="J129" s="491">
        <v>0.156</v>
      </c>
      <c r="K129" s="491">
        <v>118.42</v>
      </c>
      <c r="L129" s="491">
        <v>0.143</v>
      </c>
      <c r="M129" s="491">
        <v>10.25</v>
      </c>
      <c r="N129" s="491">
        <v>1.0</v>
      </c>
      <c r="O129" s="485">
        <f t="shared" si="2"/>
        <v>0.156</v>
      </c>
      <c r="P129" s="504">
        <f t="shared" si="3"/>
        <v>0.143</v>
      </c>
      <c r="Q129" s="504">
        <f t="shared" ref="Q129:R129" si="52">O129</f>
        <v>0.156</v>
      </c>
      <c r="R129" s="504">
        <f t="shared" si="52"/>
        <v>0.143</v>
      </c>
      <c r="S129" s="489" t="s">
        <v>12</v>
      </c>
    </row>
    <row r="130">
      <c r="A130" s="490">
        <v>45509.0</v>
      </c>
      <c r="B130" s="491" t="s">
        <v>974</v>
      </c>
      <c r="C130" s="491">
        <v>59.0</v>
      </c>
      <c r="D130" s="491">
        <v>908.0</v>
      </c>
      <c r="E130" s="491" t="s">
        <v>945</v>
      </c>
      <c r="F130" s="491">
        <v>0.0</v>
      </c>
      <c r="G130" s="491">
        <v>0.0</v>
      </c>
      <c r="H130" s="492">
        <v>0.0</v>
      </c>
      <c r="I130" s="493">
        <v>45509.63271990741</v>
      </c>
      <c r="J130" s="491">
        <v>0.174</v>
      </c>
      <c r="K130" s="491">
        <v>131.7</v>
      </c>
      <c r="L130" s="491">
        <v>0.029</v>
      </c>
      <c r="M130" s="491">
        <v>2.55</v>
      </c>
      <c r="N130" s="491">
        <v>1.0</v>
      </c>
      <c r="O130" s="485">
        <f t="shared" si="2"/>
        <v>0.174</v>
      </c>
      <c r="P130" s="504">
        <f t="shared" si="3"/>
        <v>0.029</v>
      </c>
      <c r="Q130" s="504">
        <f t="shared" ref="Q130:R130" si="53">O130</f>
        <v>0.174</v>
      </c>
      <c r="R130" s="504">
        <f t="shared" si="53"/>
        <v>0.029</v>
      </c>
      <c r="S130" s="489" t="s">
        <v>12</v>
      </c>
    </row>
    <row r="131">
      <c r="A131" s="490">
        <v>45509.0</v>
      </c>
      <c r="B131" s="491" t="s">
        <v>969</v>
      </c>
      <c r="C131" s="491">
        <v>60.0</v>
      </c>
      <c r="D131" s="508">
        <v>909.0</v>
      </c>
      <c r="E131" s="508" t="s">
        <v>945</v>
      </c>
      <c r="F131" s="508">
        <v>0.0</v>
      </c>
      <c r="G131" s="508">
        <v>0.0</v>
      </c>
      <c r="H131" s="508">
        <v>0.0</v>
      </c>
      <c r="I131" s="493">
        <v>45509.63353009259</v>
      </c>
      <c r="J131" s="508">
        <v>0.176</v>
      </c>
      <c r="K131" s="508">
        <v>132.86</v>
      </c>
      <c r="L131" s="508">
        <v>0.029</v>
      </c>
      <c r="M131" s="508">
        <v>2.56</v>
      </c>
      <c r="N131" s="508">
        <v>1.0</v>
      </c>
      <c r="O131" s="489">
        <f t="shared" si="2"/>
        <v>0.176</v>
      </c>
      <c r="P131" s="489">
        <f t="shared" si="3"/>
        <v>0.029</v>
      </c>
      <c r="Q131" s="489">
        <f t="shared" ref="Q131:R131" si="54">O131</f>
        <v>0.176</v>
      </c>
      <c r="R131" s="489">
        <f t="shared" si="54"/>
        <v>0.029</v>
      </c>
      <c r="S131" s="489" t="s">
        <v>12</v>
      </c>
    </row>
    <row r="132">
      <c r="A132" s="490">
        <v>45509.0</v>
      </c>
      <c r="B132" s="491" t="s">
        <v>935</v>
      </c>
      <c r="C132" s="491">
        <v>61.0</v>
      </c>
      <c r="D132" s="508">
        <v>0.0</v>
      </c>
      <c r="E132" s="508" t="s">
        <v>936</v>
      </c>
      <c r="F132" s="508">
        <v>0.0</v>
      </c>
      <c r="G132" s="508">
        <v>0.0</v>
      </c>
      <c r="H132" s="508">
        <v>0.0</v>
      </c>
      <c r="I132" s="493">
        <v>45509.63434027778</v>
      </c>
      <c r="J132" s="508">
        <v>-0.005</v>
      </c>
      <c r="K132" s="508">
        <v>0.0</v>
      </c>
      <c r="L132" s="508">
        <v>-0.008</v>
      </c>
      <c r="M132" s="508">
        <v>0.0</v>
      </c>
      <c r="N132" s="508">
        <v>1.0</v>
      </c>
      <c r="O132" s="509">
        <f t="shared" si="2"/>
        <v>-0.005</v>
      </c>
      <c r="P132" s="509">
        <f t="shared" si="3"/>
        <v>-0.008</v>
      </c>
      <c r="Q132" s="489" t="s">
        <v>973</v>
      </c>
      <c r="R132" s="489" t="s">
        <v>973</v>
      </c>
      <c r="S132" s="489" t="s">
        <v>12</v>
      </c>
    </row>
    <row r="133">
      <c r="A133" s="490">
        <v>45509.0</v>
      </c>
      <c r="B133" s="491" t="s">
        <v>978</v>
      </c>
      <c r="C133" s="491">
        <v>62.0</v>
      </c>
      <c r="D133" s="508">
        <v>25.0</v>
      </c>
      <c r="E133" s="508" t="s">
        <v>941</v>
      </c>
      <c r="F133" s="508">
        <v>0.0</v>
      </c>
      <c r="G133" s="508">
        <v>0.0</v>
      </c>
      <c r="H133" s="508">
        <v>0.0</v>
      </c>
      <c r="I133" s="493">
        <v>45509.636770833335</v>
      </c>
      <c r="J133" s="508">
        <v>0.182</v>
      </c>
      <c r="K133" s="508">
        <v>137.47</v>
      </c>
      <c r="L133" s="508">
        <v>0.148</v>
      </c>
      <c r="M133" s="508">
        <v>10.63</v>
      </c>
      <c r="N133" s="508">
        <v>1.0</v>
      </c>
      <c r="O133" s="489">
        <f t="shared" si="2"/>
        <v>0.182</v>
      </c>
      <c r="P133" s="489">
        <f t="shared" si="3"/>
        <v>0.148</v>
      </c>
      <c r="Q133" s="489">
        <f t="shared" ref="Q133:R133" si="55">O133</f>
        <v>0.182</v>
      </c>
      <c r="R133" s="489">
        <f t="shared" si="55"/>
        <v>0.148</v>
      </c>
      <c r="S133" s="489" t="s">
        <v>12</v>
      </c>
    </row>
    <row r="134">
      <c r="A134" s="490">
        <v>45509.0</v>
      </c>
      <c r="B134" s="491" t="s">
        <v>979</v>
      </c>
      <c r="C134" s="491">
        <v>63.0</v>
      </c>
      <c r="D134" s="508">
        <v>26.0</v>
      </c>
      <c r="E134" s="508" t="s">
        <v>941</v>
      </c>
      <c r="F134" s="508">
        <v>0.0</v>
      </c>
      <c r="G134" s="508">
        <v>0.0</v>
      </c>
      <c r="H134" s="508">
        <v>0.0</v>
      </c>
      <c r="I134" s="493">
        <v>45509.63758101852</v>
      </c>
      <c r="J134" s="508">
        <v>0.174</v>
      </c>
      <c r="K134" s="508">
        <v>131.64</v>
      </c>
      <c r="L134" s="508">
        <v>0.152</v>
      </c>
      <c r="M134" s="508">
        <v>10.87</v>
      </c>
      <c r="N134" s="508">
        <v>1.0</v>
      </c>
      <c r="O134" s="489">
        <f t="shared" si="2"/>
        <v>0.174</v>
      </c>
      <c r="P134" s="489">
        <f t="shared" si="3"/>
        <v>0.152</v>
      </c>
      <c r="Q134" s="489">
        <f t="shared" ref="Q134:R134" si="56">O134</f>
        <v>0.174</v>
      </c>
      <c r="R134" s="489">
        <f t="shared" si="56"/>
        <v>0.152</v>
      </c>
      <c r="S134" s="489" t="s">
        <v>12</v>
      </c>
    </row>
    <row r="135">
      <c r="A135" s="490">
        <v>45509.0</v>
      </c>
      <c r="B135" s="491">
        <v>542.0</v>
      </c>
      <c r="C135" s="491">
        <v>64.0</v>
      </c>
      <c r="D135" s="508">
        <v>27.0</v>
      </c>
      <c r="E135" s="508" t="s">
        <v>941</v>
      </c>
      <c r="F135" s="508">
        <v>0.0</v>
      </c>
      <c r="G135" s="508">
        <v>0.0</v>
      </c>
      <c r="H135" s="508">
        <v>0.0</v>
      </c>
      <c r="I135" s="493">
        <v>45509.638391203705</v>
      </c>
      <c r="J135" s="508">
        <v>0.029</v>
      </c>
      <c r="K135" s="508">
        <v>24.81</v>
      </c>
      <c r="L135" s="508">
        <v>0.04</v>
      </c>
      <c r="M135" s="508">
        <v>3.31</v>
      </c>
      <c r="N135" s="508">
        <v>1.0</v>
      </c>
      <c r="O135" s="489">
        <f t="shared" si="2"/>
        <v>0.029</v>
      </c>
      <c r="P135" s="489">
        <f t="shared" si="3"/>
        <v>0.04</v>
      </c>
      <c r="Q135" s="489">
        <f t="shared" ref="Q135:R135" si="57">O135</f>
        <v>0.029</v>
      </c>
      <c r="R135" s="489">
        <f t="shared" si="57"/>
        <v>0.04</v>
      </c>
      <c r="S135" s="489" t="s">
        <v>12</v>
      </c>
    </row>
    <row r="136">
      <c r="A136" s="490">
        <v>45509.0</v>
      </c>
      <c r="B136" s="491" t="s">
        <v>935</v>
      </c>
      <c r="C136" s="491">
        <v>65.0</v>
      </c>
      <c r="D136" s="508">
        <v>0.0</v>
      </c>
      <c r="E136" s="508" t="s">
        <v>936</v>
      </c>
      <c r="F136" s="508">
        <v>0.0</v>
      </c>
      <c r="G136" s="508">
        <v>0.0</v>
      </c>
      <c r="H136" s="508">
        <v>0.0</v>
      </c>
      <c r="I136" s="493">
        <v>45509.63920138889</v>
      </c>
      <c r="J136" s="508">
        <v>-0.005</v>
      </c>
      <c r="K136" s="508">
        <v>0.0</v>
      </c>
      <c r="L136" s="508">
        <v>-0.008</v>
      </c>
      <c r="M136" s="508">
        <v>0.0</v>
      </c>
      <c r="N136" s="508">
        <v>1.0</v>
      </c>
      <c r="O136" s="509">
        <f t="shared" si="2"/>
        <v>-0.005</v>
      </c>
      <c r="P136" s="509">
        <f t="shared" si="3"/>
        <v>-0.008</v>
      </c>
      <c r="Q136" s="489" t="s">
        <v>973</v>
      </c>
      <c r="R136" s="489" t="s">
        <v>973</v>
      </c>
      <c r="S136" s="489" t="s">
        <v>12</v>
      </c>
    </row>
    <row r="137">
      <c r="A137" s="490">
        <v>45509.0</v>
      </c>
      <c r="B137" s="491" t="s">
        <v>930</v>
      </c>
      <c r="C137" s="491">
        <v>66.0</v>
      </c>
      <c r="D137" s="508">
        <v>921.0</v>
      </c>
      <c r="E137" s="508" t="s">
        <v>931</v>
      </c>
      <c r="F137" s="508">
        <v>0.0</v>
      </c>
      <c r="G137" s="508">
        <v>0.0</v>
      </c>
      <c r="H137" s="508">
        <v>0.0</v>
      </c>
      <c r="I137" s="493">
        <v>45509.64163194445</v>
      </c>
      <c r="J137" s="508">
        <v>0.199</v>
      </c>
      <c r="K137" s="508">
        <v>149.89</v>
      </c>
      <c r="L137" s="508">
        <v>0.199</v>
      </c>
      <c r="M137" s="508">
        <v>14.05</v>
      </c>
      <c r="N137" s="508">
        <v>1.0</v>
      </c>
      <c r="O137" s="489">
        <f t="shared" si="2"/>
        <v>0.199</v>
      </c>
      <c r="P137" s="489">
        <f t="shared" si="3"/>
        <v>0.199</v>
      </c>
      <c r="Q137" s="489">
        <f t="shared" ref="Q137:R137" si="58">O137</f>
        <v>0.199</v>
      </c>
      <c r="R137" s="489">
        <f t="shared" si="58"/>
        <v>0.199</v>
      </c>
      <c r="S137" s="489" t="s">
        <v>12</v>
      </c>
    </row>
    <row r="138">
      <c r="A138" s="490">
        <v>45509.0</v>
      </c>
      <c r="B138" s="491" t="s">
        <v>959</v>
      </c>
      <c r="C138" s="491">
        <v>67.0</v>
      </c>
      <c r="D138" s="508">
        <v>0.0</v>
      </c>
      <c r="E138" s="508" t="s">
        <v>960</v>
      </c>
      <c r="F138" s="508">
        <v>0.0</v>
      </c>
      <c r="G138" s="508">
        <v>0.0</v>
      </c>
      <c r="H138" s="508">
        <v>0.0</v>
      </c>
      <c r="I138" s="493">
        <v>45509.64244212963</v>
      </c>
      <c r="J138" s="508">
        <v>-0.005</v>
      </c>
      <c r="K138" s="508">
        <v>0.0</v>
      </c>
      <c r="L138" s="508">
        <v>-0.008</v>
      </c>
      <c r="M138" s="508">
        <v>0.0</v>
      </c>
      <c r="N138" s="508">
        <v>1.0</v>
      </c>
      <c r="O138" s="509">
        <f t="shared" si="2"/>
        <v>-0.005</v>
      </c>
      <c r="P138" s="509">
        <f t="shared" si="3"/>
        <v>-0.008</v>
      </c>
      <c r="Q138" s="489" t="s">
        <v>973</v>
      </c>
      <c r="R138" s="489" t="s">
        <v>973</v>
      </c>
      <c r="S138" s="489" t="s">
        <v>12</v>
      </c>
    </row>
    <row r="139">
      <c r="A139" s="365"/>
      <c r="B139" s="365"/>
      <c r="C139" s="365"/>
    </row>
    <row r="140">
      <c r="A140" s="365"/>
      <c r="B140" s="365"/>
      <c r="C140" s="365"/>
    </row>
    <row r="141">
      <c r="A141" s="365"/>
      <c r="B141" s="365"/>
      <c r="C141" s="365"/>
    </row>
    <row r="142">
      <c r="A142" s="365"/>
      <c r="B142" s="365"/>
      <c r="C142" s="365"/>
    </row>
    <row r="143">
      <c r="A143" s="365"/>
      <c r="B143" s="365"/>
      <c r="C143" s="365"/>
    </row>
    <row r="144">
      <c r="A144" s="365"/>
      <c r="B144" s="365"/>
      <c r="C144" s="365"/>
    </row>
    <row r="145">
      <c r="A145" s="365"/>
      <c r="B145" s="365"/>
      <c r="C145" s="365"/>
    </row>
    <row r="146">
      <c r="A146" s="365"/>
      <c r="B146" s="365"/>
      <c r="C146" s="365"/>
    </row>
    <row r="147">
      <c r="A147" s="365"/>
      <c r="B147" s="365"/>
      <c r="C147" s="365"/>
    </row>
    <row r="148">
      <c r="A148" s="365"/>
      <c r="B148" s="365"/>
      <c r="C148" s="365"/>
    </row>
    <row r="149">
      <c r="A149" s="365"/>
      <c r="B149" s="365"/>
      <c r="C149" s="365"/>
    </row>
    <row r="150">
      <c r="A150" s="365"/>
      <c r="B150" s="365"/>
      <c r="C150" s="365"/>
    </row>
    <row r="151">
      <c r="A151" s="365"/>
      <c r="B151" s="365"/>
      <c r="C151" s="365"/>
    </row>
    <row r="152">
      <c r="A152" s="365"/>
      <c r="B152" s="365"/>
      <c r="C152" s="365"/>
    </row>
    <row r="153">
      <c r="A153" s="365"/>
      <c r="B153" s="365"/>
      <c r="C153" s="365"/>
    </row>
    <row r="154">
      <c r="A154" s="365"/>
      <c r="B154" s="365"/>
      <c r="C154" s="365"/>
    </row>
    <row r="155">
      <c r="A155" s="365"/>
      <c r="B155" s="365"/>
      <c r="C155" s="365"/>
    </row>
    <row r="156">
      <c r="A156" s="365"/>
      <c r="B156" s="365"/>
      <c r="C156" s="365"/>
    </row>
    <row r="157">
      <c r="A157" s="365"/>
      <c r="B157" s="365"/>
      <c r="C157" s="365"/>
    </row>
    <row r="158">
      <c r="A158" s="365"/>
      <c r="B158" s="365"/>
      <c r="C158" s="365"/>
    </row>
    <row r="159">
      <c r="A159" s="365"/>
      <c r="B159" s="365"/>
      <c r="C159" s="365"/>
    </row>
    <row r="160">
      <c r="A160" s="365"/>
      <c r="B160" s="365"/>
      <c r="C160" s="365"/>
    </row>
    <row r="161">
      <c r="A161" s="365"/>
      <c r="B161" s="365"/>
      <c r="C161" s="365"/>
    </row>
    <row r="162">
      <c r="A162" s="365"/>
      <c r="B162" s="365"/>
      <c r="C162" s="365"/>
    </row>
    <row r="163">
      <c r="A163" s="365"/>
      <c r="B163" s="365"/>
      <c r="C163" s="365"/>
    </row>
    <row r="164">
      <c r="A164" s="365"/>
      <c r="B164" s="365"/>
      <c r="C164" s="365"/>
    </row>
    <row r="165">
      <c r="A165" s="365"/>
      <c r="B165" s="365"/>
      <c r="C165" s="365"/>
    </row>
    <row r="166">
      <c r="A166" s="365"/>
      <c r="B166" s="365"/>
      <c r="C166" s="365"/>
    </row>
    <row r="167">
      <c r="A167" s="365"/>
      <c r="B167" s="365"/>
      <c r="C167" s="365"/>
    </row>
    <row r="168">
      <c r="A168" s="365"/>
      <c r="B168" s="365"/>
      <c r="C168" s="365"/>
    </row>
    <row r="169">
      <c r="A169" s="365"/>
      <c r="B169" s="365"/>
      <c r="C169" s="365"/>
    </row>
    <row r="170">
      <c r="A170" s="365"/>
      <c r="B170" s="365"/>
      <c r="C170" s="365"/>
    </row>
    <row r="171">
      <c r="A171" s="365"/>
      <c r="B171" s="365"/>
      <c r="C171" s="365"/>
    </row>
    <row r="172">
      <c r="A172" s="365"/>
      <c r="B172" s="365"/>
      <c r="C172" s="365"/>
    </row>
    <row r="173">
      <c r="A173" s="365"/>
      <c r="B173" s="365"/>
      <c r="C173" s="365"/>
    </row>
    <row r="174">
      <c r="A174" s="365"/>
      <c r="B174" s="365"/>
      <c r="C174" s="365"/>
    </row>
    <row r="175">
      <c r="A175" s="365"/>
      <c r="B175" s="365"/>
      <c r="C175" s="365"/>
    </row>
    <row r="176">
      <c r="A176" s="365"/>
      <c r="B176" s="365"/>
      <c r="C176" s="365"/>
    </row>
    <row r="177">
      <c r="A177" s="365"/>
      <c r="B177" s="365"/>
      <c r="C177" s="365"/>
    </row>
    <row r="178">
      <c r="A178" s="365"/>
      <c r="B178" s="365"/>
      <c r="C178" s="365"/>
    </row>
    <row r="179">
      <c r="A179" s="365"/>
      <c r="B179" s="365"/>
      <c r="C179" s="365"/>
    </row>
    <row r="180">
      <c r="A180" s="365"/>
      <c r="B180" s="365"/>
      <c r="C180" s="365"/>
    </row>
    <row r="181">
      <c r="A181" s="365"/>
      <c r="B181" s="365"/>
      <c r="C181" s="365"/>
    </row>
    <row r="182">
      <c r="A182" s="365"/>
      <c r="B182" s="365"/>
      <c r="C182" s="365"/>
    </row>
    <row r="183">
      <c r="A183" s="365"/>
      <c r="B183" s="365"/>
      <c r="C183" s="365"/>
    </row>
    <row r="184">
      <c r="A184" s="365"/>
      <c r="B184" s="365"/>
      <c r="C184" s="365"/>
    </row>
    <row r="185">
      <c r="A185" s="365"/>
      <c r="B185" s="365"/>
      <c r="C185" s="365"/>
    </row>
    <row r="186">
      <c r="A186" s="365"/>
      <c r="B186" s="365"/>
      <c r="C186" s="365"/>
    </row>
    <row r="187">
      <c r="A187" s="365"/>
      <c r="B187" s="365"/>
      <c r="C187" s="365"/>
    </row>
    <row r="188">
      <c r="A188" s="365"/>
      <c r="B188" s="365"/>
      <c r="C188" s="365"/>
    </row>
    <row r="189">
      <c r="A189" s="365"/>
      <c r="B189" s="365"/>
      <c r="C189" s="365"/>
    </row>
    <row r="190">
      <c r="A190" s="365"/>
      <c r="B190" s="365"/>
      <c r="C190" s="365"/>
    </row>
    <row r="191">
      <c r="A191" s="365"/>
      <c r="B191" s="365"/>
      <c r="C191" s="365"/>
    </row>
    <row r="192">
      <c r="A192" s="365"/>
      <c r="B192" s="365"/>
      <c r="C192" s="365"/>
    </row>
    <row r="193">
      <c r="A193" s="365"/>
      <c r="B193" s="365"/>
      <c r="C193" s="365"/>
    </row>
    <row r="194">
      <c r="A194" s="365"/>
      <c r="B194" s="365"/>
      <c r="C194" s="365"/>
    </row>
    <row r="195">
      <c r="A195" s="365"/>
      <c r="B195" s="365"/>
      <c r="C195" s="365"/>
    </row>
    <row r="196">
      <c r="A196" s="365"/>
      <c r="B196" s="365"/>
      <c r="C196" s="365"/>
    </row>
    <row r="197">
      <c r="A197" s="365"/>
      <c r="B197" s="365"/>
      <c r="C197" s="365"/>
    </row>
    <row r="198">
      <c r="A198" s="365"/>
      <c r="B198" s="365"/>
      <c r="C198" s="365"/>
    </row>
    <row r="199">
      <c r="A199" s="365"/>
      <c r="B199" s="365"/>
      <c r="C199" s="365"/>
    </row>
    <row r="200">
      <c r="A200" s="365"/>
      <c r="B200" s="365"/>
      <c r="C200" s="365"/>
    </row>
    <row r="201">
      <c r="A201" s="365"/>
      <c r="B201" s="365"/>
      <c r="C201" s="365"/>
    </row>
    <row r="202">
      <c r="A202" s="365"/>
      <c r="B202" s="365"/>
      <c r="C202" s="365"/>
    </row>
    <row r="203">
      <c r="A203" s="365"/>
      <c r="B203" s="365"/>
      <c r="C203" s="365"/>
    </row>
    <row r="204">
      <c r="A204" s="365"/>
      <c r="B204" s="365"/>
      <c r="C204" s="365"/>
    </row>
    <row r="205">
      <c r="A205" s="365"/>
      <c r="B205" s="365"/>
      <c r="C205" s="365"/>
    </row>
    <row r="206">
      <c r="A206" s="365"/>
      <c r="B206" s="365"/>
      <c r="C206" s="365"/>
    </row>
    <row r="207">
      <c r="A207" s="365"/>
      <c r="B207" s="365"/>
      <c r="C207" s="365"/>
    </row>
    <row r="208">
      <c r="A208" s="365"/>
      <c r="B208" s="365"/>
      <c r="C208" s="365"/>
    </row>
    <row r="209">
      <c r="A209" s="365"/>
      <c r="B209" s="365"/>
      <c r="C209" s="365"/>
    </row>
    <row r="210">
      <c r="A210" s="365"/>
      <c r="B210" s="365"/>
      <c r="C210" s="365"/>
    </row>
    <row r="211">
      <c r="A211" s="365"/>
      <c r="B211" s="365"/>
      <c r="C211" s="365"/>
    </row>
    <row r="212">
      <c r="A212" s="365"/>
      <c r="B212" s="365"/>
      <c r="C212" s="365"/>
    </row>
    <row r="213">
      <c r="A213" s="365"/>
      <c r="B213" s="365"/>
      <c r="C213" s="365"/>
    </row>
    <row r="214">
      <c r="A214" s="365"/>
      <c r="B214" s="365"/>
      <c r="C214" s="365"/>
    </row>
    <row r="215">
      <c r="A215" s="365"/>
      <c r="B215" s="365"/>
      <c r="C215" s="365"/>
    </row>
    <row r="216">
      <c r="A216" s="365"/>
      <c r="B216" s="365"/>
      <c r="C216" s="365"/>
    </row>
    <row r="217">
      <c r="A217" s="365"/>
      <c r="B217" s="365"/>
      <c r="C217" s="365"/>
    </row>
    <row r="218">
      <c r="A218" s="365"/>
      <c r="B218" s="365"/>
      <c r="C218" s="365"/>
    </row>
    <row r="219">
      <c r="A219" s="365"/>
      <c r="B219" s="365"/>
      <c r="C219" s="365"/>
    </row>
    <row r="220">
      <c r="A220" s="365"/>
      <c r="B220" s="365"/>
      <c r="C220" s="365"/>
    </row>
    <row r="221">
      <c r="A221" s="365"/>
      <c r="B221" s="365"/>
      <c r="C221" s="365"/>
    </row>
    <row r="222">
      <c r="A222" s="365"/>
      <c r="B222" s="365"/>
      <c r="C222" s="365"/>
    </row>
    <row r="223">
      <c r="A223" s="365"/>
      <c r="B223" s="365"/>
      <c r="C223" s="365"/>
    </row>
    <row r="224">
      <c r="A224" s="365"/>
      <c r="B224" s="365"/>
      <c r="C224" s="365"/>
    </row>
    <row r="225">
      <c r="A225" s="365"/>
      <c r="B225" s="365"/>
      <c r="C225" s="365"/>
    </row>
    <row r="226">
      <c r="A226" s="365"/>
      <c r="B226" s="365"/>
      <c r="C226" s="365"/>
    </row>
    <row r="227">
      <c r="A227" s="365"/>
      <c r="B227" s="365"/>
      <c r="C227" s="365"/>
    </row>
    <row r="228">
      <c r="A228" s="365"/>
      <c r="B228" s="365"/>
      <c r="C228" s="365"/>
    </row>
    <row r="229">
      <c r="A229" s="365"/>
      <c r="B229" s="365"/>
      <c r="C229" s="365"/>
    </row>
    <row r="230">
      <c r="A230" s="365"/>
      <c r="B230" s="365"/>
      <c r="C230" s="365"/>
    </row>
    <row r="231">
      <c r="A231" s="365"/>
      <c r="B231" s="365"/>
      <c r="C231" s="365"/>
    </row>
    <row r="232">
      <c r="A232" s="365"/>
      <c r="B232" s="365"/>
      <c r="C232" s="365"/>
    </row>
    <row r="233">
      <c r="A233" s="365"/>
      <c r="B233" s="365"/>
      <c r="C233" s="365"/>
    </row>
    <row r="234">
      <c r="A234" s="365"/>
      <c r="B234" s="365"/>
      <c r="C234" s="365"/>
    </row>
    <row r="235">
      <c r="A235" s="365"/>
      <c r="B235" s="365"/>
      <c r="C235" s="365"/>
    </row>
    <row r="236">
      <c r="A236" s="365"/>
      <c r="B236" s="365"/>
      <c r="C236" s="365"/>
    </row>
    <row r="237">
      <c r="A237" s="365"/>
      <c r="B237" s="365"/>
      <c r="C237" s="365"/>
    </row>
    <row r="238">
      <c r="A238" s="365"/>
      <c r="B238" s="365"/>
      <c r="C238" s="365"/>
    </row>
    <row r="239">
      <c r="A239" s="365"/>
      <c r="B239" s="365"/>
      <c r="C239" s="365"/>
    </row>
    <row r="240">
      <c r="A240" s="365"/>
      <c r="B240" s="365"/>
      <c r="C240" s="365"/>
    </row>
    <row r="241">
      <c r="A241" s="365"/>
      <c r="B241" s="365"/>
      <c r="C241" s="365"/>
    </row>
    <row r="242">
      <c r="A242" s="365"/>
      <c r="B242" s="365"/>
      <c r="C242" s="365"/>
    </row>
    <row r="243">
      <c r="A243" s="365"/>
      <c r="B243" s="365"/>
      <c r="C243" s="365"/>
    </row>
    <row r="244">
      <c r="A244" s="365"/>
      <c r="B244" s="365"/>
      <c r="C244" s="365"/>
    </row>
    <row r="245">
      <c r="A245" s="365"/>
      <c r="B245" s="365"/>
      <c r="C245" s="365"/>
    </row>
    <row r="246">
      <c r="A246" s="365"/>
      <c r="B246" s="365"/>
      <c r="C246" s="365"/>
    </row>
    <row r="247">
      <c r="A247" s="365"/>
      <c r="B247" s="365"/>
      <c r="C247" s="365"/>
    </row>
    <row r="248">
      <c r="A248" s="365"/>
      <c r="B248" s="365"/>
      <c r="C248" s="365"/>
    </row>
    <row r="249">
      <c r="A249" s="365"/>
      <c r="B249" s="365"/>
      <c r="C249" s="365"/>
    </row>
    <row r="250">
      <c r="A250" s="365"/>
      <c r="B250" s="365"/>
      <c r="C250" s="365"/>
    </row>
    <row r="251">
      <c r="A251" s="365"/>
      <c r="B251" s="365"/>
      <c r="C251" s="365"/>
    </row>
    <row r="252">
      <c r="A252" s="365"/>
      <c r="B252" s="365"/>
      <c r="C252" s="365"/>
    </row>
    <row r="253">
      <c r="A253" s="365"/>
      <c r="B253" s="365"/>
      <c r="C253" s="365"/>
    </row>
    <row r="254">
      <c r="A254" s="365"/>
      <c r="B254" s="365"/>
      <c r="C254" s="365"/>
    </row>
    <row r="255">
      <c r="A255" s="365"/>
      <c r="B255" s="365"/>
      <c r="C255" s="365"/>
    </row>
    <row r="256">
      <c r="A256" s="365"/>
      <c r="B256" s="365"/>
      <c r="C256" s="365"/>
    </row>
    <row r="257">
      <c r="A257" s="365"/>
      <c r="B257" s="365"/>
      <c r="C257" s="365"/>
    </row>
    <row r="258">
      <c r="A258" s="365"/>
      <c r="B258" s="365"/>
      <c r="C258" s="365"/>
    </row>
    <row r="259">
      <c r="A259" s="365"/>
      <c r="B259" s="365"/>
      <c r="C259" s="365"/>
    </row>
    <row r="260">
      <c r="A260" s="365"/>
      <c r="B260" s="365"/>
      <c r="C260" s="365"/>
    </row>
    <row r="261">
      <c r="A261" s="365"/>
      <c r="B261" s="365"/>
      <c r="C261" s="365"/>
    </row>
    <row r="262">
      <c r="A262" s="365"/>
      <c r="B262" s="365"/>
      <c r="C262" s="365"/>
    </row>
    <row r="263">
      <c r="A263" s="365"/>
      <c r="B263" s="365"/>
      <c r="C263" s="365"/>
    </row>
    <row r="264">
      <c r="A264" s="365"/>
      <c r="B264" s="365"/>
      <c r="C264" s="365"/>
    </row>
    <row r="265">
      <c r="A265" s="365"/>
      <c r="B265" s="365"/>
      <c r="C265" s="365"/>
    </row>
    <row r="266">
      <c r="A266" s="365"/>
      <c r="B266" s="365"/>
      <c r="C266" s="365"/>
    </row>
    <row r="267">
      <c r="A267" s="365"/>
      <c r="B267" s="365"/>
      <c r="C267" s="365"/>
    </row>
    <row r="268">
      <c r="A268" s="365"/>
      <c r="B268" s="365"/>
      <c r="C268" s="365"/>
    </row>
    <row r="269">
      <c r="A269" s="365"/>
      <c r="B269" s="365"/>
      <c r="C269" s="365"/>
    </row>
    <row r="270">
      <c r="A270" s="365"/>
      <c r="B270" s="365"/>
      <c r="C270" s="365"/>
    </row>
    <row r="271">
      <c r="A271" s="365"/>
      <c r="B271" s="365"/>
      <c r="C271" s="365"/>
    </row>
    <row r="272">
      <c r="A272" s="365"/>
      <c r="B272" s="365"/>
      <c r="C272" s="365"/>
    </row>
    <row r="273">
      <c r="A273" s="365"/>
      <c r="B273" s="365"/>
      <c r="C273" s="365"/>
    </row>
    <row r="274">
      <c r="A274" s="365"/>
      <c r="B274" s="365"/>
      <c r="C274" s="365"/>
    </row>
    <row r="275">
      <c r="A275" s="365"/>
      <c r="B275" s="365"/>
      <c r="C275" s="365"/>
    </row>
    <row r="276">
      <c r="A276" s="365"/>
      <c r="B276" s="365"/>
      <c r="C276" s="365"/>
    </row>
    <row r="277">
      <c r="A277" s="365"/>
      <c r="B277" s="365"/>
      <c r="C277" s="365"/>
    </row>
    <row r="278">
      <c r="A278" s="365"/>
      <c r="B278" s="365"/>
      <c r="C278" s="365"/>
    </row>
    <row r="279">
      <c r="A279" s="365"/>
      <c r="B279" s="365"/>
      <c r="C279" s="365"/>
    </row>
    <row r="280">
      <c r="A280" s="365"/>
      <c r="B280" s="365"/>
      <c r="C280" s="365"/>
    </row>
    <row r="281">
      <c r="A281" s="365"/>
      <c r="B281" s="365"/>
      <c r="C281" s="365"/>
    </row>
    <row r="282">
      <c r="A282" s="365"/>
      <c r="B282" s="365"/>
      <c r="C282" s="365"/>
    </row>
    <row r="283">
      <c r="A283" s="365"/>
      <c r="B283" s="365"/>
      <c r="C283" s="365"/>
    </row>
    <row r="284">
      <c r="A284" s="365"/>
      <c r="B284" s="365"/>
      <c r="C284" s="365"/>
    </row>
    <row r="285">
      <c r="A285" s="365"/>
      <c r="B285" s="365"/>
      <c r="C285" s="365"/>
    </row>
    <row r="286">
      <c r="A286" s="365"/>
      <c r="B286" s="365"/>
      <c r="C286" s="365"/>
    </row>
    <row r="287">
      <c r="A287" s="365"/>
      <c r="B287" s="365"/>
      <c r="C287" s="365"/>
    </row>
    <row r="288">
      <c r="A288" s="365"/>
      <c r="B288" s="365"/>
      <c r="C288" s="365"/>
    </row>
    <row r="289">
      <c r="A289" s="365"/>
      <c r="B289" s="365"/>
      <c r="C289" s="365"/>
    </row>
    <row r="290">
      <c r="A290" s="365"/>
      <c r="B290" s="365"/>
      <c r="C290" s="365"/>
    </row>
    <row r="291">
      <c r="A291" s="365"/>
      <c r="B291" s="365"/>
      <c r="C291" s="365"/>
    </row>
    <row r="292">
      <c r="A292" s="365"/>
      <c r="B292" s="365"/>
      <c r="C292" s="365"/>
    </row>
    <row r="293">
      <c r="A293" s="365"/>
      <c r="B293" s="365"/>
      <c r="C293" s="365"/>
    </row>
    <row r="294">
      <c r="A294" s="365"/>
      <c r="B294" s="365"/>
      <c r="C294" s="365"/>
    </row>
    <row r="295">
      <c r="A295" s="365"/>
      <c r="B295" s="365"/>
      <c r="C295" s="365"/>
    </row>
    <row r="296">
      <c r="A296" s="365"/>
      <c r="B296" s="365"/>
      <c r="C296" s="365"/>
    </row>
    <row r="297">
      <c r="A297" s="365"/>
      <c r="B297" s="365"/>
      <c r="C297" s="365"/>
    </row>
    <row r="298">
      <c r="A298" s="365"/>
      <c r="B298" s="365"/>
      <c r="C298" s="365"/>
    </row>
    <row r="299">
      <c r="A299" s="365"/>
      <c r="B299" s="365"/>
      <c r="C299" s="365"/>
    </row>
    <row r="300">
      <c r="A300" s="365"/>
      <c r="B300" s="365"/>
      <c r="C300" s="365"/>
    </row>
    <row r="301">
      <c r="A301" s="365"/>
      <c r="B301" s="365"/>
      <c r="C301" s="365"/>
    </row>
    <row r="302">
      <c r="A302" s="365"/>
      <c r="B302" s="365"/>
      <c r="C302" s="365"/>
    </row>
    <row r="303">
      <c r="A303" s="365"/>
      <c r="B303" s="365"/>
      <c r="C303" s="365"/>
    </row>
    <row r="304">
      <c r="A304" s="365"/>
      <c r="B304" s="365"/>
      <c r="C304" s="365"/>
    </row>
    <row r="305">
      <c r="A305" s="365"/>
      <c r="B305" s="365"/>
      <c r="C305" s="365"/>
    </row>
    <row r="306">
      <c r="A306" s="365"/>
      <c r="B306" s="365"/>
      <c r="C306" s="365"/>
    </row>
    <row r="307">
      <c r="A307" s="365"/>
      <c r="B307" s="365"/>
      <c r="C307" s="365"/>
    </row>
    <row r="308">
      <c r="A308" s="365"/>
      <c r="B308" s="365"/>
      <c r="C308" s="365"/>
    </row>
    <row r="309">
      <c r="A309" s="365"/>
      <c r="B309" s="365"/>
      <c r="C309" s="365"/>
    </row>
    <row r="310">
      <c r="A310" s="365"/>
      <c r="B310" s="365"/>
      <c r="C310" s="365"/>
    </row>
    <row r="311">
      <c r="A311" s="365"/>
      <c r="B311" s="365"/>
      <c r="C311" s="365"/>
    </row>
    <row r="312">
      <c r="A312" s="365"/>
      <c r="B312" s="365"/>
      <c r="C312" s="365"/>
    </row>
    <row r="313">
      <c r="A313" s="365"/>
      <c r="B313" s="365"/>
      <c r="C313" s="365"/>
    </row>
    <row r="314">
      <c r="A314" s="365"/>
      <c r="B314" s="365"/>
      <c r="C314" s="365"/>
    </row>
    <row r="315">
      <c r="A315" s="365"/>
      <c r="B315" s="365"/>
      <c r="C315" s="365"/>
    </row>
    <row r="316">
      <c r="A316" s="365"/>
      <c r="B316" s="365"/>
      <c r="C316" s="365"/>
    </row>
    <row r="317">
      <c r="A317" s="365"/>
      <c r="B317" s="365"/>
      <c r="C317" s="365"/>
    </row>
    <row r="318">
      <c r="A318" s="365"/>
      <c r="B318" s="365"/>
      <c r="C318" s="365"/>
    </row>
    <row r="319">
      <c r="A319" s="365"/>
      <c r="B319" s="365"/>
      <c r="C319" s="365"/>
    </row>
    <row r="320">
      <c r="A320" s="365"/>
      <c r="B320" s="365"/>
      <c r="C320" s="365"/>
    </row>
    <row r="321">
      <c r="A321" s="365"/>
      <c r="B321" s="365"/>
      <c r="C321" s="365"/>
    </row>
    <row r="322">
      <c r="A322" s="365"/>
      <c r="B322" s="365"/>
      <c r="C322" s="365"/>
    </row>
    <row r="323">
      <c r="A323" s="365"/>
      <c r="B323" s="365"/>
      <c r="C323" s="365"/>
    </row>
    <row r="324">
      <c r="A324" s="365"/>
      <c r="B324" s="365"/>
      <c r="C324" s="365"/>
    </row>
    <row r="325">
      <c r="A325" s="365"/>
      <c r="B325" s="365"/>
      <c r="C325" s="365"/>
    </row>
    <row r="326">
      <c r="A326" s="365"/>
      <c r="B326" s="365"/>
      <c r="C326" s="365"/>
    </row>
    <row r="327">
      <c r="A327" s="365"/>
      <c r="B327" s="365"/>
      <c r="C327" s="365"/>
    </row>
    <row r="328">
      <c r="A328" s="365"/>
      <c r="B328" s="365"/>
      <c r="C328" s="365"/>
    </row>
    <row r="329">
      <c r="A329" s="365"/>
      <c r="B329" s="365"/>
      <c r="C329" s="365"/>
    </row>
    <row r="330">
      <c r="A330" s="365"/>
      <c r="B330" s="365"/>
      <c r="C330" s="365"/>
    </row>
    <row r="331">
      <c r="A331" s="365"/>
      <c r="B331" s="365"/>
      <c r="C331" s="365"/>
    </row>
    <row r="332">
      <c r="A332" s="365"/>
      <c r="B332" s="365"/>
      <c r="C332" s="365"/>
    </row>
    <row r="333">
      <c r="A333" s="365"/>
      <c r="B333" s="365"/>
      <c r="C333" s="365"/>
    </row>
    <row r="334">
      <c r="A334" s="365"/>
      <c r="B334" s="365"/>
      <c r="C334" s="365"/>
    </row>
    <row r="335">
      <c r="A335" s="365"/>
      <c r="B335" s="365"/>
      <c r="C335" s="365"/>
    </row>
    <row r="336">
      <c r="A336" s="365"/>
      <c r="B336" s="365"/>
      <c r="C336" s="365"/>
    </row>
    <row r="337">
      <c r="A337" s="365"/>
      <c r="B337" s="365"/>
      <c r="C337" s="365"/>
    </row>
    <row r="338">
      <c r="A338" s="365"/>
      <c r="B338" s="365"/>
      <c r="C338" s="365"/>
    </row>
    <row r="339">
      <c r="A339" s="365"/>
      <c r="B339" s="365"/>
      <c r="C339" s="365"/>
    </row>
    <row r="340">
      <c r="A340" s="365"/>
      <c r="B340" s="365"/>
      <c r="C340" s="365"/>
    </row>
    <row r="341">
      <c r="A341" s="365"/>
      <c r="B341" s="365"/>
      <c r="C341" s="365"/>
    </row>
    <row r="342">
      <c r="A342" s="365"/>
      <c r="B342" s="365"/>
      <c r="C342" s="365"/>
    </row>
    <row r="343">
      <c r="A343" s="365"/>
      <c r="B343" s="365"/>
      <c r="C343" s="365"/>
    </row>
    <row r="344">
      <c r="A344" s="365"/>
      <c r="B344" s="365"/>
      <c r="C344" s="365"/>
    </row>
    <row r="345">
      <c r="A345" s="365"/>
      <c r="B345" s="365"/>
      <c r="C345" s="365"/>
    </row>
    <row r="346">
      <c r="A346" s="365"/>
      <c r="B346" s="365"/>
      <c r="C346" s="365"/>
    </row>
    <row r="347">
      <c r="A347" s="365"/>
      <c r="B347" s="365"/>
      <c r="C347" s="365"/>
    </row>
    <row r="348">
      <c r="A348" s="365"/>
      <c r="B348" s="365"/>
      <c r="C348" s="365"/>
    </row>
    <row r="349">
      <c r="A349" s="365"/>
      <c r="B349" s="365"/>
      <c r="C349" s="365"/>
    </row>
    <row r="350">
      <c r="A350" s="365"/>
      <c r="B350" s="365"/>
      <c r="C350" s="365"/>
    </row>
    <row r="351">
      <c r="A351" s="365"/>
      <c r="B351" s="365"/>
      <c r="C351" s="365"/>
    </row>
    <row r="352">
      <c r="A352" s="365"/>
      <c r="B352" s="365"/>
      <c r="C352" s="365"/>
    </row>
    <row r="353">
      <c r="A353" s="365"/>
      <c r="B353" s="365"/>
      <c r="C353" s="365"/>
    </row>
    <row r="354">
      <c r="A354" s="365"/>
      <c r="B354" s="365"/>
      <c r="C354" s="365"/>
    </row>
    <row r="355">
      <c r="A355" s="365"/>
      <c r="B355" s="365"/>
      <c r="C355" s="365"/>
    </row>
    <row r="356">
      <c r="A356" s="365"/>
      <c r="B356" s="365"/>
      <c r="C356" s="365"/>
    </row>
    <row r="357">
      <c r="A357" s="365"/>
      <c r="B357" s="365"/>
      <c r="C357" s="365"/>
    </row>
    <row r="358">
      <c r="A358" s="365"/>
      <c r="B358" s="365"/>
      <c r="C358" s="365"/>
    </row>
    <row r="359">
      <c r="A359" s="365"/>
      <c r="B359" s="365"/>
      <c r="C359" s="365"/>
    </row>
    <row r="360">
      <c r="A360" s="365"/>
      <c r="B360" s="365"/>
      <c r="C360" s="365"/>
    </row>
    <row r="361">
      <c r="A361" s="365"/>
      <c r="B361" s="365"/>
      <c r="C361" s="365"/>
    </row>
    <row r="362">
      <c r="A362" s="365"/>
      <c r="B362" s="365"/>
      <c r="C362" s="365"/>
    </row>
    <row r="363">
      <c r="A363" s="365"/>
      <c r="B363" s="365"/>
      <c r="C363" s="365"/>
    </row>
    <row r="364">
      <c r="A364" s="365"/>
      <c r="B364" s="365"/>
      <c r="C364" s="365"/>
    </row>
    <row r="365">
      <c r="A365" s="365"/>
      <c r="B365" s="365"/>
      <c r="C365" s="365"/>
    </row>
    <row r="366">
      <c r="A366" s="365"/>
      <c r="B366" s="365"/>
      <c r="C366" s="365"/>
    </row>
    <row r="367">
      <c r="A367" s="365"/>
      <c r="B367" s="365"/>
      <c r="C367" s="365"/>
    </row>
    <row r="368">
      <c r="A368" s="365"/>
      <c r="B368" s="365"/>
      <c r="C368" s="365"/>
    </row>
    <row r="369">
      <c r="A369" s="365"/>
      <c r="B369" s="365"/>
      <c r="C369" s="365"/>
    </row>
    <row r="370">
      <c r="A370" s="365"/>
      <c r="B370" s="365"/>
      <c r="C370" s="365"/>
    </row>
    <row r="371">
      <c r="A371" s="365"/>
      <c r="B371" s="365"/>
      <c r="C371" s="365"/>
    </row>
    <row r="372">
      <c r="A372" s="365"/>
      <c r="B372" s="365"/>
      <c r="C372" s="365"/>
    </row>
    <row r="373">
      <c r="A373" s="365"/>
      <c r="B373" s="365"/>
      <c r="C373" s="365"/>
    </row>
    <row r="374">
      <c r="A374" s="365"/>
      <c r="B374" s="365"/>
      <c r="C374" s="365"/>
    </row>
    <row r="375">
      <c r="A375" s="365"/>
      <c r="B375" s="365"/>
      <c r="C375" s="365"/>
    </row>
    <row r="376">
      <c r="A376" s="365"/>
      <c r="B376" s="365"/>
      <c r="C376" s="365"/>
    </row>
    <row r="377">
      <c r="A377" s="365"/>
      <c r="B377" s="365"/>
      <c r="C377" s="365"/>
    </row>
    <row r="378">
      <c r="A378" s="365"/>
      <c r="B378" s="365"/>
      <c r="C378" s="365"/>
    </row>
    <row r="379">
      <c r="A379" s="365"/>
      <c r="B379" s="365"/>
      <c r="C379" s="365"/>
    </row>
    <row r="380">
      <c r="A380" s="365"/>
      <c r="B380" s="365"/>
      <c r="C380" s="365"/>
    </row>
    <row r="381">
      <c r="A381" s="365"/>
      <c r="B381" s="365"/>
      <c r="C381" s="365"/>
    </row>
    <row r="382">
      <c r="A382" s="365"/>
      <c r="B382" s="365"/>
      <c r="C382" s="365"/>
    </row>
    <row r="383">
      <c r="A383" s="365"/>
      <c r="B383" s="365"/>
      <c r="C383" s="365"/>
    </row>
    <row r="384">
      <c r="A384" s="365"/>
      <c r="B384" s="365"/>
      <c r="C384" s="365"/>
    </row>
    <row r="385">
      <c r="A385" s="365"/>
      <c r="B385" s="365"/>
      <c r="C385" s="365"/>
    </row>
    <row r="386">
      <c r="A386" s="365"/>
      <c r="B386" s="365"/>
      <c r="C386" s="365"/>
    </row>
    <row r="387">
      <c r="A387" s="365"/>
      <c r="B387" s="365"/>
      <c r="C387" s="365"/>
    </row>
    <row r="388">
      <c r="A388" s="365"/>
      <c r="B388" s="365"/>
      <c r="C388" s="365"/>
    </row>
    <row r="389">
      <c r="A389" s="365"/>
      <c r="B389" s="365"/>
      <c r="C389" s="365"/>
    </row>
    <row r="390">
      <c r="A390" s="365"/>
      <c r="B390" s="365"/>
      <c r="C390" s="365"/>
    </row>
    <row r="391">
      <c r="A391" s="365"/>
      <c r="B391" s="365"/>
      <c r="C391" s="365"/>
    </row>
    <row r="392">
      <c r="A392" s="365"/>
      <c r="B392" s="365"/>
      <c r="C392" s="365"/>
    </row>
    <row r="393">
      <c r="A393" s="365"/>
      <c r="B393" s="365"/>
      <c r="C393" s="365"/>
    </row>
    <row r="394">
      <c r="A394" s="365"/>
      <c r="B394" s="365"/>
      <c r="C394" s="365"/>
    </row>
    <row r="395">
      <c r="A395" s="365"/>
      <c r="B395" s="365"/>
      <c r="C395" s="365"/>
    </row>
    <row r="396">
      <c r="A396" s="365"/>
      <c r="B396" s="365"/>
      <c r="C396" s="365"/>
    </row>
    <row r="397">
      <c r="A397" s="365"/>
      <c r="B397" s="365"/>
      <c r="C397" s="365"/>
    </row>
    <row r="398">
      <c r="A398" s="365"/>
      <c r="B398" s="365"/>
      <c r="C398" s="365"/>
    </row>
    <row r="399">
      <c r="A399" s="365"/>
      <c r="B399" s="365"/>
      <c r="C399" s="365"/>
    </row>
    <row r="400">
      <c r="A400" s="365"/>
      <c r="B400" s="365"/>
      <c r="C400" s="365"/>
    </row>
    <row r="401">
      <c r="A401" s="365"/>
      <c r="B401" s="365"/>
      <c r="C401" s="365"/>
    </row>
    <row r="402">
      <c r="A402" s="365"/>
      <c r="B402" s="365"/>
      <c r="C402" s="365"/>
    </row>
    <row r="403">
      <c r="A403" s="365"/>
      <c r="B403" s="365"/>
      <c r="C403" s="365"/>
    </row>
    <row r="404">
      <c r="A404" s="365"/>
      <c r="B404" s="365"/>
      <c r="C404" s="365"/>
    </row>
    <row r="405">
      <c r="A405" s="365"/>
      <c r="B405" s="365"/>
      <c r="C405" s="365"/>
    </row>
    <row r="406">
      <c r="A406" s="365"/>
      <c r="B406" s="365"/>
      <c r="C406" s="365"/>
    </row>
    <row r="407">
      <c r="A407" s="365"/>
      <c r="B407" s="365"/>
      <c r="C407" s="365"/>
    </row>
    <row r="408">
      <c r="A408" s="365"/>
      <c r="B408" s="365"/>
      <c r="C408" s="365"/>
    </row>
    <row r="409">
      <c r="A409" s="365"/>
      <c r="B409" s="365"/>
      <c r="C409" s="365"/>
    </row>
    <row r="410">
      <c r="A410" s="365"/>
      <c r="B410" s="365"/>
      <c r="C410" s="365"/>
    </row>
    <row r="411">
      <c r="A411" s="365"/>
      <c r="B411" s="365"/>
      <c r="C411" s="365"/>
    </row>
    <row r="412">
      <c r="A412" s="365"/>
      <c r="B412" s="365"/>
      <c r="C412" s="365"/>
    </row>
    <row r="413">
      <c r="A413" s="365"/>
      <c r="B413" s="365"/>
      <c r="C413" s="365"/>
    </row>
    <row r="414">
      <c r="A414" s="365"/>
      <c r="B414" s="365"/>
      <c r="C414" s="365"/>
    </row>
    <row r="415">
      <c r="A415" s="365"/>
      <c r="B415" s="365"/>
      <c r="C415" s="365"/>
    </row>
    <row r="416">
      <c r="A416" s="365"/>
      <c r="B416" s="365"/>
      <c r="C416" s="365"/>
    </row>
    <row r="417">
      <c r="A417" s="365"/>
      <c r="B417" s="365"/>
      <c r="C417" s="365"/>
    </row>
    <row r="418">
      <c r="A418" s="365"/>
      <c r="B418" s="365"/>
      <c r="C418" s="365"/>
    </row>
    <row r="419">
      <c r="A419" s="365"/>
      <c r="B419" s="365"/>
      <c r="C419" s="365"/>
    </row>
    <row r="420">
      <c r="A420" s="365"/>
      <c r="B420" s="365"/>
      <c r="C420" s="365"/>
    </row>
    <row r="421">
      <c r="A421" s="365"/>
      <c r="B421" s="365"/>
      <c r="C421" s="365"/>
    </row>
    <row r="422">
      <c r="A422" s="365"/>
      <c r="B422" s="365"/>
      <c r="C422" s="365"/>
    </row>
    <row r="423">
      <c r="A423" s="365"/>
      <c r="B423" s="365"/>
      <c r="C423" s="365"/>
    </row>
    <row r="424">
      <c r="A424" s="365"/>
      <c r="B424" s="365"/>
      <c r="C424" s="365"/>
    </row>
    <row r="425">
      <c r="A425" s="365"/>
      <c r="B425" s="365"/>
      <c r="C425" s="365"/>
    </row>
    <row r="426">
      <c r="A426" s="365"/>
      <c r="B426" s="365"/>
      <c r="C426" s="365"/>
    </row>
    <row r="427">
      <c r="A427" s="365"/>
      <c r="B427" s="365"/>
      <c r="C427" s="365"/>
    </row>
    <row r="428">
      <c r="A428" s="365"/>
      <c r="B428" s="365"/>
      <c r="C428" s="365"/>
    </row>
    <row r="429">
      <c r="A429" s="365"/>
      <c r="B429" s="365"/>
      <c r="C429" s="365"/>
    </row>
    <row r="430">
      <c r="A430" s="365"/>
      <c r="B430" s="365"/>
      <c r="C430" s="365"/>
    </row>
    <row r="431">
      <c r="A431" s="365"/>
      <c r="B431" s="365"/>
      <c r="C431" s="365"/>
    </row>
    <row r="432">
      <c r="A432" s="365"/>
      <c r="B432" s="365"/>
      <c r="C432" s="365"/>
    </row>
    <row r="433">
      <c r="A433" s="365"/>
      <c r="B433" s="365"/>
      <c r="C433" s="365"/>
    </row>
    <row r="434">
      <c r="A434" s="365"/>
      <c r="B434" s="365"/>
      <c r="C434" s="365"/>
    </row>
    <row r="435">
      <c r="A435" s="365"/>
      <c r="B435" s="365"/>
      <c r="C435" s="365"/>
    </row>
    <row r="436">
      <c r="A436" s="365"/>
      <c r="B436" s="365"/>
      <c r="C436" s="365"/>
    </row>
    <row r="437">
      <c r="A437" s="365"/>
      <c r="B437" s="365"/>
      <c r="C437" s="365"/>
    </row>
    <row r="438">
      <c r="A438" s="365"/>
      <c r="B438" s="365"/>
      <c r="C438" s="365"/>
    </row>
    <row r="439">
      <c r="A439" s="365"/>
      <c r="B439" s="365"/>
      <c r="C439" s="365"/>
    </row>
    <row r="440">
      <c r="A440" s="365"/>
      <c r="B440" s="365"/>
      <c r="C440" s="365"/>
    </row>
    <row r="441">
      <c r="A441" s="365"/>
      <c r="B441" s="365"/>
      <c r="C441" s="365"/>
    </row>
    <row r="442">
      <c r="A442" s="365"/>
      <c r="B442" s="365"/>
      <c r="C442" s="365"/>
    </row>
    <row r="443">
      <c r="A443" s="365"/>
      <c r="B443" s="365"/>
      <c r="C443" s="365"/>
    </row>
    <row r="444">
      <c r="A444" s="365"/>
      <c r="B444" s="365"/>
      <c r="C444" s="365"/>
    </row>
    <row r="445">
      <c r="A445" s="365"/>
      <c r="B445" s="365"/>
      <c r="C445" s="365"/>
    </row>
    <row r="446">
      <c r="A446" s="365"/>
      <c r="B446" s="365"/>
      <c r="C446" s="365"/>
    </row>
    <row r="447">
      <c r="A447" s="365"/>
      <c r="B447" s="365"/>
      <c r="C447" s="365"/>
    </row>
    <row r="448">
      <c r="A448" s="365"/>
      <c r="B448" s="365"/>
      <c r="C448" s="365"/>
    </row>
    <row r="449">
      <c r="A449" s="365"/>
      <c r="B449" s="365"/>
      <c r="C449" s="365"/>
    </row>
    <row r="450">
      <c r="A450" s="365"/>
      <c r="B450" s="365"/>
      <c r="C450" s="365"/>
    </row>
    <row r="451">
      <c r="A451" s="365"/>
      <c r="B451" s="365"/>
      <c r="C451" s="365"/>
    </row>
    <row r="452">
      <c r="A452" s="365"/>
      <c r="B452" s="365"/>
      <c r="C452" s="365"/>
    </row>
    <row r="453">
      <c r="A453" s="365"/>
      <c r="B453" s="365"/>
      <c r="C453" s="365"/>
    </row>
    <row r="454">
      <c r="A454" s="365"/>
      <c r="B454" s="365"/>
      <c r="C454" s="365"/>
    </row>
    <row r="455">
      <c r="A455" s="365"/>
      <c r="B455" s="365"/>
      <c r="C455" s="365"/>
    </row>
    <row r="456">
      <c r="A456" s="365"/>
      <c r="B456" s="365"/>
      <c r="C456" s="365"/>
    </row>
    <row r="457">
      <c r="A457" s="365"/>
      <c r="B457" s="365"/>
      <c r="C457" s="365"/>
    </row>
    <row r="458">
      <c r="A458" s="365"/>
      <c r="B458" s="365"/>
      <c r="C458" s="365"/>
    </row>
    <row r="459">
      <c r="A459" s="365"/>
      <c r="B459" s="365"/>
      <c r="C459" s="365"/>
    </row>
    <row r="460">
      <c r="A460" s="365"/>
      <c r="B460" s="365"/>
      <c r="C460" s="365"/>
    </row>
    <row r="461">
      <c r="A461" s="365"/>
      <c r="B461" s="365"/>
      <c r="C461" s="365"/>
    </row>
    <row r="462">
      <c r="A462" s="365"/>
      <c r="B462" s="365"/>
      <c r="C462" s="365"/>
    </row>
    <row r="463">
      <c r="A463" s="365"/>
      <c r="B463" s="365"/>
      <c r="C463" s="365"/>
    </row>
    <row r="464">
      <c r="A464" s="365"/>
      <c r="B464" s="365"/>
      <c r="C464" s="365"/>
    </row>
    <row r="465">
      <c r="A465" s="365"/>
      <c r="B465" s="365"/>
      <c r="C465" s="365"/>
    </row>
    <row r="466">
      <c r="A466" s="365"/>
      <c r="B466" s="365"/>
      <c r="C466" s="365"/>
    </row>
    <row r="467">
      <c r="A467" s="365"/>
      <c r="B467" s="365"/>
      <c r="C467" s="365"/>
    </row>
    <row r="468">
      <c r="A468" s="365"/>
      <c r="B468" s="365"/>
      <c r="C468" s="365"/>
    </row>
    <row r="469">
      <c r="A469" s="365"/>
      <c r="B469" s="365"/>
      <c r="C469" s="365"/>
    </row>
    <row r="470">
      <c r="A470" s="365"/>
      <c r="B470" s="365"/>
      <c r="C470" s="365"/>
    </row>
    <row r="471">
      <c r="A471" s="365"/>
      <c r="B471" s="365"/>
      <c r="C471" s="365"/>
    </row>
    <row r="472">
      <c r="A472" s="365"/>
      <c r="B472" s="365"/>
      <c r="C472" s="365"/>
    </row>
    <row r="473">
      <c r="A473" s="365"/>
      <c r="B473" s="365"/>
      <c r="C473" s="365"/>
    </row>
    <row r="474">
      <c r="A474" s="365"/>
      <c r="B474" s="365"/>
      <c r="C474" s="365"/>
    </row>
    <row r="475">
      <c r="A475" s="365"/>
      <c r="B475" s="365"/>
      <c r="C475" s="365"/>
    </row>
    <row r="476">
      <c r="A476" s="365"/>
      <c r="B476" s="365"/>
      <c r="C476" s="365"/>
    </row>
    <row r="477">
      <c r="A477" s="365"/>
      <c r="B477" s="365"/>
      <c r="C477" s="365"/>
    </row>
    <row r="478">
      <c r="A478" s="365"/>
      <c r="B478" s="365"/>
      <c r="C478" s="365"/>
    </row>
    <row r="479">
      <c r="A479" s="365"/>
      <c r="B479" s="365"/>
      <c r="C479" s="365"/>
    </row>
    <row r="480">
      <c r="A480" s="365"/>
      <c r="B480" s="365"/>
      <c r="C480" s="365"/>
    </row>
    <row r="481">
      <c r="A481" s="365"/>
      <c r="B481" s="365"/>
      <c r="C481" s="365"/>
    </row>
    <row r="482">
      <c r="A482" s="365"/>
      <c r="B482" s="365"/>
      <c r="C482" s="365"/>
    </row>
    <row r="483">
      <c r="A483" s="365"/>
      <c r="B483" s="365"/>
      <c r="C483" s="365"/>
    </row>
    <row r="484">
      <c r="A484" s="365"/>
      <c r="B484" s="365"/>
      <c r="C484" s="365"/>
    </row>
    <row r="485">
      <c r="A485" s="365"/>
      <c r="B485" s="365"/>
      <c r="C485" s="365"/>
    </row>
    <row r="486">
      <c r="A486" s="365"/>
      <c r="B486" s="365"/>
      <c r="C486" s="365"/>
    </row>
    <row r="487">
      <c r="A487" s="365"/>
      <c r="B487" s="365"/>
      <c r="C487" s="365"/>
    </row>
    <row r="488">
      <c r="A488" s="365"/>
      <c r="B488" s="365"/>
      <c r="C488" s="365"/>
    </row>
    <row r="489">
      <c r="A489" s="365"/>
      <c r="B489" s="365"/>
      <c r="C489" s="365"/>
    </row>
    <row r="490">
      <c r="A490" s="365"/>
      <c r="B490" s="365"/>
      <c r="C490" s="365"/>
    </row>
    <row r="491">
      <c r="A491" s="365"/>
      <c r="B491" s="365"/>
      <c r="C491" s="365"/>
    </row>
    <row r="492">
      <c r="A492" s="365"/>
      <c r="B492" s="365"/>
      <c r="C492" s="365"/>
    </row>
    <row r="493">
      <c r="A493" s="365"/>
      <c r="B493" s="365"/>
      <c r="C493" s="365"/>
    </row>
    <row r="494">
      <c r="A494" s="365"/>
      <c r="B494" s="365"/>
      <c r="C494" s="365"/>
    </row>
    <row r="495">
      <c r="A495" s="365"/>
      <c r="B495" s="365"/>
      <c r="C495" s="365"/>
    </row>
    <row r="496">
      <c r="A496" s="365"/>
      <c r="B496" s="365"/>
      <c r="C496" s="365"/>
    </row>
    <row r="497">
      <c r="A497" s="365"/>
      <c r="B497" s="365"/>
      <c r="C497" s="365"/>
    </row>
    <row r="498">
      <c r="A498" s="365"/>
      <c r="B498" s="365"/>
      <c r="C498" s="365"/>
    </row>
    <row r="499">
      <c r="A499" s="365"/>
      <c r="B499" s="365"/>
      <c r="C499" s="365"/>
    </row>
    <row r="500">
      <c r="A500" s="365"/>
      <c r="B500" s="365"/>
      <c r="C500" s="365"/>
    </row>
    <row r="501">
      <c r="A501" s="365"/>
      <c r="B501" s="365"/>
      <c r="C501" s="365"/>
    </row>
    <row r="502">
      <c r="A502" s="365"/>
      <c r="B502" s="365"/>
      <c r="C502" s="365"/>
    </row>
    <row r="503">
      <c r="A503" s="365"/>
      <c r="B503" s="365"/>
      <c r="C503" s="365"/>
    </row>
    <row r="504">
      <c r="A504" s="365"/>
      <c r="B504" s="365"/>
      <c r="C504" s="365"/>
    </row>
    <row r="505">
      <c r="A505" s="365"/>
      <c r="B505" s="365"/>
      <c r="C505" s="365"/>
    </row>
    <row r="506">
      <c r="A506" s="365"/>
      <c r="B506" s="365"/>
      <c r="C506" s="365"/>
    </row>
    <row r="507">
      <c r="A507" s="365"/>
      <c r="B507" s="365"/>
      <c r="C507" s="365"/>
    </row>
    <row r="508">
      <c r="A508" s="365"/>
      <c r="B508" s="365"/>
      <c r="C508" s="365"/>
    </row>
    <row r="509">
      <c r="A509" s="365"/>
      <c r="B509" s="365"/>
      <c r="C509" s="365"/>
    </row>
    <row r="510">
      <c r="A510" s="365"/>
      <c r="B510" s="365"/>
      <c r="C510" s="365"/>
    </row>
    <row r="511">
      <c r="A511" s="365"/>
      <c r="B511" s="365"/>
      <c r="C511" s="365"/>
    </row>
    <row r="512">
      <c r="A512" s="365"/>
      <c r="B512" s="365"/>
      <c r="C512" s="365"/>
    </row>
    <row r="513">
      <c r="A513" s="365"/>
      <c r="B513" s="365"/>
      <c r="C513" s="365"/>
    </row>
    <row r="514">
      <c r="A514" s="365"/>
      <c r="B514" s="365"/>
      <c r="C514" s="365"/>
    </row>
    <row r="515">
      <c r="A515" s="365"/>
      <c r="B515" s="365"/>
      <c r="C515" s="365"/>
    </row>
    <row r="516">
      <c r="A516" s="365"/>
      <c r="B516" s="365"/>
      <c r="C516" s="365"/>
    </row>
    <row r="517">
      <c r="A517" s="365"/>
      <c r="B517" s="365"/>
      <c r="C517" s="365"/>
    </row>
    <row r="518">
      <c r="A518" s="365"/>
      <c r="B518" s="365"/>
      <c r="C518" s="365"/>
    </row>
    <row r="519">
      <c r="A519" s="365"/>
      <c r="B519" s="365"/>
      <c r="C519" s="365"/>
    </row>
    <row r="520">
      <c r="A520" s="365"/>
      <c r="B520" s="365"/>
      <c r="C520" s="365"/>
    </row>
    <row r="521">
      <c r="A521" s="365"/>
      <c r="B521" s="365"/>
      <c r="C521" s="365"/>
    </row>
    <row r="522">
      <c r="A522" s="365"/>
      <c r="B522" s="365"/>
      <c r="C522" s="365"/>
    </row>
    <row r="523">
      <c r="A523" s="365"/>
      <c r="B523" s="365"/>
      <c r="C523" s="365"/>
    </row>
    <row r="524">
      <c r="A524" s="365"/>
      <c r="B524" s="365"/>
      <c r="C524" s="365"/>
    </row>
    <row r="525">
      <c r="A525" s="365"/>
      <c r="B525" s="365"/>
      <c r="C525" s="365"/>
    </row>
    <row r="526">
      <c r="A526" s="365"/>
      <c r="B526" s="365"/>
      <c r="C526" s="365"/>
    </row>
    <row r="527">
      <c r="A527" s="365"/>
      <c r="B527" s="365"/>
      <c r="C527" s="365"/>
    </row>
    <row r="528">
      <c r="A528" s="365"/>
      <c r="B528" s="365"/>
      <c r="C528" s="365"/>
    </row>
    <row r="529">
      <c r="A529" s="365"/>
      <c r="B529" s="365"/>
      <c r="C529" s="365"/>
    </row>
    <row r="530">
      <c r="A530" s="365"/>
      <c r="B530" s="365"/>
      <c r="C530" s="365"/>
    </row>
    <row r="531">
      <c r="A531" s="365"/>
      <c r="B531" s="365"/>
      <c r="C531" s="365"/>
    </row>
    <row r="532">
      <c r="A532" s="365"/>
      <c r="B532" s="365"/>
      <c r="C532" s="365"/>
    </row>
    <row r="533">
      <c r="A533" s="365"/>
      <c r="B533" s="365"/>
      <c r="C533" s="365"/>
    </row>
    <row r="534">
      <c r="A534" s="365"/>
      <c r="B534" s="365"/>
      <c r="C534" s="365"/>
    </row>
    <row r="535">
      <c r="A535" s="365"/>
      <c r="B535" s="365"/>
      <c r="C535" s="365"/>
    </row>
    <row r="536">
      <c r="A536" s="365"/>
      <c r="B536" s="365"/>
      <c r="C536" s="365"/>
    </row>
    <row r="537">
      <c r="A537" s="365"/>
      <c r="B537" s="365"/>
      <c r="C537" s="365"/>
    </row>
    <row r="538">
      <c r="A538" s="365"/>
      <c r="B538" s="365"/>
      <c r="C538" s="365"/>
    </row>
    <row r="539">
      <c r="A539" s="365"/>
      <c r="B539" s="365"/>
      <c r="C539" s="365"/>
    </row>
    <row r="540">
      <c r="A540" s="365"/>
      <c r="B540" s="365"/>
      <c r="C540" s="365"/>
    </row>
    <row r="541">
      <c r="A541" s="365"/>
      <c r="B541" s="365"/>
      <c r="C541" s="365"/>
    </row>
    <row r="542">
      <c r="A542" s="365"/>
      <c r="B542" s="365"/>
      <c r="C542" s="365"/>
    </row>
    <row r="543">
      <c r="A543" s="365"/>
      <c r="B543" s="365"/>
      <c r="C543" s="365"/>
    </row>
    <row r="544">
      <c r="A544" s="365"/>
      <c r="B544" s="365"/>
      <c r="C544" s="365"/>
    </row>
    <row r="545">
      <c r="A545" s="365"/>
      <c r="B545" s="365"/>
      <c r="C545" s="365"/>
    </row>
    <row r="546">
      <c r="A546" s="365"/>
      <c r="B546" s="365"/>
      <c r="C546" s="365"/>
    </row>
    <row r="547">
      <c r="A547" s="365"/>
      <c r="B547" s="365"/>
      <c r="C547" s="365"/>
    </row>
    <row r="548">
      <c r="A548" s="365"/>
      <c r="B548" s="365"/>
      <c r="C548" s="365"/>
    </row>
    <row r="549">
      <c r="A549" s="365"/>
      <c r="B549" s="365"/>
      <c r="C549" s="365"/>
    </row>
    <row r="550">
      <c r="A550" s="365"/>
      <c r="B550" s="365"/>
      <c r="C550" s="365"/>
    </row>
    <row r="551">
      <c r="A551" s="365"/>
      <c r="B551" s="365"/>
      <c r="C551" s="365"/>
    </row>
    <row r="552">
      <c r="A552" s="365"/>
      <c r="B552" s="365"/>
      <c r="C552" s="365"/>
    </row>
    <row r="553">
      <c r="A553" s="365"/>
      <c r="B553" s="365"/>
      <c r="C553" s="365"/>
    </row>
    <row r="554">
      <c r="A554" s="365"/>
      <c r="B554" s="365"/>
      <c r="C554" s="365"/>
    </row>
    <row r="555">
      <c r="A555" s="365"/>
      <c r="B555" s="365"/>
      <c r="C555" s="365"/>
    </row>
    <row r="556">
      <c r="A556" s="365"/>
      <c r="B556" s="365"/>
      <c r="C556" s="365"/>
    </row>
    <row r="557">
      <c r="A557" s="365"/>
      <c r="B557" s="365"/>
      <c r="C557" s="365"/>
    </row>
    <row r="558">
      <c r="A558" s="365"/>
      <c r="B558" s="365"/>
      <c r="C558" s="365"/>
    </row>
    <row r="559">
      <c r="A559" s="365"/>
      <c r="B559" s="365"/>
      <c r="C559" s="365"/>
    </row>
    <row r="560">
      <c r="A560" s="365"/>
      <c r="B560" s="365"/>
      <c r="C560" s="365"/>
    </row>
    <row r="561">
      <c r="A561" s="365"/>
      <c r="B561" s="365"/>
      <c r="C561" s="365"/>
    </row>
    <row r="562">
      <c r="A562" s="365"/>
      <c r="B562" s="365"/>
      <c r="C562" s="365"/>
    </row>
    <row r="563">
      <c r="A563" s="365"/>
      <c r="B563" s="365"/>
      <c r="C563" s="365"/>
    </row>
    <row r="564">
      <c r="A564" s="365"/>
      <c r="B564" s="365"/>
      <c r="C564" s="365"/>
    </row>
    <row r="565">
      <c r="A565" s="365"/>
      <c r="B565" s="365"/>
      <c r="C565" s="365"/>
    </row>
    <row r="566">
      <c r="A566" s="365"/>
      <c r="B566" s="365"/>
      <c r="C566" s="365"/>
    </row>
    <row r="567">
      <c r="A567" s="365"/>
      <c r="B567" s="365"/>
      <c r="C567" s="365"/>
    </row>
    <row r="568">
      <c r="A568" s="365"/>
      <c r="B568" s="365"/>
      <c r="C568" s="365"/>
    </row>
    <row r="569">
      <c r="A569" s="365"/>
      <c r="B569" s="365"/>
      <c r="C569" s="365"/>
    </row>
    <row r="570">
      <c r="A570" s="365"/>
      <c r="B570" s="365"/>
      <c r="C570" s="365"/>
    </row>
    <row r="571">
      <c r="A571" s="365"/>
      <c r="B571" s="365"/>
      <c r="C571" s="365"/>
    </row>
    <row r="572">
      <c r="A572" s="365"/>
      <c r="B572" s="365"/>
      <c r="C572" s="365"/>
    </row>
    <row r="573">
      <c r="A573" s="365"/>
      <c r="B573" s="365"/>
      <c r="C573" s="365"/>
    </row>
    <row r="574">
      <c r="A574" s="365"/>
      <c r="B574" s="365"/>
      <c r="C574" s="365"/>
    </row>
    <row r="575">
      <c r="A575" s="365"/>
      <c r="B575" s="365"/>
      <c r="C575" s="365"/>
    </row>
    <row r="576">
      <c r="A576" s="365"/>
      <c r="B576" s="365"/>
      <c r="C576" s="365"/>
    </row>
    <row r="577">
      <c r="A577" s="365"/>
      <c r="B577" s="365"/>
      <c r="C577" s="365"/>
    </row>
    <row r="578">
      <c r="A578" s="365"/>
      <c r="B578" s="365"/>
      <c r="C578" s="365"/>
    </row>
    <row r="579">
      <c r="A579" s="365"/>
      <c r="B579" s="365"/>
      <c r="C579" s="365"/>
    </row>
    <row r="580">
      <c r="A580" s="365"/>
      <c r="B580" s="365"/>
      <c r="C580" s="365"/>
    </row>
    <row r="581">
      <c r="A581" s="365"/>
      <c r="B581" s="365"/>
      <c r="C581" s="365"/>
    </row>
    <row r="582">
      <c r="A582" s="365"/>
      <c r="B582" s="365"/>
      <c r="C582" s="365"/>
    </row>
    <row r="583">
      <c r="A583" s="365"/>
      <c r="B583" s="365"/>
      <c r="C583" s="365"/>
    </row>
    <row r="584">
      <c r="A584" s="365"/>
      <c r="B584" s="365"/>
      <c r="C584" s="365"/>
    </row>
    <row r="585">
      <c r="A585" s="365"/>
      <c r="B585" s="365"/>
      <c r="C585" s="365"/>
    </row>
    <row r="586">
      <c r="A586" s="365"/>
      <c r="B586" s="365"/>
      <c r="C586" s="365"/>
    </row>
    <row r="587">
      <c r="A587" s="365"/>
      <c r="B587" s="365"/>
      <c r="C587" s="365"/>
    </row>
    <row r="588">
      <c r="A588" s="365"/>
      <c r="B588" s="365"/>
      <c r="C588" s="365"/>
    </row>
    <row r="589">
      <c r="A589" s="365"/>
      <c r="B589" s="365"/>
      <c r="C589" s="365"/>
    </row>
    <row r="590">
      <c r="A590" s="365"/>
      <c r="B590" s="365"/>
      <c r="C590" s="365"/>
    </row>
    <row r="591">
      <c r="A591" s="365"/>
      <c r="B591" s="365"/>
      <c r="C591" s="365"/>
    </row>
    <row r="592">
      <c r="A592" s="365"/>
      <c r="B592" s="365"/>
      <c r="C592" s="365"/>
    </row>
    <row r="593">
      <c r="A593" s="365"/>
      <c r="B593" s="365"/>
      <c r="C593" s="365"/>
    </row>
    <row r="594">
      <c r="A594" s="365"/>
      <c r="B594" s="365"/>
      <c r="C594" s="365"/>
    </row>
    <row r="595">
      <c r="A595" s="365"/>
      <c r="B595" s="365"/>
      <c r="C595" s="365"/>
    </row>
    <row r="596">
      <c r="A596" s="365"/>
      <c r="B596" s="365"/>
      <c r="C596" s="365"/>
    </row>
    <row r="597">
      <c r="A597" s="365"/>
      <c r="B597" s="365"/>
      <c r="C597" s="365"/>
    </row>
    <row r="598">
      <c r="A598" s="365"/>
      <c r="B598" s="365"/>
      <c r="C598" s="365"/>
    </row>
    <row r="599">
      <c r="A599" s="365"/>
      <c r="B599" s="365"/>
      <c r="C599" s="365"/>
    </row>
    <row r="600">
      <c r="A600" s="365"/>
      <c r="B600" s="365"/>
      <c r="C600" s="365"/>
    </row>
    <row r="601">
      <c r="A601" s="365"/>
      <c r="B601" s="365"/>
      <c r="C601" s="365"/>
    </row>
    <row r="602">
      <c r="A602" s="365"/>
      <c r="B602" s="365"/>
      <c r="C602" s="365"/>
    </row>
    <row r="603">
      <c r="A603" s="365"/>
      <c r="B603" s="365"/>
      <c r="C603" s="365"/>
    </row>
    <row r="604">
      <c r="A604" s="365"/>
      <c r="B604" s="365"/>
      <c r="C604" s="365"/>
    </row>
    <row r="605">
      <c r="A605" s="365"/>
      <c r="B605" s="365"/>
      <c r="C605" s="365"/>
    </row>
    <row r="606">
      <c r="A606" s="365"/>
      <c r="B606" s="365"/>
      <c r="C606" s="365"/>
    </row>
    <row r="607">
      <c r="A607" s="365"/>
      <c r="B607" s="365"/>
      <c r="C607" s="365"/>
    </row>
    <row r="608">
      <c r="A608" s="365"/>
      <c r="B608" s="365"/>
      <c r="C608" s="365"/>
    </row>
    <row r="609">
      <c r="A609" s="365"/>
      <c r="B609" s="365"/>
      <c r="C609" s="365"/>
    </row>
    <row r="610">
      <c r="A610" s="365"/>
      <c r="B610" s="365"/>
      <c r="C610" s="365"/>
    </row>
    <row r="611">
      <c r="A611" s="365"/>
      <c r="B611" s="365"/>
      <c r="C611" s="365"/>
    </row>
    <row r="612">
      <c r="A612" s="365"/>
      <c r="B612" s="365"/>
      <c r="C612" s="365"/>
    </row>
    <row r="613">
      <c r="A613" s="365"/>
      <c r="B613" s="365"/>
      <c r="C613" s="365"/>
    </row>
    <row r="614">
      <c r="A614" s="365"/>
      <c r="B614" s="365"/>
      <c r="C614" s="365"/>
    </row>
    <row r="615">
      <c r="A615" s="365"/>
      <c r="B615" s="365"/>
      <c r="C615" s="365"/>
    </row>
    <row r="616">
      <c r="A616" s="365"/>
      <c r="B616" s="365"/>
      <c r="C616" s="365"/>
    </row>
    <row r="617">
      <c r="A617" s="365"/>
      <c r="B617" s="365"/>
      <c r="C617" s="365"/>
    </row>
    <row r="618">
      <c r="A618" s="365"/>
      <c r="B618" s="365"/>
      <c r="C618" s="365"/>
    </row>
    <row r="619">
      <c r="A619" s="365"/>
      <c r="B619" s="365"/>
      <c r="C619" s="365"/>
    </row>
    <row r="620">
      <c r="A620" s="365"/>
      <c r="B620" s="365"/>
      <c r="C620" s="365"/>
    </row>
    <row r="621">
      <c r="A621" s="365"/>
      <c r="B621" s="365"/>
      <c r="C621" s="365"/>
    </row>
    <row r="622">
      <c r="A622" s="365"/>
      <c r="B622" s="365"/>
      <c r="C622" s="365"/>
    </row>
    <row r="623">
      <c r="A623" s="365"/>
      <c r="B623" s="365"/>
      <c r="C623" s="365"/>
    </row>
    <row r="624">
      <c r="A624" s="365"/>
      <c r="B624" s="365"/>
      <c r="C624" s="365"/>
    </row>
    <row r="625">
      <c r="A625" s="365"/>
      <c r="B625" s="365"/>
      <c r="C625" s="365"/>
    </row>
    <row r="626">
      <c r="A626" s="365"/>
      <c r="B626" s="365"/>
      <c r="C626" s="365"/>
    </row>
    <row r="627">
      <c r="A627" s="365"/>
      <c r="B627" s="365"/>
      <c r="C627" s="365"/>
    </row>
    <row r="628">
      <c r="A628" s="365"/>
      <c r="B628" s="365"/>
      <c r="C628" s="365"/>
    </row>
    <row r="629">
      <c r="A629" s="365"/>
      <c r="B629" s="365"/>
      <c r="C629" s="365"/>
    </row>
    <row r="630">
      <c r="A630" s="365"/>
      <c r="B630" s="365"/>
      <c r="C630" s="365"/>
    </row>
    <row r="631">
      <c r="A631" s="365"/>
      <c r="B631" s="365"/>
      <c r="C631" s="365"/>
    </row>
    <row r="632">
      <c r="A632" s="365"/>
      <c r="B632" s="365"/>
      <c r="C632" s="365"/>
    </row>
    <row r="633">
      <c r="A633" s="365"/>
      <c r="B633" s="365"/>
      <c r="C633" s="365"/>
    </row>
    <row r="634">
      <c r="A634" s="365"/>
      <c r="B634" s="365"/>
      <c r="C634" s="365"/>
    </row>
    <row r="635">
      <c r="A635" s="365"/>
      <c r="B635" s="365"/>
      <c r="C635" s="365"/>
    </row>
    <row r="636">
      <c r="A636" s="365"/>
      <c r="B636" s="365"/>
      <c r="C636" s="365"/>
    </row>
    <row r="637">
      <c r="A637" s="365"/>
      <c r="B637" s="365"/>
      <c r="C637" s="365"/>
    </row>
    <row r="638">
      <c r="A638" s="365"/>
      <c r="B638" s="365"/>
      <c r="C638" s="365"/>
    </row>
    <row r="639">
      <c r="A639" s="365"/>
      <c r="B639" s="365"/>
      <c r="C639" s="365"/>
    </row>
    <row r="640">
      <c r="A640" s="365"/>
      <c r="B640" s="365"/>
      <c r="C640" s="365"/>
    </row>
    <row r="641">
      <c r="A641" s="365"/>
      <c r="B641" s="365"/>
      <c r="C641" s="365"/>
    </row>
    <row r="642">
      <c r="A642" s="365"/>
      <c r="B642" s="365"/>
      <c r="C642" s="365"/>
    </row>
    <row r="643">
      <c r="A643" s="365"/>
      <c r="B643" s="365"/>
      <c r="C643" s="365"/>
    </row>
    <row r="644">
      <c r="A644" s="365"/>
      <c r="B644" s="365"/>
      <c r="C644" s="365"/>
    </row>
    <row r="645">
      <c r="A645" s="365"/>
      <c r="B645" s="365"/>
      <c r="C645" s="365"/>
    </row>
    <row r="646">
      <c r="A646" s="365"/>
      <c r="B646" s="365"/>
      <c r="C646" s="365"/>
    </row>
    <row r="647">
      <c r="A647" s="365"/>
      <c r="B647" s="365"/>
      <c r="C647" s="365"/>
    </row>
    <row r="648">
      <c r="A648" s="365"/>
      <c r="B648" s="365"/>
      <c r="C648" s="365"/>
    </row>
    <row r="649">
      <c r="A649" s="365"/>
      <c r="B649" s="365"/>
      <c r="C649" s="365"/>
    </row>
    <row r="650">
      <c r="A650" s="365"/>
      <c r="B650" s="365"/>
      <c r="C650" s="365"/>
    </row>
    <row r="651">
      <c r="A651" s="365"/>
      <c r="B651" s="365"/>
      <c r="C651" s="365"/>
    </row>
    <row r="652">
      <c r="A652" s="365"/>
      <c r="B652" s="365"/>
      <c r="C652" s="365"/>
    </row>
    <row r="653">
      <c r="A653" s="365"/>
      <c r="B653" s="365"/>
      <c r="C653" s="365"/>
    </row>
    <row r="654">
      <c r="A654" s="365"/>
      <c r="B654" s="365"/>
      <c r="C654" s="365"/>
    </row>
    <row r="655">
      <c r="A655" s="365"/>
      <c r="B655" s="365"/>
      <c r="C655" s="365"/>
    </row>
    <row r="656">
      <c r="A656" s="365"/>
      <c r="B656" s="365"/>
      <c r="C656" s="365"/>
    </row>
    <row r="657">
      <c r="A657" s="365"/>
      <c r="B657" s="365"/>
      <c r="C657" s="365"/>
    </row>
    <row r="658">
      <c r="A658" s="365"/>
      <c r="B658" s="365"/>
      <c r="C658" s="365"/>
    </row>
    <row r="659">
      <c r="A659" s="365"/>
      <c r="B659" s="365"/>
      <c r="C659" s="365"/>
    </row>
    <row r="660">
      <c r="A660" s="365"/>
      <c r="B660" s="365"/>
      <c r="C660" s="365"/>
    </row>
    <row r="661">
      <c r="A661" s="365"/>
      <c r="B661" s="365"/>
      <c r="C661" s="365"/>
    </row>
    <row r="662">
      <c r="A662" s="365"/>
      <c r="B662" s="365"/>
      <c r="C662" s="365"/>
    </row>
    <row r="663">
      <c r="A663" s="365"/>
      <c r="B663" s="365"/>
      <c r="C663" s="365"/>
    </row>
    <row r="664">
      <c r="A664" s="365"/>
      <c r="B664" s="365"/>
      <c r="C664" s="365"/>
    </row>
    <row r="665">
      <c r="A665" s="365"/>
      <c r="B665" s="365"/>
      <c r="C665" s="365"/>
    </row>
    <row r="666">
      <c r="A666" s="365"/>
      <c r="B666" s="365"/>
      <c r="C666" s="365"/>
    </row>
    <row r="667">
      <c r="A667" s="365"/>
      <c r="B667" s="365"/>
      <c r="C667" s="365"/>
    </row>
    <row r="668">
      <c r="A668" s="365"/>
      <c r="B668" s="365"/>
      <c r="C668" s="365"/>
    </row>
    <row r="669">
      <c r="A669" s="365"/>
      <c r="B669" s="365"/>
      <c r="C669" s="365"/>
    </row>
    <row r="670">
      <c r="A670" s="365"/>
      <c r="B670" s="365"/>
      <c r="C670" s="365"/>
    </row>
    <row r="671">
      <c r="A671" s="365"/>
      <c r="B671" s="365"/>
      <c r="C671" s="365"/>
    </row>
    <row r="672">
      <c r="A672" s="365"/>
      <c r="B672" s="365"/>
      <c r="C672" s="365"/>
    </row>
    <row r="673">
      <c r="A673" s="365"/>
      <c r="B673" s="365"/>
      <c r="C673" s="365"/>
    </row>
    <row r="674">
      <c r="A674" s="365"/>
      <c r="B674" s="365"/>
      <c r="C674" s="365"/>
    </row>
    <row r="675">
      <c r="A675" s="365"/>
      <c r="B675" s="365"/>
      <c r="C675" s="365"/>
    </row>
    <row r="676">
      <c r="A676" s="365"/>
      <c r="B676" s="365"/>
      <c r="C676" s="365"/>
    </row>
    <row r="677">
      <c r="A677" s="365"/>
      <c r="B677" s="365"/>
      <c r="C677" s="365"/>
    </row>
    <row r="678">
      <c r="A678" s="365"/>
      <c r="B678" s="365"/>
      <c r="C678" s="365"/>
    </row>
    <row r="679">
      <c r="A679" s="365"/>
      <c r="B679" s="365"/>
      <c r="C679" s="365"/>
    </row>
    <row r="680">
      <c r="A680" s="365"/>
      <c r="B680" s="365"/>
      <c r="C680" s="365"/>
    </row>
    <row r="681">
      <c r="A681" s="365"/>
      <c r="B681" s="365"/>
      <c r="C681" s="365"/>
    </row>
    <row r="682">
      <c r="A682" s="365"/>
      <c r="B682" s="365"/>
      <c r="C682" s="365"/>
    </row>
    <row r="683">
      <c r="A683" s="365"/>
      <c r="B683" s="365"/>
      <c r="C683" s="365"/>
    </row>
    <row r="684">
      <c r="A684" s="365"/>
      <c r="B684" s="365"/>
      <c r="C684" s="365"/>
    </row>
    <row r="685">
      <c r="A685" s="365"/>
      <c r="B685" s="365"/>
      <c r="C685" s="365"/>
    </row>
    <row r="686">
      <c r="A686" s="365"/>
      <c r="B686" s="365"/>
      <c r="C686" s="365"/>
    </row>
    <row r="687">
      <c r="A687" s="365"/>
      <c r="B687" s="365"/>
      <c r="C687" s="365"/>
    </row>
    <row r="688">
      <c r="A688" s="365"/>
      <c r="B688" s="365"/>
      <c r="C688" s="365"/>
    </row>
    <row r="689">
      <c r="A689" s="365"/>
      <c r="B689" s="365"/>
      <c r="C689" s="365"/>
    </row>
    <row r="690">
      <c r="A690" s="365"/>
      <c r="B690" s="365"/>
      <c r="C690" s="365"/>
    </row>
    <row r="691">
      <c r="A691" s="365"/>
      <c r="B691" s="365"/>
      <c r="C691" s="365"/>
    </row>
    <row r="692">
      <c r="A692" s="365"/>
      <c r="B692" s="365"/>
      <c r="C692" s="365"/>
    </row>
    <row r="693">
      <c r="A693" s="365"/>
      <c r="B693" s="365"/>
      <c r="C693" s="365"/>
    </row>
    <row r="694">
      <c r="A694" s="365"/>
      <c r="B694" s="365"/>
      <c r="C694" s="365"/>
    </row>
    <row r="695">
      <c r="A695" s="365"/>
      <c r="B695" s="365"/>
      <c r="C695" s="365"/>
    </row>
    <row r="696">
      <c r="A696" s="365"/>
      <c r="B696" s="365"/>
      <c r="C696" s="365"/>
    </row>
    <row r="697">
      <c r="A697" s="365"/>
      <c r="B697" s="365"/>
      <c r="C697" s="365"/>
    </row>
    <row r="698">
      <c r="A698" s="365"/>
      <c r="B698" s="365"/>
      <c r="C698" s="365"/>
    </row>
    <row r="699">
      <c r="A699" s="365"/>
      <c r="B699" s="365"/>
      <c r="C699" s="365"/>
    </row>
    <row r="700">
      <c r="A700" s="365"/>
      <c r="B700" s="365"/>
      <c r="C700" s="365"/>
    </row>
    <row r="701">
      <c r="A701" s="365"/>
      <c r="B701" s="365"/>
      <c r="C701" s="365"/>
    </row>
    <row r="702">
      <c r="A702" s="365"/>
      <c r="B702" s="365"/>
      <c r="C702" s="365"/>
    </row>
    <row r="703">
      <c r="A703" s="365"/>
      <c r="B703" s="365"/>
      <c r="C703" s="365"/>
    </row>
    <row r="704">
      <c r="A704" s="365"/>
      <c r="B704" s="365"/>
      <c r="C704" s="365"/>
    </row>
    <row r="705">
      <c r="A705" s="365"/>
      <c r="B705" s="365"/>
      <c r="C705" s="365"/>
    </row>
    <row r="706">
      <c r="A706" s="365"/>
      <c r="B706" s="365"/>
      <c r="C706" s="365"/>
    </row>
    <row r="707">
      <c r="A707" s="365"/>
      <c r="B707" s="365"/>
      <c r="C707" s="365"/>
    </row>
    <row r="708">
      <c r="A708" s="365"/>
      <c r="B708" s="365"/>
      <c r="C708" s="365"/>
    </row>
    <row r="709">
      <c r="A709" s="365"/>
      <c r="B709" s="365"/>
      <c r="C709" s="365"/>
    </row>
    <row r="710">
      <c r="A710" s="365"/>
      <c r="B710" s="365"/>
      <c r="C710" s="365"/>
    </row>
    <row r="711">
      <c r="A711" s="365"/>
      <c r="B711" s="365"/>
      <c r="C711" s="365"/>
    </row>
    <row r="712">
      <c r="A712" s="365"/>
      <c r="B712" s="365"/>
      <c r="C712" s="365"/>
    </row>
    <row r="713">
      <c r="A713" s="365"/>
      <c r="B713" s="365"/>
      <c r="C713" s="365"/>
    </row>
    <row r="714">
      <c r="A714" s="365"/>
      <c r="B714" s="365"/>
      <c r="C714" s="365"/>
    </row>
    <row r="715">
      <c r="A715" s="365"/>
      <c r="B715" s="365"/>
      <c r="C715" s="365"/>
    </row>
    <row r="716">
      <c r="A716" s="365"/>
      <c r="B716" s="365"/>
      <c r="C716" s="365"/>
    </row>
    <row r="717">
      <c r="A717" s="365"/>
      <c r="B717" s="365"/>
      <c r="C717" s="365"/>
    </row>
    <row r="718">
      <c r="A718" s="365"/>
      <c r="B718" s="365"/>
      <c r="C718" s="365"/>
    </row>
    <row r="719">
      <c r="A719" s="365"/>
      <c r="B719" s="365"/>
      <c r="C719" s="365"/>
    </row>
    <row r="720">
      <c r="A720" s="365"/>
      <c r="B720" s="365"/>
      <c r="C720" s="365"/>
    </row>
    <row r="721">
      <c r="A721" s="365"/>
      <c r="B721" s="365"/>
      <c r="C721" s="365"/>
    </row>
    <row r="722">
      <c r="A722" s="365"/>
      <c r="B722" s="365"/>
      <c r="C722" s="365"/>
    </row>
    <row r="723">
      <c r="A723" s="365"/>
      <c r="B723" s="365"/>
      <c r="C723" s="365"/>
    </row>
    <row r="724">
      <c r="A724" s="365"/>
      <c r="B724" s="365"/>
      <c r="C724" s="365"/>
    </row>
    <row r="725">
      <c r="A725" s="365"/>
      <c r="B725" s="365"/>
      <c r="C725" s="365"/>
    </row>
    <row r="726">
      <c r="A726" s="365"/>
      <c r="B726" s="365"/>
      <c r="C726" s="365"/>
    </row>
    <row r="727">
      <c r="A727" s="365"/>
      <c r="B727" s="365"/>
      <c r="C727" s="365"/>
    </row>
    <row r="728">
      <c r="A728" s="365"/>
      <c r="B728" s="365"/>
      <c r="C728" s="365"/>
    </row>
    <row r="729">
      <c r="A729" s="365"/>
      <c r="B729" s="365"/>
      <c r="C729" s="365"/>
    </row>
    <row r="730">
      <c r="A730" s="365"/>
      <c r="B730" s="365"/>
      <c r="C730" s="365"/>
    </row>
    <row r="731">
      <c r="A731" s="365"/>
      <c r="B731" s="365"/>
      <c r="C731" s="365"/>
    </row>
    <row r="732">
      <c r="A732" s="365"/>
      <c r="B732" s="365"/>
      <c r="C732" s="365"/>
    </row>
    <row r="733">
      <c r="A733" s="365"/>
      <c r="B733" s="365"/>
      <c r="C733" s="365"/>
    </row>
    <row r="734">
      <c r="A734" s="365"/>
      <c r="B734" s="365"/>
      <c r="C734" s="365"/>
    </row>
    <row r="735">
      <c r="A735" s="365"/>
      <c r="B735" s="365"/>
      <c r="C735" s="365"/>
    </row>
    <row r="736">
      <c r="A736" s="365"/>
      <c r="B736" s="365"/>
      <c r="C736" s="365"/>
    </row>
    <row r="737">
      <c r="A737" s="365"/>
      <c r="B737" s="365"/>
      <c r="C737" s="365"/>
    </row>
    <row r="738">
      <c r="A738" s="365"/>
      <c r="B738" s="365"/>
      <c r="C738" s="365"/>
    </row>
    <row r="739">
      <c r="A739" s="365"/>
      <c r="B739" s="365"/>
      <c r="C739" s="365"/>
    </row>
    <row r="740">
      <c r="A740" s="365"/>
      <c r="B740" s="365"/>
      <c r="C740" s="365"/>
    </row>
    <row r="741">
      <c r="A741" s="365"/>
      <c r="B741" s="365"/>
      <c r="C741" s="365"/>
    </row>
    <row r="742">
      <c r="A742" s="365"/>
      <c r="B742" s="365"/>
      <c r="C742" s="365"/>
    </row>
    <row r="743">
      <c r="A743" s="365"/>
      <c r="B743" s="365"/>
      <c r="C743" s="365"/>
    </row>
    <row r="744">
      <c r="A744" s="365"/>
      <c r="B744" s="365"/>
      <c r="C744" s="365"/>
    </row>
    <row r="745">
      <c r="A745" s="365"/>
      <c r="B745" s="365"/>
      <c r="C745" s="365"/>
    </row>
    <row r="746">
      <c r="A746" s="365"/>
      <c r="B746" s="365"/>
      <c r="C746" s="365"/>
    </row>
    <row r="747">
      <c r="A747" s="365"/>
      <c r="B747" s="365"/>
      <c r="C747" s="365"/>
    </row>
    <row r="748">
      <c r="A748" s="365"/>
      <c r="B748" s="365"/>
      <c r="C748" s="365"/>
    </row>
    <row r="749">
      <c r="A749" s="365"/>
      <c r="B749" s="365"/>
      <c r="C749" s="365"/>
    </row>
    <row r="750">
      <c r="A750" s="365"/>
      <c r="B750" s="365"/>
      <c r="C750" s="365"/>
    </row>
    <row r="751">
      <c r="A751" s="365"/>
      <c r="B751" s="365"/>
      <c r="C751" s="365"/>
    </row>
    <row r="752">
      <c r="A752" s="365"/>
      <c r="B752" s="365"/>
      <c r="C752" s="365"/>
    </row>
    <row r="753">
      <c r="A753" s="365"/>
      <c r="B753" s="365"/>
      <c r="C753" s="365"/>
    </row>
    <row r="754">
      <c r="A754" s="365"/>
      <c r="B754" s="365"/>
      <c r="C754" s="365"/>
    </row>
    <row r="755">
      <c r="A755" s="365"/>
      <c r="B755" s="365"/>
      <c r="C755" s="365"/>
    </row>
    <row r="756">
      <c r="A756" s="365"/>
      <c r="B756" s="365"/>
      <c r="C756" s="365"/>
    </row>
    <row r="757">
      <c r="A757" s="365"/>
      <c r="B757" s="365"/>
      <c r="C757" s="365"/>
    </row>
    <row r="758">
      <c r="A758" s="365"/>
      <c r="B758" s="365"/>
      <c r="C758" s="365"/>
    </row>
    <row r="759">
      <c r="A759" s="365"/>
      <c r="B759" s="365"/>
      <c r="C759" s="365"/>
    </row>
    <row r="760">
      <c r="A760" s="365"/>
      <c r="B760" s="365"/>
      <c r="C760" s="365"/>
    </row>
    <row r="761">
      <c r="A761" s="365"/>
      <c r="B761" s="365"/>
      <c r="C761" s="365"/>
    </row>
    <row r="762">
      <c r="A762" s="365"/>
      <c r="B762" s="365"/>
      <c r="C762" s="365"/>
    </row>
    <row r="763">
      <c r="A763" s="365"/>
      <c r="B763" s="365"/>
      <c r="C763" s="365"/>
    </row>
    <row r="764">
      <c r="A764" s="365"/>
      <c r="B764" s="365"/>
      <c r="C764" s="365"/>
    </row>
    <row r="765">
      <c r="A765" s="365"/>
      <c r="B765" s="365"/>
      <c r="C765" s="365"/>
    </row>
    <row r="766">
      <c r="A766" s="365"/>
      <c r="B766" s="365"/>
      <c r="C766" s="365"/>
    </row>
    <row r="767">
      <c r="A767" s="365"/>
      <c r="B767" s="365"/>
      <c r="C767" s="365"/>
    </row>
    <row r="768">
      <c r="A768" s="365"/>
      <c r="B768" s="365"/>
      <c r="C768" s="365"/>
    </row>
    <row r="769">
      <c r="A769" s="365"/>
      <c r="B769" s="365"/>
      <c r="C769" s="365"/>
    </row>
    <row r="770">
      <c r="A770" s="365"/>
      <c r="B770" s="365"/>
      <c r="C770" s="365"/>
    </row>
    <row r="771">
      <c r="A771" s="365"/>
      <c r="B771" s="365"/>
      <c r="C771" s="365"/>
    </row>
    <row r="772">
      <c r="A772" s="365"/>
      <c r="B772" s="365"/>
      <c r="C772" s="365"/>
    </row>
    <row r="773">
      <c r="A773" s="365"/>
      <c r="B773" s="365"/>
      <c r="C773" s="365"/>
    </row>
    <row r="774">
      <c r="A774" s="365"/>
      <c r="B774" s="365"/>
      <c r="C774" s="365"/>
    </row>
    <row r="775">
      <c r="A775" s="365"/>
      <c r="B775" s="365"/>
      <c r="C775" s="365"/>
    </row>
    <row r="776">
      <c r="A776" s="365"/>
      <c r="B776" s="365"/>
      <c r="C776" s="365"/>
    </row>
    <row r="777">
      <c r="A777" s="365"/>
      <c r="B777" s="365"/>
      <c r="C777" s="365"/>
    </row>
    <row r="778">
      <c r="A778" s="365"/>
      <c r="B778" s="365"/>
      <c r="C778" s="365"/>
    </row>
    <row r="779">
      <c r="A779" s="365"/>
      <c r="B779" s="365"/>
      <c r="C779" s="365"/>
    </row>
    <row r="780">
      <c r="A780" s="365"/>
      <c r="B780" s="365"/>
      <c r="C780" s="365"/>
    </row>
    <row r="781">
      <c r="A781" s="365"/>
      <c r="B781" s="365"/>
      <c r="C781" s="365"/>
    </row>
    <row r="782">
      <c r="A782" s="365"/>
      <c r="B782" s="365"/>
      <c r="C782" s="365"/>
    </row>
    <row r="783">
      <c r="A783" s="365"/>
      <c r="B783" s="365"/>
      <c r="C783" s="365"/>
    </row>
    <row r="784">
      <c r="A784" s="365"/>
      <c r="B784" s="365"/>
      <c r="C784" s="365"/>
    </row>
    <row r="785">
      <c r="A785" s="365"/>
      <c r="B785" s="365"/>
      <c r="C785" s="365"/>
    </row>
    <row r="786">
      <c r="A786" s="365"/>
      <c r="B786" s="365"/>
      <c r="C786" s="365"/>
    </row>
    <row r="787">
      <c r="A787" s="365"/>
      <c r="B787" s="365"/>
      <c r="C787" s="365"/>
    </row>
    <row r="788">
      <c r="A788" s="365"/>
      <c r="B788" s="365"/>
      <c r="C788" s="365"/>
    </row>
    <row r="789">
      <c r="A789" s="365"/>
      <c r="B789" s="365"/>
      <c r="C789" s="365"/>
    </row>
    <row r="790">
      <c r="A790" s="365"/>
      <c r="B790" s="365"/>
      <c r="C790" s="365"/>
    </row>
    <row r="791">
      <c r="A791" s="365"/>
      <c r="B791" s="365"/>
      <c r="C791" s="365"/>
    </row>
    <row r="792">
      <c r="A792" s="365"/>
      <c r="B792" s="365"/>
      <c r="C792" s="365"/>
    </row>
    <row r="793">
      <c r="A793" s="365"/>
      <c r="B793" s="365"/>
      <c r="C793" s="365"/>
    </row>
    <row r="794">
      <c r="A794" s="365"/>
      <c r="B794" s="365"/>
      <c r="C794" s="365"/>
    </row>
    <row r="795">
      <c r="A795" s="365"/>
      <c r="B795" s="365"/>
      <c r="C795" s="365"/>
    </row>
    <row r="796">
      <c r="A796" s="365"/>
      <c r="B796" s="365"/>
      <c r="C796" s="365"/>
    </row>
    <row r="797">
      <c r="A797" s="365"/>
      <c r="B797" s="365"/>
      <c r="C797" s="365"/>
    </row>
    <row r="798">
      <c r="A798" s="365"/>
      <c r="B798" s="365"/>
      <c r="C798" s="365"/>
    </row>
    <row r="799">
      <c r="A799" s="365"/>
      <c r="B799" s="365"/>
      <c r="C799" s="365"/>
    </row>
    <row r="800">
      <c r="A800" s="365"/>
      <c r="B800" s="365"/>
      <c r="C800" s="365"/>
    </row>
    <row r="801">
      <c r="A801" s="365"/>
      <c r="B801" s="365"/>
      <c r="C801" s="365"/>
    </row>
    <row r="802">
      <c r="A802" s="365"/>
      <c r="B802" s="365"/>
      <c r="C802" s="365"/>
    </row>
    <row r="803">
      <c r="A803" s="365"/>
      <c r="B803" s="365"/>
      <c r="C803" s="365"/>
    </row>
    <row r="804">
      <c r="A804" s="365"/>
      <c r="B804" s="365"/>
      <c r="C804" s="365"/>
    </row>
    <row r="805">
      <c r="A805" s="365"/>
      <c r="B805" s="365"/>
      <c r="C805" s="365"/>
    </row>
    <row r="806">
      <c r="A806" s="365"/>
      <c r="B806" s="365"/>
      <c r="C806" s="365"/>
    </row>
    <row r="807">
      <c r="A807" s="365"/>
      <c r="B807" s="365"/>
      <c r="C807" s="365"/>
    </row>
    <row r="808">
      <c r="A808" s="365"/>
      <c r="B808" s="365"/>
      <c r="C808" s="365"/>
    </row>
    <row r="809">
      <c r="A809" s="365"/>
      <c r="B809" s="365"/>
      <c r="C809" s="365"/>
    </row>
    <row r="810">
      <c r="A810" s="365"/>
      <c r="B810" s="365"/>
      <c r="C810" s="365"/>
    </row>
    <row r="811">
      <c r="A811" s="365"/>
      <c r="B811" s="365"/>
      <c r="C811" s="365"/>
    </row>
    <row r="812">
      <c r="A812" s="365"/>
      <c r="B812" s="365"/>
      <c r="C812" s="365"/>
    </row>
    <row r="813">
      <c r="A813" s="365"/>
      <c r="B813" s="365"/>
      <c r="C813" s="365"/>
    </row>
    <row r="814">
      <c r="A814" s="365"/>
      <c r="B814" s="365"/>
      <c r="C814" s="365"/>
    </row>
    <row r="815">
      <c r="A815" s="365"/>
      <c r="B815" s="365"/>
      <c r="C815" s="365"/>
    </row>
    <row r="816">
      <c r="A816" s="365"/>
      <c r="B816" s="365"/>
      <c r="C816" s="365"/>
    </row>
    <row r="817">
      <c r="A817" s="365"/>
      <c r="B817" s="365"/>
      <c r="C817" s="365"/>
    </row>
    <row r="818">
      <c r="A818" s="365"/>
      <c r="B818" s="365"/>
      <c r="C818" s="365"/>
    </row>
    <row r="819">
      <c r="A819" s="365"/>
      <c r="B819" s="365"/>
      <c r="C819" s="365"/>
    </row>
    <row r="820">
      <c r="A820" s="365"/>
      <c r="B820" s="365"/>
      <c r="C820" s="365"/>
    </row>
    <row r="821">
      <c r="A821" s="365"/>
      <c r="B821" s="365"/>
      <c r="C821" s="365"/>
    </row>
    <row r="822">
      <c r="A822" s="365"/>
      <c r="B822" s="365"/>
      <c r="C822" s="365"/>
    </row>
    <row r="823">
      <c r="A823" s="365"/>
      <c r="B823" s="365"/>
      <c r="C823" s="365"/>
    </row>
    <row r="824">
      <c r="A824" s="365"/>
      <c r="B824" s="365"/>
      <c r="C824" s="365"/>
    </row>
    <row r="825">
      <c r="A825" s="365"/>
      <c r="B825" s="365"/>
      <c r="C825" s="365"/>
    </row>
    <row r="826">
      <c r="A826" s="365"/>
      <c r="B826" s="365"/>
      <c r="C826" s="365"/>
    </row>
    <row r="827">
      <c r="A827" s="365"/>
      <c r="B827" s="365"/>
      <c r="C827" s="365"/>
    </row>
    <row r="828">
      <c r="A828" s="365"/>
      <c r="B828" s="365"/>
      <c r="C828" s="365"/>
    </row>
    <row r="829">
      <c r="A829" s="365"/>
      <c r="B829" s="365"/>
      <c r="C829" s="365"/>
    </row>
    <row r="830">
      <c r="A830" s="365"/>
      <c r="B830" s="365"/>
      <c r="C830" s="365"/>
    </row>
    <row r="831">
      <c r="A831" s="365"/>
      <c r="B831" s="365"/>
      <c r="C831" s="365"/>
    </row>
    <row r="832">
      <c r="A832" s="365"/>
      <c r="B832" s="365"/>
      <c r="C832" s="365"/>
    </row>
    <row r="833">
      <c r="A833" s="365"/>
      <c r="B833" s="365"/>
      <c r="C833" s="365"/>
    </row>
    <row r="834">
      <c r="A834" s="365"/>
      <c r="B834" s="365"/>
      <c r="C834" s="365"/>
    </row>
    <row r="835">
      <c r="A835" s="365"/>
      <c r="B835" s="365"/>
      <c r="C835" s="365"/>
    </row>
    <row r="836">
      <c r="A836" s="365"/>
      <c r="B836" s="365"/>
      <c r="C836" s="365"/>
    </row>
    <row r="837">
      <c r="A837" s="365"/>
      <c r="B837" s="365"/>
      <c r="C837" s="365"/>
    </row>
    <row r="838">
      <c r="A838" s="365"/>
      <c r="B838" s="365"/>
      <c r="C838" s="365"/>
    </row>
    <row r="839">
      <c r="A839" s="365"/>
      <c r="B839" s="365"/>
      <c r="C839" s="365"/>
    </row>
    <row r="840">
      <c r="A840" s="365"/>
      <c r="B840" s="365"/>
      <c r="C840" s="365"/>
    </row>
    <row r="841">
      <c r="A841" s="365"/>
      <c r="B841" s="365"/>
      <c r="C841" s="365"/>
    </row>
    <row r="842">
      <c r="A842" s="365"/>
      <c r="B842" s="365"/>
      <c r="C842" s="365"/>
    </row>
    <row r="843">
      <c r="A843" s="365"/>
      <c r="B843" s="365"/>
      <c r="C843" s="365"/>
    </row>
    <row r="844">
      <c r="A844" s="365"/>
      <c r="B844" s="365"/>
      <c r="C844" s="365"/>
    </row>
    <row r="845">
      <c r="A845" s="365"/>
      <c r="B845" s="365"/>
      <c r="C845" s="365"/>
    </row>
    <row r="846">
      <c r="A846" s="365"/>
      <c r="B846" s="365"/>
      <c r="C846" s="365"/>
    </row>
    <row r="847">
      <c r="A847" s="365"/>
      <c r="B847" s="365"/>
      <c r="C847" s="365"/>
    </row>
    <row r="848">
      <c r="A848" s="365"/>
      <c r="B848" s="365"/>
      <c r="C848" s="365"/>
    </row>
    <row r="849">
      <c r="A849" s="365"/>
      <c r="B849" s="365"/>
      <c r="C849" s="365"/>
    </row>
    <row r="850">
      <c r="A850" s="365"/>
      <c r="B850" s="365"/>
      <c r="C850" s="365"/>
    </row>
    <row r="851">
      <c r="A851" s="365"/>
      <c r="B851" s="365"/>
      <c r="C851" s="365"/>
    </row>
    <row r="852">
      <c r="A852" s="365"/>
      <c r="B852" s="365"/>
      <c r="C852" s="365"/>
    </row>
    <row r="853">
      <c r="A853" s="365"/>
      <c r="B853" s="365"/>
      <c r="C853" s="365"/>
    </row>
    <row r="854">
      <c r="A854" s="365"/>
      <c r="B854" s="365"/>
      <c r="C854" s="365"/>
    </row>
    <row r="855">
      <c r="A855" s="365"/>
      <c r="B855" s="365"/>
      <c r="C855" s="365"/>
    </row>
    <row r="856">
      <c r="A856" s="365"/>
      <c r="B856" s="365"/>
      <c r="C856" s="365"/>
    </row>
    <row r="857">
      <c r="A857" s="365"/>
      <c r="B857" s="365"/>
      <c r="C857" s="365"/>
    </row>
    <row r="858">
      <c r="A858" s="365"/>
      <c r="B858" s="365"/>
      <c r="C858" s="365"/>
    </row>
    <row r="859">
      <c r="A859" s="365"/>
      <c r="B859" s="365"/>
      <c r="C859" s="365"/>
    </row>
    <row r="860">
      <c r="A860" s="365"/>
      <c r="B860" s="365"/>
      <c r="C860" s="365"/>
    </row>
    <row r="861">
      <c r="A861" s="365"/>
      <c r="B861" s="365"/>
      <c r="C861" s="365"/>
    </row>
    <row r="862">
      <c r="A862" s="365"/>
      <c r="B862" s="365"/>
      <c r="C862" s="365"/>
    </row>
    <row r="863">
      <c r="A863" s="365"/>
      <c r="B863" s="365"/>
      <c r="C863" s="365"/>
    </row>
    <row r="864">
      <c r="A864" s="365"/>
      <c r="B864" s="365"/>
      <c r="C864" s="365"/>
    </row>
    <row r="865">
      <c r="A865" s="365"/>
      <c r="B865" s="365"/>
      <c r="C865" s="365"/>
    </row>
    <row r="866">
      <c r="A866" s="365"/>
      <c r="B866" s="365"/>
      <c r="C866" s="365"/>
    </row>
    <row r="867">
      <c r="A867" s="365"/>
      <c r="B867" s="365"/>
      <c r="C867" s="365"/>
    </row>
    <row r="868">
      <c r="A868" s="365"/>
      <c r="B868" s="365"/>
      <c r="C868" s="365"/>
    </row>
    <row r="869">
      <c r="A869" s="365"/>
      <c r="B869" s="365"/>
      <c r="C869" s="365"/>
    </row>
    <row r="870">
      <c r="A870" s="365"/>
      <c r="B870" s="365"/>
      <c r="C870" s="365"/>
    </row>
    <row r="871">
      <c r="A871" s="365"/>
      <c r="B871" s="365"/>
      <c r="C871" s="365"/>
    </row>
    <row r="872">
      <c r="A872" s="365"/>
      <c r="B872" s="365"/>
      <c r="C872" s="365"/>
    </row>
    <row r="873">
      <c r="A873" s="365"/>
      <c r="B873" s="365"/>
      <c r="C873" s="365"/>
    </row>
    <row r="874">
      <c r="A874" s="365"/>
      <c r="B874" s="365"/>
      <c r="C874" s="365"/>
    </row>
    <row r="875">
      <c r="A875" s="365"/>
      <c r="B875" s="365"/>
      <c r="C875" s="365"/>
    </row>
    <row r="876">
      <c r="A876" s="365"/>
      <c r="B876" s="365"/>
      <c r="C876" s="365"/>
    </row>
    <row r="877">
      <c r="A877" s="365"/>
      <c r="B877" s="365"/>
      <c r="C877" s="365"/>
    </row>
    <row r="878">
      <c r="A878" s="365"/>
      <c r="B878" s="365"/>
      <c r="C878" s="365"/>
    </row>
    <row r="879">
      <c r="A879" s="365"/>
      <c r="B879" s="365"/>
      <c r="C879" s="365"/>
    </row>
    <row r="880">
      <c r="A880" s="365"/>
      <c r="B880" s="365"/>
      <c r="C880" s="365"/>
    </row>
    <row r="881">
      <c r="A881" s="365"/>
      <c r="B881" s="365"/>
      <c r="C881" s="365"/>
    </row>
    <row r="882">
      <c r="A882" s="365"/>
      <c r="B882" s="365"/>
      <c r="C882" s="365"/>
    </row>
    <row r="883">
      <c r="A883" s="365"/>
      <c r="B883" s="365"/>
      <c r="C883" s="365"/>
    </row>
    <row r="884">
      <c r="A884" s="365"/>
      <c r="B884" s="365"/>
      <c r="C884" s="365"/>
    </row>
    <row r="885">
      <c r="A885" s="365"/>
      <c r="B885" s="365"/>
      <c r="C885" s="365"/>
    </row>
    <row r="886">
      <c r="A886" s="365"/>
      <c r="B886" s="365"/>
      <c r="C886" s="365"/>
    </row>
    <row r="887">
      <c r="A887" s="365"/>
      <c r="B887" s="365"/>
      <c r="C887" s="365"/>
    </row>
    <row r="888">
      <c r="A888" s="365"/>
      <c r="B888" s="365"/>
      <c r="C888" s="365"/>
    </row>
    <row r="889">
      <c r="A889" s="365"/>
      <c r="B889" s="365"/>
      <c r="C889" s="365"/>
    </row>
    <row r="890">
      <c r="A890" s="365"/>
      <c r="B890" s="365"/>
      <c r="C890" s="365"/>
    </row>
    <row r="891">
      <c r="A891" s="365"/>
      <c r="B891" s="365"/>
      <c r="C891" s="365"/>
    </row>
    <row r="892">
      <c r="A892" s="365"/>
      <c r="B892" s="365"/>
      <c r="C892" s="365"/>
    </row>
    <row r="893">
      <c r="A893" s="365"/>
      <c r="B893" s="365"/>
      <c r="C893" s="365"/>
    </row>
    <row r="894">
      <c r="A894" s="365"/>
      <c r="B894" s="365"/>
      <c r="C894" s="365"/>
    </row>
    <row r="895">
      <c r="A895" s="365"/>
      <c r="B895" s="365"/>
      <c r="C895" s="365"/>
    </row>
    <row r="896">
      <c r="A896" s="365"/>
      <c r="B896" s="365"/>
      <c r="C896" s="365"/>
    </row>
    <row r="897">
      <c r="A897" s="365"/>
      <c r="B897" s="365"/>
      <c r="C897" s="365"/>
    </row>
    <row r="898">
      <c r="A898" s="365"/>
      <c r="B898" s="365"/>
      <c r="C898" s="365"/>
    </row>
    <row r="899">
      <c r="A899" s="365"/>
      <c r="B899" s="365"/>
      <c r="C899" s="365"/>
    </row>
    <row r="900">
      <c r="A900" s="365"/>
      <c r="B900" s="365"/>
      <c r="C900" s="365"/>
    </row>
    <row r="901">
      <c r="A901" s="365"/>
      <c r="B901" s="365"/>
      <c r="C901" s="365"/>
    </row>
    <row r="902">
      <c r="A902" s="365"/>
      <c r="B902" s="365"/>
      <c r="C902" s="365"/>
    </row>
    <row r="903">
      <c r="A903" s="365"/>
      <c r="B903" s="365"/>
      <c r="C903" s="365"/>
    </row>
    <row r="904">
      <c r="A904" s="365"/>
      <c r="B904" s="365"/>
      <c r="C904" s="365"/>
    </row>
    <row r="905">
      <c r="A905" s="365"/>
      <c r="B905" s="365"/>
      <c r="C905" s="365"/>
    </row>
    <row r="906">
      <c r="A906" s="365"/>
      <c r="B906" s="365"/>
      <c r="C906" s="365"/>
    </row>
    <row r="907">
      <c r="A907" s="365"/>
      <c r="B907" s="365"/>
      <c r="C907" s="365"/>
    </row>
    <row r="908">
      <c r="A908" s="365"/>
      <c r="B908" s="365"/>
      <c r="C908" s="365"/>
    </row>
    <row r="909">
      <c r="A909" s="365"/>
      <c r="B909" s="365"/>
      <c r="C909" s="365"/>
    </row>
    <row r="910">
      <c r="A910" s="365"/>
      <c r="B910" s="365"/>
      <c r="C910" s="365"/>
    </row>
    <row r="911">
      <c r="A911" s="365"/>
      <c r="B911" s="365"/>
      <c r="C911" s="365"/>
    </row>
    <row r="912">
      <c r="A912" s="365"/>
      <c r="B912" s="365"/>
      <c r="C912" s="365"/>
    </row>
    <row r="913">
      <c r="A913" s="365"/>
      <c r="B913" s="365"/>
      <c r="C913" s="365"/>
    </row>
    <row r="914">
      <c r="A914" s="365"/>
      <c r="B914" s="365"/>
      <c r="C914" s="365"/>
    </row>
    <row r="915">
      <c r="A915" s="365"/>
      <c r="B915" s="365"/>
      <c r="C915" s="365"/>
    </row>
    <row r="916">
      <c r="A916" s="365"/>
      <c r="B916" s="365"/>
      <c r="C916" s="365"/>
    </row>
    <row r="917">
      <c r="A917" s="365"/>
      <c r="B917" s="365"/>
      <c r="C917" s="365"/>
    </row>
    <row r="918">
      <c r="A918" s="365"/>
      <c r="B918" s="365"/>
      <c r="C918" s="365"/>
    </row>
    <row r="919">
      <c r="A919" s="365"/>
      <c r="B919" s="365"/>
      <c r="C919" s="365"/>
    </row>
    <row r="920">
      <c r="A920" s="365"/>
      <c r="B920" s="365"/>
      <c r="C920" s="365"/>
    </row>
    <row r="921">
      <c r="A921" s="365"/>
      <c r="B921" s="365"/>
      <c r="C921" s="365"/>
    </row>
    <row r="922">
      <c r="A922" s="365"/>
      <c r="B922" s="365"/>
      <c r="C922" s="365"/>
    </row>
    <row r="923">
      <c r="A923" s="365"/>
      <c r="B923" s="365"/>
      <c r="C923" s="365"/>
    </row>
    <row r="924">
      <c r="A924" s="365"/>
      <c r="B924" s="365"/>
      <c r="C924" s="365"/>
    </row>
    <row r="925">
      <c r="A925" s="365"/>
      <c r="B925" s="365"/>
      <c r="C925" s="365"/>
    </row>
    <row r="926">
      <c r="A926" s="365"/>
      <c r="B926" s="365"/>
      <c r="C926" s="365"/>
    </row>
    <row r="927">
      <c r="A927" s="365"/>
      <c r="B927" s="365"/>
      <c r="C927" s="365"/>
    </row>
    <row r="928">
      <c r="A928" s="365"/>
      <c r="B928" s="365"/>
      <c r="C928" s="365"/>
    </row>
    <row r="929">
      <c r="A929" s="365"/>
      <c r="B929" s="365"/>
      <c r="C929" s="365"/>
    </row>
    <row r="930">
      <c r="A930" s="365"/>
      <c r="B930" s="365"/>
      <c r="C930" s="365"/>
    </row>
    <row r="931">
      <c r="A931" s="365"/>
      <c r="B931" s="365"/>
      <c r="C931" s="365"/>
    </row>
    <row r="932">
      <c r="A932" s="365"/>
      <c r="B932" s="365"/>
      <c r="C932" s="365"/>
    </row>
    <row r="933">
      <c r="A933" s="365"/>
      <c r="B933" s="365"/>
      <c r="C933" s="365"/>
    </row>
    <row r="934">
      <c r="A934" s="365"/>
      <c r="B934" s="365"/>
      <c r="C934" s="365"/>
    </row>
    <row r="935">
      <c r="A935" s="365"/>
      <c r="B935" s="365"/>
      <c r="C935" s="365"/>
    </row>
    <row r="936">
      <c r="A936" s="365"/>
      <c r="B936" s="365"/>
      <c r="C936" s="365"/>
    </row>
    <row r="937">
      <c r="A937" s="365"/>
      <c r="B937" s="365"/>
      <c r="C937" s="365"/>
    </row>
    <row r="938">
      <c r="A938" s="365"/>
      <c r="B938" s="365"/>
      <c r="C938" s="365"/>
    </row>
    <row r="939">
      <c r="A939" s="365"/>
      <c r="B939" s="365"/>
      <c r="C939" s="365"/>
    </row>
    <row r="940">
      <c r="A940" s="365"/>
      <c r="B940" s="365"/>
      <c r="C940" s="365"/>
    </row>
    <row r="941">
      <c r="A941" s="365"/>
      <c r="B941" s="365"/>
      <c r="C941" s="365"/>
    </row>
    <row r="942">
      <c r="A942" s="365"/>
      <c r="B942" s="365"/>
      <c r="C942" s="365"/>
    </row>
    <row r="943">
      <c r="A943" s="365"/>
      <c r="B943" s="365"/>
      <c r="C943" s="365"/>
    </row>
    <row r="944">
      <c r="A944" s="365"/>
      <c r="B944" s="365"/>
      <c r="C944" s="365"/>
    </row>
    <row r="945">
      <c r="A945" s="365"/>
      <c r="B945" s="365"/>
      <c r="C945" s="365"/>
    </row>
    <row r="946">
      <c r="A946" s="365"/>
      <c r="B946" s="365"/>
      <c r="C946" s="365"/>
    </row>
    <row r="947">
      <c r="A947" s="365"/>
      <c r="B947" s="365"/>
      <c r="C947" s="365"/>
    </row>
    <row r="948">
      <c r="A948" s="365"/>
      <c r="B948" s="365"/>
      <c r="C948" s="365"/>
    </row>
    <row r="949">
      <c r="A949" s="365"/>
      <c r="B949" s="365"/>
      <c r="C949" s="365"/>
    </row>
    <row r="950">
      <c r="A950" s="365"/>
      <c r="B950" s="365"/>
      <c r="C950" s="365"/>
    </row>
    <row r="951">
      <c r="A951" s="365"/>
      <c r="B951" s="365"/>
      <c r="C951" s="365"/>
    </row>
    <row r="952">
      <c r="A952" s="365"/>
      <c r="B952" s="365"/>
      <c r="C952" s="365"/>
    </row>
    <row r="953">
      <c r="A953" s="365"/>
      <c r="B953" s="365"/>
      <c r="C953" s="365"/>
    </row>
    <row r="954">
      <c r="A954" s="365"/>
      <c r="B954" s="365"/>
      <c r="C954" s="365"/>
    </row>
    <row r="955">
      <c r="A955" s="365"/>
      <c r="B955" s="365"/>
      <c r="C955" s="365"/>
    </row>
    <row r="956">
      <c r="A956" s="365"/>
      <c r="B956" s="365"/>
      <c r="C956" s="365"/>
    </row>
    <row r="957">
      <c r="A957" s="365"/>
      <c r="B957" s="365"/>
      <c r="C957" s="365"/>
    </row>
    <row r="958">
      <c r="A958" s="365"/>
      <c r="B958" s="365"/>
      <c r="C958" s="365"/>
    </row>
    <row r="959">
      <c r="A959" s="365"/>
      <c r="B959" s="365"/>
      <c r="C959" s="365"/>
    </row>
    <row r="960">
      <c r="A960" s="365"/>
      <c r="B960" s="365"/>
      <c r="C960" s="365"/>
    </row>
    <row r="961">
      <c r="A961" s="365"/>
      <c r="B961" s="365"/>
      <c r="C961" s="365"/>
    </row>
    <row r="962">
      <c r="A962" s="365"/>
      <c r="B962" s="365"/>
      <c r="C962" s="365"/>
    </row>
    <row r="963">
      <c r="A963" s="365"/>
      <c r="B963" s="365"/>
      <c r="C963" s="365"/>
    </row>
    <row r="964">
      <c r="A964" s="365"/>
      <c r="B964" s="365"/>
      <c r="C964" s="365"/>
    </row>
    <row r="965">
      <c r="A965" s="365"/>
      <c r="B965" s="365"/>
      <c r="C965" s="365"/>
    </row>
    <row r="966">
      <c r="A966" s="365"/>
      <c r="B966" s="365"/>
      <c r="C966" s="365"/>
    </row>
    <row r="967">
      <c r="A967" s="365"/>
      <c r="B967" s="365"/>
      <c r="C967" s="365"/>
    </row>
    <row r="968">
      <c r="A968" s="365"/>
      <c r="B968" s="365"/>
      <c r="C968" s="365"/>
    </row>
    <row r="969">
      <c r="A969" s="365"/>
      <c r="B969" s="365"/>
      <c r="C969" s="365"/>
    </row>
    <row r="970">
      <c r="A970" s="365"/>
      <c r="B970" s="365"/>
      <c r="C970" s="365"/>
    </row>
    <row r="971">
      <c r="A971" s="365"/>
      <c r="B971" s="365"/>
      <c r="C971" s="365"/>
    </row>
    <row r="972">
      <c r="A972" s="365"/>
      <c r="B972" s="365"/>
      <c r="C972" s="365"/>
    </row>
    <row r="973">
      <c r="A973" s="365"/>
      <c r="B973" s="365"/>
      <c r="C973" s="365"/>
    </row>
    <row r="974">
      <c r="A974" s="365"/>
      <c r="B974" s="365"/>
      <c r="C974" s="365"/>
    </row>
    <row r="975">
      <c r="A975" s="365"/>
      <c r="B975" s="365"/>
      <c r="C975" s="365"/>
    </row>
    <row r="976">
      <c r="A976" s="365"/>
      <c r="B976" s="365"/>
      <c r="C976" s="365"/>
    </row>
    <row r="977">
      <c r="A977" s="365"/>
      <c r="B977" s="365"/>
      <c r="C977" s="365"/>
    </row>
    <row r="978">
      <c r="A978" s="365"/>
      <c r="B978" s="365"/>
      <c r="C978" s="365"/>
    </row>
    <row r="979">
      <c r="A979" s="365"/>
      <c r="B979" s="365"/>
      <c r="C979" s="365"/>
    </row>
    <row r="980">
      <c r="A980" s="365"/>
      <c r="B980" s="365"/>
      <c r="C980" s="365"/>
    </row>
    <row r="981">
      <c r="A981" s="365"/>
      <c r="B981" s="365"/>
      <c r="C981" s="365"/>
    </row>
    <row r="982">
      <c r="A982" s="365"/>
      <c r="B982" s="365"/>
      <c r="C982" s="365"/>
    </row>
    <row r="983">
      <c r="A983" s="365"/>
      <c r="B983" s="365"/>
      <c r="C983" s="365"/>
    </row>
    <row r="984">
      <c r="A984" s="365"/>
      <c r="B984" s="365"/>
      <c r="C984" s="365"/>
    </row>
    <row r="985">
      <c r="A985" s="365"/>
      <c r="B985" s="365"/>
      <c r="C985" s="365"/>
    </row>
    <row r="986">
      <c r="A986" s="365"/>
      <c r="B986" s="365"/>
      <c r="C986" s="365"/>
    </row>
    <row r="987">
      <c r="A987" s="365"/>
      <c r="B987" s="365"/>
      <c r="C987" s="365"/>
    </row>
    <row r="988">
      <c r="A988" s="365"/>
      <c r="B988" s="365"/>
      <c r="C988" s="365"/>
    </row>
    <row r="989">
      <c r="A989" s="365"/>
      <c r="B989" s="365"/>
      <c r="C989" s="365"/>
    </row>
    <row r="990">
      <c r="A990" s="365"/>
      <c r="B990" s="365"/>
      <c r="C990" s="365"/>
    </row>
    <row r="991">
      <c r="A991" s="365"/>
      <c r="B991" s="365"/>
      <c r="C991" s="365"/>
    </row>
    <row r="992">
      <c r="A992" s="365"/>
      <c r="B992" s="365"/>
      <c r="C992" s="365"/>
    </row>
    <row r="993">
      <c r="A993" s="365"/>
      <c r="B993" s="365"/>
      <c r="C993" s="365"/>
    </row>
    <row r="994">
      <c r="A994" s="365"/>
      <c r="B994" s="365"/>
      <c r="C994" s="365"/>
    </row>
    <row r="995">
      <c r="A995" s="365"/>
      <c r="B995" s="365"/>
      <c r="C995" s="365"/>
    </row>
    <row r="996">
      <c r="A996" s="365"/>
      <c r="B996" s="365"/>
      <c r="C996" s="365"/>
    </row>
    <row r="997">
      <c r="A997" s="365"/>
      <c r="B997" s="365"/>
      <c r="C997" s="365"/>
    </row>
    <row r="998">
      <c r="A998" s="365"/>
      <c r="B998" s="365"/>
      <c r="C998" s="365"/>
    </row>
    <row r="999">
      <c r="A999" s="365"/>
      <c r="B999" s="365"/>
      <c r="C999" s="365"/>
    </row>
    <row r="1000">
      <c r="A1000" s="365"/>
      <c r="B1000" s="365"/>
      <c r="C1000" s="36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2023-02-22T17:24:44Z</dcterms:created>
  <dc:creator>Microsoft Office User</dc:creator>
</cp:coreProperties>
</file>