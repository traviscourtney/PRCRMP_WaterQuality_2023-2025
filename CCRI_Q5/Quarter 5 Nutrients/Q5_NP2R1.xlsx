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<sst xmlns="http://schemas.openxmlformats.org/spreadsheetml/2006/main" count="192" uniqueCount="60">
  <si>
    <t>RUN</t>
  </si>
  <si>
    <t>240805_Q5_NP2R1.RUN</t>
  </si>
  <si>
    <t>DATE</t>
  </si>
  <si>
    <t>TIME</t>
  </si>
  <si>
    <t>OPER</t>
  </si>
  <si>
    <t>CLMR</t>
  </si>
  <si>
    <t>NOx</t>
  </si>
  <si>
    <t>PO4</t>
  </si>
  <si>
    <t>COMM</t>
  </si>
  <si>
    <t>LOD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</si>
  <si>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</si>
  <si>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</si>
  <si>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</si>
  <si>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</si>
  <si>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</si>
  <si>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</si>
  <si>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</si>
  <si>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</si>
  <si>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</si>
  <si>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</si>
  <si>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</si>
  <si>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</si>
  <si>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</si>
  <si>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</si>
  <si>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</si>
  <si>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</si>
  <si>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</si>
  <si>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</si>
  <si>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</si>
  <si>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</si>
  <si>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</si>
  <si>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</si>
  <si>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</si>
  <si>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</si>
  <si>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</si>
  <si>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</si>
  <si>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</si>
  <si>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</si>
  <si>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</si>
  <si>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Blank</t>
  </si>
  <si>
    <t>&lt;0.003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</si>
  <si>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</si>
  <si>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</si>
  <si>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</si>
  <si>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</si>
  <si>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</si>
  <si>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</si>
  <si>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</si>
  <si>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</si>
  <si>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</si>
  <si>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7/15 [0.15/0.03]</t>
  </si>
  <si>
    <t>QUAL</t>
  </si>
  <si>
    <t>CRM 4/30</t>
  </si>
  <si>
    <t>425 spiked</t>
  </si>
  <si>
    <t>503 spiked</t>
  </si>
  <si>
    <t>438 spiked</t>
  </si>
  <si>
    <t>607 spiked</t>
  </si>
  <si>
    <t>620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</si>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</sst>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7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ptos narrow"/>
    </font>
    <font>
      <sz val="11.0"/>
      <color rgb="FF9C5700"/>
      <name val="Aptos narrow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1" fillId="2" fontId="3" numFmtId="166" xfId="0" applyAlignment="1" applyBorder="1" applyFill="1" applyFont="1" applyNumberFormat="1">
      <alignment vertical="bottom"/>
    </xf>
    <xf borderId="2" fillId="2" fontId="4" numFmtId="166" xfId="0" applyAlignment="1" applyBorder="1" applyFont="1" applyNumberFormat="1">
      <alignment vertical="bottom"/>
    </xf>
    <xf borderId="3" fillId="2" fontId="4" numFmtId="166" xfId="0" applyAlignment="1" applyBorder="1" applyFont="1" applyNumberFormat="1">
      <alignment vertical="bottom"/>
    </xf>
    <xf borderId="4" fillId="2" fontId="4" numFmtId="166" xfId="0" applyAlignment="1" applyBorder="1" applyFont="1" applyNumberFormat="1">
      <alignment vertical="bottom"/>
    </xf>
    <xf borderId="5" fillId="2" fontId="4" numFmtId="167" xfId="0" applyAlignment="1" applyBorder="1" applyFont="1" applyNumberFormat="1">
      <alignment horizontal="right" vertical="bottom"/>
    </xf>
    <xf borderId="6" fillId="2" fontId="4" numFmtId="167" xfId="0" applyAlignment="1" applyBorder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7" xfId="0" applyAlignment="1" applyFont="1" applyNumberFormat="1">
      <alignment vertical="bottom"/>
    </xf>
    <xf borderId="0" fillId="0" fontId="1" numFmtId="168" xfId="0" applyAlignment="1" applyFont="1" applyNumberFormat="1">
      <alignment horizontal="right" vertical="bottom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2</v>
      </c>
      <c r="B2" s="3">
        <v>45509.0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1" t="s">
        <v>3</v>
      </c>
      <c r="B3" s="4">
        <v>0.5802430555555556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1" t="s">
        <v>4</v>
      </c>
      <c r="B4" s="1" t="s">
        <v>5</v>
      </c>
      <c r="C4" s="2"/>
      <c r="D4" s="2"/>
      <c r="E4" s="2"/>
      <c r="F4" s="2"/>
      <c r="G4" s="2"/>
      <c r="H4" s="5"/>
      <c r="I4" s="6" t="s">
        <v>6</v>
      </c>
      <c r="J4" s="7" t="s">
        <v>7</v>
      </c>
      <c r="K4" s="2"/>
      <c r="L4" s="2"/>
      <c r="M4" s="2"/>
    </row>
    <row r="5">
      <c r="A5" s="1" t="s">
        <v>8</v>
      </c>
      <c r="B5" s="2"/>
      <c r="C5" s="2"/>
      <c r="D5" s="2"/>
      <c r="E5" s="2"/>
      <c r="F5" s="2"/>
      <c r="G5" s="2"/>
      <c r="H5" s="8" t="s">
        <v>9</v>
      </c>
      <c r="I5" s="9">
        <f>STDEV(I61:I70)*2.821</f>
        <v>0.00272534492</v>
      </c>
      <c r="J5" s="10">
        <f>STDEV(K61:K70)*2.821</f>
        <v>0.002676235584</v>
      </c>
      <c r="K5" s="2"/>
      <c r="L5" s="2"/>
      <c r="M5" s="2"/>
    </row>
    <row r="6">
      <c r="A6" s="1" t="s">
        <v>10</v>
      </c>
      <c r="B6" s="11">
        <v>1.0</v>
      </c>
      <c r="C6" s="11">
        <v>3.0</v>
      </c>
      <c r="D6" s="11">
        <v>2.0</v>
      </c>
      <c r="E6" s="2"/>
      <c r="F6" s="2"/>
      <c r="G6" s="2"/>
      <c r="H6" s="2"/>
      <c r="I6" s="2"/>
      <c r="J6" s="2"/>
      <c r="K6" s="2"/>
      <c r="L6" s="2"/>
      <c r="M6" s="2"/>
    </row>
    <row r="7">
      <c r="A7" s="1" t="s">
        <v>11</v>
      </c>
      <c r="B7" s="1" t="s">
        <v>6</v>
      </c>
      <c r="C7" s="1" t="s">
        <v>7</v>
      </c>
      <c r="D7" s="1" t="s">
        <v>12</v>
      </c>
      <c r="E7" s="2"/>
      <c r="F7" s="2"/>
      <c r="G7" s="2"/>
      <c r="H7" s="2"/>
      <c r="I7" s="2"/>
      <c r="J7" s="2"/>
      <c r="K7" s="2"/>
      <c r="L7" s="2"/>
      <c r="M7" s="2"/>
    </row>
    <row r="8">
      <c r="A8" s="1" t="s">
        <v>13</v>
      </c>
      <c r="B8" s="1" t="s">
        <v>14</v>
      </c>
      <c r="C8" s="1" t="s">
        <v>14</v>
      </c>
      <c r="D8" s="1" t="s">
        <v>14</v>
      </c>
      <c r="E8" s="2"/>
      <c r="F8" s="2"/>
      <c r="G8" s="2"/>
      <c r="H8" s="2"/>
      <c r="I8" s="2"/>
      <c r="J8" s="2"/>
      <c r="K8" s="2"/>
      <c r="L8" s="2"/>
      <c r="M8" s="2"/>
    </row>
    <row r="9">
      <c r="A9" s="1" t="s">
        <v>15</v>
      </c>
      <c r="B9" s="11">
        <v>239.0</v>
      </c>
      <c r="C9" s="11">
        <v>5051.0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1" t="s">
        <v>16</v>
      </c>
      <c r="B10" s="11">
        <v>46.0</v>
      </c>
      <c r="C10" s="11">
        <v>603.0</v>
      </c>
      <c r="D10" s="2"/>
      <c r="E10" s="2"/>
      <c r="F10" s="2"/>
      <c r="G10" s="2"/>
      <c r="H10" s="2"/>
      <c r="I10" s="2"/>
      <c r="L10" s="2"/>
      <c r="M10" s="2"/>
    </row>
    <row r="11">
      <c r="A11" s="1" t="s">
        <v>17</v>
      </c>
      <c r="B11" s="1" t="s">
        <v>18</v>
      </c>
      <c r="C11" s="1" t="s">
        <v>18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1" t="s">
        <v>19</v>
      </c>
      <c r="B12" s="11">
        <v>0.999</v>
      </c>
      <c r="C12" s="11">
        <v>0.9998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2"/>
      <c r="G13" s="2"/>
      <c r="H13" s="1" t="s">
        <v>25</v>
      </c>
      <c r="I13" s="1" t="s">
        <v>26</v>
      </c>
      <c r="J13" s="1" t="s">
        <v>27</v>
      </c>
      <c r="K13" s="1" t="s">
        <v>28</v>
      </c>
      <c r="L13" s="1" t="s">
        <v>27</v>
      </c>
      <c r="M13" s="1" t="s">
        <v>29</v>
      </c>
      <c r="N13" s="12" t="s">
        <v>30</v>
      </c>
      <c r="O13" s="12" t="s">
        <v>31</v>
      </c>
      <c r="P13" s="13" t="s">
        <v>32</v>
      </c>
      <c r="Q13" s="13" t="s">
        <v>33</v>
      </c>
    </row>
    <row r="14">
      <c r="A14" s="1" t="s">
        <v>34</v>
      </c>
      <c r="B14" s="11">
        <v>1.0</v>
      </c>
      <c r="C14" s="11">
        <v>921.0</v>
      </c>
      <c r="D14" s="1" t="s">
        <v>35</v>
      </c>
      <c r="E14" s="11">
        <v>0.0</v>
      </c>
      <c r="F14" s="11">
        <v>0.0</v>
      </c>
      <c r="G14" s="11">
        <v>0.0</v>
      </c>
      <c r="H14" s="14">
        <v>45509.58086805556</v>
      </c>
      <c r="I14" s="11">
        <v>0.2</v>
      </c>
      <c r="J14" s="11">
        <v>150.77</v>
      </c>
      <c r="K14" s="11">
        <v>0.198</v>
      </c>
      <c r="L14" s="11">
        <v>13.98</v>
      </c>
      <c r="M14" s="11">
        <v>1.0</v>
      </c>
      <c r="N14" s="15">
        <f t="shared" ref="N14:N80" si="2">I14</f>
        <v>0.2</v>
      </c>
      <c r="O14" s="15">
        <f t="shared" ref="O14:O80" si="3">K14</f>
        <v>0.198</v>
      </c>
      <c r="P14" s="15">
        <f t="shared" ref="P14:Q14" si="1">N14</f>
        <v>0.2</v>
      </c>
      <c r="Q14" s="15">
        <f t="shared" si="1"/>
        <v>0.198</v>
      </c>
    </row>
    <row r="15">
      <c r="A15" s="1" t="s">
        <v>36</v>
      </c>
      <c r="B15" s="11">
        <v>2.0</v>
      </c>
      <c r="C15" s="11">
        <v>921.0</v>
      </c>
      <c r="D15" s="1" t="s">
        <v>37</v>
      </c>
      <c r="E15" s="11">
        <v>0.0</v>
      </c>
      <c r="F15" s="11">
        <v>0.0</v>
      </c>
      <c r="G15" s="11">
        <v>0.0</v>
      </c>
      <c r="H15" s="14">
        <v>45509.58167824074</v>
      </c>
      <c r="I15" s="11">
        <v>0.199</v>
      </c>
      <c r="J15" s="11">
        <v>149.89</v>
      </c>
      <c r="K15" s="11">
        <v>0.199</v>
      </c>
      <c r="L15" s="11">
        <v>14.05</v>
      </c>
      <c r="M15" s="11">
        <v>1.0</v>
      </c>
      <c r="N15" s="15">
        <f t="shared" si="2"/>
        <v>0.199</v>
      </c>
      <c r="O15" s="15">
        <f t="shared" si="3"/>
        <v>0.199</v>
      </c>
      <c r="P15" s="15">
        <f t="shared" ref="P15:Q15" si="4">N15</f>
        <v>0.199</v>
      </c>
      <c r="Q15" s="15">
        <f t="shared" si="4"/>
        <v>0.199</v>
      </c>
    </row>
    <row r="16">
      <c r="A16" s="11">
        <v>0.2</v>
      </c>
      <c r="B16" s="11">
        <v>3.0</v>
      </c>
      <c r="C16" s="11">
        <v>921.0</v>
      </c>
      <c r="D16" s="1" t="s">
        <v>38</v>
      </c>
      <c r="E16" s="11">
        <v>0.0</v>
      </c>
      <c r="F16" s="11">
        <v>0.0</v>
      </c>
      <c r="G16" s="11">
        <v>0.0</v>
      </c>
      <c r="H16" s="14">
        <v>45509.58248842593</v>
      </c>
      <c r="I16" s="11">
        <v>0.198</v>
      </c>
      <c r="J16" s="11">
        <v>149.4</v>
      </c>
      <c r="K16" s="11">
        <v>0.2</v>
      </c>
      <c r="L16" s="11">
        <v>14.09</v>
      </c>
      <c r="M16" s="11">
        <v>1.0</v>
      </c>
      <c r="N16" s="15">
        <f t="shared" si="2"/>
        <v>0.198</v>
      </c>
      <c r="O16" s="15">
        <f t="shared" si="3"/>
        <v>0.2</v>
      </c>
      <c r="P16" s="15">
        <f t="shared" ref="P16:Q16" si="5">N16</f>
        <v>0.198</v>
      </c>
      <c r="Q16" s="15">
        <f t="shared" si="5"/>
        <v>0.2</v>
      </c>
    </row>
    <row r="17">
      <c r="A17" s="11">
        <v>0.1</v>
      </c>
      <c r="B17" s="11">
        <v>4.0</v>
      </c>
      <c r="C17" s="11">
        <v>901.0</v>
      </c>
      <c r="D17" s="1" t="s">
        <v>38</v>
      </c>
      <c r="E17" s="11">
        <v>0.0</v>
      </c>
      <c r="F17" s="11">
        <v>0.0</v>
      </c>
      <c r="G17" s="11">
        <v>0.0</v>
      </c>
      <c r="H17" s="14">
        <v>45509.58329861111</v>
      </c>
      <c r="I17" s="11">
        <v>0.105</v>
      </c>
      <c r="J17" s="11">
        <v>81.22</v>
      </c>
      <c r="K17" s="11">
        <v>0.1</v>
      </c>
      <c r="L17" s="11">
        <v>7.34</v>
      </c>
      <c r="M17" s="11">
        <v>1.0</v>
      </c>
      <c r="N17" s="15">
        <f t="shared" si="2"/>
        <v>0.105</v>
      </c>
      <c r="O17" s="15">
        <f t="shared" si="3"/>
        <v>0.1</v>
      </c>
      <c r="P17" s="15">
        <f t="shared" ref="P17:Q17" si="6">N17</f>
        <v>0.105</v>
      </c>
      <c r="Q17" s="15">
        <f t="shared" si="6"/>
        <v>0.1</v>
      </c>
    </row>
    <row r="18">
      <c r="A18" s="11">
        <v>0.05</v>
      </c>
      <c r="B18" s="11">
        <v>5.0</v>
      </c>
      <c r="C18" s="11">
        <v>902.0</v>
      </c>
      <c r="D18" s="1" t="s">
        <v>38</v>
      </c>
      <c r="E18" s="11">
        <v>0.0</v>
      </c>
      <c r="F18" s="11">
        <v>0.0</v>
      </c>
      <c r="G18" s="11">
        <v>0.0</v>
      </c>
      <c r="H18" s="14">
        <v>45509.5841087963</v>
      </c>
      <c r="I18" s="11">
        <v>0.046</v>
      </c>
      <c r="J18" s="11">
        <v>37.3</v>
      </c>
      <c r="K18" s="11">
        <v>0.053</v>
      </c>
      <c r="L18" s="11">
        <v>4.14</v>
      </c>
      <c r="M18" s="11">
        <v>1.0</v>
      </c>
      <c r="N18" s="15">
        <f t="shared" si="2"/>
        <v>0.046</v>
      </c>
      <c r="O18" s="15">
        <f t="shared" si="3"/>
        <v>0.053</v>
      </c>
      <c r="P18" s="15">
        <f t="shared" ref="P18:Q18" si="7">N18</f>
        <v>0.046</v>
      </c>
      <c r="Q18" s="15">
        <f t="shared" si="7"/>
        <v>0.053</v>
      </c>
    </row>
    <row r="19">
      <c r="A19" s="11">
        <v>0.025</v>
      </c>
      <c r="B19" s="11">
        <v>6.0</v>
      </c>
      <c r="C19" s="11">
        <v>903.0</v>
      </c>
      <c r="D19" s="1" t="s">
        <v>38</v>
      </c>
      <c r="E19" s="11">
        <v>0.0</v>
      </c>
      <c r="F19" s="11">
        <v>0.0</v>
      </c>
      <c r="G19" s="11">
        <v>0.0</v>
      </c>
      <c r="H19" s="14">
        <v>45509.58491898148</v>
      </c>
      <c r="I19" s="11">
        <v>0.024</v>
      </c>
      <c r="J19" s="11">
        <v>21.21</v>
      </c>
      <c r="K19" s="11">
        <v>0.024</v>
      </c>
      <c r="L19" s="11">
        <v>2.2</v>
      </c>
      <c r="M19" s="11">
        <v>1.0</v>
      </c>
      <c r="N19" s="15">
        <f t="shared" si="2"/>
        <v>0.024</v>
      </c>
      <c r="O19" s="15">
        <f t="shared" si="3"/>
        <v>0.024</v>
      </c>
      <c r="P19" s="15">
        <f t="shared" ref="P19:Q19" si="8">N19</f>
        <v>0.024</v>
      </c>
      <c r="Q19" s="15">
        <f t="shared" si="8"/>
        <v>0.024</v>
      </c>
    </row>
    <row r="20">
      <c r="A20" s="11">
        <v>0.01</v>
      </c>
      <c r="B20" s="11">
        <v>7.0</v>
      </c>
      <c r="C20" s="11">
        <v>904.0</v>
      </c>
      <c r="D20" s="1" t="s">
        <v>38</v>
      </c>
      <c r="E20" s="11">
        <v>0.0</v>
      </c>
      <c r="F20" s="11">
        <v>0.0</v>
      </c>
      <c r="G20" s="11">
        <v>0.0</v>
      </c>
      <c r="H20" s="14">
        <v>45509.58572916667</v>
      </c>
      <c r="I20" s="11">
        <v>0.012</v>
      </c>
      <c r="J20" s="11">
        <v>12.71</v>
      </c>
      <c r="K20" s="11">
        <v>0.01</v>
      </c>
      <c r="L20" s="11">
        <v>1.27</v>
      </c>
      <c r="M20" s="11">
        <v>1.0</v>
      </c>
      <c r="N20" s="15">
        <f t="shared" si="2"/>
        <v>0.012</v>
      </c>
      <c r="O20" s="15">
        <f t="shared" si="3"/>
        <v>0.01</v>
      </c>
      <c r="P20" s="15">
        <f t="shared" ref="P20:Q20" si="9">N20</f>
        <v>0.012</v>
      </c>
      <c r="Q20" s="15">
        <f t="shared" si="9"/>
        <v>0.01</v>
      </c>
    </row>
    <row r="21">
      <c r="A21" s="11">
        <v>0.005</v>
      </c>
      <c r="B21" s="11">
        <v>8.0</v>
      </c>
      <c r="C21" s="11">
        <v>905.0</v>
      </c>
      <c r="D21" s="1" t="s">
        <v>38</v>
      </c>
      <c r="E21" s="11">
        <v>0.0</v>
      </c>
      <c r="F21" s="11">
        <v>0.0</v>
      </c>
      <c r="G21" s="11">
        <v>0.0</v>
      </c>
      <c r="H21" s="14">
        <v>45509.586539351854</v>
      </c>
      <c r="I21" s="11">
        <v>0.006</v>
      </c>
      <c r="J21" s="11">
        <v>8.58</v>
      </c>
      <c r="K21" s="11">
        <v>0.004</v>
      </c>
      <c r="L21" s="11">
        <v>0.83</v>
      </c>
      <c r="M21" s="11">
        <v>1.0</v>
      </c>
      <c r="N21" s="15">
        <f t="shared" si="2"/>
        <v>0.006</v>
      </c>
      <c r="O21" s="15">
        <f t="shared" si="3"/>
        <v>0.004</v>
      </c>
      <c r="P21" s="15">
        <f t="shared" ref="P21:Q21" si="10">N21</f>
        <v>0.006</v>
      </c>
      <c r="Q21" s="15">
        <f t="shared" si="10"/>
        <v>0.004</v>
      </c>
    </row>
    <row r="22">
      <c r="A22" s="1" t="s">
        <v>39</v>
      </c>
      <c r="B22" s="11">
        <v>9.0</v>
      </c>
      <c r="C22" s="11">
        <v>906.0</v>
      </c>
      <c r="D22" s="1" t="s">
        <v>38</v>
      </c>
      <c r="E22" s="11">
        <v>0.0</v>
      </c>
      <c r="F22" s="11">
        <v>0.0</v>
      </c>
      <c r="G22" s="11">
        <v>0.0</v>
      </c>
      <c r="H22" s="14">
        <v>45509.58734953704</v>
      </c>
      <c r="I22" s="11">
        <v>-0.002</v>
      </c>
      <c r="J22" s="11">
        <v>2.57</v>
      </c>
      <c r="K22" s="11">
        <v>0.0</v>
      </c>
      <c r="L22" s="11">
        <v>0.55</v>
      </c>
      <c r="M22" s="11">
        <v>1.0</v>
      </c>
      <c r="N22" s="15">
        <f t="shared" si="2"/>
        <v>-0.002</v>
      </c>
      <c r="O22" s="15">
        <f t="shared" si="3"/>
        <v>0</v>
      </c>
      <c r="P22" s="16" t="s">
        <v>40</v>
      </c>
      <c r="Q22" s="16" t="s">
        <v>40</v>
      </c>
    </row>
    <row r="23">
      <c r="A23" s="1" t="s">
        <v>41</v>
      </c>
      <c r="B23" s="11">
        <v>10.0</v>
      </c>
      <c r="C23" s="11">
        <v>0.0</v>
      </c>
      <c r="D23" s="1" t="s">
        <v>42</v>
      </c>
      <c r="E23" s="11">
        <v>0.0</v>
      </c>
      <c r="F23" s="11">
        <v>0.0</v>
      </c>
      <c r="G23" s="11">
        <v>0.0</v>
      </c>
      <c r="H23" s="14">
        <v>45509.588159722225</v>
      </c>
      <c r="I23" s="11">
        <v>-0.005</v>
      </c>
      <c r="J23" s="11">
        <v>0.0</v>
      </c>
      <c r="K23" s="11">
        <v>-0.008</v>
      </c>
      <c r="L23" s="11">
        <v>0.0</v>
      </c>
      <c r="M23" s="11">
        <v>1.0</v>
      </c>
      <c r="N23" s="15">
        <f t="shared" si="2"/>
        <v>-0.005</v>
      </c>
      <c r="O23" s="15">
        <f t="shared" si="3"/>
        <v>-0.008</v>
      </c>
      <c r="P23" s="16" t="s">
        <v>40</v>
      </c>
      <c r="Q23" s="16" t="s">
        <v>40</v>
      </c>
    </row>
    <row r="24">
      <c r="A24" s="1" t="s">
        <v>43</v>
      </c>
      <c r="B24" s="11">
        <v>11.0</v>
      </c>
      <c r="C24" s="11">
        <v>921.0</v>
      </c>
      <c r="D24" s="1" t="s">
        <v>44</v>
      </c>
      <c r="E24" s="11">
        <v>0.0</v>
      </c>
      <c r="F24" s="11">
        <v>1.0</v>
      </c>
      <c r="G24" s="11">
        <v>1.0</v>
      </c>
      <c r="H24" s="14">
        <v>45509.59059027778</v>
      </c>
      <c r="I24" s="11">
        <v>0.195</v>
      </c>
      <c r="J24" s="11">
        <v>147.16</v>
      </c>
      <c r="K24" s="11">
        <v>0.198</v>
      </c>
      <c r="L24" s="11">
        <v>13.98</v>
      </c>
      <c r="M24" s="11">
        <v>1.0</v>
      </c>
      <c r="N24" s="15">
        <f t="shared" si="2"/>
        <v>0.195</v>
      </c>
      <c r="O24" s="15">
        <f t="shared" si="3"/>
        <v>0.198</v>
      </c>
      <c r="P24" s="15">
        <f t="shared" ref="P24:Q24" si="11">N24</f>
        <v>0.195</v>
      </c>
      <c r="Q24" s="15">
        <f t="shared" si="11"/>
        <v>0.198</v>
      </c>
    </row>
    <row r="25">
      <c r="A25" s="1" t="s">
        <v>45</v>
      </c>
      <c r="B25" s="11">
        <v>12.0</v>
      </c>
      <c r="C25" s="11">
        <v>905.0</v>
      </c>
      <c r="D25" s="1" t="s">
        <v>46</v>
      </c>
      <c r="E25" s="11">
        <v>0.0</v>
      </c>
      <c r="F25" s="11">
        <v>1.0</v>
      </c>
      <c r="G25" s="11">
        <v>2.0</v>
      </c>
      <c r="H25" s="14">
        <v>45509.59140046296</v>
      </c>
      <c r="I25" s="11">
        <v>0.004</v>
      </c>
      <c r="J25" s="11">
        <v>7.0</v>
      </c>
      <c r="K25" s="11">
        <v>0.002</v>
      </c>
      <c r="L25" s="11">
        <v>0.73</v>
      </c>
      <c r="M25" s="11">
        <v>1.0</v>
      </c>
      <c r="N25" s="15">
        <f t="shared" si="2"/>
        <v>0.004</v>
      </c>
      <c r="O25" s="15">
        <f t="shared" si="3"/>
        <v>0.002</v>
      </c>
      <c r="P25" s="15">
        <f t="shared" ref="P25:P26" si="12">N25</f>
        <v>0.004</v>
      </c>
      <c r="Q25" s="16" t="s">
        <v>40</v>
      </c>
    </row>
    <row r="26">
      <c r="A26" s="1" t="s">
        <v>45</v>
      </c>
      <c r="B26" s="11">
        <v>13.0</v>
      </c>
      <c r="C26" s="11">
        <v>905.0</v>
      </c>
      <c r="D26" s="1" t="s">
        <v>46</v>
      </c>
      <c r="E26" s="11">
        <v>0.0</v>
      </c>
      <c r="F26" s="11">
        <v>1.0</v>
      </c>
      <c r="G26" s="11">
        <v>3.0</v>
      </c>
      <c r="H26" s="14">
        <v>45509.592210648145</v>
      </c>
      <c r="I26" s="11">
        <v>0.006</v>
      </c>
      <c r="J26" s="11">
        <v>7.87</v>
      </c>
      <c r="K26" s="11">
        <v>0.002</v>
      </c>
      <c r="L26" s="11">
        <v>0.73</v>
      </c>
      <c r="M26" s="11">
        <v>1.0</v>
      </c>
      <c r="N26" s="15">
        <f t="shared" si="2"/>
        <v>0.006</v>
      </c>
      <c r="O26" s="15">
        <f t="shared" si="3"/>
        <v>0.002</v>
      </c>
      <c r="P26" s="15">
        <f t="shared" si="12"/>
        <v>0.006</v>
      </c>
      <c r="Q26" s="16" t="s">
        <v>40</v>
      </c>
    </row>
    <row r="27">
      <c r="A27" s="1" t="s">
        <v>39</v>
      </c>
      <c r="B27" s="11">
        <v>14.0</v>
      </c>
      <c r="C27" s="11">
        <v>906.0</v>
      </c>
      <c r="D27" s="1" t="s">
        <v>47</v>
      </c>
      <c r="E27" s="11">
        <v>0.0</v>
      </c>
      <c r="F27" s="11">
        <v>0.0</v>
      </c>
      <c r="G27" s="11">
        <v>0.0</v>
      </c>
      <c r="H27" s="14">
        <v>45509.59302083333</v>
      </c>
      <c r="I27" s="11">
        <v>-0.001</v>
      </c>
      <c r="J27" s="11">
        <v>3.02</v>
      </c>
      <c r="K27" s="11">
        <v>0.001</v>
      </c>
      <c r="L27" s="11">
        <v>0.65</v>
      </c>
      <c r="M27" s="11">
        <v>1.0</v>
      </c>
      <c r="N27" s="15">
        <f t="shared" si="2"/>
        <v>-0.001</v>
      </c>
      <c r="O27" s="15">
        <f t="shared" si="3"/>
        <v>0.001</v>
      </c>
      <c r="P27" s="16" t="s">
        <v>40</v>
      </c>
      <c r="Q27" s="16" t="s">
        <v>40</v>
      </c>
    </row>
    <row r="28">
      <c r="A28" s="1" t="s">
        <v>48</v>
      </c>
      <c r="B28" s="11">
        <v>15.0</v>
      </c>
      <c r="C28" s="11">
        <v>907.0</v>
      </c>
      <c r="D28" s="1" t="s">
        <v>49</v>
      </c>
      <c r="E28" s="11">
        <v>0.0</v>
      </c>
      <c r="F28" s="11">
        <v>0.0</v>
      </c>
      <c r="G28" s="11">
        <v>1.0</v>
      </c>
      <c r="H28" s="14">
        <v>45509.593831018516</v>
      </c>
      <c r="I28" s="11">
        <v>0.123</v>
      </c>
      <c r="J28" s="11">
        <v>94.34</v>
      </c>
      <c r="K28" s="11">
        <v>0.142</v>
      </c>
      <c r="L28" s="11">
        <v>10.17</v>
      </c>
      <c r="M28" s="11">
        <v>1.0</v>
      </c>
      <c r="N28" s="15">
        <f t="shared" si="2"/>
        <v>0.123</v>
      </c>
      <c r="O28" s="15">
        <f t="shared" si="3"/>
        <v>0.142</v>
      </c>
      <c r="P28" s="15">
        <f t="shared" ref="P28:Q28" si="13">N28</f>
        <v>0.123</v>
      </c>
      <c r="Q28" s="15">
        <f t="shared" si="13"/>
        <v>0.142</v>
      </c>
    </row>
    <row r="29">
      <c r="A29" s="1" t="s">
        <v>50</v>
      </c>
      <c r="B29" s="11">
        <v>16.0</v>
      </c>
      <c r="C29" s="11">
        <v>908.0</v>
      </c>
      <c r="D29" s="1" t="s">
        <v>51</v>
      </c>
      <c r="E29" s="11">
        <v>0.0</v>
      </c>
      <c r="F29" s="11">
        <v>0.0</v>
      </c>
      <c r="G29" s="11">
        <v>0.0</v>
      </c>
      <c r="H29" s="14">
        <v>45509.5946412037</v>
      </c>
      <c r="I29" s="11">
        <v>0.143</v>
      </c>
      <c r="J29" s="11">
        <v>108.65</v>
      </c>
      <c r="K29" s="11">
        <v>0.027</v>
      </c>
      <c r="L29" s="11">
        <v>2.4</v>
      </c>
      <c r="M29" s="11">
        <v>1.0</v>
      </c>
      <c r="N29" s="15">
        <f t="shared" si="2"/>
        <v>0.143</v>
      </c>
      <c r="O29" s="15">
        <f t="shared" si="3"/>
        <v>0.027</v>
      </c>
      <c r="P29" s="15">
        <f t="shared" ref="P29:Q29" si="14">N29</f>
        <v>0.143</v>
      </c>
      <c r="Q29" s="15">
        <f t="shared" si="14"/>
        <v>0.027</v>
      </c>
    </row>
    <row r="30">
      <c r="A30" s="1" t="s">
        <v>52</v>
      </c>
      <c r="B30" s="11">
        <v>17.0</v>
      </c>
      <c r="C30" s="11">
        <v>909.0</v>
      </c>
      <c r="D30" s="1" t="s">
        <v>51</v>
      </c>
      <c r="E30" s="11">
        <v>0.0</v>
      </c>
      <c r="F30" s="11">
        <v>0.0</v>
      </c>
      <c r="G30" s="11">
        <v>0.0</v>
      </c>
      <c r="H30" s="14">
        <v>45509.59545138889</v>
      </c>
      <c r="I30" s="11">
        <v>0.152</v>
      </c>
      <c r="J30" s="11">
        <v>115.69</v>
      </c>
      <c r="K30" s="11">
        <v>0.027</v>
      </c>
      <c r="L30" s="11">
        <v>2.43</v>
      </c>
      <c r="M30" s="11">
        <v>1.0</v>
      </c>
      <c r="N30" s="15">
        <f t="shared" si="2"/>
        <v>0.152</v>
      </c>
      <c r="O30" s="15">
        <f t="shared" si="3"/>
        <v>0.027</v>
      </c>
      <c r="P30" s="15">
        <f t="shared" ref="P30:Q30" si="15">N30</f>
        <v>0.152</v>
      </c>
      <c r="Q30" s="15">
        <f t="shared" si="15"/>
        <v>0.027</v>
      </c>
    </row>
    <row r="31">
      <c r="A31" s="11">
        <v>412.0</v>
      </c>
      <c r="B31" s="11">
        <v>18.0</v>
      </c>
      <c r="C31" s="11">
        <v>1.0</v>
      </c>
      <c r="D31" s="1" t="s">
        <v>47</v>
      </c>
      <c r="E31" s="11">
        <v>0.0</v>
      </c>
      <c r="F31" s="11">
        <v>0.0</v>
      </c>
      <c r="G31" s="11">
        <v>0.0</v>
      </c>
      <c r="H31" s="14">
        <v>45509.59626157407</v>
      </c>
      <c r="I31" s="11">
        <v>0.01</v>
      </c>
      <c r="J31" s="11">
        <v>11.21</v>
      </c>
      <c r="K31" s="11">
        <v>0.002</v>
      </c>
      <c r="L31" s="11">
        <v>0.74</v>
      </c>
      <c r="M31" s="11">
        <v>1.0</v>
      </c>
      <c r="N31" s="15">
        <f t="shared" si="2"/>
        <v>0.01</v>
      </c>
      <c r="O31" s="15">
        <f t="shared" si="3"/>
        <v>0.002</v>
      </c>
      <c r="P31" s="15">
        <f t="shared" ref="P31:P37" si="16">N31</f>
        <v>0.01</v>
      </c>
      <c r="Q31" s="16" t="s">
        <v>40</v>
      </c>
    </row>
    <row r="32">
      <c r="A32" s="11">
        <v>451.0</v>
      </c>
      <c r="B32" s="11">
        <v>19.0</v>
      </c>
      <c r="C32" s="11">
        <v>2.0</v>
      </c>
      <c r="D32" s="1" t="s">
        <v>47</v>
      </c>
      <c r="E32" s="11">
        <v>0.0</v>
      </c>
      <c r="F32" s="11">
        <v>0.0</v>
      </c>
      <c r="G32" s="11">
        <v>0.0</v>
      </c>
      <c r="H32" s="14">
        <v>45509.59707175926</v>
      </c>
      <c r="I32" s="11">
        <v>0.011</v>
      </c>
      <c r="J32" s="11">
        <v>12.19</v>
      </c>
      <c r="K32" s="11">
        <v>0.003</v>
      </c>
      <c r="L32" s="11">
        <v>0.78</v>
      </c>
      <c r="M32" s="11">
        <v>1.0</v>
      </c>
      <c r="N32" s="15">
        <f t="shared" si="2"/>
        <v>0.011</v>
      </c>
      <c r="O32" s="15">
        <f t="shared" si="3"/>
        <v>0.003</v>
      </c>
      <c r="P32" s="15">
        <f t="shared" si="16"/>
        <v>0.011</v>
      </c>
      <c r="Q32" s="15">
        <f t="shared" ref="Q32:Q34" si="17">O32</f>
        <v>0.003</v>
      </c>
    </row>
    <row r="33">
      <c r="A33" s="11">
        <v>477.0</v>
      </c>
      <c r="B33" s="11">
        <v>20.0</v>
      </c>
      <c r="C33" s="11">
        <v>3.0</v>
      </c>
      <c r="D33" s="1" t="s">
        <v>47</v>
      </c>
      <c r="E33" s="11">
        <v>0.0</v>
      </c>
      <c r="F33" s="11">
        <v>0.0</v>
      </c>
      <c r="G33" s="11">
        <v>0.0</v>
      </c>
      <c r="H33" s="14">
        <v>45509.59788194444</v>
      </c>
      <c r="I33" s="11">
        <v>0.011</v>
      </c>
      <c r="J33" s="11">
        <v>12.2</v>
      </c>
      <c r="K33" s="11">
        <v>0.003</v>
      </c>
      <c r="L33" s="11">
        <v>0.79</v>
      </c>
      <c r="M33" s="11">
        <v>1.0</v>
      </c>
      <c r="N33" s="15">
        <f t="shared" si="2"/>
        <v>0.011</v>
      </c>
      <c r="O33" s="15">
        <f t="shared" si="3"/>
        <v>0.003</v>
      </c>
      <c r="P33" s="15">
        <f t="shared" si="16"/>
        <v>0.011</v>
      </c>
      <c r="Q33" s="15">
        <f t="shared" si="17"/>
        <v>0.003</v>
      </c>
    </row>
    <row r="34">
      <c r="A34" s="11">
        <v>529.0</v>
      </c>
      <c r="B34" s="11">
        <v>21.0</v>
      </c>
      <c r="C34" s="11">
        <v>4.0</v>
      </c>
      <c r="D34" s="1" t="s">
        <v>47</v>
      </c>
      <c r="E34" s="11">
        <v>0.0</v>
      </c>
      <c r="F34" s="11">
        <v>0.0</v>
      </c>
      <c r="G34" s="11">
        <v>0.0</v>
      </c>
      <c r="H34" s="14">
        <v>45509.59869212963</v>
      </c>
      <c r="I34" s="11">
        <v>0.02</v>
      </c>
      <c r="J34" s="11">
        <v>18.6</v>
      </c>
      <c r="K34" s="11">
        <v>0.003</v>
      </c>
      <c r="L34" s="11">
        <v>0.79</v>
      </c>
      <c r="M34" s="11">
        <v>1.0</v>
      </c>
      <c r="N34" s="15">
        <f t="shared" si="2"/>
        <v>0.02</v>
      </c>
      <c r="O34" s="15">
        <f t="shared" si="3"/>
        <v>0.003</v>
      </c>
      <c r="P34" s="15">
        <f t="shared" si="16"/>
        <v>0.02</v>
      </c>
      <c r="Q34" s="15">
        <f t="shared" si="17"/>
        <v>0.003</v>
      </c>
    </row>
    <row r="35">
      <c r="A35" s="11">
        <v>360.0</v>
      </c>
      <c r="B35" s="11">
        <v>22.0</v>
      </c>
      <c r="C35" s="11">
        <v>5.0</v>
      </c>
      <c r="D35" s="1" t="s">
        <v>47</v>
      </c>
      <c r="E35" s="11">
        <v>0.0</v>
      </c>
      <c r="F35" s="11">
        <v>0.0</v>
      </c>
      <c r="G35" s="11">
        <v>0.0</v>
      </c>
      <c r="H35" s="14">
        <v>45509.59950231481</v>
      </c>
      <c r="I35" s="11">
        <v>0.004</v>
      </c>
      <c r="J35" s="11">
        <v>6.9</v>
      </c>
      <c r="K35" s="11">
        <v>0.002</v>
      </c>
      <c r="L35" s="11">
        <v>0.69</v>
      </c>
      <c r="M35" s="11">
        <v>1.0</v>
      </c>
      <c r="N35" s="15">
        <f t="shared" si="2"/>
        <v>0.004</v>
      </c>
      <c r="O35" s="15">
        <f t="shared" si="3"/>
        <v>0.002</v>
      </c>
      <c r="P35" s="15">
        <f t="shared" si="16"/>
        <v>0.004</v>
      </c>
      <c r="Q35" s="16" t="s">
        <v>40</v>
      </c>
    </row>
    <row r="36">
      <c r="A36" s="11">
        <v>490.0</v>
      </c>
      <c r="B36" s="11">
        <v>23.0</v>
      </c>
      <c r="C36" s="11">
        <v>6.0</v>
      </c>
      <c r="D36" s="1" t="s">
        <v>47</v>
      </c>
      <c r="E36" s="11">
        <v>0.0</v>
      </c>
      <c r="F36" s="11">
        <v>0.0</v>
      </c>
      <c r="G36" s="11">
        <v>0.0</v>
      </c>
      <c r="H36" s="14">
        <v>45509.6003125</v>
      </c>
      <c r="I36" s="11">
        <v>0.011</v>
      </c>
      <c r="J36" s="11">
        <v>12.11</v>
      </c>
      <c r="K36" s="11">
        <v>0.002</v>
      </c>
      <c r="L36" s="11">
        <v>0.74</v>
      </c>
      <c r="M36" s="11">
        <v>1.0</v>
      </c>
      <c r="N36" s="15">
        <f t="shared" si="2"/>
        <v>0.011</v>
      </c>
      <c r="O36" s="15">
        <f t="shared" si="3"/>
        <v>0.002</v>
      </c>
      <c r="P36" s="15">
        <f t="shared" si="16"/>
        <v>0.011</v>
      </c>
      <c r="Q36" s="16" t="s">
        <v>40</v>
      </c>
    </row>
    <row r="37">
      <c r="A37" s="11">
        <v>464.0</v>
      </c>
      <c r="B37" s="11">
        <v>24.0</v>
      </c>
      <c r="C37" s="11">
        <v>7.0</v>
      </c>
      <c r="D37" s="1" t="s">
        <v>47</v>
      </c>
      <c r="E37" s="11">
        <v>0.0</v>
      </c>
      <c r="F37" s="11">
        <v>0.0</v>
      </c>
      <c r="G37" s="11">
        <v>0.0</v>
      </c>
      <c r="H37" s="14">
        <v>45509.601122685184</v>
      </c>
      <c r="I37" s="11">
        <v>0.011</v>
      </c>
      <c r="J37" s="11">
        <v>12.09</v>
      </c>
      <c r="K37" s="11">
        <v>0.004</v>
      </c>
      <c r="L37" s="11">
        <v>0.85</v>
      </c>
      <c r="M37" s="11">
        <v>1.0</v>
      </c>
      <c r="N37" s="15">
        <f t="shared" si="2"/>
        <v>0.011</v>
      </c>
      <c r="O37" s="15">
        <f t="shared" si="3"/>
        <v>0.004</v>
      </c>
      <c r="P37" s="15">
        <f t="shared" si="16"/>
        <v>0.011</v>
      </c>
      <c r="Q37" s="15">
        <f>O37</f>
        <v>0.004</v>
      </c>
    </row>
    <row r="38">
      <c r="A38" s="11">
        <v>542.0</v>
      </c>
      <c r="B38" s="11">
        <v>25.0</v>
      </c>
      <c r="C38" s="11">
        <v>8.0</v>
      </c>
      <c r="D38" s="1" t="s">
        <v>47</v>
      </c>
      <c r="E38" s="11">
        <v>0.0</v>
      </c>
      <c r="F38" s="11">
        <v>0.0</v>
      </c>
      <c r="G38" s="11">
        <v>0.0</v>
      </c>
      <c r="H38" s="14">
        <v>45509.60193287037</v>
      </c>
      <c r="I38" s="11">
        <v>-0.003</v>
      </c>
      <c r="J38" s="11">
        <v>1.62</v>
      </c>
      <c r="K38" s="11">
        <v>0.001</v>
      </c>
      <c r="L38" s="11">
        <v>0.61</v>
      </c>
      <c r="M38" s="11">
        <v>1.0</v>
      </c>
      <c r="N38" s="15">
        <f t="shared" si="2"/>
        <v>-0.003</v>
      </c>
      <c r="O38" s="15">
        <f t="shared" si="3"/>
        <v>0.001</v>
      </c>
      <c r="P38" s="16" t="s">
        <v>40</v>
      </c>
      <c r="Q38" s="16" t="s">
        <v>40</v>
      </c>
    </row>
    <row r="39">
      <c r="A39" s="11">
        <v>399.0</v>
      </c>
      <c r="B39" s="11">
        <v>26.0</v>
      </c>
      <c r="C39" s="11">
        <v>9.0</v>
      </c>
      <c r="D39" s="1" t="s">
        <v>47</v>
      </c>
      <c r="E39" s="11">
        <v>0.0</v>
      </c>
      <c r="F39" s="11">
        <v>0.0</v>
      </c>
      <c r="G39" s="11">
        <v>0.0</v>
      </c>
      <c r="H39" s="14">
        <v>45509.602743055555</v>
      </c>
      <c r="I39" s="11">
        <v>0.011</v>
      </c>
      <c r="J39" s="11">
        <v>11.92</v>
      </c>
      <c r="K39" s="11">
        <v>0.003</v>
      </c>
      <c r="L39" s="11">
        <v>0.75</v>
      </c>
      <c r="M39" s="11">
        <v>1.0</v>
      </c>
      <c r="N39" s="15">
        <f t="shared" si="2"/>
        <v>0.011</v>
      </c>
      <c r="O39" s="15">
        <f t="shared" si="3"/>
        <v>0.003</v>
      </c>
      <c r="P39" s="15">
        <f t="shared" ref="P39:Q39" si="18">N39</f>
        <v>0.011</v>
      </c>
      <c r="Q39" s="15">
        <f t="shared" si="18"/>
        <v>0.003</v>
      </c>
    </row>
    <row r="40">
      <c r="A40" s="11">
        <v>425.0</v>
      </c>
      <c r="B40" s="11">
        <v>27.0</v>
      </c>
      <c r="C40" s="11">
        <v>10.0</v>
      </c>
      <c r="D40" s="1" t="s">
        <v>47</v>
      </c>
      <c r="E40" s="11">
        <v>0.0</v>
      </c>
      <c r="F40" s="11">
        <v>0.0</v>
      </c>
      <c r="G40" s="11">
        <v>0.0</v>
      </c>
      <c r="H40" s="14">
        <v>45509.60355324074</v>
      </c>
      <c r="I40" s="11">
        <v>0.007</v>
      </c>
      <c r="J40" s="11">
        <v>9.14</v>
      </c>
      <c r="K40" s="11">
        <v>0.001</v>
      </c>
      <c r="L40" s="11">
        <v>0.63</v>
      </c>
      <c r="M40" s="11">
        <v>1.0</v>
      </c>
      <c r="N40" s="15">
        <f t="shared" si="2"/>
        <v>0.007</v>
      </c>
      <c r="O40" s="15">
        <f t="shared" si="3"/>
        <v>0.001</v>
      </c>
      <c r="P40" s="15">
        <f t="shared" ref="P40:P43" si="19">N40</f>
        <v>0.007</v>
      </c>
      <c r="Q40" s="16" t="s">
        <v>40</v>
      </c>
    </row>
    <row r="41">
      <c r="A41" s="1" t="s">
        <v>53</v>
      </c>
      <c r="B41" s="11">
        <v>28.0</v>
      </c>
      <c r="C41" s="11">
        <v>11.0</v>
      </c>
      <c r="D41" s="1" t="s">
        <v>49</v>
      </c>
      <c r="E41" s="11">
        <v>0.0</v>
      </c>
      <c r="F41" s="11">
        <v>0.0</v>
      </c>
      <c r="G41" s="11">
        <v>1.0</v>
      </c>
      <c r="H41" s="14">
        <v>45509.604363425926</v>
      </c>
      <c r="I41" s="11">
        <v>0.151</v>
      </c>
      <c r="J41" s="11">
        <v>114.35</v>
      </c>
      <c r="K41" s="11">
        <v>0.15</v>
      </c>
      <c r="L41" s="11">
        <v>10.75</v>
      </c>
      <c r="M41" s="11">
        <v>1.0</v>
      </c>
      <c r="N41" s="15">
        <f t="shared" si="2"/>
        <v>0.151</v>
      </c>
      <c r="O41" s="15">
        <f t="shared" si="3"/>
        <v>0.15</v>
      </c>
      <c r="P41" s="15">
        <f t="shared" si="19"/>
        <v>0.151</v>
      </c>
      <c r="Q41" s="15">
        <f t="shared" ref="Q41:Q43" si="20">O41</f>
        <v>0.15</v>
      </c>
    </row>
    <row r="42">
      <c r="A42" s="1" t="s">
        <v>50</v>
      </c>
      <c r="B42" s="11">
        <v>29.0</v>
      </c>
      <c r="C42" s="11">
        <v>908.0</v>
      </c>
      <c r="D42" s="1" t="s">
        <v>51</v>
      </c>
      <c r="E42" s="11">
        <v>0.0</v>
      </c>
      <c r="F42" s="11">
        <v>0.0</v>
      </c>
      <c r="G42" s="11">
        <v>0.0</v>
      </c>
      <c r="H42" s="14">
        <v>45509.60517361111</v>
      </c>
      <c r="I42" s="11">
        <v>0.152</v>
      </c>
      <c r="J42" s="11">
        <v>115.4</v>
      </c>
      <c r="K42" s="11">
        <v>0.029</v>
      </c>
      <c r="L42" s="11">
        <v>2.51</v>
      </c>
      <c r="M42" s="11">
        <v>1.0</v>
      </c>
      <c r="N42" s="15">
        <f t="shared" si="2"/>
        <v>0.152</v>
      </c>
      <c r="O42" s="15">
        <f t="shared" si="3"/>
        <v>0.029</v>
      </c>
      <c r="P42" s="15">
        <f t="shared" si="19"/>
        <v>0.152</v>
      </c>
      <c r="Q42" s="15">
        <f t="shared" si="20"/>
        <v>0.029</v>
      </c>
    </row>
    <row r="43">
      <c r="A43" s="1" t="s">
        <v>52</v>
      </c>
      <c r="B43" s="11">
        <v>30.0</v>
      </c>
      <c r="C43" s="11">
        <v>909.0</v>
      </c>
      <c r="D43" s="1" t="s">
        <v>51</v>
      </c>
      <c r="E43" s="11">
        <v>0.0</v>
      </c>
      <c r="F43" s="11">
        <v>0.0</v>
      </c>
      <c r="G43" s="11">
        <v>0.0</v>
      </c>
      <c r="H43" s="14">
        <v>45509.6059837963</v>
      </c>
      <c r="I43" s="11">
        <v>0.146</v>
      </c>
      <c r="J43" s="11">
        <v>111.16</v>
      </c>
      <c r="K43" s="11">
        <v>0.029</v>
      </c>
      <c r="L43" s="11">
        <v>2.52</v>
      </c>
      <c r="M43" s="11">
        <v>1.0</v>
      </c>
      <c r="N43" s="15">
        <f t="shared" si="2"/>
        <v>0.146</v>
      </c>
      <c r="O43" s="15">
        <f t="shared" si="3"/>
        <v>0.029</v>
      </c>
      <c r="P43" s="15">
        <f t="shared" si="19"/>
        <v>0.146</v>
      </c>
      <c r="Q43" s="15">
        <f t="shared" si="20"/>
        <v>0.029</v>
      </c>
    </row>
    <row r="44">
      <c r="A44" s="1" t="s">
        <v>41</v>
      </c>
      <c r="B44" s="11">
        <v>31.0</v>
      </c>
      <c r="C44" s="11">
        <v>0.0</v>
      </c>
      <c r="D44" s="1" t="s">
        <v>42</v>
      </c>
      <c r="E44" s="11">
        <v>0.0</v>
      </c>
      <c r="F44" s="11">
        <v>0.0</v>
      </c>
      <c r="G44" s="11">
        <v>0.0</v>
      </c>
      <c r="H44" s="14">
        <v>45509.60679398148</v>
      </c>
      <c r="I44" s="11">
        <v>-0.005</v>
      </c>
      <c r="J44" s="11">
        <v>0.0</v>
      </c>
      <c r="K44" s="11">
        <v>-0.008</v>
      </c>
      <c r="L44" s="11">
        <v>0.0</v>
      </c>
      <c r="M44" s="11">
        <v>1.0</v>
      </c>
      <c r="N44" s="15">
        <f t="shared" si="2"/>
        <v>-0.005</v>
      </c>
      <c r="O44" s="15">
        <f t="shared" si="3"/>
        <v>-0.008</v>
      </c>
      <c r="P44" s="16" t="s">
        <v>40</v>
      </c>
      <c r="Q44" s="16" t="s">
        <v>40</v>
      </c>
    </row>
    <row r="45">
      <c r="A45" s="11">
        <v>386.0</v>
      </c>
      <c r="B45" s="11">
        <v>32.0</v>
      </c>
      <c r="C45" s="11">
        <v>12.0</v>
      </c>
      <c r="D45" s="1" t="s">
        <v>47</v>
      </c>
      <c r="E45" s="11">
        <v>0.0</v>
      </c>
      <c r="F45" s="11">
        <v>0.0</v>
      </c>
      <c r="G45" s="11">
        <v>0.0</v>
      </c>
      <c r="H45" s="14">
        <v>45509.60922453704</v>
      </c>
      <c r="I45" s="11">
        <v>0.011</v>
      </c>
      <c r="J45" s="11">
        <v>12.18</v>
      </c>
      <c r="K45" s="11">
        <v>0.003</v>
      </c>
      <c r="L45" s="11">
        <v>0.76</v>
      </c>
      <c r="M45" s="11">
        <v>1.0</v>
      </c>
      <c r="N45" s="15">
        <f t="shared" si="2"/>
        <v>0.011</v>
      </c>
      <c r="O45" s="15">
        <f t="shared" si="3"/>
        <v>0.003</v>
      </c>
      <c r="P45" s="15">
        <f t="shared" ref="P45:Q45" si="21">N45</f>
        <v>0.011</v>
      </c>
      <c r="Q45" s="15">
        <f t="shared" si="21"/>
        <v>0.003</v>
      </c>
    </row>
    <row r="46">
      <c r="A46" s="11">
        <v>581.0</v>
      </c>
      <c r="B46" s="11">
        <v>33.0</v>
      </c>
      <c r="C46" s="11">
        <v>13.0</v>
      </c>
      <c r="D46" s="1" t="s">
        <v>47</v>
      </c>
      <c r="E46" s="11">
        <v>0.0</v>
      </c>
      <c r="F46" s="11">
        <v>0.0</v>
      </c>
      <c r="G46" s="11">
        <v>0.0</v>
      </c>
      <c r="H46" s="14">
        <v>45509.610034722224</v>
      </c>
      <c r="I46" s="11">
        <v>0.011</v>
      </c>
      <c r="J46" s="11">
        <v>11.94</v>
      </c>
      <c r="K46" s="11">
        <v>0.006</v>
      </c>
      <c r="L46" s="11">
        <v>0.98</v>
      </c>
      <c r="M46" s="11">
        <v>1.0</v>
      </c>
      <c r="N46" s="15">
        <f t="shared" si="2"/>
        <v>0.011</v>
      </c>
      <c r="O46" s="15">
        <f t="shared" si="3"/>
        <v>0.006</v>
      </c>
      <c r="P46" s="15">
        <f t="shared" ref="P46:Q46" si="22">N46</f>
        <v>0.011</v>
      </c>
      <c r="Q46" s="15">
        <f t="shared" si="22"/>
        <v>0.006</v>
      </c>
    </row>
    <row r="47">
      <c r="A47" s="11">
        <v>334.0</v>
      </c>
      <c r="B47" s="11">
        <v>34.0</v>
      </c>
      <c r="C47" s="11">
        <v>14.0</v>
      </c>
      <c r="D47" s="1" t="s">
        <v>47</v>
      </c>
      <c r="E47" s="11">
        <v>0.0</v>
      </c>
      <c r="F47" s="11">
        <v>0.0</v>
      </c>
      <c r="G47" s="11">
        <v>0.0</v>
      </c>
      <c r="H47" s="14">
        <v>45509.61084490741</v>
      </c>
      <c r="I47" s="11">
        <v>0.01</v>
      </c>
      <c r="J47" s="11">
        <v>10.88</v>
      </c>
      <c r="K47" s="11">
        <v>0.003</v>
      </c>
      <c r="L47" s="11">
        <v>0.74</v>
      </c>
      <c r="M47" s="11">
        <v>1.0</v>
      </c>
      <c r="N47" s="15">
        <f t="shared" si="2"/>
        <v>0.01</v>
      </c>
      <c r="O47" s="15">
        <f t="shared" si="3"/>
        <v>0.003</v>
      </c>
      <c r="P47" s="15">
        <f t="shared" ref="P47:Q47" si="23">N47</f>
        <v>0.01</v>
      </c>
      <c r="Q47" s="15">
        <f t="shared" si="23"/>
        <v>0.003</v>
      </c>
    </row>
    <row r="48">
      <c r="A48" s="11">
        <v>373.0</v>
      </c>
      <c r="B48" s="11">
        <v>35.0</v>
      </c>
      <c r="C48" s="11">
        <v>15.0</v>
      </c>
      <c r="D48" s="1" t="s">
        <v>47</v>
      </c>
      <c r="E48" s="11">
        <v>0.0</v>
      </c>
      <c r="F48" s="11">
        <v>0.0</v>
      </c>
      <c r="G48" s="11">
        <v>0.0</v>
      </c>
      <c r="H48" s="14">
        <v>45509.611655092594</v>
      </c>
      <c r="I48" s="11">
        <v>0.008</v>
      </c>
      <c r="J48" s="11">
        <v>9.94</v>
      </c>
      <c r="K48" s="11">
        <v>0.004</v>
      </c>
      <c r="L48" s="11">
        <v>0.81</v>
      </c>
      <c r="M48" s="11">
        <v>1.0</v>
      </c>
      <c r="N48" s="15">
        <f t="shared" si="2"/>
        <v>0.008</v>
      </c>
      <c r="O48" s="15">
        <f t="shared" si="3"/>
        <v>0.004</v>
      </c>
      <c r="P48" s="15">
        <f t="shared" ref="P48:Q48" si="24">N48</f>
        <v>0.008</v>
      </c>
      <c r="Q48" s="15">
        <f t="shared" si="24"/>
        <v>0.004</v>
      </c>
    </row>
    <row r="49">
      <c r="A49" s="11">
        <v>516.0</v>
      </c>
      <c r="B49" s="11">
        <v>36.0</v>
      </c>
      <c r="C49" s="11">
        <v>16.0</v>
      </c>
      <c r="D49" s="1" t="s">
        <v>47</v>
      </c>
      <c r="E49" s="11">
        <v>0.0</v>
      </c>
      <c r="F49" s="11">
        <v>0.0</v>
      </c>
      <c r="G49" s="11">
        <v>0.0</v>
      </c>
      <c r="H49" s="14">
        <v>45509.61246527778</v>
      </c>
      <c r="I49" s="11">
        <v>0.005</v>
      </c>
      <c r="J49" s="11">
        <v>7.86</v>
      </c>
      <c r="K49" s="11">
        <v>0.002</v>
      </c>
      <c r="L49" s="11">
        <v>0.72</v>
      </c>
      <c r="M49" s="11">
        <v>1.0</v>
      </c>
      <c r="N49" s="15">
        <f t="shared" si="2"/>
        <v>0.005</v>
      </c>
      <c r="O49" s="15">
        <f t="shared" si="3"/>
        <v>0.002</v>
      </c>
      <c r="P49" s="15">
        <f t="shared" ref="P49:P59" si="25">N49</f>
        <v>0.005</v>
      </c>
      <c r="Q49" s="16" t="s">
        <v>40</v>
      </c>
    </row>
    <row r="50">
      <c r="A50" s="11">
        <v>568.0</v>
      </c>
      <c r="B50" s="11">
        <v>37.0</v>
      </c>
      <c r="C50" s="11">
        <v>17.0</v>
      </c>
      <c r="D50" s="1" t="s">
        <v>47</v>
      </c>
      <c r="E50" s="11">
        <v>0.0</v>
      </c>
      <c r="F50" s="11">
        <v>0.0</v>
      </c>
      <c r="G50" s="11">
        <v>0.0</v>
      </c>
      <c r="H50" s="14">
        <v>45509.613275462965</v>
      </c>
      <c r="I50" s="11">
        <v>0.017</v>
      </c>
      <c r="J50" s="11">
        <v>16.45</v>
      </c>
      <c r="K50" s="11">
        <v>0.003</v>
      </c>
      <c r="L50" s="11">
        <v>0.76</v>
      </c>
      <c r="M50" s="11">
        <v>1.0</v>
      </c>
      <c r="N50" s="15">
        <f t="shared" si="2"/>
        <v>0.017</v>
      </c>
      <c r="O50" s="15">
        <f t="shared" si="3"/>
        <v>0.003</v>
      </c>
      <c r="P50" s="15">
        <f t="shared" si="25"/>
        <v>0.017</v>
      </c>
      <c r="Q50" s="15">
        <f t="shared" ref="Q50:Q51" si="26">O50</f>
        <v>0.003</v>
      </c>
    </row>
    <row r="51">
      <c r="A51" s="11">
        <v>607.0</v>
      </c>
      <c r="B51" s="11">
        <v>38.0</v>
      </c>
      <c r="C51" s="11">
        <v>18.0</v>
      </c>
      <c r="D51" s="1" t="s">
        <v>47</v>
      </c>
      <c r="E51" s="11">
        <v>0.0</v>
      </c>
      <c r="F51" s="11">
        <v>0.0</v>
      </c>
      <c r="G51" s="11">
        <v>0.0</v>
      </c>
      <c r="H51" s="14">
        <v>45509.61408564815</v>
      </c>
      <c r="I51" s="11">
        <v>0.009</v>
      </c>
      <c r="J51" s="11">
        <v>10.48</v>
      </c>
      <c r="K51" s="11">
        <v>0.005</v>
      </c>
      <c r="L51" s="11">
        <v>0.9</v>
      </c>
      <c r="M51" s="11">
        <v>1.0</v>
      </c>
      <c r="N51" s="15">
        <f t="shared" si="2"/>
        <v>0.009</v>
      </c>
      <c r="O51" s="15">
        <f t="shared" si="3"/>
        <v>0.005</v>
      </c>
      <c r="P51" s="15">
        <f t="shared" si="25"/>
        <v>0.009</v>
      </c>
      <c r="Q51" s="15">
        <f t="shared" si="26"/>
        <v>0.005</v>
      </c>
    </row>
    <row r="52">
      <c r="A52" s="11">
        <v>620.0</v>
      </c>
      <c r="B52" s="11">
        <v>39.0</v>
      </c>
      <c r="C52" s="11">
        <v>19.0</v>
      </c>
      <c r="D52" s="1" t="s">
        <v>47</v>
      </c>
      <c r="E52" s="11">
        <v>0.0</v>
      </c>
      <c r="F52" s="11">
        <v>0.0</v>
      </c>
      <c r="G52" s="11">
        <v>0.0</v>
      </c>
      <c r="H52" s="14">
        <v>45509.614895833336</v>
      </c>
      <c r="I52" s="11">
        <v>0.01</v>
      </c>
      <c r="J52" s="11">
        <v>10.9</v>
      </c>
      <c r="K52" s="11">
        <v>0.002</v>
      </c>
      <c r="L52" s="11">
        <v>0.71</v>
      </c>
      <c r="M52" s="11">
        <v>1.0</v>
      </c>
      <c r="N52" s="15">
        <f t="shared" si="2"/>
        <v>0.01</v>
      </c>
      <c r="O52" s="15">
        <f t="shared" si="3"/>
        <v>0.002</v>
      </c>
      <c r="P52" s="15">
        <f t="shared" si="25"/>
        <v>0.01</v>
      </c>
      <c r="Q52" s="16" t="s">
        <v>40</v>
      </c>
    </row>
    <row r="53">
      <c r="A53" s="11">
        <v>555.0</v>
      </c>
      <c r="B53" s="11">
        <v>40.0</v>
      </c>
      <c r="C53" s="11">
        <v>20.0</v>
      </c>
      <c r="D53" s="1" t="s">
        <v>47</v>
      </c>
      <c r="E53" s="11">
        <v>0.0</v>
      </c>
      <c r="F53" s="11">
        <v>0.0</v>
      </c>
      <c r="G53" s="11">
        <v>0.0</v>
      </c>
      <c r="H53" s="14">
        <v>45509.61570601852</v>
      </c>
      <c r="I53" s="11">
        <v>0.008</v>
      </c>
      <c r="J53" s="11">
        <v>9.45</v>
      </c>
      <c r="K53" s="11">
        <v>0.003</v>
      </c>
      <c r="L53" s="11">
        <v>0.77</v>
      </c>
      <c r="M53" s="11">
        <v>1.0</v>
      </c>
      <c r="N53" s="15">
        <f t="shared" si="2"/>
        <v>0.008</v>
      </c>
      <c r="O53" s="15">
        <f t="shared" si="3"/>
        <v>0.003</v>
      </c>
      <c r="P53" s="15">
        <f t="shared" si="25"/>
        <v>0.008</v>
      </c>
      <c r="Q53" s="15">
        <f t="shared" ref="Q53:Q59" si="27">O53</f>
        <v>0.003</v>
      </c>
    </row>
    <row r="54">
      <c r="A54" s="11">
        <v>503.0</v>
      </c>
      <c r="B54" s="11">
        <v>41.0</v>
      </c>
      <c r="C54" s="11">
        <v>21.0</v>
      </c>
      <c r="D54" s="1" t="s">
        <v>47</v>
      </c>
      <c r="E54" s="11">
        <v>0.0</v>
      </c>
      <c r="F54" s="11">
        <v>0.0</v>
      </c>
      <c r="G54" s="11">
        <v>0.0</v>
      </c>
      <c r="H54" s="14">
        <v>45509.61651620371</v>
      </c>
      <c r="I54" s="11">
        <v>0.008</v>
      </c>
      <c r="J54" s="11">
        <v>9.6</v>
      </c>
      <c r="K54" s="11">
        <v>0.004</v>
      </c>
      <c r="L54" s="11">
        <v>0.86</v>
      </c>
      <c r="M54" s="11">
        <v>1.0</v>
      </c>
      <c r="N54" s="15">
        <f t="shared" si="2"/>
        <v>0.008</v>
      </c>
      <c r="O54" s="15">
        <f t="shared" si="3"/>
        <v>0.004</v>
      </c>
      <c r="P54" s="15">
        <f t="shared" si="25"/>
        <v>0.008</v>
      </c>
      <c r="Q54" s="15">
        <f t="shared" si="27"/>
        <v>0.004</v>
      </c>
    </row>
    <row r="55">
      <c r="A55" s="1" t="s">
        <v>54</v>
      </c>
      <c r="B55" s="11">
        <v>42.0</v>
      </c>
      <c r="C55" s="11">
        <v>22.0</v>
      </c>
      <c r="D55" s="1" t="s">
        <v>49</v>
      </c>
      <c r="E55" s="11">
        <v>0.0</v>
      </c>
      <c r="F55" s="11">
        <v>0.0</v>
      </c>
      <c r="G55" s="11">
        <v>1.0</v>
      </c>
      <c r="H55" s="14">
        <v>45509.61732638889</v>
      </c>
      <c r="I55" s="11">
        <v>0.129</v>
      </c>
      <c r="J55" s="11">
        <v>98.66</v>
      </c>
      <c r="K55" s="11">
        <v>0.149</v>
      </c>
      <c r="L55" s="11">
        <v>10.69</v>
      </c>
      <c r="M55" s="11">
        <v>1.0</v>
      </c>
      <c r="N55" s="15">
        <f t="shared" si="2"/>
        <v>0.129</v>
      </c>
      <c r="O55" s="15">
        <f t="shared" si="3"/>
        <v>0.149</v>
      </c>
      <c r="P55" s="15">
        <f t="shared" si="25"/>
        <v>0.129</v>
      </c>
      <c r="Q55" s="15">
        <f t="shared" si="27"/>
        <v>0.149</v>
      </c>
    </row>
    <row r="56">
      <c r="A56" s="11">
        <v>438.0</v>
      </c>
      <c r="B56" s="11">
        <v>43.0</v>
      </c>
      <c r="C56" s="11">
        <v>23.0</v>
      </c>
      <c r="D56" s="1" t="s">
        <v>47</v>
      </c>
      <c r="E56" s="11">
        <v>0.0</v>
      </c>
      <c r="F56" s="11">
        <v>0.0</v>
      </c>
      <c r="G56" s="11">
        <v>0.0</v>
      </c>
      <c r="H56" s="14">
        <v>45509.61813657408</v>
      </c>
      <c r="I56" s="11">
        <v>0.012</v>
      </c>
      <c r="J56" s="11">
        <v>12.4</v>
      </c>
      <c r="K56" s="11">
        <v>0.005</v>
      </c>
      <c r="L56" s="11">
        <v>0.94</v>
      </c>
      <c r="M56" s="11">
        <v>1.0</v>
      </c>
      <c r="N56" s="15">
        <f t="shared" si="2"/>
        <v>0.012</v>
      </c>
      <c r="O56" s="15">
        <f t="shared" si="3"/>
        <v>0.005</v>
      </c>
      <c r="P56" s="15">
        <f t="shared" si="25"/>
        <v>0.012</v>
      </c>
      <c r="Q56" s="15">
        <f t="shared" si="27"/>
        <v>0.005</v>
      </c>
    </row>
    <row r="57">
      <c r="A57" s="1" t="s">
        <v>55</v>
      </c>
      <c r="B57" s="11">
        <v>44.0</v>
      </c>
      <c r="C57" s="11">
        <v>24.0</v>
      </c>
      <c r="D57" s="1" t="s">
        <v>49</v>
      </c>
      <c r="E57" s="11">
        <v>0.0</v>
      </c>
      <c r="F57" s="11">
        <v>0.0</v>
      </c>
      <c r="G57" s="11">
        <v>1.0</v>
      </c>
      <c r="H57" s="14">
        <v>45509.618946759256</v>
      </c>
      <c r="I57" s="11">
        <v>0.221</v>
      </c>
      <c r="J57" s="11">
        <v>166.03</v>
      </c>
      <c r="K57" s="11">
        <v>0.15</v>
      </c>
      <c r="L57" s="11">
        <v>10.72</v>
      </c>
      <c r="M57" s="11">
        <v>1.0</v>
      </c>
      <c r="N57" s="15">
        <f t="shared" si="2"/>
        <v>0.221</v>
      </c>
      <c r="O57" s="15">
        <f t="shared" si="3"/>
        <v>0.15</v>
      </c>
      <c r="P57" s="15">
        <f t="shared" si="25"/>
        <v>0.221</v>
      </c>
      <c r="Q57" s="15">
        <f t="shared" si="27"/>
        <v>0.15</v>
      </c>
    </row>
    <row r="58">
      <c r="A58" s="1" t="s">
        <v>50</v>
      </c>
      <c r="B58" s="11">
        <v>45.0</v>
      </c>
      <c r="C58" s="11">
        <v>908.0</v>
      </c>
      <c r="D58" s="1" t="s">
        <v>51</v>
      </c>
      <c r="E58" s="11">
        <v>0.0</v>
      </c>
      <c r="F58" s="11">
        <v>0.0</v>
      </c>
      <c r="G58" s="11">
        <v>0.0</v>
      </c>
      <c r="H58" s="14">
        <v>45509.61975694444</v>
      </c>
      <c r="I58" s="11">
        <v>0.173</v>
      </c>
      <c r="J58" s="11">
        <v>130.81</v>
      </c>
      <c r="K58" s="11">
        <v>0.03</v>
      </c>
      <c r="L58" s="11">
        <v>2.58</v>
      </c>
      <c r="M58" s="11">
        <v>1.0</v>
      </c>
      <c r="N58" s="15">
        <f t="shared" si="2"/>
        <v>0.173</v>
      </c>
      <c r="O58" s="15">
        <f t="shared" si="3"/>
        <v>0.03</v>
      </c>
      <c r="P58" s="15">
        <f t="shared" si="25"/>
        <v>0.173</v>
      </c>
      <c r="Q58" s="15">
        <f t="shared" si="27"/>
        <v>0.03</v>
      </c>
    </row>
    <row r="59">
      <c r="A59" s="1" t="s">
        <v>52</v>
      </c>
      <c r="B59" s="11">
        <v>46.0</v>
      </c>
      <c r="C59" s="11">
        <v>909.0</v>
      </c>
      <c r="D59" s="1" t="s">
        <v>51</v>
      </c>
      <c r="E59" s="11">
        <v>0.0</v>
      </c>
      <c r="F59" s="11">
        <v>0.0</v>
      </c>
      <c r="G59" s="11">
        <v>0.0</v>
      </c>
      <c r="H59" s="14">
        <v>45509.62056712963</v>
      </c>
      <c r="I59" s="11">
        <v>0.161</v>
      </c>
      <c r="J59" s="11">
        <v>121.87</v>
      </c>
      <c r="K59" s="11">
        <v>0.029</v>
      </c>
      <c r="L59" s="11">
        <v>2.52</v>
      </c>
      <c r="M59" s="11">
        <v>1.0</v>
      </c>
      <c r="N59" s="15">
        <f t="shared" si="2"/>
        <v>0.161</v>
      </c>
      <c r="O59" s="15">
        <f t="shared" si="3"/>
        <v>0.029</v>
      </c>
      <c r="P59" s="15">
        <f t="shared" si="25"/>
        <v>0.161</v>
      </c>
      <c r="Q59" s="15">
        <f t="shared" si="27"/>
        <v>0.029</v>
      </c>
    </row>
    <row r="60">
      <c r="A60" s="1" t="s">
        <v>41</v>
      </c>
      <c r="B60" s="11">
        <v>47.0</v>
      </c>
      <c r="C60" s="11">
        <v>0.0</v>
      </c>
      <c r="D60" s="1" t="s">
        <v>42</v>
      </c>
      <c r="E60" s="11">
        <v>0.0</v>
      </c>
      <c r="F60" s="11">
        <v>0.0</v>
      </c>
      <c r="G60" s="11">
        <v>0.0</v>
      </c>
      <c r="H60" s="14">
        <v>45509.62137731481</v>
      </c>
      <c r="I60" s="11">
        <v>-0.005</v>
      </c>
      <c r="J60" s="11">
        <v>0.0</v>
      </c>
      <c r="K60" s="11">
        <v>-0.008</v>
      </c>
      <c r="L60" s="11">
        <v>0.0</v>
      </c>
      <c r="M60" s="11">
        <v>1.0</v>
      </c>
      <c r="N60" s="15">
        <f t="shared" si="2"/>
        <v>-0.005</v>
      </c>
      <c r="O60" s="15">
        <f t="shared" si="3"/>
        <v>-0.008</v>
      </c>
      <c r="P60" s="16" t="s">
        <v>40</v>
      </c>
      <c r="Q60" s="16" t="s">
        <v>40</v>
      </c>
    </row>
    <row r="61">
      <c r="A61" s="1" t="s">
        <v>39</v>
      </c>
      <c r="B61" s="11">
        <v>48.0</v>
      </c>
      <c r="C61" s="11">
        <v>906.0</v>
      </c>
      <c r="D61" s="1" t="s">
        <v>47</v>
      </c>
      <c r="E61" s="11">
        <v>0.0</v>
      </c>
      <c r="F61" s="11">
        <v>0.0</v>
      </c>
      <c r="G61" s="11">
        <v>0.0</v>
      </c>
      <c r="H61" s="14">
        <v>45509.62380787037</v>
      </c>
      <c r="I61" s="11">
        <v>-0.002</v>
      </c>
      <c r="J61" s="11">
        <v>2.12</v>
      </c>
      <c r="K61" s="11">
        <v>-0.002</v>
      </c>
      <c r="L61" s="11">
        <v>0.47</v>
      </c>
      <c r="M61" s="11">
        <v>1.0</v>
      </c>
      <c r="N61" s="15">
        <f t="shared" si="2"/>
        <v>-0.002</v>
      </c>
      <c r="O61" s="15">
        <f t="shared" si="3"/>
        <v>-0.002</v>
      </c>
      <c r="P61" s="16" t="s">
        <v>40</v>
      </c>
      <c r="Q61" s="16" t="s">
        <v>40</v>
      </c>
    </row>
    <row r="62">
      <c r="A62" s="1" t="s">
        <v>39</v>
      </c>
      <c r="B62" s="11">
        <v>49.0</v>
      </c>
      <c r="C62" s="11">
        <v>906.0</v>
      </c>
      <c r="D62" s="1" t="s">
        <v>47</v>
      </c>
      <c r="E62" s="11">
        <v>0.0</v>
      </c>
      <c r="F62" s="11">
        <v>0.0</v>
      </c>
      <c r="G62" s="11">
        <v>0.0</v>
      </c>
      <c r="H62" s="14">
        <v>45509.62461805555</v>
      </c>
      <c r="I62" s="11">
        <v>-0.003</v>
      </c>
      <c r="J62" s="11">
        <v>1.98</v>
      </c>
      <c r="K62" s="11">
        <v>0.0</v>
      </c>
      <c r="L62" s="11">
        <v>0.54</v>
      </c>
      <c r="M62" s="11">
        <v>1.0</v>
      </c>
      <c r="N62" s="15">
        <f t="shared" si="2"/>
        <v>-0.003</v>
      </c>
      <c r="O62" s="15">
        <f t="shared" si="3"/>
        <v>0</v>
      </c>
      <c r="P62" s="16" t="s">
        <v>40</v>
      </c>
      <c r="Q62" s="16" t="s">
        <v>40</v>
      </c>
    </row>
    <row r="63">
      <c r="A63" s="1" t="s">
        <v>39</v>
      </c>
      <c r="B63" s="11">
        <v>50.0</v>
      </c>
      <c r="C63" s="11">
        <v>906.0</v>
      </c>
      <c r="D63" s="1" t="s">
        <v>47</v>
      </c>
      <c r="E63" s="11">
        <v>0.0</v>
      </c>
      <c r="F63" s="11">
        <v>0.0</v>
      </c>
      <c r="G63" s="11">
        <v>0.0</v>
      </c>
      <c r="H63" s="14">
        <v>45509.62542824074</v>
      </c>
      <c r="I63" s="11">
        <v>-0.003</v>
      </c>
      <c r="J63" s="11">
        <v>1.87</v>
      </c>
      <c r="K63" s="11">
        <v>-0.001</v>
      </c>
      <c r="L63" s="11">
        <v>0.49</v>
      </c>
      <c r="M63" s="11">
        <v>1.0</v>
      </c>
      <c r="N63" s="15">
        <f t="shared" si="2"/>
        <v>-0.003</v>
      </c>
      <c r="O63" s="15">
        <f t="shared" si="3"/>
        <v>-0.001</v>
      </c>
      <c r="P63" s="16" t="s">
        <v>40</v>
      </c>
      <c r="Q63" s="16" t="s">
        <v>40</v>
      </c>
    </row>
    <row r="64">
      <c r="A64" s="1" t="s">
        <v>39</v>
      </c>
      <c r="B64" s="11">
        <v>51.0</v>
      </c>
      <c r="C64" s="11">
        <v>906.0</v>
      </c>
      <c r="D64" s="1" t="s">
        <v>47</v>
      </c>
      <c r="E64" s="11">
        <v>0.0</v>
      </c>
      <c r="F64" s="11">
        <v>0.0</v>
      </c>
      <c r="G64" s="11">
        <v>0.0</v>
      </c>
      <c r="H64" s="14">
        <v>45509.626238425924</v>
      </c>
      <c r="I64" s="11">
        <v>-0.003</v>
      </c>
      <c r="J64" s="11">
        <v>1.69</v>
      </c>
      <c r="K64" s="11">
        <v>0.0</v>
      </c>
      <c r="L64" s="11">
        <v>0.55</v>
      </c>
      <c r="M64" s="11">
        <v>1.0</v>
      </c>
      <c r="N64" s="15">
        <f t="shared" si="2"/>
        <v>-0.003</v>
      </c>
      <c r="O64" s="15">
        <f t="shared" si="3"/>
        <v>0</v>
      </c>
      <c r="P64" s="16" t="s">
        <v>40</v>
      </c>
      <c r="Q64" s="16" t="s">
        <v>40</v>
      </c>
    </row>
    <row r="65">
      <c r="A65" s="1" t="s">
        <v>39</v>
      </c>
      <c r="B65" s="11">
        <v>52.0</v>
      </c>
      <c r="C65" s="11">
        <v>906.0</v>
      </c>
      <c r="D65" s="1" t="s">
        <v>47</v>
      </c>
      <c r="E65" s="11">
        <v>0.0</v>
      </c>
      <c r="F65" s="11">
        <v>0.0</v>
      </c>
      <c r="G65" s="11">
        <v>0.0</v>
      </c>
      <c r="H65" s="14">
        <v>45509.62704861111</v>
      </c>
      <c r="I65" s="11">
        <v>-0.004</v>
      </c>
      <c r="J65" s="11">
        <v>1.16</v>
      </c>
      <c r="K65" s="11">
        <v>-0.002</v>
      </c>
      <c r="L65" s="11">
        <v>0.43</v>
      </c>
      <c r="M65" s="11">
        <v>1.0</v>
      </c>
      <c r="N65" s="15">
        <f t="shared" si="2"/>
        <v>-0.004</v>
      </c>
      <c r="O65" s="15">
        <f t="shared" si="3"/>
        <v>-0.002</v>
      </c>
      <c r="P65" s="16" t="s">
        <v>40</v>
      </c>
      <c r="Q65" s="16" t="s">
        <v>40</v>
      </c>
    </row>
    <row r="66">
      <c r="A66" s="1" t="s">
        <v>39</v>
      </c>
      <c r="B66" s="11">
        <v>53.0</v>
      </c>
      <c r="C66" s="11">
        <v>906.0</v>
      </c>
      <c r="D66" s="1" t="s">
        <v>47</v>
      </c>
      <c r="E66" s="11">
        <v>0.0</v>
      </c>
      <c r="F66" s="11">
        <v>0.0</v>
      </c>
      <c r="G66" s="11">
        <v>0.0</v>
      </c>
      <c r="H66" s="14">
        <v>45509.627858796295</v>
      </c>
      <c r="I66" s="11">
        <v>-0.004</v>
      </c>
      <c r="J66" s="11">
        <v>0.91</v>
      </c>
      <c r="K66" s="11">
        <v>-0.002</v>
      </c>
      <c r="L66" s="11">
        <v>0.42</v>
      </c>
      <c r="M66" s="11">
        <v>1.0</v>
      </c>
      <c r="N66" s="15">
        <f t="shared" si="2"/>
        <v>-0.004</v>
      </c>
      <c r="O66" s="15">
        <f t="shared" si="3"/>
        <v>-0.002</v>
      </c>
      <c r="P66" s="16" t="s">
        <v>40</v>
      </c>
      <c r="Q66" s="16" t="s">
        <v>40</v>
      </c>
    </row>
    <row r="67">
      <c r="A67" s="1" t="s">
        <v>39</v>
      </c>
      <c r="B67" s="11">
        <v>54.0</v>
      </c>
      <c r="C67" s="11">
        <v>906.0</v>
      </c>
      <c r="D67" s="1" t="s">
        <v>47</v>
      </c>
      <c r="E67" s="11">
        <v>0.0</v>
      </c>
      <c r="F67" s="11">
        <v>0.0</v>
      </c>
      <c r="G67" s="11">
        <v>0.0</v>
      </c>
      <c r="H67" s="14">
        <v>45509.62866898148</v>
      </c>
      <c r="I67" s="11">
        <v>-0.004</v>
      </c>
      <c r="J67" s="11">
        <v>0.76</v>
      </c>
      <c r="K67" s="11">
        <v>-0.002</v>
      </c>
      <c r="L67" s="11">
        <v>0.43</v>
      </c>
      <c r="M67" s="11">
        <v>1.0</v>
      </c>
      <c r="N67" s="15">
        <f t="shared" si="2"/>
        <v>-0.004</v>
      </c>
      <c r="O67" s="15">
        <f t="shared" si="3"/>
        <v>-0.002</v>
      </c>
      <c r="P67" s="16" t="s">
        <v>40</v>
      </c>
      <c r="Q67" s="16" t="s">
        <v>40</v>
      </c>
    </row>
    <row r="68">
      <c r="A68" s="1" t="s">
        <v>39</v>
      </c>
      <c r="B68" s="11">
        <v>55.0</v>
      </c>
      <c r="C68" s="11">
        <v>906.0</v>
      </c>
      <c r="D68" s="1" t="s">
        <v>47</v>
      </c>
      <c r="E68" s="11">
        <v>0.0</v>
      </c>
      <c r="F68" s="11">
        <v>0.0</v>
      </c>
      <c r="G68" s="11">
        <v>0.0</v>
      </c>
      <c r="H68" s="14">
        <v>45509.629479166666</v>
      </c>
      <c r="I68" s="11">
        <v>-0.004</v>
      </c>
      <c r="J68" s="11">
        <v>0.57</v>
      </c>
      <c r="K68" s="11">
        <v>0.0</v>
      </c>
      <c r="L68" s="11">
        <v>0.56</v>
      </c>
      <c r="M68" s="11">
        <v>1.0</v>
      </c>
      <c r="N68" s="15">
        <f t="shared" si="2"/>
        <v>-0.004</v>
      </c>
      <c r="O68" s="15">
        <f t="shared" si="3"/>
        <v>0</v>
      </c>
      <c r="P68" s="16" t="s">
        <v>40</v>
      </c>
      <c r="Q68" s="16" t="s">
        <v>40</v>
      </c>
    </row>
    <row r="69">
      <c r="A69" s="1" t="s">
        <v>39</v>
      </c>
      <c r="B69" s="11">
        <v>56.0</v>
      </c>
      <c r="C69" s="11">
        <v>906.0</v>
      </c>
      <c r="D69" s="1" t="s">
        <v>47</v>
      </c>
      <c r="E69" s="11">
        <v>0.0</v>
      </c>
      <c r="F69" s="11">
        <v>0.0</v>
      </c>
      <c r="G69" s="11">
        <v>0.0</v>
      </c>
      <c r="H69" s="14">
        <v>45509.63028935185</v>
      </c>
      <c r="I69" s="11">
        <v>-0.005</v>
      </c>
      <c r="J69" s="11">
        <v>0.31</v>
      </c>
      <c r="K69" s="11">
        <v>-0.002</v>
      </c>
      <c r="L69" s="11">
        <v>0.45</v>
      </c>
      <c r="M69" s="11">
        <v>1.0</v>
      </c>
      <c r="N69" s="15">
        <f t="shared" si="2"/>
        <v>-0.005</v>
      </c>
      <c r="O69" s="15">
        <f t="shared" si="3"/>
        <v>-0.002</v>
      </c>
      <c r="P69" s="16" t="s">
        <v>40</v>
      </c>
      <c r="Q69" s="16" t="s">
        <v>40</v>
      </c>
    </row>
    <row r="70">
      <c r="A70" s="1" t="s">
        <v>39</v>
      </c>
      <c r="B70" s="11">
        <v>57.0</v>
      </c>
      <c r="C70" s="11">
        <v>906.0</v>
      </c>
      <c r="D70" s="1" t="s">
        <v>47</v>
      </c>
      <c r="E70" s="11">
        <v>0.0</v>
      </c>
      <c r="F70" s="11">
        <v>0.0</v>
      </c>
      <c r="G70" s="11">
        <v>0.0</v>
      </c>
      <c r="H70" s="14">
        <v>45509.63109953704</v>
      </c>
      <c r="I70" s="11">
        <v>-0.002</v>
      </c>
      <c r="J70" s="11">
        <v>2.37</v>
      </c>
      <c r="K70" s="11">
        <v>-0.002</v>
      </c>
      <c r="L70" s="11">
        <v>0.47</v>
      </c>
      <c r="M70" s="11">
        <v>1.0</v>
      </c>
      <c r="N70" s="15">
        <f t="shared" si="2"/>
        <v>-0.002</v>
      </c>
      <c r="O70" s="15">
        <f t="shared" si="3"/>
        <v>-0.002</v>
      </c>
      <c r="P70" s="16" t="s">
        <v>40</v>
      </c>
      <c r="Q70" s="16" t="s">
        <v>40</v>
      </c>
    </row>
    <row r="71">
      <c r="A71" s="1" t="s">
        <v>48</v>
      </c>
      <c r="B71" s="11">
        <v>58.0</v>
      </c>
      <c r="C71" s="11">
        <v>907.0</v>
      </c>
      <c r="D71" s="1" t="s">
        <v>49</v>
      </c>
      <c r="E71" s="11">
        <v>0.0</v>
      </c>
      <c r="F71" s="11">
        <v>0.0</v>
      </c>
      <c r="G71" s="11">
        <v>1.0</v>
      </c>
      <c r="H71" s="14">
        <v>45509.63190972222</v>
      </c>
      <c r="I71" s="11">
        <v>0.156</v>
      </c>
      <c r="J71" s="11">
        <v>118.42</v>
      </c>
      <c r="K71" s="11">
        <v>0.143</v>
      </c>
      <c r="L71" s="11">
        <v>10.25</v>
      </c>
      <c r="M71" s="11">
        <v>1.0</v>
      </c>
      <c r="N71" s="15">
        <f t="shared" si="2"/>
        <v>0.156</v>
      </c>
      <c r="O71" s="15">
        <f t="shared" si="3"/>
        <v>0.143</v>
      </c>
      <c r="P71" s="15">
        <f t="shared" ref="P71:Q71" si="28">N71</f>
        <v>0.156</v>
      </c>
      <c r="Q71" s="15">
        <f t="shared" si="28"/>
        <v>0.143</v>
      </c>
    </row>
    <row r="72">
      <c r="A72" s="1" t="s">
        <v>50</v>
      </c>
      <c r="B72" s="11">
        <v>59.0</v>
      </c>
      <c r="C72" s="11">
        <v>908.0</v>
      </c>
      <c r="D72" s="1" t="s">
        <v>51</v>
      </c>
      <c r="E72" s="11">
        <v>0.0</v>
      </c>
      <c r="F72" s="11">
        <v>0.0</v>
      </c>
      <c r="G72" s="11">
        <v>0.0</v>
      </c>
      <c r="H72" s="14">
        <v>45509.63271990741</v>
      </c>
      <c r="I72" s="11">
        <v>0.174</v>
      </c>
      <c r="J72" s="11">
        <v>131.7</v>
      </c>
      <c r="K72" s="11">
        <v>0.029</v>
      </c>
      <c r="L72" s="11">
        <v>2.55</v>
      </c>
      <c r="M72" s="11">
        <v>1.0</v>
      </c>
      <c r="N72" s="15">
        <f t="shared" si="2"/>
        <v>0.174</v>
      </c>
      <c r="O72" s="15">
        <f t="shared" si="3"/>
        <v>0.029</v>
      </c>
      <c r="P72" s="15">
        <f t="shared" ref="P72:Q72" si="29">N72</f>
        <v>0.174</v>
      </c>
      <c r="Q72" s="15">
        <f t="shared" si="29"/>
        <v>0.029</v>
      </c>
    </row>
    <row r="73">
      <c r="A73" s="1" t="s">
        <v>52</v>
      </c>
      <c r="B73" s="11">
        <v>60.0</v>
      </c>
      <c r="C73" s="11">
        <v>909.0</v>
      </c>
      <c r="D73" s="1" t="s">
        <v>51</v>
      </c>
      <c r="E73" s="11">
        <v>0.0</v>
      </c>
      <c r="F73" s="11">
        <v>0.0</v>
      </c>
      <c r="G73" s="11">
        <v>0.0</v>
      </c>
      <c r="H73" s="14">
        <v>45509.63353009259</v>
      </c>
      <c r="I73" s="11">
        <v>0.176</v>
      </c>
      <c r="J73" s="11">
        <v>132.86</v>
      </c>
      <c r="K73" s="11">
        <v>0.029</v>
      </c>
      <c r="L73" s="11">
        <v>2.56</v>
      </c>
      <c r="M73" s="11">
        <v>1.0</v>
      </c>
      <c r="N73" s="15">
        <f t="shared" si="2"/>
        <v>0.176</v>
      </c>
      <c r="O73" s="15">
        <f t="shared" si="3"/>
        <v>0.029</v>
      </c>
      <c r="P73" s="15">
        <f t="shared" ref="P73:Q73" si="30">N73</f>
        <v>0.176</v>
      </c>
      <c r="Q73" s="15">
        <f t="shared" si="30"/>
        <v>0.029</v>
      </c>
    </row>
    <row r="74">
      <c r="A74" s="1" t="s">
        <v>41</v>
      </c>
      <c r="B74" s="11">
        <v>61.0</v>
      </c>
      <c r="C74" s="11">
        <v>0.0</v>
      </c>
      <c r="D74" s="1" t="s">
        <v>42</v>
      </c>
      <c r="E74" s="11">
        <v>0.0</v>
      </c>
      <c r="F74" s="11">
        <v>0.0</v>
      </c>
      <c r="G74" s="11">
        <v>0.0</v>
      </c>
      <c r="H74" s="14">
        <v>45509.63434027778</v>
      </c>
      <c r="I74" s="11">
        <v>-0.005</v>
      </c>
      <c r="J74" s="11">
        <v>0.0</v>
      </c>
      <c r="K74" s="11">
        <v>-0.008</v>
      </c>
      <c r="L74" s="11">
        <v>0.0</v>
      </c>
      <c r="M74" s="11">
        <v>1.0</v>
      </c>
      <c r="N74" s="15">
        <f t="shared" si="2"/>
        <v>-0.005</v>
      </c>
      <c r="O74" s="15">
        <f t="shared" si="3"/>
        <v>-0.008</v>
      </c>
      <c r="P74" s="16" t="s">
        <v>40</v>
      </c>
      <c r="Q74" s="16" t="s">
        <v>40</v>
      </c>
    </row>
    <row r="75">
      <c r="A75" s="1" t="s">
        <v>56</v>
      </c>
      <c r="B75" s="11">
        <v>62.0</v>
      </c>
      <c r="C75" s="11">
        <v>25.0</v>
      </c>
      <c r="D75" s="1" t="s">
        <v>47</v>
      </c>
      <c r="E75" s="11">
        <v>0.0</v>
      </c>
      <c r="F75" s="11">
        <v>0.0</v>
      </c>
      <c r="G75" s="11">
        <v>0.0</v>
      </c>
      <c r="H75" s="14">
        <v>45509.636770833335</v>
      </c>
      <c r="I75" s="11">
        <v>0.182</v>
      </c>
      <c r="J75" s="11">
        <v>137.47</v>
      </c>
      <c r="K75" s="11">
        <v>0.148</v>
      </c>
      <c r="L75" s="11">
        <v>10.63</v>
      </c>
      <c r="M75" s="11">
        <v>1.0</v>
      </c>
      <c r="N75" s="15">
        <f t="shared" si="2"/>
        <v>0.182</v>
      </c>
      <c r="O75" s="15">
        <f t="shared" si="3"/>
        <v>0.148</v>
      </c>
      <c r="P75" s="15">
        <f t="shared" ref="P75:Q75" si="31">N75</f>
        <v>0.182</v>
      </c>
      <c r="Q75" s="15">
        <f t="shared" si="31"/>
        <v>0.148</v>
      </c>
    </row>
    <row r="76">
      <c r="A76" s="1" t="s">
        <v>57</v>
      </c>
      <c r="B76" s="11">
        <v>63.0</v>
      </c>
      <c r="C76" s="11">
        <v>26.0</v>
      </c>
      <c r="D76" s="1" t="s">
        <v>47</v>
      </c>
      <c r="E76" s="11">
        <v>0.0</v>
      </c>
      <c r="F76" s="11">
        <v>0.0</v>
      </c>
      <c r="G76" s="11">
        <v>0.0</v>
      </c>
      <c r="H76" s="14">
        <v>45509.63758101852</v>
      </c>
      <c r="I76" s="11">
        <v>0.174</v>
      </c>
      <c r="J76" s="11">
        <v>131.64</v>
      </c>
      <c r="K76" s="11">
        <v>0.152</v>
      </c>
      <c r="L76" s="11">
        <v>10.87</v>
      </c>
      <c r="M76" s="11">
        <v>1.0</v>
      </c>
      <c r="N76" s="15">
        <f t="shared" si="2"/>
        <v>0.174</v>
      </c>
      <c r="O76" s="15">
        <f t="shared" si="3"/>
        <v>0.152</v>
      </c>
      <c r="P76" s="15">
        <f t="shared" ref="P76:Q76" si="32">N76</f>
        <v>0.174</v>
      </c>
      <c r="Q76" s="15">
        <f t="shared" si="32"/>
        <v>0.152</v>
      </c>
    </row>
    <row r="77">
      <c r="A77" s="11">
        <v>542.0</v>
      </c>
      <c r="B77" s="11">
        <v>64.0</v>
      </c>
      <c r="C77" s="11">
        <v>27.0</v>
      </c>
      <c r="D77" s="1" t="s">
        <v>47</v>
      </c>
      <c r="E77" s="11">
        <v>0.0</v>
      </c>
      <c r="F77" s="11">
        <v>0.0</v>
      </c>
      <c r="G77" s="11">
        <v>0.0</v>
      </c>
      <c r="H77" s="14">
        <v>45509.638391203705</v>
      </c>
      <c r="I77" s="11">
        <v>0.029</v>
      </c>
      <c r="J77" s="11">
        <v>24.81</v>
      </c>
      <c r="K77" s="11">
        <v>0.04</v>
      </c>
      <c r="L77" s="11">
        <v>3.31</v>
      </c>
      <c r="M77" s="11">
        <v>1.0</v>
      </c>
      <c r="N77" s="15">
        <f t="shared" si="2"/>
        <v>0.029</v>
      </c>
      <c r="O77" s="15">
        <f t="shared" si="3"/>
        <v>0.04</v>
      </c>
      <c r="P77" s="15">
        <f t="shared" ref="P77:Q77" si="33">N77</f>
        <v>0.029</v>
      </c>
      <c r="Q77" s="15">
        <f t="shared" si="33"/>
        <v>0.04</v>
      </c>
    </row>
    <row r="78">
      <c r="A78" s="1" t="s">
        <v>41</v>
      </c>
      <c r="B78" s="11">
        <v>65.0</v>
      </c>
      <c r="C78" s="11">
        <v>0.0</v>
      </c>
      <c r="D78" s="1" t="s">
        <v>42</v>
      </c>
      <c r="E78" s="11">
        <v>0.0</v>
      </c>
      <c r="F78" s="11">
        <v>0.0</v>
      </c>
      <c r="G78" s="11">
        <v>0.0</v>
      </c>
      <c r="H78" s="14">
        <v>45509.63920138889</v>
      </c>
      <c r="I78" s="11">
        <v>-0.005</v>
      </c>
      <c r="J78" s="11">
        <v>0.0</v>
      </c>
      <c r="K78" s="11">
        <v>-0.008</v>
      </c>
      <c r="L78" s="11">
        <v>0.0</v>
      </c>
      <c r="M78" s="11">
        <v>1.0</v>
      </c>
      <c r="N78" s="15">
        <f t="shared" si="2"/>
        <v>-0.005</v>
      </c>
      <c r="O78" s="15">
        <f t="shared" si="3"/>
        <v>-0.008</v>
      </c>
      <c r="P78" s="16" t="s">
        <v>40</v>
      </c>
      <c r="Q78" s="16" t="s">
        <v>40</v>
      </c>
    </row>
    <row r="79">
      <c r="A79" s="1" t="s">
        <v>36</v>
      </c>
      <c r="B79" s="11">
        <v>66.0</v>
      </c>
      <c r="C79" s="11">
        <v>921.0</v>
      </c>
      <c r="D79" s="1" t="s">
        <v>37</v>
      </c>
      <c r="E79" s="11">
        <v>0.0</v>
      </c>
      <c r="F79" s="11">
        <v>0.0</v>
      </c>
      <c r="G79" s="11">
        <v>0.0</v>
      </c>
      <c r="H79" s="14">
        <v>45509.64163194445</v>
      </c>
      <c r="I79" s="11">
        <v>0.199</v>
      </c>
      <c r="J79" s="11">
        <v>149.89</v>
      </c>
      <c r="K79" s="11">
        <v>0.199</v>
      </c>
      <c r="L79" s="11">
        <v>14.05</v>
      </c>
      <c r="M79" s="11">
        <v>1.0</v>
      </c>
      <c r="N79" s="15">
        <f t="shared" si="2"/>
        <v>0.199</v>
      </c>
      <c r="O79" s="15">
        <f t="shared" si="3"/>
        <v>0.199</v>
      </c>
      <c r="P79" s="15">
        <f t="shared" ref="P79:Q79" si="34">N79</f>
        <v>0.199</v>
      </c>
      <c r="Q79" s="15">
        <f t="shared" si="34"/>
        <v>0.199</v>
      </c>
    </row>
    <row r="80">
      <c r="A80" s="1" t="s">
        <v>58</v>
      </c>
      <c r="B80" s="11">
        <v>67.0</v>
      </c>
      <c r="C80" s="11">
        <v>0.0</v>
      </c>
      <c r="D80" s="1" t="s">
        <v>59</v>
      </c>
      <c r="E80" s="11">
        <v>0.0</v>
      </c>
      <c r="F80" s="11">
        <v>0.0</v>
      </c>
      <c r="G80" s="11">
        <v>0.0</v>
      </c>
      <c r="H80" s="14">
        <v>45509.64244212963</v>
      </c>
      <c r="I80" s="11">
        <v>-0.005</v>
      </c>
      <c r="J80" s="11">
        <v>0.0</v>
      </c>
      <c r="K80" s="11">
        <v>-0.008</v>
      </c>
      <c r="L80" s="11">
        <v>0.0</v>
      </c>
      <c r="M80" s="11">
        <v>1.0</v>
      </c>
      <c r="N80" s="15">
        <f t="shared" si="2"/>
        <v>-0.005</v>
      </c>
      <c r="O80" s="15">
        <f t="shared" si="3"/>
        <v>-0.008</v>
      </c>
      <c r="P80" s="16" t="s">
        <v>40</v>
      </c>
      <c r="Q80" s="16" t="s">
        <v>40</v>
      </c>
    </row>
  </sheetData>
  <conditionalFormatting sqref="N1:N1000">
    <cfRule type="cellIs" dxfId="0" priority="1" operator="lessThan">
      <formula>0.003</formula>
    </cfRule>
  </conditionalFormatting>
  <conditionalFormatting sqref="O1:O1000">
    <cfRule type="cellIs" dxfId="0" priority="2" operator="lessThan">
      <formula>0.003</formula>
    </cfRule>
  </conditionalFormatting>
  <drawing r:id="rId1"/>
</worksheet>
</file>