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<sst xmlns="http://schemas.openxmlformats.org/spreadsheetml/2006/main" count="214" uniqueCount="64">
  <si>
    <t>RUN</t>
  </si>
  <si>
    <t>240801_Q5_TKN4_2C5CNull.RUN</t>
  </si>
  <si>
    <t>DATE</t>
  </si>
  <si>
    <t>TIME</t>
  </si>
  <si>
    <t>OPER</t>
  </si>
  <si>
    <t>CLMR</t>
  </si>
  <si>
    <t>TKN</t>
  </si>
  <si>
    <t>COMM</t>
  </si>
  <si>
    <t>Recalculate from Run240801_Q5_TKN4R1.run</t>
  </si>
  <si>
    <t>LOD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</si>
  <si>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</si>
  <si>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</si>
  <si>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</si>
  <si>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</si>
  <si>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</si>
  <si>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</si>
  <si>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</si>
  <si>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</si>
  <si>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</si>
  <si>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</si>
  <si>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</si>
  <si>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</si>
  <si>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</si>
  <si>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</si>
  <si>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</si>
  <si>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</si>
  <si>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</si>
  <si>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</si>
  <si>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</si>
  <si>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</si>
  <si>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</si>
  <si>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</si>
  <si>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</si>
  <si>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</si>
  <si>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</si>
  <si>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</si>
  <si>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NULLCALB</t>
  </si>
  <si>
    <t>Blank</t>
  </si>
  <si>
    <t>&lt;0.011</t>
  </si>
  <si>
    <t>Baseline</t>
  </si>
  <si>
    <t>BASL</t>
  </si>
  <si>
    <t>High</t>
  </si>
  <si>
    <t>HIGH</t>
  </si>
  <si>
    <t>Low</t>
  </si>
  <si>
    <t>LOW</t>
  </si>
  <si>
    <t>SAMP</t>
  </si>
  <si>
    <t>Blank Spike</t>
  </si>
  <si>
    <t>SPIK</t>
  </si>
  <si>
    <t>CRM [1.5 mg/L]</t>
  </si>
  <si>
    <t>QUAL</t>
  </si>
  <si>
    <t>439 spiked</t>
  </si>
  <si>
    <t>569 spiked</t>
  </si>
  <si>
    <t>582 spiked</t>
  </si>
  <si>
    <t>361 spiked</t>
  </si>
  <si>
    <t>465 spiked</t>
  </si>
  <si>
    <t>348 spiked IW</t>
  </si>
  <si>
    <t>23 spiked IW</t>
  </si>
  <si>
    <t>270 spiked IW</t>
  </si>
  <si>
    <t>296 spiked CW</t>
  </si>
  <si>
    <t>244 spiked CW</t>
  </si>
  <si>
    <t>49 spiked CW</t>
  </si>
  <si>
    <t>Blank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</si>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</sst>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0.0000000000000"/>
    <numFmt numFmtId="167" formatCode="0.000"/>
    <numFmt numFmtId="168" formatCode="m/d/yyyy h:mm:ss am/pm"/>
  </numFmts>
  <fonts count="7">
    <font>
      <sz val="10.0"/>
      <color rgb="FF000000"/>
      <name val="Arial"/>
      <scheme val="minor"/>
    </font>
    <font>
      <sz val="11.0"/>
      <color theme="1"/>
      <name val="&quot;Aptos Narrow&quot;"/>
    </font>
    <font>
      <sz val="11.0"/>
      <color theme="1"/>
      <name val="Arial"/>
    </font>
    <font>
      <sz val="11.0"/>
      <color theme="1"/>
      <name val="Aptos narrow"/>
    </font>
    <font>
      <sz val="11.0"/>
      <color rgb="FF9C5700"/>
      <name val="Arial"/>
    </font>
    <font>
      <sz val="11.0"/>
      <color rgb="FF9C5700"/>
      <name val="Aptos narrow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1" fillId="2" fontId="3" numFmtId="166" xfId="0" applyAlignment="1" applyBorder="1" applyFill="1" applyFont="1" applyNumberFormat="1">
      <alignment horizontal="center" vertical="bottom"/>
    </xf>
    <xf borderId="2" fillId="2" fontId="4" numFmtId="166" xfId="0" applyAlignment="1" applyBorder="1" applyFont="1" applyNumberFormat="1">
      <alignment horizontal="center" vertical="bottom"/>
    </xf>
    <xf borderId="3" fillId="2" fontId="5" numFmtId="166" xfId="0" applyAlignment="1" applyBorder="1" applyFont="1" applyNumberFormat="1">
      <alignment horizontal="center" vertical="bottom"/>
    </xf>
    <xf borderId="4" fillId="2" fontId="5" numFmtId="167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8" xfId="0" applyAlignment="1" applyFont="1" applyNumberFormat="1">
      <alignment readingOrder="0" shrinkToFit="0" vertical="bottom" wrapText="0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1" t="s">
        <v>2</v>
      </c>
      <c r="B2" s="4">
        <v>45505.0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1" t="s">
        <v>3</v>
      </c>
      <c r="B3" s="5">
        <v>0.5618171296296296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1" t="s">
        <v>4</v>
      </c>
      <c r="B4" s="1" t="s">
        <v>5</v>
      </c>
      <c r="C4" s="3"/>
      <c r="D4" s="3"/>
      <c r="E4" s="3"/>
      <c r="F4" s="3"/>
      <c r="G4" s="3"/>
      <c r="H4" s="3"/>
      <c r="I4" s="6"/>
      <c r="J4" s="7" t="s">
        <v>6</v>
      </c>
      <c r="K4" s="3"/>
      <c r="L4" s="3"/>
    </row>
    <row r="5">
      <c r="A5" s="1" t="s">
        <v>7</v>
      </c>
      <c r="B5" s="1" t="s">
        <v>8</v>
      </c>
      <c r="C5" s="3"/>
      <c r="D5" s="3"/>
      <c r="E5" s="3"/>
      <c r="F5" s="3"/>
      <c r="G5" s="3"/>
      <c r="H5" s="3"/>
      <c r="I5" s="8" t="s">
        <v>9</v>
      </c>
      <c r="J5" s="9">
        <f>STDEV(I100:I109)*2.821</f>
        <v>0.01139705724</v>
      </c>
      <c r="K5" s="3"/>
      <c r="L5" s="3"/>
    </row>
    <row r="6">
      <c r="A6" s="1" t="s">
        <v>10</v>
      </c>
      <c r="B6" s="1">
        <v>1.0</v>
      </c>
      <c r="C6" s="1">
        <v>2.0</v>
      </c>
      <c r="D6" s="3"/>
      <c r="E6" s="3"/>
      <c r="F6" s="3"/>
      <c r="G6" s="3"/>
      <c r="H6" s="3"/>
      <c r="I6" s="3"/>
      <c r="J6" s="3"/>
      <c r="K6" s="3"/>
      <c r="L6" s="3"/>
    </row>
    <row r="7">
      <c r="A7" s="1" t="s">
        <v>11</v>
      </c>
      <c r="B7" s="1" t="s">
        <v>6</v>
      </c>
      <c r="C7" s="1" t="s">
        <v>12</v>
      </c>
      <c r="D7" s="3"/>
      <c r="E7" s="3"/>
      <c r="F7" s="3"/>
      <c r="G7" s="3"/>
      <c r="H7" s="3"/>
      <c r="I7" s="3"/>
      <c r="J7" s="3"/>
      <c r="K7" s="3"/>
      <c r="L7" s="3"/>
    </row>
    <row r="8">
      <c r="A8" s="1" t="s">
        <v>13</v>
      </c>
      <c r="B8" s="1" t="s">
        <v>14</v>
      </c>
      <c r="C8" s="1" t="s">
        <v>14</v>
      </c>
      <c r="D8" s="3"/>
      <c r="E8" s="3"/>
      <c r="F8" s="3"/>
      <c r="G8" s="3"/>
      <c r="H8" s="3"/>
      <c r="I8" s="3"/>
      <c r="J8" s="3"/>
      <c r="K8" s="3"/>
      <c r="L8" s="3"/>
    </row>
    <row r="9">
      <c r="A9" s="1" t="s">
        <v>15</v>
      </c>
      <c r="B9" s="1">
        <v>-800.0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1" t="s">
        <v>16</v>
      </c>
      <c r="B10" s="1">
        <v>63.0</v>
      </c>
      <c r="C10" s="3"/>
      <c r="D10" s="3"/>
      <c r="E10" s="3"/>
      <c r="F10" s="3"/>
      <c r="G10" s="3"/>
      <c r="H10" s="3"/>
      <c r="I10" s="3"/>
      <c r="K10" s="3"/>
      <c r="L10" s="3"/>
    </row>
    <row r="11">
      <c r="A11" s="1" t="s">
        <v>17</v>
      </c>
      <c r="B11" s="1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1" t="s">
        <v>19</v>
      </c>
      <c r="B12" s="1">
        <v>0.999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3"/>
      <c r="G13" s="3"/>
      <c r="H13" s="1" t="s">
        <v>25</v>
      </c>
      <c r="I13" s="1" t="s">
        <v>26</v>
      </c>
      <c r="J13" s="1" t="s">
        <v>27</v>
      </c>
      <c r="K13" s="1" t="s">
        <v>28</v>
      </c>
      <c r="L13" s="10" t="s">
        <v>29</v>
      </c>
      <c r="M13" s="11" t="s">
        <v>30</v>
      </c>
    </row>
    <row r="14">
      <c r="A14" s="1" t="s">
        <v>31</v>
      </c>
      <c r="B14" s="1">
        <v>1.0</v>
      </c>
      <c r="C14" s="1">
        <v>921.0</v>
      </c>
      <c r="D14" s="1" t="s">
        <v>32</v>
      </c>
      <c r="E14" s="1">
        <v>0.0</v>
      </c>
      <c r="F14" s="12">
        <v>0.0</v>
      </c>
      <c r="G14" s="12">
        <v>0.0</v>
      </c>
      <c r="H14" s="13">
        <v>45505.5622337963</v>
      </c>
      <c r="I14" s="1">
        <v>2.224</v>
      </c>
      <c r="J14" s="1">
        <v>128.85</v>
      </c>
      <c r="K14" s="1">
        <v>1.0</v>
      </c>
      <c r="L14" s="3">
        <f t="shared" ref="L14:L114" si="1">I14</f>
        <v>2.224</v>
      </c>
      <c r="M14" s="14">
        <f t="shared" ref="M14:M20" si="2">L14</f>
        <v>2.224</v>
      </c>
    </row>
    <row r="15">
      <c r="A15" s="1" t="s">
        <v>33</v>
      </c>
      <c r="B15" s="1">
        <v>2.0</v>
      </c>
      <c r="C15" s="1">
        <v>921.0</v>
      </c>
      <c r="D15" s="1" t="s">
        <v>34</v>
      </c>
      <c r="E15" s="1">
        <v>0.0</v>
      </c>
      <c r="F15" s="12">
        <v>0.0</v>
      </c>
      <c r="G15" s="12">
        <v>0.0</v>
      </c>
      <c r="H15" s="13">
        <v>45505.563159722224</v>
      </c>
      <c r="I15" s="1">
        <v>2.225</v>
      </c>
      <c r="J15" s="1">
        <v>128.92</v>
      </c>
      <c r="K15" s="1">
        <v>1.0</v>
      </c>
      <c r="L15" s="3">
        <f t="shared" si="1"/>
        <v>2.225</v>
      </c>
      <c r="M15" s="14">
        <f t="shared" si="2"/>
        <v>2.225</v>
      </c>
    </row>
    <row r="16">
      <c r="A16" s="1">
        <v>2.22</v>
      </c>
      <c r="B16" s="1">
        <v>3.0</v>
      </c>
      <c r="C16" s="1">
        <v>921.0</v>
      </c>
      <c r="D16" s="1" t="s">
        <v>35</v>
      </c>
      <c r="E16" s="1">
        <v>0.0</v>
      </c>
      <c r="F16" s="12">
        <v>0.0</v>
      </c>
      <c r="G16" s="12">
        <v>0.0</v>
      </c>
      <c r="H16" s="13">
        <v>45505.56408564815</v>
      </c>
      <c r="I16" s="1">
        <v>2.227</v>
      </c>
      <c r="J16" s="1">
        <v>128.99</v>
      </c>
      <c r="K16" s="1">
        <v>1.0</v>
      </c>
      <c r="L16" s="3">
        <f t="shared" si="1"/>
        <v>2.227</v>
      </c>
      <c r="M16" s="14">
        <f t="shared" si="2"/>
        <v>2.227</v>
      </c>
    </row>
    <row r="17">
      <c r="A17" s="3"/>
      <c r="B17" s="1">
        <v>4.0</v>
      </c>
      <c r="C17" s="1">
        <v>0.0</v>
      </c>
      <c r="D17" s="1" t="s">
        <v>36</v>
      </c>
      <c r="E17" s="1">
        <v>0.0</v>
      </c>
      <c r="F17" s="12">
        <v>0.0</v>
      </c>
      <c r="G17" s="12">
        <v>0.0</v>
      </c>
      <c r="H17" s="13">
        <v>45505.56501157407</v>
      </c>
      <c r="I17" s="1">
        <v>1.277</v>
      </c>
      <c r="J17" s="1">
        <v>82.93</v>
      </c>
      <c r="K17" s="1">
        <v>1.0</v>
      </c>
      <c r="L17" s="3">
        <f t="shared" si="1"/>
        <v>1.277</v>
      </c>
      <c r="M17" s="14">
        <f t="shared" si="2"/>
        <v>1.277</v>
      </c>
    </row>
    <row r="18">
      <c r="A18" s="1">
        <v>1.11</v>
      </c>
      <c r="B18" s="1">
        <v>5.0</v>
      </c>
      <c r="C18" s="1">
        <v>902.0</v>
      </c>
      <c r="D18" s="1" t="s">
        <v>35</v>
      </c>
      <c r="E18" s="1">
        <v>0.0</v>
      </c>
      <c r="F18" s="12">
        <v>0.0</v>
      </c>
      <c r="G18" s="12">
        <v>0.0</v>
      </c>
      <c r="H18" s="13">
        <v>45505.5659375</v>
      </c>
      <c r="I18" s="1">
        <v>1.068</v>
      </c>
      <c r="J18" s="1">
        <v>72.79</v>
      </c>
      <c r="K18" s="1">
        <v>1.0</v>
      </c>
      <c r="L18" s="3">
        <f t="shared" si="1"/>
        <v>1.068</v>
      </c>
      <c r="M18" s="14">
        <f t="shared" si="2"/>
        <v>1.068</v>
      </c>
    </row>
    <row r="19">
      <c r="A19" s="1">
        <v>0.55</v>
      </c>
      <c r="B19" s="1">
        <v>6.0</v>
      </c>
      <c r="C19" s="1">
        <v>903.0</v>
      </c>
      <c r="D19" s="1" t="s">
        <v>35</v>
      </c>
      <c r="E19" s="1">
        <v>0.0</v>
      </c>
      <c r="F19" s="12">
        <v>0.0</v>
      </c>
      <c r="G19" s="12">
        <v>0.0</v>
      </c>
      <c r="H19" s="13">
        <v>45505.56686342593</v>
      </c>
      <c r="I19" s="1">
        <v>0.606</v>
      </c>
      <c r="J19" s="1">
        <v>50.36</v>
      </c>
      <c r="K19" s="1">
        <v>1.0</v>
      </c>
      <c r="L19" s="3">
        <f t="shared" si="1"/>
        <v>0.606</v>
      </c>
      <c r="M19" s="14">
        <f t="shared" si="2"/>
        <v>0.606</v>
      </c>
    </row>
    <row r="20">
      <c r="A20" s="3"/>
      <c r="B20" s="1">
        <v>7.0</v>
      </c>
      <c r="C20" s="1">
        <v>0.0</v>
      </c>
      <c r="D20" s="1" t="s">
        <v>36</v>
      </c>
      <c r="E20" s="1">
        <v>0.0</v>
      </c>
      <c r="F20" s="12">
        <v>0.0</v>
      </c>
      <c r="G20" s="12">
        <v>0.0</v>
      </c>
      <c r="H20" s="13">
        <v>45505.56778935185</v>
      </c>
      <c r="I20" s="1">
        <v>0.635</v>
      </c>
      <c r="J20" s="1">
        <v>51.75</v>
      </c>
      <c r="K20" s="1">
        <v>1.0</v>
      </c>
      <c r="L20" s="3">
        <f t="shared" si="1"/>
        <v>0.635</v>
      </c>
      <c r="M20" s="14">
        <f t="shared" si="2"/>
        <v>0.635</v>
      </c>
    </row>
    <row r="21">
      <c r="A21" s="1" t="s">
        <v>37</v>
      </c>
      <c r="B21" s="1">
        <v>8.0</v>
      </c>
      <c r="C21" s="1">
        <v>905.0</v>
      </c>
      <c r="D21" s="1" t="s">
        <v>35</v>
      </c>
      <c r="E21" s="1">
        <v>0.0</v>
      </c>
      <c r="F21" s="12">
        <v>0.0</v>
      </c>
      <c r="G21" s="12">
        <v>0.0</v>
      </c>
      <c r="H21" s="13">
        <v>45505.568715277775</v>
      </c>
      <c r="I21" s="1">
        <v>-0.022</v>
      </c>
      <c r="J21" s="1">
        <v>19.9</v>
      </c>
      <c r="K21" s="1">
        <v>1.0</v>
      </c>
      <c r="L21" s="3">
        <f t="shared" si="1"/>
        <v>-0.022</v>
      </c>
      <c r="M21" s="15" t="s">
        <v>38</v>
      </c>
    </row>
    <row r="22">
      <c r="A22" s="1" t="s">
        <v>39</v>
      </c>
      <c r="B22" s="1">
        <v>9.0</v>
      </c>
      <c r="C22" s="1">
        <v>0.0</v>
      </c>
      <c r="D22" s="1" t="s">
        <v>40</v>
      </c>
      <c r="E22" s="1">
        <v>0.0</v>
      </c>
      <c r="F22" s="12">
        <v>0.0</v>
      </c>
      <c r="G22" s="12">
        <v>0.0</v>
      </c>
      <c r="H22" s="13">
        <v>45505.56964120371</v>
      </c>
      <c r="I22" s="1">
        <v>-0.432</v>
      </c>
      <c r="J22" s="1">
        <v>0.0</v>
      </c>
      <c r="K22" s="1">
        <v>1.0</v>
      </c>
      <c r="L22" s="3">
        <f t="shared" si="1"/>
        <v>-0.432</v>
      </c>
      <c r="M22" s="15" t="s">
        <v>38</v>
      </c>
    </row>
    <row r="23">
      <c r="A23" s="1" t="s">
        <v>41</v>
      </c>
      <c r="B23" s="1">
        <v>10.0</v>
      </c>
      <c r="C23" s="1">
        <v>921.0</v>
      </c>
      <c r="D23" s="1" t="s">
        <v>42</v>
      </c>
      <c r="E23" s="1">
        <v>0.0</v>
      </c>
      <c r="F23" s="12">
        <v>1.0</v>
      </c>
      <c r="G23" s="12">
        <v>1.0</v>
      </c>
      <c r="H23" s="13">
        <v>45505.57241898148</v>
      </c>
      <c r="I23" s="1">
        <v>2.227</v>
      </c>
      <c r="J23" s="1">
        <v>128.99</v>
      </c>
      <c r="K23" s="1">
        <v>1.0</v>
      </c>
      <c r="L23" s="3">
        <f t="shared" si="1"/>
        <v>2.227</v>
      </c>
      <c r="M23" s="14">
        <f t="shared" ref="M23:M25" si="3">L23</f>
        <v>2.227</v>
      </c>
    </row>
    <row r="24">
      <c r="A24" s="1" t="s">
        <v>43</v>
      </c>
      <c r="B24" s="1">
        <v>11.0</v>
      </c>
      <c r="C24" s="1">
        <v>904.0</v>
      </c>
      <c r="D24" s="1" t="s">
        <v>44</v>
      </c>
      <c r="E24" s="1">
        <v>0.0</v>
      </c>
      <c r="F24" s="12">
        <v>1.0</v>
      </c>
      <c r="G24" s="12">
        <v>2.0</v>
      </c>
      <c r="H24" s="13">
        <v>45505.57334490741</v>
      </c>
      <c r="I24" s="1">
        <v>0.635</v>
      </c>
      <c r="J24" s="1">
        <v>51.75</v>
      </c>
      <c r="K24" s="1">
        <v>1.0</v>
      </c>
      <c r="L24" s="3">
        <f t="shared" si="1"/>
        <v>0.635</v>
      </c>
      <c r="M24" s="14">
        <f t="shared" si="3"/>
        <v>0.635</v>
      </c>
    </row>
    <row r="25">
      <c r="A25" s="1" t="s">
        <v>43</v>
      </c>
      <c r="B25" s="1">
        <v>12.0</v>
      </c>
      <c r="C25" s="1">
        <v>904.0</v>
      </c>
      <c r="D25" s="1" t="s">
        <v>44</v>
      </c>
      <c r="E25" s="1">
        <v>0.0</v>
      </c>
      <c r="F25" s="12">
        <v>1.0</v>
      </c>
      <c r="G25" s="12">
        <v>3.0</v>
      </c>
      <c r="H25" s="13">
        <v>45505.574270833335</v>
      </c>
      <c r="I25" s="1">
        <v>0.635</v>
      </c>
      <c r="J25" s="1">
        <v>51.75</v>
      </c>
      <c r="K25" s="1">
        <v>1.0</v>
      </c>
      <c r="L25" s="3">
        <f t="shared" si="1"/>
        <v>0.635</v>
      </c>
      <c r="M25" s="14">
        <f t="shared" si="3"/>
        <v>0.635</v>
      </c>
    </row>
    <row r="26">
      <c r="A26" s="1" t="s">
        <v>37</v>
      </c>
      <c r="B26" s="1">
        <v>13.0</v>
      </c>
      <c r="C26" s="1">
        <v>905.0</v>
      </c>
      <c r="D26" s="1" t="s">
        <v>45</v>
      </c>
      <c r="E26" s="1">
        <v>0.0</v>
      </c>
      <c r="F26" s="12">
        <v>0.0</v>
      </c>
      <c r="G26" s="12">
        <v>1.0</v>
      </c>
      <c r="H26" s="13">
        <v>45505.57519675926</v>
      </c>
      <c r="I26" s="1">
        <v>-0.025</v>
      </c>
      <c r="J26" s="1">
        <v>19.71</v>
      </c>
      <c r="K26" s="1">
        <v>1.0</v>
      </c>
      <c r="L26" s="3">
        <f t="shared" si="1"/>
        <v>-0.025</v>
      </c>
      <c r="M26" s="15" t="s">
        <v>38</v>
      </c>
    </row>
    <row r="27">
      <c r="A27" s="1" t="s">
        <v>46</v>
      </c>
      <c r="B27" s="1">
        <v>14.0</v>
      </c>
      <c r="C27" s="1">
        <v>906.0</v>
      </c>
      <c r="D27" s="1" t="s">
        <v>47</v>
      </c>
      <c r="E27" s="1">
        <v>0.0</v>
      </c>
      <c r="F27" s="12">
        <v>0.0</v>
      </c>
      <c r="G27" s="12">
        <v>2.0</v>
      </c>
      <c r="H27" s="13">
        <v>45505.57612268518</v>
      </c>
      <c r="I27" s="1">
        <v>0.948</v>
      </c>
      <c r="J27" s="1">
        <v>66.96</v>
      </c>
      <c r="K27" s="1">
        <v>1.0</v>
      </c>
      <c r="L27" s="3">
        <f t="shared" si="1"/>
        <v>0.948</v>
      </c>
      <c r="M27" s="14">
        <f t="shared" ref="M27:M40" si="4">L27</f>
        <v>0.948</v>
      </c>
    </row>
    <row r="28">
      <c r="A28" s="1" t="s">
        <v>48</v>
      </c>
      <c r="B28" s="1">
        <v>15.0</v>
      </c>
      <c r="C28" s="1">
        <v>907.0</v>
      </c>
      <c r="D28" s="1" t="s">
        <v>49</v>
      </c>
      <c r="E28" s="1">
        <v>0.0</v>
      </c>
      <c r="F28" s="12">
        <v>0.0</v>
      </c>
      <c r="G28" s="12">
        <v>0.0</v>
      </c>
      <c r="H28" s="13">
        <v>45505.577048611114</v>
      </c>
      <c r="I28" s="1">
        <v>1.483</v>
      </c>
      <c r="J28" s="1">
        <v>92.89</v>
      </c>
      <c r="K28" s="1">
        <v>1.0</v>
      </c>
      <c r="L28" s="3">
        <f t="shared" si="1"/>
        <v>1.483</v>
      </c>
      <c r="M28" s="14">
        <f t="shared" si="4"/>
        <v>1.483</v>
      </c>
    </row>
    <row r="29">
      <c r="A29" s="1">
        <v>10.0</v>
      </c>
      <c r="B29" s="1">
        <v>16.0</v>
      </c>
      <c r="C29" s="1">
        <v>1.0</v>
      </c>
      <c r="D29" s="1" t="s">
        <v>45</v>
      </c>
      <c r="E29" s="1">
        <v>0.0</v>
      </c>
      <c r="F29" s="12">
        <v>0.0</v>
      </c>
      <c r="G29" s="12">
        <v>0.0</v>
      </c>
      <c r="H29" s="13">
        <v>45505.57797453704</v>
      </c>
      <c r="I29" s="1">
        <v>0.086</v>
      </c>
      <c r="J29" s="1">
        <v>25.14</v>
      </c>
      <c r="K29" s="1">
        <v>1.0</v>
      </c>
      <c r="L29" s="3">
        <f t="shared" si="1"/>
        <v>0.086</v>
      </c>
      <c r="M29" s="14">
        <f t="shared" si="4"/>
        <v>0.086</v>
      </c>
    </row>
    <row r="30">
      <c r="A30" s="1">
        <v>75.0</v>
      </c>
      <c r="B30" s="1">
        <v>17.0</v>
      </c>
      <c r="C30" s="1">
        <v>2.0</v>
      </c>
      <c r="D30" s="1" t="s">
        <v>45</v>
      </c>
      <c r="E30" s="1">
        <v>0.0</v>
      </c>
      <c r="F30" s="12">
        <v>0.0</v>
      </c>
      <c r="G30" s="12">
        <v>0.0</v>
      </c>
      <c r="H30" s="13">
        <v>45505.57890046296</v>
      </c>
      <c r="I30" s="1">
        <v>0.399</v>
      </c>
      <c r="J30" s="1">
        <v>40.29</v>
      </c>
      <c r="K30" s="1">
        <v>1.0</v>
      </c>
      <c r="L30" s="3">
        <f t="shared" si="1"/>
        <v>0.399</v>
      </c>
      <c r="M30" s="14">
        <f t="shared" si="4"/>
        <v>0.399</v>
      </c>
    </row>
    <row r="31">
      <c r="A31" s="1">
        <v>114.0</v>
      </c>
      <c r="B31" s="1">
        <v>18.0</v>
      </c>
      <c r="C31" s="1">
        <v>3.0</v>
      </c>
      <c r="D31" s="1" t="s">
        <v>45</v>
      </c>
      <c r="E31" s="1">
        <v>0.0</v>
      </c>
      <c r="F31" s="12">
        <v>0.0</v>
      </c>
      <c r="G31" s="12">
        <v>0.0</v>
      </c>
      <c r="H31" s="13">
        <v>45505.57982638889</v>
      </c>
      <c r="I31" s="1">
        <v>0.212</v>
      </c>
      <c r="J31" s="1">
        <v>31.22</v>
      </c>
      <c r="K31" s="1">
        <v>1.0</v>
      </c>
      <c r="L31" s="3">
        <f t="shared" si="1"/>
        <v>0.212</v>
      </c>
      <c r="M31" s="14">
        <f t="shared" si="4"/>
        <v>0.212</v>
      </c>
    </row>
    <row r="32">
      <c r="A32" s="1">
        <v>62.0</v>
      </c>
      <c r="B32" s="1">
        <v>19.0</v>
      </c>
      <c r="C32" s="1">
        <v>4.0</v>
      </c>
      <c r="D32" s="1" t="s">
        <v>45</v>
      </c>
      <c r="E32" s="1">
        <v>0.0</v>
      </c>
      <c r="F32" s="12">
        <v>0.0</v>
      </c>
      <c r="G32" s="12">
        <v>0.0</v>
      </c>
      <c r="H32" s="13">
        <v>45505.58075231482</v>
      </c>
      <c r="I32" s="1">
        <v>0.115</v>
      </c>
      <c r="J32" s="1">
        <v>26.54</v>
      </c>
      <c r="K32" s="1">
        <v>1.0</v>
      </c>
      <c r="L32" s="3">
        <f t="shared" si="1"/>
        <v>0.115</v>
      </c>
      <c r="M32" s="14">
        <f t="shared" si="4"/>
        <v>0.115</v>
      </c>
    </row>
    <row r="33">
      <c r="A33" s="1">
        <v>88.0</v>
      </c>
      <c r="B33" s="1">
        <v>20.0</v>
      </c>
      <c r="C33" s="1">
        <v>5.0</v>
      </c>
      <c r="D33" s="1" t="s">
        <v>45</v>
      </c>
      <c r="E33" s="1">
        <v>0.0</v>
      </c>
      <c r="F33" s="12">
        <v>0.0</v>
      </c>
      <c r="G33" s="12">
        <v>1.0</v>
      </c>
      <c r="H33" s="13">
        <v>45505.58167824074</v>
      </c>
      <c r="I33" s="1">
        <v>0.14</v>
      </c>
      <c r="J33" s="1">
        <v>27.74</v>
      </c>
      <c r="K33" s="1">
        <v>1.0</v>
      </c>
      <c r="L33" s="3">
        <f t="shared" si="1"/>
        <v>0.14</v>
      </c>
      <c r="M33" s="14">
        <f t="shared" si="4"/>
        <v>0.14</v>
      </c>
    </row>
    <row r="34">
      <c r="A34" s="1">
        <v>205.0</v>
      </c>
      <c r="B34" s="1">
        <v>21.0</v>
      </c>
      <c r="C34" s="1">
        <v>6.0</v>
      </c>
      <c r="D34" s="1" t="s">
        <v>45</v>
      </c>
      <c r="E34" s="1">
        <v>0.0</v>
      </c>
      <c r="F34" s="12">
        <v>0.0</v>
      </c>
      <c r="G34" s="12">
        <v>0.0</v>
      </c>
      <c r="H34" s="13">
        <v>45505.582604166666</v>
      </c>
      <c r="I34" s="1">
        <v>0.086</v>
      </c>
      <c r="J34" s="1">
        <v>25.13</v>
      </c>
      <c r="K34" s="1">
        <v>1.0</v>
      </c>
      <c r="L34" s="3">
        <f t="shared" si="1"/>
        <v>0.086</v>
      </c>
      <c r="M34" s="14">
        <f t="shared" si="4"/>
        <v>0.086</v>
      </c>
    </row>
    <row r="35">
      <c r="A35" s="1">
        <v>270.0</v>
      </c>
      <c r="B35" s="1">
        <v>22.0</v>
      </c>
      <c r="C35" s="1">
        <v>7.0</v>
      </c>
      <c r="D35" s="1" t="s">
        <v>45</v>
      </c>
      <c r="E35" s="1">
        <v>0.0</v>
      </c>
      <c r="F35" s="12">
        <v>0.0</v>
      </c>
      <c r="G35" s="12">
        <v>0.0</v>
      </c>
      <c r="H35" s="13">
        <v>45505.58353009259</v>
      </c>
      <c r="I35" s="1">
        <v>0.962</v>
      </c>
      <c r="J35" s="1">
        <v>67.65</v>
      </c>
      <c r="K35" s="1">
        <v>1.0</v>
      </c>
      <c r="L35" s="3">
        <f t="shared" si="1"/>
        <v>0.962</v>
      </c>
      <c r="M35" s="14">
        <f t="shared" si="4"/>
        <v>0.962</v>
      </c>
    </row>
    <row r="36">
      <c r="A36" s="1">
        <v>101.0</v>
      </c>
      <c r="B36" s="1">
        <v>23.0</v>
      </c>
      <c r="C36" s="1">
        <v>8.0</v>
      </c>
      <c r="D36" s="1" t="s">
        <v>45</v>
      </c>
      <c r="E36" s="1">
        <v>0.0</v>
      </c>
      <c r="F36" s="12">
        <v>0.0</v>
      </c>
      <c r="G36" s="12">
        <v>0.0</v>
      </c>
      <c r="H36" s="13">
        <v>45505.58445601852</v>
      </c>
      <c r="I36" s="1">
        <v>0.158</v>
      </c>
      <c r="J36" s="1">
        <v>28.61</v>
      </c>
      <c r="K36" s="1">
        <v>1.0</v>
      </c>
      <c r="L36" s="3">
        <f t="shared" si="1"/>
        <v>0.158</v>
      </c>
      <c r="M36" s="14">
        <f t="shared" si="4"/>
        <v>0.158</v>
      </c>
    </row>
    <row r="37">
      <c r="A37" s="1">
        <v>127.0</v>
      </c>
      <c r="B37" s="1">
        <v>24.0</v>
      </c>
      <c r="C37" s="1">
        <v>9.0</v>
      </c>
      <c r="D37" s="1" t="s">
        <v>45</v>
      </c>
      <c r="E37" s="1">
        <v>0.0</v>
      </c>
      <c r="F37" s="12">
        <v>0.0</v>
      </c>
      <c r="G37" s="12">
        <v>0.0</v>
      </c>
      <c r="H37" s="13">
        <v>45505.585381944446</v>
      </c>
      <c r="I37" s="1">
        <v>0.08</v>
      </c>
      <c r="J37" s="1">
        <v>24.81</v>
      </c>
      <c r="K37" s="1">
        <v>1.0</v>
      </c>
      <c r="L37" s="3">
        <f t="shared" si="1"/>
        <v>0.08</v>
      </c>
      <c r="M37" s="14">
        <f t="shared" si="4"/>
        <v>0.08</v>
      </c>
    </row>
    <row r="38">
      <c r="A38" s="1">
        <v>439.0</v>
      </c>
      <c r="B38" s="1">
        <v>25.0</v>
      </c>
      <c r="C38" s="1">
        <v>10.0</v>
      </c>
      <c r="D38" s="1" t="s">
        <v>45</v>
      </c>
      <c r="E38" s="1">
        <v>0.0</v>
      </c>
      <c r="F38" s="12">
        <v>0.0</v>
      </c>
      <c r="G38" s="12">
        <v>1.0</v>
      </c>
      <c r="H38" s="13">
        <v>45505.58630787037</v>
      </c>
      <c r="I38" s="1">
        <v>0.034</v>
      </c>
      <c r="J38" s="1">
        <v>22.58</v>
      </c>
      <c r="K38" s="1">
        <v>1.0</v>
      </c>
      <c r="L38" s="3">
        <f t="shared" si="1"/>
        <v>0.034</v>
      </c>
      <c r="M38" s="14">
        <f t="shared" si="4"/>
        <v>0.034</v>
      </c>
    </row>
    <row r="39">
      <c r="A39" s="1" t="s">
        <v>50</v>
      </c>
      <c r="B39" s="1">
        <v>26.0</v>
      </c>
      <c r="C39" s="1">
        <v>11.0</v>
      </c>
      <c r="D39" s="1" t="s">
        <v>47</v>
      </c>
      <c r="E39" s="1">
        <v>0.0</v>
      </c>
      <c r="F39" s="12">
        <v>0.0</v>
      </c>
      <c r="G39" s="12">
        <v>2.0</v>
      </c>
      <c r="H39" s="13">
        <v>45505.587233796294</v>
      </c>
      <c r="I39" s="1">
        <v>1.217</v>
      </c>
      <c r="J39" s="1">
        <v>79.97</v>
      </c>
      <c r="K39" s="1">
        <v>1.0</v>
      </c>
      <c r="L39" s="3">
        <f t="shared" si="1"/>
        <v>1.217</v>
      </c>
      <c r="M39" s="14">
        <f t="shared" si="4"/>
        <v>1.217</v>
      </c>
    </row>
    <row r="40">
      <c r="A40" s="1" t="s">
        <v>48</v>
      </c>
      <c r="B40" s="1">
        <v>27.0</v>
      </c>
      <c r="C40" s="1">
        <v>907.0</v>
      </c>
      <c r="D40" s="1" t="s">
        <v>49</v>
      </c>
      <c r="E40" s="1">
        <v>0.0</v>
      </c>
      <c r="F40" s="12">
        <v>0.0</v>
      </c>
      <c r="G40" s="12">
        <v>0.0</v>
      </c>
      <c r="H40" s="13">
        <v>45505.588159722225</v>
      </c>
      <c r="I40" s="1">
        <v>1.532</v>
      </c>
      <c r="J40" s="1">
        <v>95.26</v>
      </c>
      <c r="K40" s="1">
        <v>1.0</v>
      </c>
      <c r="L40" s="3">
        <f t="shared" si="1"/>
        <v>1.532</v>
      </c>
      <c r="M40" s="14">
        <f t="shared" si="4"/>
        <v>1.532</v>
      </c>
    </row>
    <row r="41">
      <c r="A41" s="1" t="s">
        <v>39</v>
      </c>
      <c r="B41" s="1">
        <v>28.0</v>
      </c>
      <c r="C41" s="1">
        <v>0.0</v>
      </c>
      <c r="D41" s="1" t="s">
        <v>40</v>
      </c>
      <c r="E41" s="1">
        <v>0.0</v>
      </c>
      <c r="F41" s="12">
        <v>0.0</v>
      </c>
      <c r="G41" s="12">
        <v>0.0</v>
      </c>
      <c r="H41" s="13">
        <v>45505.58908564815</v>
      </c>
      <c r="I41" s="1">
        <v>-0.432</v>
      </c>
      <c r="J41" s="1">
        <v>0.0</v>
      </c>
      <c r="K41" s="1">
        <v>1.0</v>
      </c>
      <c r="L41" s="3">
        <f t="shared" si="1"/>
        <v>-0.432</v>
      </c>
      <c r="M41" s="15" t="s">
        <v>38</v>
      </c>
    </row>
    <row r="42">
      <c r="A42" s="1">
        <v>153.0</v>
      </c>
      <c r="B42" s="1">
        <v>29.0</v>
      </c>
      <c r="C42" s="1">
        <v>12.0</v>
      </c>
      <c r="D42" s="1" t="s">
        <v>45</v>
      </c>
      <c r="E42" s="1">
        <v>0.0</v>
      </c>
      <c r="F42" s="12">
        <v>0.0</v>
      </c>
      <c r="G42" s="12">
        <v>0.0</v>
      </c>
      <c r="H42" s="13">
        <v>45505.59186342593</v>
      </c>
      <c r="I42" s="1">
        <v>0.125</v>
      </c>
      <c r="J42" s="1">
        <v>27.01</v>
      </c>
      <c r="K42" s="1">
        <v>1.0</v>
      </c>
      <c r="L42" s="3">
        <f t="shared" si="1"/>
        <v>0.125</v>
      </c>
      <c r="M42" s="14">
        <f t="shared" ref="M42:M53" si="5">L42</f>
        <v>0.125</v>
      </c>
    </row>
    <row r="43">
      <c r="A43" s="1">
        <v>283.0</v>
      </c>
      <c r="B43" s="1">
        <v>30.0</v>
      </c>
      <c r="C43" s="1">
        <v>13.0</v>
      </c>
      <c r="D43" s="1" t="s">
        <v>45</v>
      </c>
      <c r="E43" s="1">
        <v>0.0</v>
      </c>
      <c r="F43" s="12">
        <v>0.0</v>
      </c>
      <c r="G43" s="12">
        <v>0.0</v>
      </c>
      <c r="H43" s="13">
        <v>45505.59278935185</v>
      </c>
      <c r="I43" s="1">
        <v>0.071</v>
      </c>
      <c r="J43" s="1">
        <v>24.38</v>
      </c>
      <c r="K43" s="1">
        <v>1.0</v>
      </c>
      <c r="L43" s="3">
        <f t="shared" si="1"/>
        <v>0.071</v>
      </c>
      <c r="M43" s="14">
        <f t="shared" si="5"/>
        <v>0.071</v>
      </c>
    </row>
    <row r="44">
      <c r="A44" s="1">
        <v>322.0</v>
      </c>
      <c r="B44" s="1">
        <v>31.0</v>
      </c>
      <c r="C44" s="1">
        <v>14.0</v>
      </c>
      <c r="D44" s="1" t="s">
        <v>45</v>
      </c>
      <c r="E44" s="1">
        <v>0.0</v>
      </c>
      <c r="F44" s="12">
        <v>0.0</v>
      </c>
      <c r="G44" s="12">
        <v>0.0</v>
      </c>
      <c r="H44" s="13">
        <v>45505.59371527778</v>
      </c>
      <c r="I44" s="1">
        <v>0.554</v>
      </c>
      <c r="J44" s="1">
        <v>47.84</v>
      </c>
      <c r="K44" s="1">
        <v>1.0</v>
      </c>
      <c r="L44" s="3">
        <f t="shared" si="1"/>
        <v>0.554</v>
      </c>
      <c r="M44" s="14">
        <f t="shared" si="5"/>
        <v>0.554</v>
      </c>
    </row>
    <row r="45">
      <c r="A45" s="1">
        <v>348.0</v>
      </c>
      <c r="B45" s="1">
        <v>32.0</v>
      </c>
      <c r="C45" s="1">
        <v>15.0</v>
      </c>
      <c r="D45" s="1" t="s">
        <v>45</v>
      </c>
      <c r="E45" s="1">
        <v>0.0</v>
      </c>
      <c r="F45" s="12">
        <v>0.0</v>
      </c>
      <c r="G45" s="12">
        <v>0.0</v>
      </c>
      <c r="H45" s="13">
        <v>45505.5946412037</v>
      </c>
      <c r="I45" s="1">
        <v>0.154</v>
      </c>
      <c r="J45" s="1">
        <v>28.41</v>
      </c>
      <c r="K45" s="1">
        <v>1.0</v>
      </c>
      <c r="L45" s="3">
        <f t="shared" si="1"/>
        <v>0.154</v>
      </c>
      <c r="M45" s="14">
        <f t="shared" si="5"/>
        <v>0.154</v>
      </c>
    </row>
    <row r="46">
      <c r="A46" s="1">
        <v>166.0</v>
      </c>
      <c r="B46" s="1">
        <v>33.0</v>
      </c>
      <c r="C46" s="1">
        <v>16.0</v>
      </c>
      <c r="D46" s="1" t="s">
        <v>45</v>
      </c>
      <c r="E46" s="1">
        <v>0.0</v>
      </c>
      <c r="F46" s="12">
        <v>0.0</v>
      </c>
      <c r="G46" s="12">
        <v>1.0</v>
      </c>
      <c r="H46" s="13">
        <v>45505.59556712963</v>
      </c>
      <c r="I46" s="1">
        <v>0.295</v>
      </c>
      <c r="J46" s="1">
        <v>35.26</v>
      </c>
      <c r="K46" s="1">
        <v>1.0</v>
      </c>
      <c r="L46" s="3">
        <f t="shared" si="1"/>
        <v>0.295</v>
      </c>
      <c r="M46" s="14">
        <f t="shared" si="5"/>
        <v>0.295</v>
      </c>
    </row>
    <row r="47">
      <c r="A47" s="1">
        <v>140.0</v>
      </c>
      <c r="B47" s="1">
        <v>34.0</v>
      </c>
      <c r="C47" s="1">
        <v>17.0</v>
      </c>
      <c r="D47" s="1" t="s">
        <v>45</v>
      </c>
      <c r="E47" s="1">
        <v>0.0</v>
      </c>
      <c r="F47" s="12">
        <v>0.0</v>
      </c>
      <c r="G47" s="12">
        <v>0.0</v>
      </c>
      <c r="H47" s="13">
        <v>45505.59649305556</v>
      </c>
      <c r="I47" s="1">
        <v>0.409</v>
      </c>
      <c r="J47" s="1">
        <v>40.77</v>
      </c>
      <c r="K47" s="1">
        <v>1.0</v>
      </c>
      <c r="L47" s="3">
        <f t="shared" si="1"/>
        <v>0.409</v>
      </c>
      <c r="M47" s="14">
        <f t="shared" si="5"/>
        <v>0.409</v>
      </c>
    </row>
    <row r="48">
      <c r="A48" s="1">
        <v>23.0</v>
      </c>
      <c r="B48" s="1">
        <v>35.0</v>
      </c>
      <c r="C48" s="1">
        <v>18.0</v>
      </c>
      <c r="D48" s="1" t="s">
        <v>45</v>
      </c>
      <c r="E48" s="1">
        <v>0.0</v>
      </c>
      <c r="F48" s="12">
        <v>0.0</v>
      </c>
      <c r="G48" s="12">
        <v>0.0</v>
      </c>
      <c r="H48" s="13">
        <v>45505.59741898148</v>
      </c>
      <c r="I48" s="1">
        <v>0.169</v>
      </c>
      <c r="J48" s="1">
        <v>29.16</v>
      </c>
      <c r="K48" s="1">
        <v>1.0</v>
      </c>
      <c r="L48" s="3">
        <f t="shared" si="1"/>
        <v>0.169</v>
      </c>
      <c r="M48" s="14">
        <f t="shared" si="5"/>
        <v>0.169</v>
      </c>
    </row>
    <row r="49">
      <c r="A49" s="1">
        <v>36.0</v>
      </c>
      <c r="B49" s="1">
        <v>36.0</v>
      </c>
      <c r="C49" s="1">
        <v>19.0</v>
      </c>
      <c r="D49" s="1" t="s">
        <v>45</v>
      </c>
      <c r="E49" s="1">
        <v>0.0</v>
      </c>
      <c r="F49" s="12">
        <v>0.0</v>
      </c>
      <c r="G49" s="12">
        <v>0.0</v>
      </c>
      <c r="H49" s="13">
        <v>45505.598344907405</v>
      </c>
      <c r="I49" s="1">
        <v>0.374</v>
      </c>
      <c r="J49" s="1">
        <v>39.07</v>
      </c>
      <c r="K49" s="1">
        <v>1.0</v>
      </c>
      <c r="L49" s="3">
        <f t="shared" si="1"/>
        <v>0.374</v>
      </c>
      <c r="M49" s="14">
        <f t="shared" si="5"/>
        <v>0.374</v>
      </c>
    </row>
    <row r="50">
      <c r="A50" s="1">
        <v>179.0</v>
      </c>
      <c r="B50" s="1">
        <v>37.0</v>
      </c>
      <c r="C50" s="1">
        <v>20.0</v>
      </c>
      <c r="D50" s="1" t="s">
        <v>45</v>
      </c>
      <c r="E50" s="1">
        <v>0.0</v>
      </c>
      <c r="F50" s="12">
        <v>0.0</v>
      </c>
      <c r="G50" s="12">
        <v>0.0</v>
      </c>
      <c r="H50" s="13">
        <v>45505.599270833336</v>
      </c>
      <c r="I50" s="1">
        <v>0.341</v>
      </c>
      <c r="J50" s="1">
        <v>37.51</v>
      </c>
      <c r="K50" s="1">
        <v>1.0</v>
      </c>
      <c r="L50" s="3">
        <f t="shared" si="1"/>
        <v>0.341</v>
      </c>
      <c r="M50" s="14">
        <f t="shared" si="5"/>
        <v>0.341</v>
      </c>
    </row>
    <row r="51">
      <c r="A51" s="1">
        <v>569.0</v>
      </c>
      <c r="B51" s="1">
        <v>38.0</v>
      </c>
      <c r="C51" s="1">
        <v>21.0</v>
      </c>
      <c r="D51" s="1" t="s">
        <v>45</v>
      </c>
      <c r="E51" s="1">
        <v>0.0</v>
      </c>
      <c r="F51" s="12">
        <v>0.0</v>
      </c>
      <c r="G51" s="12">
        <v>0.0</v>
      </c>
      <c r="H51" s="13">
        <v>45505.60019675926</v>
      </c>
      <c r="I51" s="1">
        <v>0.116</v>
      </c>
      <c r="J51" s="1">
        <v>26.57</v>
      </c>
      <c r="K51" s="1">
        <v>1.0</v>
      </c>
      <c r="L51" s="3">
        <f t="shared" si="1"/>
        <v>0.116</v>
      </c>
      <c r="M51" s="14">
        <f t="shared" si="5"/>
        <v>0.116</v>
      </c>
    </row>
    <row r="52">
      <c r="A52" s="1" t="s">
        <v>51</v>
      </c>
      <c r="B52" s="1">
        <v>39.0</v>
      </c>
      <c r="C52" s="1">
        <v>22.0</v>
      </c>
      <c r="D52" s="1" t="s">
        <v>47</v>
      </c>
      <c r="E52" s="1">
        <v>0.0</v>
      </c>
      <c r="F52" s="12">
        <v>0.0</v>
      </c>
      <c r="G52" s="12">
        <v>1.0</v>
      </c>
      <c r="H52" s="13">
        <v>45505.601122685184</v>
      </c>
      <c r="I52" s="1">
        <v>1.142</v>
      </c>
      <c r="J52" s="1">
        <v>76.37</v>
      </c>
      <c r="K52" s="1">
        <v>1.0</v>
      </c>
      <c r="L52" s="3">
        <f t="shared" si="1"/>
        <v>1.142</v>
      </c>
      <c r="M52" s="14">
        <f t="shared" si="5"/>
        <v>1.142</v>
      </c>
    </row>
    <row r="53">
      <c r="A53" s="1" t="s">
        <v>48</v>
      </c>
      <c r="B53" s="1">
        <v>40.0</v>
      </c>
      <c r="C53" s="1">
        <v>907.0</v>
      </c>
      <c r="D53" s="1" t="s">
        <v>49</v>
      </c>
      <c r="E53" s="1">
        <v>0.0</v>
      </c>
      <c r="F53" s="12">
        <v>0.0</v>
      </c>
      <c r="G53" s="12">
        <v>0.0</v>
      </c>
      <c r="H53" s="13">
        <v>45505.60204861111</v>
      </c>
      <c r="I53" s="1">
        <v>1.481</v>
      </c>
      <c r="J53" s="1">
        <v>92.78</v>
      </c>
      <c r="K53" s="1">
        <v>1.0</v>
      </c>
      <c r="L53" s="3">
        <f t="shared" si="1"/>
        <v>1.481</v>
      </c>
      <c r="M53" s="14">
        <f t="shared" si="5"/>
        <v>1.481</v>
      </c>
    </row>
    <row r="54">
      <c r="A54" s="1" t="s">
        <v>39</v>
      </c>
      <c r="B54" s="1">
        <v>41.0</v>
      </c>
      <c r="C54" s="1">
        <v>0.0</v>
      </c>
      <c r="D54" s="1" t="s">
        <v>40</v>
      </c>
      <c r="E54" s="1">
        <v>0.0</v>
      </c>
      <c r="F54" s="12">
        <v>0.0</v>
      </c>
      <c r="G54" s="12">
        <v>0.0</v>
      </c>
      <c r="H54" s="13">
        <v>45505.60297453704</v>
      </c>
      <c r="I54" s="1">
        <v>-0.432</v>
      </c>
      <c r="J54" s="1">
        <v>0.0</v>
      </c>
      <c r="K54" s="1">
        <v>1.0</v>
      </c>
      <c r="L54" s="3">
        <f t="shared" si="1"/>
        <v>-0.432</v>
      </c>
      <c r="M54" s="15" t="s">
        <v>38</v>
      </c>
    </row>
    <row r="55">
      <c r="A55" s="1">
        <v>231.0</v>
      </c>
      <c r="B55" s="1">
        <v>42.0</v>
      </c>
      <c r="C55" s="1">
        <v>23.0</v>
      </c>
      <c r="D55" s="1" t="s">
        <v>45</v>
      </c>
      <c r="E55" s="1">
        <v>0.0</v>
      </c>
      <c r="F55" s="12">
        <v>0.0</v>
      </c>
      <c r="G55" s="12">
        <v>0.0</v>
      </c>
      <c r="H55" s="13">
        <v>45505.60575231481</v>
      </c>
      <c r="I55" s="1">
        <v>0.404</v>
      </c>
      <c r="J55" s="1">
        <v>40.54</v>
      </c>
      <c r="K55" s="1">
        <v>1.0</v>
      </c>
      <c r="L55" s="3">
        <f t="shared" si="1"/>
        <v>0.404</v>
      </c>
      <c r="M55" s="14">
        <f t="shared" ref="M55:M56" si="6">L55</f>
        <v>0.404</v>
      </c>
    </row>
    <row r="56">
      <c r="A56" s="1">
        <v>218.0</v>
      </c>
      <c r="B56" s="1">
        <v>43.0</v>
      </c>
      <c r="C56" s="1">
        <v>24.0</v>
      </c>
      <c r="D56" s="1" t="s">
        <v>45</v>
      </c>
      <c r="E56" s="1">
        <v>0.0</v>
      </c>
      <c r="F56" s="12">
        <v>0.0</v>
      </c>
      <c r="G56" s="12">
        <v>0.0</v>
      </c>
      <c r="H56" s="13">
        <v>45505.60667824074</v>
      </c>
      <c r="I56" s="1">
        <v>0.117</v>
      </c>
      <c r="J56" s="1">
        <v>26.62</v>
      </c>
      <c r="K56" s="1">
        <v>1.0</v>
      </c>
      <c r="L56" s="3">
        <f t="shared" si="1"/>
        <v>0.117</v>
      </c>
      <c r="M56" s="14">
        <f t="shared" si="6"/>
        <v>0.117</v>
      </c>
    </row>
    <row r="57">
      <c r="A57" s="1">
        <v>257.0</v>
      </c>
      <c r="B57" s="1">
        <v>44.0</v>
      </c>
      <c r="C57" s="1">
        <v>25.0</v>
      </c>
      <c r="D57" s="1" t="s">
        <v>45</v>
      </c>
      <c r="E57" s="1">
        <v>0.0</v>
      </c>
      <c r="F57" s="12">
        <v>0.0</v>
      </c>
      <c r="G57" s="12">
        <v>0.0</v>
      </c>
      <c r="H57" s="13">
        <v>45505.60760416667</v>
      </c>
      <c r="I57" s="1">
        <v>-0.054</v>
      </c>
      <c r="J57" s="1">
        <v>18.32</v>
      </c>
      <c r="K57" s="1">
        <v>1.0</v>
      </c>
      <c r="L57" s="3">
        <f t="shared" si="1"/>
        <v>-0.054</v>
      </c>
      <c r="M57" s="15" t="s">
        <v>38</v>
      </c>
    </row>
    <row r="58">
      <c r="A58" s="1">
        <v>309.0</v>
      </c>
      <c r="B58" s="1">
        <v>45.0</v>
      </c>
      <c r="C58" s="1">
        <v>26.0</v>
      </c>
      <c r="D58" s="1" t="s">
        <v>45</v>
      </c>
      <c r="E58" s="1">
        <v>0.0</v>
      </c>
      <c r="F58" s="12">
        <v>0.0</v>
      </c>
      <c r="G58" s="12">
        <v>0.0</v>
      </c>
      <c r="H58" s="13">
        <v>45505.60853009259</v>
      </c>
      <c r="I58" s="1">
        <v>0.652</v>
      </c>
      <c r="J58" s="1">
        <v>52.6</v>
      </c>
      <c r="K58" s="1">
        <v>1.0</v>
      </c>
      <c r="L58" s="3">
        <f t="shared" si="1"/>
        <v>0.652</v>
      </c>
      <c r="M58" s="14">
        <f t="shared" ref="M58:M62" si="7">L58</f>
        <v>0.652</v>
      </c>
    </row>
    <row r="59">
      <c r="A59" s="1">
        <v>192.0</v>
      </c>
      <c r="B59" s="1">
        <v>46.0</v>
      </c>
      <c r="C59" s="1">
        <v>27.0</v>
      </c>
      <c r="D59" s="1" t="s">
        <v>45</v>
      </c>
      <c r="E59" s="1">
        <v>0.0</v>
      </c>
      <c r="F59" s="12">
        <v>0.0</v>
      </c>
      <c r="G59" s="12">
        <v>0.0</v>
      </c>
      <c r="H59" s="13">
        <v>45505.609456018516</v>
      </c>
      <c r="I59" s="1">
        <v>0.383</v>
      </c>
      <c r="J59" s="1">
        <v>39.52</v>
      </c>
      <c r="K59" s="1">
        <v>1.0</v>
      </c>
      <c r="L59" s="3">
        <f t="shared" si="1"/>
        <v>0.383</v>
      </c>
      <c r="M59" s="14">
        <f t="shared" si="7"/>
        <v>0.383</v>
      </c>
    </row>
    <row r="60">
      <c r="A60" s="1">
        <v>296.0</v>
      </c>
      <c r="B60" s="1">
        <v>47.0</v>
      </c>
      <c r="C60" s="1">
        <v>28.0</v>
      </c>
      <c r="D60" s="1" t="s">
        <v>45</v>
      </c>
      <c r="E60" s="1">
        <v>0.0</v>
      </c>
      <c r="F60" s="12">
        <v>0.0</v>
      </c>
      <c r="G60" s="12">
        <v>0.0</v>
      </c>
      <c r="H60" s="13">
        <v>45505.61038194445</v>
      </c>
      <c r="I60" s="1">
        <v>0.131</v>
      </c>
      <c r="J60" s="1">
        <v>27.32</v>
      </c>
      <c r="K60" s="1">
        <v>1.0</v>
      </c>
      <c r="L60" s="3">
        <f t="shared" si="1"/>
        <v>0.131</v>
      </c>
      <c r="M60" s="14">
        <f t="shared" si="7"/>
        <v>0.131</v>
      </c>
    </row>
    <row r="61">
      <c r="A61" s="1">
        <v>244.0</v>
      </c>
      <c r="B61" s="1">
        <v>48.0</v>
      </c>
      <c r="C61" s="1">
        <v>29.0</v>
      </c>
      <c r="D61" s="1" t="s">
        <v>45</v>
      </c>
      <c r="E61" s="1">
        <v>0.0</v>
      </c>
      <c r="F61" s="12">
        <v>0.0</v>
      </c>
      <c r="G61" s="12">
        <v>0.0</v>
      </c>
      <c r="H61" s="13">
        <v>45505.61130787037</v>
      </c>
      <c r="I61" s="1">
        <v>0.306</v>
      </c>
      <c r="J61" s="1">
        <v>35.8</v>
      </c>
      <c r="K61" s="1">
        <v>1.0</v>
      </c>
      <c r="L61" s="3">
        <f t="shared" si="1"/>
        <v>0.306</v>
      </c>
      <c r="M61" s="14">
        <f t="shared" si="7"/>
        <v>0.306</v>
      </c>
    </row>
    <row r="62">
      <c r="A62" s="1">
        <v>49.0</v>
      </c>
      <c r="B62" s="1">
        <v>49.0</v>
      </c>
      <c r="C62" s="1">
        <v>30.0</v>
      </c>
      <c r="D62" s="1" t="s">
        <v>45</v>
      </c>
      <c r="E62" s="1">
        <v>0.0</v>
      </c>
      <c r="F62" s="12">
        <v>0.0</v>
      </c>
      <c r="G62" s="12">
        <v>0.0</v>
      </c>
      <c r="H62" s="13">
        <v>45505.612233796295</v>
      </c>
      <c r="I62" s="1">
        <v>0.187</v>
      </c>
      <c r="J62" s="1">
        <v>30.0</v>
      </c>
      <c r="K62" s="1">
        <v>1.0</v>
      </c>
      <c r="L62" s="3">
        <f t="shared" si="1"/>
        <v>0.187</v>
      </c>
      <c r="M62" s="14">
        <f t="shared" si="7"/>
        <v>0.187</v>
      </c>
    </row>
    <row r="63">
      <c r="A63" s="1">
        <v>582.0</v>
      </c>
      <c r="B63" s="1">
        <v>50.0</v>
      </c>
      <c r="C63" s="1">
        <v>31.0</v>
      </c>
      <c r="D63" s="1" t="s">
        <v>45</v>
      </c>
      <c r="E63" s="1">
        <v>0.0</v>
      </c>
      <c r="F63" s="12">
        <v>0.0</v>
      </c>
      <c r="G63" s="12">
        <v>0.0</v>
      </c>
      <c r="H63" s="13">
        <v>45505.61315972222</v>
      </c>
      <c r="I63" s="1">
        <v>-0.012</v>
      </c>
      <c r="J63" s="1">
        <v>20.37</v>
      </c>
      <c r="K63" s="1">
        <v>1.0</v>
      </c>
      <c r="L63" s="3">
        <f t="shared" si="1"/>
        <v>-0.012</v>
      </c>
      <c r="M63" s="15" t="s">
        <v>38</v>
      </c>
    </row>
    <row r="64">
      <c r="A64" s="1" t="s">
        <v>52</v>
      </c>
      <c r="B64" s="1">
        <v>51.0</v>
      </c>
      <c r="C64" s="1">
        <v>32.0</v>
      </c>
      <c r="D64" s="1" t="s">
        <v>47</v>
      </c>
      <c r="E64" s="1">
        <v>0.0</v>
      </c>
      <c r="F64" s="12">
        <v>0.0</v>
      </c>
      <c r="G64" s="12">
        <v>1.0</v>
      </c>
      <c r="H64" s="13">
        <v>45505.61408564815</v>
      </c>
      <c r="I64" s="1">
        <v>1.135</v>
      </c>
      <c r="J64" s="1">
        <v>76.01</v>
      </c>
      <c r="K64" s="1">
        <v>1.0</v>
      </c>
      <c r="L64" s="3">
        <f t="shared" si="1"/>
        <v>1.135</v>
      </c>
      <c r="M64" s="14">
        <f t="shared" ref="M64:M65" si="8">L64</f>
        <v>1.135</v>
      </c>
    </row>
    <row r="65">
      <c r="A65" s="1" t="s">
        <v>48</v>
      </c>
      <c r="B65" s="1">
        <v>52.0</v>
      </c>
      <c r="C65" s="1">
        <v>907.0</v>
      </c>
      <c r="D65" s="1" t="s">
        <v>49</v>
      </c>
      <c r="E65" s="1">
        <v>0.0</v>
      </c>
      <c r="F65" s="12">
        <v>0.0</v>
      </c>
      <c r="G65" s="12">
        <v>0.0</v>
      </c>
      <c r="H65" s="13">
        <v>45505.615011574075</v>
      </c>
      <c r="I65" s="1">
        <v>1.483</v>
      </c>
      <c r="J65" s="1">
        <v>92.9</v>
      </c>
      <c r="K65" s="1">
        <v>1.0</v>
      </c>
      <c r="L65" s="3">
        <f t="shared" si="1"/>
        <v>1.483</v>
      </c>
      <c r="M65" s="14">
        <f t="shared" si="8"/>
        <v>1.483</v>
      </c>
    </row>
    <row r="66">
      <c r="A66" s="1" t="s">
        <v>39</v>
      </c>
      <c r="B66" s="1">
        <v>53.0</v>
      </c>
      <c r="C66" s="1">
        <v>0.0</v>
      </c>
      <c r="D66" s="1" t="s">
        <v>40</v>
      </c>
      <c r="E66" s="1">
        <v>0.0</v>
      </c>
      <c r="F66" s="12">
        <v>0.0</v>
      </c>
      <c r="G66" s="12">
        <v>0.0</v>
      </c>
      <c r="H66" s="13">
        <v>45505.6159375</v>
      </c>
      <c r="I66" s="1">
        <v>-0.432</v>
      </c>
      <c r="J66" s="1">
        <v>0.0</v>
      </c>
      <c r="K66" s="1">
        <v>1.0</v>
      </c>
      <c r="L66" s="3">
        <f t="shared" si="1"/>
        <v>-0.432</v>
      </c>
      <c r="M66" s="15" t="s">
        <v>38</v>
      </c>
    </row>
    <row r="67">
      <c r="A67" s="1">
        <v>517.0</v>
      </c>
      <c r="B67" s="1">
        <v>54.0</v>
      </c>
      <c r="C67" s="1">
        <v>33.0</v>
      </c>
      <c r="D67" s="1" t="s">
        <v>45</v>
      </c>
      <c r="E67" s="1">
        <v>0.0</v>
      </c>
      <c r="F67" s="12">
        <v>0.0</v>
      </c>
      <c r="G67" s="12">
        <v>0.0</v>
      </c>
      <c r="H67" s="13">
        <v>45505.61871527778</v>
      </c>
      <c r="I67" s="1">
        <v>0.142</v>
      </c>
      <c r="J67" s="1">
        <v>27.82</v>
      </c>
      <c r="K67" s="1">
        <v>1.0</v>
      </c>
      <c r="L67" s="3">
        <f t="shared" si="1"/>
        <v>0.142</v>
      </c>
      <c r="M67" s="14">
        <f>L67</f>
        <v>0.142</v>
      </c>
    </row>
    <row r="68">
      <c r="A68" s="1">
        <v>452.0</v>
      </c>
      <c r="B68" s="1">
        <v>55.0</v>
      </c>
      <c r="C68" s="1">
        <v>34.0</v>
      </c>
      <c r="D68" s="1" t="s">
        <v>45</v>
      </c>
      <c r="E68" s="1">
        <v>0.0</v>
      </c>
      <c r="F68" s="12">
        <v>0.0</v>
      </c>
      <c r="G68" s="12">
        <v>0.0</v>
      </c>
      <c r="H68" s="13">
        <v>45505.6196412037</v>
      </c>
      <c r="I68" s="1">
        <v>-0.012</v>
      </c>
      <c r="J68" s="1">
        <v>20.35</v>
      </c>
      <c r="K68" s="1">
        <v>1.0</v>
      </c>
      <c r="L68" s="3">
        <f t="shared" si="1"/>
        <v>-0.012</v>
      </c>
      <c r="M68" s="15" t="s">
        <v>38</v>
      </c>
    </row>
    <row r="69">
      <c r="A69" s="1">
        <v>400.0</v>
      </c>
      <c r="B69" s="1">
        <v>56.0</v>
      </c>
      <c r="C69" s="1">
        <v>35.0</v>
      </c>
      <c r="D69" s="1" t="s">
        <v>45</v>
      </c>
      <c r="E69" s="1">
        <v>0.0</v>
      </c>
      <c r="F69" s="12">
        <v>0.0</v>
      </c>
      <c r="G69" s="12">
        <v>0.0</v>
      </c>
      <c r="H69" s="13">
        <v>45505.62056712963</v>
      </c>
      <c r="I69" s="1">
        <v>0.017</v>
      </c>
      <c r="J69" s="1">
        <v>21.76</v>
      </c>
      <c r="K69" s="1">
        <v>1.0</v>
      </c>
      <c r="L69" s="3">
        <f t="shared" si="1"/>
        <v>0.017</v>
      </c>
      <c r="M69" s="14">
        <f t="shared" ref="M69:M70" si="9">L69</f>
        <v>0.017</v>
      </c>
    </row>
    <row r="70">
      <c r="A70" s="1">
        <v>413.0</v>
      </c>
      <c r="B70" s="1">
        <v>57.0</v>
      </c>
      <c r="C70" s="1">
        <v>36.0</v>
      </c>
      <c r="D70" s="1" t="s">
        <v>45</v>
      </c>
      <c r="E70" s="1">
        <v>0.0</v>
      </c>
      <c r="F70" s="12">
        <v>0.0</v>
      </c>
      <c r="G70" s="12">
        <v>0.0</v>
      </c>
      <c r="H70" s="13">
        <v>45505.62149305556</v>
      </c>
      <c r="I70" s="1">
        <v>0.088</v>
      </c>
      <c r="J70" s="1">
        <v>25.21</v>
      </c>
      <c r="K70" s="1">
        <v>1.0</v>
      </c>
      <c r="L70" s="3">
        <f t="shared" si="1"/>
        <v>0.088</v>
      </c>
      <c r="M70" s="14">
        <f t="shared" si="9"/>
        <v>0.088</v>
      </c>
    </row>
    <row r="71">
      <c r="A71" s="1">
        <v>374.0</v>
      </c>
      <c r="B71" s="1">
        <v>58.0</v>
      </c>
      <c r="C71" s="1">
        <v>37.0</v>
      </c>
      <c r="D71" s="1" t="s">
        <v>45</v>
      </c>
      <c r="E71" s="1">
        <v>0.0</v>
      </c>
      <c r="F71" s="12">
        <v>0.0</v>
      </c>
      <c r="G71" s="12">
        <v>0.0</v>
      </c>
      <c r="H71" s="13">
        <v>45505.62241898148</v>
      </c>
      <c r="I71" s="1">
        <v>-0.018</v>
      </c>
      <c r="J71" s="1">
        <v>20.07</v>
      </c>
      <c r="K71" s="1">
        <v>1.0</v>
      </c>
      <c r="L71" s="3">
        <f t="shared" si="1"/>
        <v>-0.018</v>
      </c>
      <c r="M71" s="15" t="s">
        <v>38</v>
      </c>
    </row>
    <row r="72">
      <c r="A72" s="1">
        <v>543.0</v>
      </c>
      <c r="B72" s="1">
        <v>59.0</v>
      </c>
      <c r="C72" s="1">
        <v>38.0</v>
      </c>
      <c r="D72" s="1" t="s">
        <v>45</v>
      </c>
      <c r="E72" s="1">
        <v>0.0</v>
      </c>
      <c r="F72" s="12">
        <v>0.0</v>
      </c>
      <c r="G72" s="12">
        <v>0.0</v>
      </c>
      <c r="H72" s="13">
        <v>45505.623344907406</v>
      </c>
      <c r="I72" s="1">
        <v>0.076</v>
      </c>
      <c r="J72" s="1">
        <v>24.62</v>
      </c>
      <c r="K72" s="1">
        <v>1.0</v>
      </c>
      <c r="L72" s="3">
        <f t="shared" si="1"/>
        <v>0.076</v>
      </c>
      <c r="M72" s="14">
        <f>L72</f>
        <v>0.076</v>
      </c>
    </row>
    <row r="73">
      <c r="A73" s="1">
        <v>504.0</v>
      </c>
      <c r="B73" s="1">
        <v>60.0</v>
      </c>
      <c r="C73" s="1">
        <v>39.0</v>
      </c>
      <c r="D73" s="1" t="s">
        <v>45</v>
      </c>
      <c r="E73" s="1">
        <v>0.0</v>
      </c>
      <c r="F73" s="12">
        <v>0.0</v>
      </c>
      <c r="G73" s="12">
        <v>0.0</v>
      </c>
      <c r="H73" s="13">
        <v>45505.62427083333</v>
      </c>
      <c r="I73" s="1">
        <v>-0.014</v>
      </c>
      <c r="J73" s="1">
        <v>20.28</v>
      </c>
      <c r="K73" s="1">
        <v>1.0</v>
      </c>
      <c r="L73" s="3">
        <f t="shared" si="1"/>
        <v>-0.014</v>
      </c>
      <c r="M73" s="15" t="s">
        <v>38</v>
      </c>
    </row>
    <row r="74">
      <c r="A74" s="1">
        <v>608.0</v>
      </c>
      <c r="B74" s="1">
        <v>61.0</v>
      </c>
      <c r="C74" s="1">
        <v>40.0</v>
      </c>
      <c r="D74" s="1" t="s">
        <v>45</v>
      </c>
      <c r="E74" s="1">
        <v>0.0</v>
      </c>
      <c r="F74" s="12">
        <v>0.0</v>
      </c>
      <c r="G74" s="12">
        <v>0.0</v>
      </c>
      <c r="H74" s="13">
        <v>45505.62519675926</v>
      </c>
      <c r="I74" s="1">
        <v>-0.017</v>
      </c>
      <c r="J74" s="1">
        <v>20.13</v>
      </c>
      <c r="K74" s="1">
        <v>1.0</v>
      </c>
      <c r="L74" s="3">
        <f t="shared" si="1"/>
        <v>-0.017</v>
      </c>
      <c r="M74" s="15" t="s">
        <v>38</v>
      </c>
    </row>
    <row r="75">
      <c r="A75" s="1">
        <v>426.0</v>
      </c>
      <c r="B75" s="1">
        <v>62.0</v>
      </c>
      <c r="C75" s="1">
        <v>41.0</v>
      </c>
      <c r="D75" s="1" t="s">
        <v>45</v>
      </c>
      <c r="E75" s="1">
        <v>0.0</v>
      </c>
      <c r="F75" s="12">
        <v>0.0</v>
      </c>
      <c r="G75" s="12">
        <v>0.0</v>
      </c>
      <c r="H75" s="13">
        <v>45505.626122685186</v>
      </c>
      <c r="I75" s="1">
        <v>0.006</v>
      </c>
      <c r="J75" s="1">
        <v>21.25</v>
      </c>
      <c r="K75" s="1">
        <v>1.0</v>
      </c>
      <c r="L75" s="3">
        <f t="shared" si="1"/>
        <v>0.006</v>
      </c>
      <c r="M75" s="15" t="s">
        <v>38</v>
      </c>
    </row>
    <row r="76">
      <c r="A76" s="1">
        <v>361.0</v>
      </c>
      <c r="B76" s="1">
        <v>63.0</v>
      </c>
      <c r="C76" s="1">
        <v>42.0</v>
      </c>
      <c r="D76" s="1" t="s">
        <v>45</v>
      </c>
      <c r="E76" s="1">
        <v>0.0</v>
      </c>
      <c r="F76" s="12">
        <v>0.0</v>
      </c>
      <c r="G76" s="12">
        <v>0.0</v>
      </c>
      <c r="H76" s="13">
        <v>45505.62704861111</v>
      </c>
      <c r="I76" s="1">
        <v>0.032</v>
      </c>
      <c r="J76" s="1">
        <v>22.5</v>
      </c>
      <c r="K76" s="1">
        <v>1.0</v>
      </c>
      <c r="L76" s="3">
        <f t="shared" si="1"/>
        <v>0.032</v>
      </c>
      <c r="M76" s="14">
        <f t="shared" ref="M76:M78" si="10">L76</f>
        <v>0.032</v>
      </c>
    </row>
    <row r="77">
      <c r="A77" s="1" t="s">
        <v>53</v>
      </c>
      <c r="B77" s="1">
        <v>64.0</v>
      </c>
      <c r="C77" s="1">
        <v>43.0</v>
      </c>
      <c r="D77" s="1" t="s">
        <v>47</v>
      </c>
      <c r="E77" s="1">
        <v>0.0</v>
      </c>
      <c r="F77" s="12">
        <v>0.0</v>
      </c>
      <c r="G77" s="12">
        <v>1.0</v>
      </c>
      <c r="H77" s="13">
        <v>45505.627974537034</v>
      </c>
      <c r="I77" s="1">
        <v>1.16</v>
      </c>
      <c r="J77" s="1">
        <v>77.23</v>
      </c>
      <c r="K77" s="1">
        <v>1.0</v>
      </c>
      <c r="L77" s="3">
        <f t="shared" si="1"/>
        <v>1.16</v>
      </c>
      <c r="M77" s="14">
        <f t="shared" si="10"/>
        <v>1.16</v>
      </c>
    </row>
    <row r="78">
      <c r="A78" s="1" t="s">
        <v>48</v>
      </c>
      <c r="B78" s="1">
        <v>65.0</v>
      </c>
      <c r="C78" s="1">
        <v>907.0</v>
      </c>
      <c r="D78" s="1" t="s">
        <v>49</v>
      </c>
      <c r="E78" s="1">
        <v>0.0</v>
      </c>
      <c r="F78" s="12">
        <v>0.0</v>
      </c>
      <c r="G78" s="12">
        <v>0.0</v>
      </c>
      <c r="H78" s="13">
        <v>45505.628900462965</v>
      </c>
      <c r="I78" s="1">
        <v>1.477</v>
      </c>
      <c r="J78" s="1">
        <v>92.62</v>
      </c>
      <c r="K78" s="1">
        <v>1.0</v>
      </c>
      <c r="L78" s="3">
        <f t="shared" si="1"/>
        <v>1.477</v>
      </c>
      <c r="M78" s="14">
        <f t="shared" si="10"/>
        <v>1.477</v>
      </c>
    </row>
    <row r="79">
      <c r="A79" s="1" t="s">
        <v>39</v>
      </c>
      <c r="B79" s="1">
        <v>66.0</v>
      </c>
      <c r="C79" s="1">
        <v>0.0</v>
      </c>
      <c r="D79" s="1" t="s">
        <v>40</v>
      </c>
      <c r="E79" s="1">
        <v>0.0</v>
      </c>
      <c r="F79" s="12">
        <v>0.0</v>
      </c>
      <c r="G79" s="12">
        <v>0.0</v>
      </c>
      <c r="H79" s="13">
        <v>45505.62982638889</v>
      </c>
      <c r="I79" s="1">
        <v>-0.432</v>
      </c>
      <c r="J79" s="1">
        <v>0.0</v>
      </c>
      <c r="K79" s="1">
        <v>1.0</v>
      </c>
      <c r="L79" s="3">
        <f t="shared" si="1"/>
        <v>-0.432</v>
      </c>
      <c r="M79" s="15" t="s">
        <v>38</v>
      </c>
    </row>
    <row r="80">
      <c r="A80" s="1">
        <v>621.0</v>
      </c>
      <c r="B80" s="1">
        <v>67.0</v>
      </c>
      <c r="C80" s="1">
        <v>44.0</v>
      </c>
      <c r="D80" s="1" t="s">
        <v>45</v>
      </c>
      <c r="E80" s="1">
        <v>0.0</v>
      </c>
      <c r="F80" s="12">
        <v>0.0</v>
      </c>
      <c r="G80" s="12">
        <v>0.0</v>
      </c>
      <c r="H80" s="13">
        <v>45505.63260416667</v>
      </c>
      <c r="I80" s="1">
        <v>0.02</v>
      </c>
      <c r="J80" s="1">
        <v>21.9</v>
      </c>
      <c r="K80" s="1">
        <v>1.0</v>
      </c>
      <c r="L80" s="3">
        <f t="shared" si="1"/>
        <v>0.02</v>
      </c>
      <c r="M80" s="14">
        <f>L80</f>
        <v>0.02</v>
      </c>
    </row>
    <row r="81">
      <c r="A81" s="1">
        <v>478.0</v>
      </c>
      <c r="B81" s="1">
        <v>68.0</v>
      </c>
      <c r="C81" s="1">
        <v>45.0</v>
      </c>
      <c r="D81" s="1" t="s">
        <v>45</v>
      </c>
      <c r="E81" s="1">
        <v>0.0</v>
      </c>
      <c r="F81" s="12">
        <v>0.0</v>
      </c>
      <c r="G81" s="12">
        <v>0.0</v>
      </c>
      <c r="H81" s="13">
        <v>45505.63353009259</v>
      </c>
      <c r="I81" s="1">
        <v>0.0</v>
      </c>
      <c r="J81" s="1">
        <v>20.93</v>
      </c>
      <c r="K81" s="1">
        <v>1.0</v>
      </c>
      <c r="L81" s="3">
        <f t="shared" si="1"/>
        <v>0</v>
      </c>
      <c r="M81" s="15" t="s">
        <v>38</v>
      </c>
    </row>
    <row r="82">
      <c r="A82" s="1">
        <v>335.0</v>
      </c>
      <c r="B82" s="1">
        <v>69.0</v>
      </c>
      <c r="C82" s="1">
        <v>46.0</v>
      </c>
      <c r="D82" s="1" t="s">
        <v>45</v>
      </c>
      <c r="E82" s="1">
        <v>0.0</v>
      </c>
      <c r="F82" s="12">
        <v>0.0</v>
      </c>
      <c r="G82" s="12">
        <v>0.0</v>
      </c>
      <c r="H82" s="13">
        <v>45505.63445601852</v>
      </c>
      <c r="I82" s="1">
        <v>0.188</v>
      </c>
      <c r="J82" s="1">
        <v>30.04</v>
      </c>
      <c r="K82" s="1">
        <v>1.0</v>
      </c>
      <c r="L82" s="3">
        <f t="shared" si="1"/>
        <v>0.188</v>
      </c>
      <c r="M82" s="14">
        <f t="shared" ref="M82:M84" si="11">L82</f>
        <v>0.188</v>
      </c>
    </row>
    <row r="83">
      <c r="A83" s="1">
        <v>530.0</v>
      </c>
      <c r="B83" s="1">
        <v>70.0</v>
      </c>
      <c r="C83" s="1">
        <v>47.0</v>
      </c>
      <c r="D83" s="1" t="s">
        <v>45</v>
      </c>
      <c r="E83" s="1">
        <v>0.0</v>
      </c>
      <c r="F83" s="12">
        <v>0.0</v>
      </c>
      <c r="G83" s="12">
        <v>0.0</v>
      </c>
      <c r="H83" s="13">
        <v>45505.63538194444</v>
      </c>
      <c r="I83" s="1">
        <v>0.305</v>
      </c>
      <c r="J83" s="1">
        <v>35.73</v>
      </c>
      <c r="K83" s="1">
        <v>1.0</v>
      </c>
      <c r="L83" s="3">
        <f t="shared" si="1"/>
        <v>0.305</v>
      </c>
      <c r="M83" s="14">
        <f t="shared" si="11"/>
        <v>0.305</v>
      </c>
    </row>
    <row r="84">
      <c r="A84" s="1">
        <v>556.0</v>
      </c>
      <c r="B84" s="1">
        <v>71.0</v>
      </c>
      <c r="C84" s="1">
        <v>48.0</v>
      </c>
      <c r="D84" s="1" t="s">
        <v>45</v>
      </c>
      <c r="E84" s="1">
        <v>0.0</v>
      </c>
      <c r="F84" s="12">
        <v>0.0</v>
      </c>
      <c r="G84" s="12">
        <v>0.0</v>
      </c>
      <c r="H84" s="13">
        <v>45505.63630787037</v>
      </c>
      <c r="I84" s="1">
        <v>0.035</v>
      </c>
      <c r="J84" s="1">
        <v>22.63</v>
      </c>
      <c r="K84" s="1">
        <v>1.0</v>
      </c>
      <c r="L84" s="3">
        <f t="shared" si="1"/>
        <v>0.035</v>
      </c>
      <c r="M84" s="14">
        <f t="shared" si="11"/>
        <v>0.035</v>
      </c>
    </row>
    <row r="85">
      <c r="A85" s="1">
        <v>387.0</v>
      </c>
      <c r="B85" s="1">
        <v>72.0</v>
      </c>
      <c r="C85" s="1">
        <v>49.0</v>
      </c>
      <c r="D85" s="1" t="s">
        <v>45</v>
      </c>
      <c r="E85" s="1">
        <v>0.0</v>
      </c>
      <c r="F85" s="12">
        <v>0.0</v>
      </c>
      <c r="G85" s="12">
        <v>0.0</v>
      </c>
      <c r="H85" s="13">
        <v>45505.6372337963</v>
      </c>
      <c r="I85" s="1">
        <v>-0.008</v>
      </c>
      <c r="J85" s="1">
        <v>20.57</v>
      </c>
      <c r="K85" s="1">
        <v>1.0</v>
      </c>
      <c r="L85" s="3">
        <f t="shared" si="1"/>
        <v>-0.008</v>
      </c>
      <c r="M85" s="15" t="s">
        <v>38</v>
      </c>
    </row>
    <row r="86">
      <c r="A86" s="1">
        <v>491.0</v>
      </c>
      <c r="B86" s="1">
        <v>73.0</v>
      </c>
      <c r="C86" s="1">
        <v>50.0</v>
      </c>
      <c r="D86" s="1" t="s">
        <v>45</v>
      </c>
      <c r="E86" s="1">
        <v>0.0</v>
      </c>
      <c r="F86" s="12">
        <v>0.0</v>
      </c>
      <c r="G86" s="12">
        <v>0.0</v>
      </c>
      <c r="H86" s="13">
        <v>45505.63815972222</v>
      </c>
      <c r="I86" s="1">
        <v>0.001</v>
      </c>
      <c r="J86" s="1">
        <v>21.0</v>
      </c>
      <c r="K86" s="1">
        <v>1.0</v>
      </c>
      <c r="L86" s="3">
        <f t="shared" si="1"/>
        <v>0.001</v>
      </c>
      <c r="M86" s="15" t="s">
        <v>38</v>
      </c>
    </row>
    <row r="87">
      <c r="A87" s="1">
        <v>335.0</v>
      </c>
      <c r="B87" s="1">
        <v>74.0</v>
      </c>
      <c r="C87" s="1">
        <v>51.0</v>
      </c>
      <c r="D87" s="1" t="s">
        <v>45</v>
      </c>
      <c r="E87" s="1">
        <v>0.0</v>
      </c>
      <c r="F87" s="12">
        <v>0.0</v>
      </c>
      <c r="G87" s="12">
        <v>0.0</v>
      </c>
      <c r="H87" s="13">
        <v>45505.639085648145</v>
      </c>
      <c r="I87" s="1">
        <v>1.036</v>
      </c>
      <c r="J87" s="1">
        <v>71.21</v>
      </c>
      <c r="K87" s="1">
        <v>1.0</v>
      </c>
      <c r="L87" s="3">
        <f t="shared" si="1"/>
        <v>1.036</v>
      </c>
      <c r="M87" s="14">
        <f t="shared" ref="M87:M90" si="12">L87</f>
        <v>1.036</v>
      </c>
    </row>
    <row r="88">
      <c r="A88" s="1">
        <v>465.0</v>
      </c>
      <c r="B88" s="1">
        <v>75.0</v>
      </c>
      <c r="C88" s="1">
        <v>52.0</v>
      </c>
      <c r="D88" s="1" t="s">
        <v>45</v>
      </c>
      <c r="E88" s="1">
        <v>0.0</v>
      </c>
      <c r="F88" s="12">
        <v>0.0</v>
      </c>
      <c r="G88" s="12">
        <v>0.0</v>
      </c>
      <c r="H88" s="13">
        <v>45505.640011574076</v>
      </c>
      <c r="I88" s="1">
        <v>0.12</v>
      </c>
      <c r="J88" s="1">
        <v>26.78</v>
      </c>
      <c r="K88" s="1">
        <v>1.0</v>
      </c>
      <c r="L88" s="3">
        <f t="shared" si="1"/>
        <v>0.12</v>
      </c>
      <c r="M88" s="14">
        <f t="shared" si="12"/>
        <v>0.12</v>
      </c>
    </row>
    <row r="89">
      <c r="A89" s="1" t="s">
        <v>54</v>
      </c>
      <c r="B89" s="1">
        <v>76.0</v>
      </c>
      <c r="C89" s="1">
        <v>53.0</v>
      </c>
      <c r="D89" s="1" t="s">
        <v>47</v>
      </c>
      <c r="E89" s="1">
        <v>0.0</v>
      </c>
      <c r="F89" s="12">
        <v>0.0</v>
      </c>
      <c r="G89" s="12">
        <v>1.0</v>
      </c>
      <c r="H89" s="13">
        <v>45505.6409375</v>
      </c>
      <c r="I89" s="1">
        <v>1.214</v>
      </c>
      <c r="J89" s="1">
        <v>79.86</v>
      </c>
      <c r="K89" s="1">
        <v>1.0</v>
      </c>
      <c r="L89" s="3">
        <f t="shared" si="1"/>
        <v>1.214</v>
      </c>
      <c r="M89" s="14">
        <f t="shared" si="12"/>
        <v>1.214</v>
      </c>
    </row>
    <row r="90">
      <c r="A90" s="1" t="s">
        <v>48</v>
      </c>
      <c r="B90" s="1">
        <v>77.0</v>
      </c>
      <c r="C90" s="1">
        <v>907.0</v>
      </c>
      <c r="D90" s="1" t="s">
        <v>49</v>
      </c>
      <c r="E90" s="1">
        <v>0.0</v>
      </c>
      <c r="F90" s="12">
        <v>0.0</v>
      </c>
      <c r="G90" s="12">
        <v>0.0</v>
      </c>
      <c r="H90" s="13">
        <v>45505.641863425924</v>
      </c>
      <c r="I90" s="1">
        <v>1.466</v>
      </c>
      <c r="J90" s="1">
        <v>92.06</v>
      </c>
      <c r="K90" s="1">
        <v>1.0</v>
      </c>
      <c r="L90" s="3">
        <f t="shared" si="1"/>
        <v>1.466</v>
      </c>
      <c r="M90" s="14">
        <f t="shared" si="12"/>
        <v>1.466</v>
      </c>
    </row>
    <row r="91">
      <c r="A91" s="1" t="s">
        <v>39</v>
      </c>
      <c r="B91" s="1">
        <v>78.0</v>
      </c>
      <c r="C91" s="1">
        <v>0.0</v>
      </c>
      <c r="D91" s="1" t="s">
        <v>40</v>
      </c>
      <c r="E91" s="1">
        <v>0.0</v>
      </c>
      <c r="F91" s="12">
        <v>0.0</v>
      </c>
      <c r="G91" s="12">
        <v>0.0</v>
      </c>
      <c r="H91" s="13">
        <v>45505.64278935185</v>
      </c>
      <c r="I91" s="1">
        <v>-0.432</v>
      </c>
      <c r="J91" s="1">
        <v>0.0</v>
      </c>
      <c r="K91" s="1">
        <v>1.0</v>
      </c>
      <c r="L91" s="3">
        <f t="shared" si="1"/>
        <v>-0.432</v>
      </c>
      <c r="M91" s="15" t="s">
        <v>38</v>
      </c>
    </row>
    <row r="92">
      <c r="A92" s="1" t="s">
        <v>55</v>
      </c>
      <c r="B92" s="1">
        <v>79.0</v>
      </c>
      <c r="C92" s="1">
        <v>54.0</v>
      </c>
      <c r="D92" s="1" t="s">
        <v>45</v>
      </c>
      <c r="E92" s="1">
        <v>0.0</v>
      </c>
      <c r="F92" s="12">
        <v>0.0</v>
      </c>
      <c r="G92" s="12">
        <v>0.0</v>
      </c>
      <c r="H92" s="13">
        <v>45505.64556712963</v>
      </c>
      <c r="I92" s="1">
        <v>0.977</v>
      </c>
      <c r="J92" s="1">
        <v>68.34</v>
      </c>
      <c r="K92" s="1">
        <v>1.0</v>
      </c>
      <c r="L92" s="3">
        <f t="shared" si="1"/>
        <v>0.977</v>
      </c>
      <c r="M92" s="14">
        <f t="shared" ref="M92:M93" si="13">L92</f>
        <v>0.977</v>
      </c>
    </row>
    <row r="93">
      <c r="A93" s="1" t="s">
        <v>56</v>
      </c>
      <c r="B93" s="1">
        <v>80.0</v>
      </c>
      <c r="C93" s="1">
        <v>55.0</v>
      </c>
      <c r="D93" s="1" t="s">
        <v>45</v>
      </c>
      <c r="E93" s="1">
        <v>0.0</v>
      </c>
      <c r="F93" s="12">
        <v>0.0</v>
      </c>
      <c r="G93" s="12">
        <v>0.0</v>
      </c>
      <c r="H93" s="13">
        <v>45505.64649305555</v>
      </c>
      <c r="I93" s="1">
        <v>0.998</v>
      </c>
      <c r="J93" s="1">
        <v>69.38</v>
      </c>
      <c r="K93" s="1">
        <v>1.0</v>
      </c>
      <c r="L93" s="3">
        <f t="shared" si="1"/>
        <v>0.998</v>
      </c>
      <c r="M93" s="14">
        <f t="shared" si="13"/>
        <v>0.998</v>
      </c>
    </row>
    <row r="94">
      <c r="A94" s="1" t="s">
        <v>57</v>
      </c>
      <c r="B94" s="1">
        <v>81.0</v>
      </c>
      <c r="C94" s="1">
        <v>56.0</v>
      </c>
      <c r="D94" s="1" t="s">
        <v>45</v>
      </c>
      <c r="E94" s="1">
        <v>0.0</v>
      </c>
      <c r="F94" s="12">
        <v>0.0</v>
      </c>
      <c r="G94" s="12">
        <v>0.0</v>
      </c>
      <c r="H94" s="13">
        <v>45505.64741898148</v>
      </c>
      <c r="I94" s="1">
        <v>-0.015</v>
      </c>
      <c r="J94" s="1">
        <v>20.21</v>
      </c>
      <c r="K94" s="1">
        <v>1.0</v>
      </c>
      <c r="L94" s="3">
        <f t="shared" si="1"/>
        <v>-0.015</v>
      </c>
      <c r="M94" s="15" t="s">
        <v>38</v>
      </c>
    </row>
    <row r="95">
      <c r="A95" s="1" t="s">
        <v>58</v>
      </c>
      <c r="B95" s="1">
        <v>82.0</v>
      </c>
      <c r="C95" s="1">
        <v>57.0</v>
      </c>
      <c r="D95" s="1" t="s">
        <v>45</v>
      </c>
      <c r="E95" s="1">
        <v>0.0</v>
      </c>
      <c r="F95" s="12">
        <v>0.0</v>
      </c>
      <c r="G95" s="12">
        <v>0.0</v>
      </c>
      <c r="H95" s="13">
        <v>45505.64834490741</v>
      </c>
      <c r="I95" s="1">
        <v>0.87</v>
      </c>
      <c r="J95" s="1">
        <v>63.17</v>
      </c>
      <c r="K95" s="1">
        <v>1.0</v>
      </c>
      <c r="L95" s="3">
        <f t="shared" si="1"/>
        <v>0.87</v>
      </c>
      <c r="M95" s="14">
        <f t="shared" ref="M95:M98" si="14">L95</f>
        <v>0.87</v>
      </c>
    </row>
    <row r="96">
      <c r="A96" s="1" t="s">
        <v>59</v>
      </c>
      <c r="B96" s="1">
        <v>83.0</v>
      </c>
      <c r="C96" s="1">
        <v>58.0</v>
      </c>
      <c r="D96" s="1" t="s">
        <v>45</v>
      </c>
      <c r="E96" s="1">
        <v>0.0</v>
      </c>
      <c r="F96" s="12">
        <v>0.0</v>
      </c>
      <c r="G96" s="12">
        <v>0.0</v>
      </c>
      <c r="H96" s="13">
        <v>45505.64927083333</v>
      </c>
      <c r="I96" s="1">
        <v>0.902</v>
      </c>
      <c r="J96" s="1">
        <v>64.73</v>
      </c>
      <c r="K96" s="1">
        <v>1.0</v>
      </c>
      <c r="L96" s="3">
        <f t="shared" si="1"/>
        <v>0.902</v>
      </c>
      <c r="M96" s="14">
        <f t="shared" si="14"/>
        <v>0.902</v>
      </c>
    </row>
    <row r="97">
      <c r="A97" s="1" t="s">
        <v>60</v>
      </c>
      <c r="B97" s="1">
        <v>84.0</v>
      </c>
      <c r="C97" s="1">
        <v>59.0</v>
      </c>
      <c r="D97" s="1" t="s">
        <v>45</v>
      </c>
      <c r="E97" s="1">
        <v>0.0</v>
      </c>
      <c r="F97" s="12">
        <v>0.0</v>
      </c>
      <c r="G97" s="12">
        <v>0.0</v>
      </c>
      <c r="H97" s="13">
        <v>45505.650196759256</v>
      </c>
      <c r="I97" s="1">
        <v>0.832</v>
      </c>
      <c r="J97" s="1">
        <v>61.3</v>
      </c>
      <c r="K97" s="1">
        <v>1.0</v>
      </c>
      <c r="L97" s="3">
        <f t="shared" si="1"/>
        <v>0.832</v>
      </c>
      <c r="M97" s="14">
        <f t="shared" si="14"/>
        <v>0.832</v>
      </c>
    </row>
    <row r="98">
      <c r="A98" s="1" t="s">
        <v>48</v>
      </c>
      <c r="B98" s="1">
        <v>85.0</v>
      </c>
      <c r="C98" s="1">
        <v>907.0</v>
      </c>
      <c r="D98" s="1" t="s">
        <v>49</v>
      </c>
      <c r="E98" s="1">
        <v>0.0</v>
      </c>
      <c r="F98" s="12">
        <v>0.0</v>
      </c>
      <c r="G98" s="12">
        <v>0.0</v>
      </c>
      <c r="H98" s="13">
        <v>45505.65112268519</v>
      </c>
      <c r="I98" s="1">
        <v>1.474</v>
      </c>
      <c r="J98" s="1">
        <v>92.45</v>
      </c>
      <c r="K98" s="1">
        <v>1.0</v>
      </c>
      <c r="L98" s="3">
        <f t="shared" si="1"/>
        <v>1.474</v>
      </c>
      <c r="M98" s="14">
        <f t="shared" si="14"/>
        <v>1.474</v>
      </c>
    </row>
    <row r="99">
      <c r="A99" s="1" t="s">
        <v>39</v>
      </c>
      <c r="B99" s="1">
        <v>86.0</v>
      </c>
      <c r="C99" s="1">
        <v>0.0</v>
      </c>
      <c r="D99" s="1" t="s">
        <v>40</v>
      </c>
      <c r="E99" s="1">
        <v>0.0</v>
      </c>
      <c r="F99" s="12">
        <v>0.0</v>
      </c>
      <c r="G99" s="12">
        <v>0.0</v>
      </c>
      <c r="H99" s="13">
        <v>45505.65204861111</v>
      </c>
      <c r="I99" s="1">
        <v>-0.432</v>
      </c>
      <c r="J99" s="1">
        <v>0.0</v>
      </c>
      <c r="K99" s="1">
        <v>1.0</v>
      </c>
      <c r="L99" s="3">
        <f t="shared" si="1"/>
        <v>-0.432</v>
      </c>
      <c r="M99" s="15" t="s">
        <v>38</v>
      </c>
    </row>
    <row r="100">
      <c r="A100" s="1" t="s">
        <v>37</v>
      </c>
      <c r="B100" s="1">
        <v>87.0</v>
      </c>
      <c r="C100" s="1">
        <v>905.0</v>
      </c>
      <c r="D100" s="1" t="s">
        <v>45</v>
      </c>
      <c r="E100" s="1">
        <v>0.0</v>
      </c>
      <c r="F100" s="12">
        <v>0.0</v>
      </c>
      <c r="G100" s="12">
        <v>0.0</v>
      </c>
      <c r="H100" s="13">
        <v>45505.65482638889</v>
      </c>
      <c r="I100" s="1">
        <v>-0.028</v>
      </c>
      <c r="J100" s="1">
        <v>19.57</v>
      </c>
      <c r="K100" s="1">
        <v>1.0</v>
      </c>
      <c r="L100" s="3">
        <f t="shared" si="1"/>
        <v>-0.028</v>
      </c>
      <c r="M100" s="15" t="s">
        <v>38</v>
      </c>
    </row>
    <row r="101">
      <c r="A101" s="1" t="s">
        <v>37</v>
      </c>
      <c r="B101" s="1">
        <v>88.0</v>
      </c>
      <c r="C101" s="1">
        <v>905.0</v>
      </c>
      <c r="D101" s="1" t="s">
        <v>45</v>
      </c>
      <c r="E101" s="1">
        <v>0.0</v>
      </c>
      <c r="F101" s="12">
        <v>0.0</v>
      </c>
      <c r="G101" s="12">
        <v>0.0</v>
      </c>
      <c r="H101" s="13">
        <v>45505.655752314815</v>
      </c>
      <c r="I101" s="1">
        <v>-0.032</v>
      </c>
      <c r="J101" s="1">
        <v>19.41</v>
      </c>
      <c r="K101" s="1">
        <v>1.0</v>
      </c>
      <c r="L101" s="3">
        <f t="shared" si="1"/>
        <v>-0.032</v>
      </c>
      <c r="M101" s="15" t="s">
        <v>38</v>
      </c>
    </row>
    <row r="102">
      <c r="A102" s="1" t="s">
        <v>37</v>
      </c>
      <c r="B102" s="1">
        <v>89.0</v>
      </c>
      <c r="C102" s="1">
        <v>905.0</v>
      </c>
      <c r="D102" s="1" t="s">
        <v>45</v>
      </c>
      <c r="E102" s="1">
        <v>0.0</v>
      </c>
      <c r="F102" s="12">
        <v>0.0</v>
      </c>
      <c r="G102" s="12">
        <v>0.0</v>
      </c>
      <c r="H102" s="13">
        <v>45505.65667824074</v>
      </c>
      <c r="I102" s="1">
        <v>-0.03</v>
      </c>
      <c r="J102" s="1">
        <v>19.49</v>
      </c>
      <c r="K102" s="1">
        <v>1.0</v>
      </c>
      <c r="L102" s="3">
        <f t="shared" si="1"/>
        <v>-0.03</v>
      </c>
      <c r="M102" s="15" t="s">
        <v>38</v>
      </c>
    </row>
    <row r="103">
      <c r="A103" s="1" t="s">
        <v>37</v>
      </c>
      <c r="B103" s="1">
        <v>90.0</v>
      </c>
      <c r="C103" s="1">
        <v>905.0</v>
      </c>
      <c r="D103" s="1" t="s">
        <v>45</v>
      </c>
      <c r="E103" s="1">
        <v>0.0</v>
      </c>
      <c r="F103" s="12">
        <v>0.0</v>
      </c>
      <c r="G103" s="12">
        <v>0.0</v>
      </c>
      <c r="H103" s="13">
        <v>45505.65760416666</v>
      </c>
      <c r="I103" s="1">
        <v>-0.029</v>
      </c>
      <c r="J103" s="1">
        <v>19.54</v>
      </c>
      <c r="K103" s="1">
        <v>1.0</v>
      </c>
      <c r="L103" s="3">
        <f t="shared" si="1"/>
        <v>-0.029</v>
      </c>
      <c r="M103" s="15" t="s">
        <v>38</v>
      </c>
    </row>
    <row r="104">
      <c r="A104" s="1" t="s">
        <v>37</v>
      </c>
      <c r="B104" s="1">
        <v>91.0</v>
      </c>
      <c r="C104" s="1">
        <v>905.0</v>
      </c>
      <c r="D104" s="1" t="s">
        <v>45</v>
      </c>
      <c r="E104" s="1">
        <v>0.0</v>
      </c>
      <c r="F104" s="12">
        <v>0.0</v>
      </c>
      <c r="G104" s="12">
        <v>0.0</v>
      </c>
      <c r="H104" s="13">
        <v>45505.658530092594</v>
      </c>
      <c r="I104" s="1">
        <v>-0.022</v>
      </c>
      <c r="J104" s="1">
        <v>19.89</v>
      </c>
      <c r="K104" s="1">
        <v>1.0</v>
      </c>
      <c r="L104" s="3">
        <f t="shared" si="1"/>
        <v>-0.022</v>
      </c>
      <c r="M104" s="15" t="s">
        <v>38</v>
      </c>
    </row>
    <row r="105">
      <c r="A105" s="1" t="s">
        <v>37</v>
      </c>
      <c r="B105" s="1">
        <v>92.0</v>
      </c>
      <c r="C105" s="1">
        <v>905.0</v>
      </c>
      <c r="D105" s="1" t="s">
        <v>45</v>
      </c>
      <c r="E105" s="1">
        <v>0.0</v>
      </c>
      <c r="F105" s="12">
        <v>0.0</v>
      </c>
      <c r="G105" s="12">
        <v>0.0</v>
      </c>
      <c r="H105" s="13">
        <v>45505.65945601852</v>
      </c>
      <c r="I105" s="1">
        <v>-0.035</v>
      </c>
      <c r="J105" s="1">
        <v>19.25</v>
      </c>
      <c r="K105" s="1">
        <v>1.0</v>
      </c>
      <c r="L105" s="3">
        <f t="shared" si="1"/>
        <v>-0.035</v>
      </c>
      <c r="M105" s="15" t="s">
        <v>38</v>
      </c>
    </row>
    <row r="106">
      <c r="A106" s="1" t="s">
        <v>37</v>
      </c>
      <c r="B106" s="1">
        <v>93.0</v>
      </c>
      <c r="C106" s="1">
        <v>905.0</v>
      </c>
      <c r="D106" s="1" t="s">
        <v>45</v>
      </c>
      <c r="E106" s="1">
        <v>0.0</v>
      </c>
      <c r="F106" s="12">
        <v>0.0</v>
      </c>
      <c r="G106" s="12">
        <v>0.0</v>
      </c>
      <c r="H106" s="13">
        <v>45505.66038194444</v>
      </c>
      <c r="I106" s="1">
        <v>-0.026</v>
      </c>
      <c r="J106" s="1">
        <v>19.66</v>
      </c>
      <c r="K106" s="1">
        <v>1.0</v>
      </c>
      <c r="L106" s="3">
        <f t="shared" si="1"/>
        <v>-0.026</v>
      </c>
      <c r="M106" s="15" t="s">
        <v>38</v>
      </c>
    </row>
    <row r="107">
      <c r="A107" s="1" t="s">
        <v>37</v>
      </c>
      <c r="B107" s="1">
        <v>94.0</v>
      </c>
      <c r="C107" s="1">
        <v>905.0</v>
      </c>
      <c r="D107" s="1" t="s">
        <v>45</v>
      </c>
      <c r="E107" s="1">
        <v>0.0</v>
      </c>
      <c r="F107" s="12">
        <v>0.0</v>
      </c>
      <c r="G107" s="12">
        <v>0.0</v>
      </c>
      <c r="H107" s="13">
        <v>45505.661307870374</v>
      </c>
      <c r="I107" s="1">
        <v>-0.031</v>
      </c>
      <c r="J107" s="1">
        <v>19.44</v>
      </c>
      <c r="K107" s="1">
        <v>1.0</v>
      </c>
      <c r="L107" s="3">
        <f t="shared" si="1"/>
        <v>-0.031</v>
      </c>
      <c r="M107" s="15" t="s">
        <v>38</v>
      </c>
    </row>
    <row r="108">
      <c r="A108" s="1" t="s">
        <v>37</v>
      </c>
      <c r="B108" s="1">
        <v>95.0</v>
      </c>
      <c r="C108" s="1">
        <v>905.0</v>
      </c>
      <c r="D108" s="1" t="s">
        <v>45</v>
      </c>
      <c r="E108" s="1">
        <v>0.0</v>
      </c>
      <c r="F108" s="12">
        <v>0.0</v>
      </c>
      <c r="G108" s="12">
        <v>0.0</v>
      </c>
      <c r="H108" s="13">
        <v>45505.6622337963</v>
      </c>
      <c r="I108" s="1">
        <v>-0.034</v>
      </c>
      <c r="J108" s="1">
        <v>19.27</v>
      </c>
      <c r="K108" s="1">
        <v>1.0</v>
      </c>
      <c r="L108" s="3">
        <f t="shared" si="1"/>
        <v>-0.034</v>
      </c>
      <c r="M108" s="15" t="s">
        <v>38</v>
      </c>
    </row>
    <row r="109">
      <c r="A109" s="1" t="s">
        <v>37</v>
      </c>
      <c r="B109" s="1">
        <v>96.0</v>
      </c>
      <c r="C109" s="1">
        <v>905.0</v>
      </c>
      <c r="D109" s="1" t="s">
        <v>45</v>
      </c>
      <c r="E109" s="1">
        <v>0.0</v>
      </c>
      <c r="F109" s="12">
        <v>0.0</v>
      </c>
      <c r="G109" s="12">
        <v>0.0</v>
      </c>
      <c r="H109" s="13">
        <v>45505.66315972222</v>
      </c>
      <c r="I109" s="1">
        <v>-0.034</v>
      </c>
      <c r="J109" s="1">
        <v>19.31</v>
      </c>
      <c r="K109" s="1">
        <v>1.0</v>
      </c>
      <c r="L109" s="3">
        <f t="shared" si="1"/>
        <v>-0.034</v>
      </c>
      <c r="M109" s="15" t="s">
        <v>38</v>
      </c>
    </row>
    <row r="110">
      <c r="A110" s="1" t="s">
        <v>61</v>
      </c>
      <c r="B110" s="1">
        <v>97.0</v>
      </c>
      <c r="C110" s="1">
        <v>906.0</v>
      </c>
      <c r="D110" s="1" t="s">
        <v>47</v>
      </c>
      <c r="E110" s="1">
        <v>0.0</v>
      </c>
      <c r="F110" s="12">
        <v>0.0</v>
      </c>
      <c r="G110" s="12">
        <v>1.0</v>
      </c>
      <c r="H110" s="13">
        <v>45505.664085648146</v>
      </c>
      <c r="I110" s="1">
        <v>0.934</v>
      </c>
      <c r="J110" s="1">
        <v>66.24</v>
      </c>
      <c r="K110" s="1">
        <v>1.0</v>
      </c>
      <c r="L110" s="3">
        <f t="shared" si="1"/>
        <v>0.934</v>
      </c>
      <c r="M110" s="14">
        <f t="shared" ref="M110:M111" si="15">L110</f>
        <v>0.934</v>
      </c>
    </row>
    <row r="111">
      <c r="A111" s="1" t="s">
        <v>48</v>
      </c>
      <c r="B111" s="1">
        <v>98.0</v>
      </c>
      <c r="C111" s="1">
        <v>907.0</v>
      </c>
      <c r="D111" s="1" t="s">
        <v>49</v>
      </c>
      <c r="E111" s="1">
        <v>0.0</v>
      </c>
      <c r="F111" s="12">
        <v>0.0</v>
      </c>
      <c r="G111" s="12">
        <v>0.0</v>
      </c>
      <c r="H111" s="13">
        <v>45505.66501157408</v>
      </c>
      <c r="I111" s="1">
        <v>1.466</v>
      </c>
      <c r="J111" s="1">
        <v>92.07</v>
      </c>
      <c r="K111" s="1">
        <v>1.0</v>
      </c>
      <c r="L111" s="3">
        <f t="shared" si="1"/>
        <v>1.466</v>
      </c>
      <c r="M111" s="14">
        <f t="shared" si="15"/>
        <v>1.466</v>
      </c>
    </row>
    <row r="112">
      <c r="A112" s="1" t="s">
        <v>39</v>
      </c>
      <c r="B112" s="1">
        <v>99.0</v>
      </c>
      <c r="C112" s="1">
        <v>0.0</v>
      </c>
      <c r="D112" s="1" t="s">
        <v>40</v>
      </c>
      <c r="E112" s="1">
        <v>0.0</v>
      </c>
      <c r="F112" s="12">
        <v>0.0</v>
      </c>
      <c r="G112" s="12">
        <v>0.0</v>
      </c>
      <c r="H112" s="13">
        <v>45505.6659375</v>
      </c>
      <c r="I112" s="1">
        <v>-0.432</v>
      </c>
      <c r="J112" s="1">
        <v>0.0</v>
      </c>
      <c r="K112" s="1">
        <v>1.0</v>
      </c>
      <c r="L112" s="3">
        <f t="shared" si="1"/>
        <v>-0.432</v>
      </c>
      <c r="M112" s="15" t="s">
        <v>38</v>
      </c>
    </row>
    <row r="113">
      <c r="A113" s="1" t="s">
        <v>33</v>
      </c>
      <c r="B113" s="1">
        <v>100.0</v>
      </c>
      <c r="C113" s="1">
        <v>921.0</v>
      </c>
      <c r="D113" s="1" t="s">
        <v>34</v>
      </c>
      <c r="E113" s="1">
        <v>0.0</v>
      </c>
      <c r="F113" s="12">
        <v>0.0</v>
      </c>
      <c r="G113" s="12">
        <v>0.0</v>
      </c>
      <c r="H113" s="13">
        <v>45505.66871527778</v>
      </c>
      <c r="I113" s="1">
        <v>2.225</v>
      </c>
      <c r="J113" s="1">
        <v>128.92</v>
      </c>
      <c r="K113" s="1">
        <v>1.0</v>
      </c>
      <c r="L113" s="3">
        <f t="shared" si="1"/>
        <v>2.225</v>
      </c>
      <c r="M113" s="14">
        <f>L113</f>
        <v>2.225</v>
      </c>
    </row>
    <row r="114">
      <c r="A114" s="1" t="s">
        <v>62</v>
      </c>
      <c r="B114" s="1">
        <v>101.0</v>
      </c>
      <c r="C114" s="1">
        <v>0.0</v>
      </c>
      <c r="D114" s="1" t="s">
        <v>63</v>
      </c>
      <c r="E114" s="1">
        <v>0.0</v>
      </c>
      <c r="F114" s="12">
        <v>0.0</v>
      </c>
      <c r="G114" s="12">
        <v>0.0</v>
      </c>
      <c r="H114" s="13">
        <v>45505.669641203705</v>
      </c>
      <c r="I114" s="1">
        <v>-0.432</v>
      </c>
      <c r="J114" s="1">
        <v>0.0</v>
      </c>
      <c r="K114" s="1">
        <v>1.0</v>
      </c>
      <c r="L114" s="3">
        <f t="shared" si="1"/>
        <v>-0.432</v>
      </c>
      <c r="M114" s="15" t="s">
        <v>38</v>
      </c>
    </row>
  </sheetData>
  <conditionalFormatting sqref="L1:L1000">
    <cfRule type="cellIs" dxfId="0" priority="1" operator="lessThan">
      <formula>0.011</formula>
    </cfRule>
  </conditionalFormatting>
  <drawing r:id="rId1"/>
</worksheet>
</file>