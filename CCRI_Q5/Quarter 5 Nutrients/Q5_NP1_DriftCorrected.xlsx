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<sst xmlns="http://schemas.openxmlformats.org/spreadsheetml/2006/main" count="224" uniqueCount="75">
  <si>
    <t>ANAL</t>
  </si>
  <si>
    <t>NOx_PO4.ANL</t>
  </si>
  <si>
    <t>Column1</t>
  </si>
  <si>
    <t>RUN</t>
  </si>
  <si>
    <t>240716_Q5_NP1_DriftCorrected.RUN</t>
  </si>
  <si>
    <t>DATE</t>
  </si>
  <si>
    <t>TIME</t>
  </si>
  <si>
    <t>NOx</t>
  </si>
  <si>
    <t>PO4</t>
  </si>
  <si>
    <t>OPER</t>
  </si>
  <si>
    <t>CLMR</t>
  </si>
  <si>
    <t>LOD</t>
  </si>
  <si>
    <t>COMM</t>
  </si>
  <si>
    <t>Recalculate from Run240716_Q5_NP1.run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</si>
  <si>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</si>
  <si>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</si>
  <si>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</si>
  <si>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</si>
  <si>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</si>
  <si>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</si>
  <si>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</si>
  <si>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</si>
  <si>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</si>
  <si>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</si>
  <si>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</si>
  <si>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</si>
  <si>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</si>
  <si>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</si>
  <si>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</si>
  <si>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</si>
  <si>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</si>
  <si>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</si>
  <si>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</si>
  <si>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</si>
  <si>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</si>
  <si>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</si>
  <si>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</si>
  <si>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</si>
  <si>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</si>
  <si>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</si>
  <si>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</si>
  <si>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</si>
  <si>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</si>
  <si>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Null-Cal.</t>
  </si>
  <si>
    <t>NULLCALB</t>
  </si>
  <si>
    <t>Blank</t>
  </si>
  <si>
    <t>&lt;0.002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</si>
  <si>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</si>
  <si>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</si>
  <si>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</si>
  <si>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</si>
  <si>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</si>
  <si>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</si>
  <si>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</si>
  <si>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</si>
  <si>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</si>
  <si>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[0.15/0.03]</t>
  </si>
  <si>
    <t>QUAL</t>
  </si>
  <si>
    <t>CRM 4/30</t>
  </si>
  <si>
    <t>165 spiked</t>
  </si>
  <si>
    <t>178 spiked</t>
  </si>
  <si>
    <t>256 spiked</t>
  </si>
  <si>
    <t>End</t>
  </si>
  <si>
    <t>END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</si>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</sst>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8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sz val="11.0"/>
      <color theme="1"/>
      <name val="Aptos narrow"/>
    </font>
    <font>
      <sz val="11.0"/>
      <color rgb="FF9C5700"/>
      <name val="Aptos narrow"/>
    </font>
    <font>
      <color theme="1"/>
      <name val="Arial"/>
      <scheme val="minor"/>
    </font>
    <font>
      <b/>
      <sz val="11.0"/>
      <color rgb="FFFFFFFF"/>
      <name val="&quot;Aptos Narrow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1" fillId="2" fontId="3" numFmtId="166" xfId="0" applyAlignment="1" applyBorder="1" applyFill="1" applyFont="1" applyNumberFormat="1">
      <alignment vertical="bottom"/>
    </xf>
    <xf borderId="2" fillId="2" fontId="4" numFmtId="166" xfId="0" applyAlignment="1" applyBorder="1" applyFont="1" applyNumberFormat="1">
      <alignment vertical="bottom"/>
    </xf>
    <xf borderId="3" fillId="2" fontId="4" numFmtId="166" xfId="0" applyAlignment="1" applyBorder="1" applyFont="1" applyNumberFormat="1">
      <alignment vertical="bottom"/>
    </xf>
    <xf borderId="4" fillId="2" fontId="4" numFmtId="166" xfId="0" applyAlignment="1" applyBorder="1" applyFont="1" applyNumberFormat="1">
      <alignment vertical="bottom"/>
    </xf>
    <xf borderId="5" fillId="2" fontId="4" numFmtId="167" xfId="0" applyAlignment="1" applyBorder="1" applyFont="1" applyNumberFormat="1">
      <alignment horizontal="right" vertical="bottom"/>
    </xf>
    <xf borderId="6" fillId="2" fontId="4" numFmtId="167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7" xfId="0" applyAlignment="1" applyFont="1" applyNumberForma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8" xfId="0" applyAlignment="1" applyFont="1" applyNumberFormat="1">
      <alignment readingOrder="0" shrinkToFit="0" vertical="bottom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165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3</v>
      </c>
      <c r="B2" s="2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" t="s">
        <v>5</v>
      </c>
      <c r="B3" s="4">
        <v>45490.0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1" t="s">
        <v>6</v>
      </c>
      <c r="B4" s="5">
        <v>0.5521990740740741</v>
      </c>
      <c r="C4" s="3"/>
      <c r="D4" s="3"/>
      <c r="E4" s="3"/>
      <c r="F4" s="3"/>
      <c r="G4" s="3"/>
      <c r="H4" s="6"/>
      <c r="I4" s="7" t="s">
        <v>7</v>
      </c>
      <c r="J4" s="8" t="s">
        <v>8</v>
      </c>
      <c r="K4" s="3"/>
      <c r="L4" s="3"/>
      <c r="M4" s="3"/>
      <c r="N4" s="3"/>
    </row>
    <row r="5">
      <c r="A5" s="1" t="s">
        <v>9</v>
      </c>
      <c r="B5" s="1" t="s">
        <v>10</v>
      </c>
      <c r="C5" s="3"/>
      <c r="D5" s="3"/>
      <c r="E5" s="3"/>
      <c r="F5" s="3"/>
      <c r="G5" s="3"/>
      <c r="H5" s="9" t="s">
        <v>11</v>
      </c>
      <c r="I5" s="10">
        <f>STDEV(I70:I79)*2.821</f>
        <v>0.002322452011</v>
      </c>
      <c r="J5" s="11">
        <f>STDEV(K70:K79)*2.821</f>
        <v>0.002470053596</v>
      </c>
      <c r="K5" s="3"/>
      <c r="L5" s="3"/>
      <c r="M5" s="3"/>
      <c r="N5" s="3"/>
    </row>
    <row r="6">
      <c r="A6" s="1" t="s">
        <v>12</v>
      </c>
      <c r="B6" s="1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1" t="s">
        <v>14</v>
      </c>
      <c r="B7" s="1">
        <v>1.0</v>
      </c>
      <c r="C7" s="1">
        <v>3.0</v>
      </c>
      <c r="D7" s="1">
        <v>2.0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1" t="s">
        <v>15</v>
      </c>
      <c r="B8" s="1" t="s">
        <v>7</v>
      </c>
      <c r="C8" s="1" t="s">
        <v>8</v>
      </c>
      <c r="D8" s="1" t="s">
        <v>16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1" t="s">
        <v>17</v>
      </c>
      <c r="B9" s="1" t="s">
        <v>18</v>
      </c>
      <c r="C9" s="1" t="s">
        <v>18</v>
      </c>
      <c r="D9" s="1" t="s">
        <v>18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1" t="s">
        <v>19</v>
      </c>
      <c r="B10" s="1">
        <v>246.0</v>
      </c>
      <c r="C10" s="1">
        <v>4931.0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1" t="s">
        <v>20</v>
      </c>
      <c r="B11" s="1">
        <v>54.0</v>
      </c>
      <c r="C11" s="1">
        <v>97.0</v>
      </c>
      <c r="D11" s="3"/>
      <c r="E11" s="3"/>
      <c r="F11" s="3"/>
      <c r="G11" s="3"/>
      <c r="H11" s="3"/>
      <c r="I11" s="3"/>
      <c r="L11" s="3"/>
      <c r="M11" s="3"/>
      <c r="N11" s="3"/>
    </row>
    <row r="12">
      <c r="A12" s="1" t="s">
        <v>21</v>
      </c>
      <c r="B12" s="1" t="s">
        <v>22</v>
      </c>
      <c r="C12" s="1" t="s">
        <v>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1" t="s">
        <v>23</v>
      </c>
      <c r="B13" s="1">
        <v>0.9991</v>
      </c>
      <c r="C13" s="1">
        <v>1.0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3"/>
      <c r="G14" s="3"/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31</v>
      </c>
      <c r="M14" s="1" t="s">
        <v>33</v>
      </c>
      <c r="N14" s="12" t="s">
        <v>34</v>
      </c>
      <c r="O14" s="12" t="s">
        <v>35</v>
      </c>
      <c r="P14" s="13" t="s">
        <v>36</v>
      </c>
      <c r="Q14" s="13" t="s">
        <v>37</v>
      </c>
    </row>
    <row r="15">
      <c r="A15" s="1" t="s">
        <v>38</v>
      </c>
      <c r="B15" s="1">
        <v>1.0</v>
      </c>
      <c r="C15" s="1">
        <v>921.0</v>
      </c>
      <c r="D15" s="1" t="s">
        <v>39</v>
      </c>
      <c r="E15" s="1">
        <v>0.0</v>
      </c>
      <c r="F15" s="14">
        <v>0.0</v>
      </c>
      <c r="G15" s="14">
        <v>0.0</v>
      </c>
      <c r="H15" s="15">
        <v>45490.55273148148</v>
      </c>
      <c r="I15" s="1">
        <v>0.243</v>
      </c>
      <c r="J15" s="1">
        <v>130.84</v>
      </c>
      <c r="K15" s="1">
        <v>0.2</v>
      </c>
      <c r="L15" s="1">
        <v>85.84</v>
      </c>
      <c r="M15" s="1">
        <v>1.0</v>
      </c>
      <c r="N15" s="3">
        <f t="shared" ref="N15:N84" si="2">I15</f>
        <v>0.243</v>
      </c>
      <c r="O15" s="16">
        <f t="shared" ref="O15:O84" si="3">K15</f>
        <v>0.2</v>
      </c>
      <c r="P15" s="16">
        <f t="shared" ref="P15:Q15" si="1">N15</f>
        <v>0.243</v>
      </c>
      <c r="Q15" s="16">
        <f t="shared" si="1"/>
        <v>0.2</v>
      </c>
    </row>
    <row r="16">
      <c r="A16" s="1" t="s">
        <v>40</v>
      </c>
      <c r="B16" s="1">
        <v>2.0</v>
      </c>
      <c r="C16" s="1">
        <v>921.0</v>
      </c>
      <c r="D16" s="1" t="s">
        <v>41</v>
      </c>
      <c r="E16" s="1">
        <v>0.0</v>
      </c>
      <c r="F16" s="14">
        <v>0.0</v>
      </c>
      <c r="G16" s="14">
        <v>0.0</v>
      </c>
      <c r="H16" s="15">
        <v>45490.55354166667</v>
      </c>
      <c r="I16" s="1">
        <v>0.208</v>
      </c>
      <c r="J16" s="1">
        <v>112.77</v>
      </c>
      <c r="K16" s="1">
        <v>0.2</v>
      </c>
      <c r="L16" s="1">
        <v>85.93</v>
      </c>
      <c r="M16" s="1">
        <v>1.0</v>
      </c>
      <c r="N16" s="3">
        <f t="shared" si="2"/>
        <v>0.208</v>
      </c>
      <c r="O16" s="16">
        <f t="shared" si="3"/>
        <v>0.2</v>
      </c>
      <c r="P16" s="16">
        <f t="shared" ref="P16:Q16" si="4">N16</f>
        <v>0.208</v>
      </c>
      <c r="Q16" s="16">
        <f t="shared" si="4"/>
        <v>0.2</v>
      </c>
    </row>
    <row r="17">
      <c r="A17" s="1">
        <v>0.2</v>
      </c>
      <c r="B17" s="1">
        <v>3.0</v>
      </c>
      <c r="C17" s="1">
        <v>921.0</v>
      </c>
      <c r="D17" s="1" t="s">
        <v>42</v>
      </c>
      <c r="E17" s="1">
        <v>0.0</v>
      </c>
      <c r="F17" s="14">
        <v>0.0</v>
      </c>
      <c r="G17" s="14">
        <v>0.0</v>
      </c>
      <c r="H17" s="15">
        <v>45490.55435185185</v>
      </c>
      <c r="I17" s="1">
        <v>0.199</v>
      </c>
      <c r="J17" s="1">
        <v>108.35</v>
      </c>
      <c r="K17" s="1">
        <v>0.2</v>
      </c>
      <c r="L17" s="1">
        <v>85.75</v>
      </c>
      <c r="M17" s="1">
        <v>1.0</v>
      </c>
      <c r="N17" s="3">
        <f t="shared" si="2"/>
        <v>0.199</v>
      </c>
      <c r="O17" s="16">
        <f t="shared" si="3"/>
        <v>0.2</v>
      </c>
      <c r="P17" s="16">
        <f t="shared" ref="P17:Q17" si="5">N17</f>
        <v>0.199</v>
      </c>
      <c r="Q17" s="16">
        <f t="shared" si="5"/>
        <v>0.2</v>
      </c>
    </row>
    <row r="18">
      <c r="A18" s="1">
        <v>0.1</v>
      </c>
      <c r="B18" s="1">
        <v>4.0</v>
      </c>
      <c r="C18" s="1">
        <v>901.0</v>
      </c>
      <c r="D18" s="1" t="s">
        <v>42</v>
      </c>
      <c r="E18" s="1">
        <v>0.0</v>
      </c>
      <c r="F18" s="14">
        <v>0.0</v>
      </c>
      <c r="G18" s="14">
        <v>0.0</v>
      </c>
      <c r="H18" s="15">
        <v>45490.55516203704</v>
      </c>
      <c r="I18" s="1">
        <v>0.1</v>
      </c>
      <c r="J18" s="1">
        <v>57.36</v>
      </c>
      <c r="K18" s="1">
        <v>0.1</v>
      </c>
      <c r="L18" s="1">
        <v>45.36</v>
      </c>
      <c r="M18" s="1">
        <v>1.0</v>
      </c>
      <c r="N18" s="3">
        <f t="shared" si="2"/>
        <v>0.1</v>
      </c>
      <c r="O18" s="16">
        <f t="shared" si="3"/>
        <v>0.1</v>
      </c>
      <c r="P18" s="16">
        <f t="shared" ref="P18:Q18" si="6">N18</f>
        <v>0.1</v>
      </c>
      <c r="Q18" s="16">
        <f t="shared" si="6"/>
        <v>0.1</v>
      </c>
    </row>
    <row r="19">
      <c r="A19" s="1">
        <v>0.05</v>
      </c>
      <c r="B19" s="1">
        <v>5.0</v>
      </c>
      <c r="C19" s="1">
        <v>902.0</v>
      </c>
      <c r="D19" s="1" t="s">
        <v>42</v>
      </c>
      <c r="E19" s="1">
        <v>0.0</v>
      </c>
      <c r="F19" s="14">
        <v>0.0</v>
      </c>
      <c r="G19" s="14">
        <v>0.0</v>
      </c>
      <c r="H19" s="15">
        <v>45490.555972222224</v>
      </c>
      <c r="I19" s="1">
        <v>0.053</v>
      </c>
      <c r="J19" s="1">
        <v>33.54</v>
      </c>
      <c r="K19" s="1">
        <v>0.05</v>
      </c>
      <c r="L19" s="1">
        <v>25.04</v>
      </c>
      <c r="M19" s="1">
        <v>1.0</v>
      </c>
      <c r="N19" s="3">
        <f t="shared" si="2"/>
        <v>0.053</v>
      </c>
      <c r="O19" s="16">
        <f t="shared" si="3"/>
        <v>0.05</v>
      </c>
      <c r="P19" s="16">
        <f t="shared" ref="P19:Q19" si="7">N19</f>
        <v>0.053</v>
      </c>
      <c r="Q19" s="16">
        <f t="shared" si="7"/>
        <v>0.05</v>
      </c>
    </row>
    <row r="20">
      <c r="A20" s="1">
        <v>0.025</v>
      </c>
      <c r="B20" s="1">
        <v>6.0</v>
      </c>
      <c r="C20" s="1">
        <v>903.0</v>
      </c>
      <c r="D20" s="1" t="s">
        <v>42</v>
      </c>
      <c r="E20" s="1">
        <v>0.0</v>
      </c>
      <c r="F20" s="14">
        <v>0.0</v>
      </c>
      <c r="G20" s="14">
        <v>0.0</v>
      </c>
      <c r="H20" s="15">
        <v>45490.55678240741</v>
      </c>
      <c r="I20" s="1">
        <v>0.029</v>
      </c>
      <c r="J20" s="1">
        <v>21.14</v>
      </c>
      <c r="K20" s="1">
        <v>0.025</v>
      </c>
      <c r="L20" s="1">
        <v>14.86</v>
      </c>
      <c r="M20" s="1">
        <v>1.0</v>
      </c>
      <c r="N20" s="3">
        <f t="shared" si="2"/>
        <v>0.029</v>
      </c>
      <c r="O20" s="16">
        <f t="shared" si="3"/>
        <v>0.025</v>
      </c>
      <c r="P20" s="16">
        <f t="shared" ref="P20:Q20" si="8">N20</f>
        <v>0.029</v>
      </c>
      <c r="Q20" s="16">
        <f t="shared" si="8"/>
        <v>0.025</v>
      </c>
    </row>
    <row r="21">
      <c r="A21" s="1">
        <v>0.01</v>
      </c>
      <c r="B21" s="1">
        <v>7.0</v>
      </c>
      <c r="C21" s="1">
        <v>904.0</v>
      </c>
      <c r="D21" s="1" t="s">
        <v>42</v>
      </c>
      <c r="E21" s="1">
        <v>0.0</v>
      </c>
      <c r="F21" s="14">
        <v>0.0</v>
      </c>
      <c r="G21" s="14">
        <v>0.0</v>
      </c>
      <c r="H21" s="15">
        <v>45490.557592592595</v>
      </c>
      <c r="I21" s="1">
        <v>0.009</v>
      </c>
      <c r="J21" s="1">
        <v>10.88</v>
      </c>
      <c r="K21" s="1">
        <v>0.01</v>
      </c>
      <c r="L21" s="1">
        <v>8.6</v>
      </c>
      <c r="M21" s="1">
        <v>1.0</v>
      </c>
      <c r="N21" s="3">
        <f t="shared" si="2"/>
        <v>0.009</v>
      </c>
      <c r="O21" s="16">
        <f t="shared" si="3"/>
        <v>0.01</v>
      </c>
      <c r="P21" s="16">
        <f t="shared" ref="P21:Q21" si="9">N21</f>
        <v>0.009</v>
      </c>
      <c r="Q21" s="16">
        <f t="shared" si="9"/>
        <v>0.01</v>
      </c>
    </row>
    <row r="22">
      <c r="A22" s="1" t="s">
        <v>43</v>
      </c>
      <c r="B22" s="1">
        <v>8.0</v>
      </c>
      <c r="C22" s="1">
        <v>0.0</v>
      </c>
      <c r="D22" s="1" t="s">
        <v>44</v>
      </c>
      <c r="E22" s="1">
        <v>0.0</v>
      </c>
      <c r="F22" s="14">
        <v>0.0</v>
      </c>
      <c r="G22" s="14">
        <v>0.0</v>
      </c>
      <c r="H22" s="15">
        <v>45490.55840277778</v>
      </c>
      <c r="I22" s="1">
        <v>0.006</v>
      </c>
      <c r="J22" s="1">
        <v>9.41</v>
      </c>
      <c r="K22" s="1">
        <v>0.01</v>
      </c>
      <c r="L22" s="1">
        <v>8.51</v>
      </c>
      <c r="M22" s="1">
        <v>1.0</v>
      </c>
      <c r="N22" s="3">
        <f t="shared" si="2"/>
        <v>0.006</v>
      </c>
      <c r="O22" s="16">
        <f t="shared" si="3"/>
        <v>0.01</v>
      </c>
      <c r="P22" s="16">
        <f t="shared" ref="P22:Q22" si="10">N22</f>
        <v>0.006</v>
      </c>
      <c r="Q22" s="16">
        <f t="shared" si="10"/>
        <v>0.01</v>
      </c>
    </row>
    <row r="23">
      <c r="A23" s="1" t="s">
        <v>45</v>
      </c>
      <c r="B23" s="1">
        <v>9.0</v>
      </c>
      <c r="C23" s="1">
        <v>906.0</v>
      </c>
      <c r="D23" s="1" t="s">
        <v>42</v>
      </c>
      <c r="E23" s="1">
        <v>0.0</v>
      </c>
      <c r="F23" s="14">
        <v>0.0</v>
      </c>
      <c r="G23" s="14">
        <v>0.0</v>
      </c>
      <c r="H23" s="15">
        <v>45490.559212962966</v>
      </c>
      <c r="I23" s="1">
        <v>-0.005</v>
      </c>
      <c r="J23" s="1">
        <v>3.68</v>
      </c>
      <c r="K23" s="1">
        <v>-0.001</v>
      </c>
      <c r="L23" s="1">
        <v>4.18</v>
      </c>
      <c r="M23" s="1">
        <v>1.0</v>
      </c>
      <c r="N23" s="3">
        <f t="shared" si="2"/>
        <v>-0.005</v>
      </c>
      <c r="O23" s="16">
        <f t="shared" si="3"/>
        <v>-0.001</v>
      </c>
      <c r="P23" s="17" t="s">
        <v>46</v>
      </c>
      <c r="Q23" s="17" t="s">
        <v>46</v>
      </c>
    </row>
    <row r="24">
      <c r="A24" s="1" t="s">
        <v>47</v>
      </c>
      <c r="B24" s="1">
        <v>10.0</v>
      </c>
      <c r="C24" s="1">
        <v>0.0</v>
      </c>
      <c r="D24" s="1" t="s">
        <v>48</v>
      </c>
      <c r="E24" s="1">
        <v>0.0</v>
      </c>
      <c r="F24" s="14">
        <v>0.0</v>
      </c>
      <c r="G24" s="14">
        <v>0.0</v>
      </c>
      <c r="H24" s="15">
        <v>45490.56002314815</v>
      </c>
      <c r="I24" s="1">
        <v>-0.012</v>
      </c>
      <c r="J24" s="1">
        <v>0.0</v>
      </c>
      <c r="K24" s="1">
        <v>-0.011</v>
      </c>
      <c r="L24" s="1">
        <v>0.0</v>
      </c>
      <c r="M24" s="1">
        <v>1.0</v>
      </c>
      <c r="N24" s="3">
        <f t="shared" si="2"/>
        <v>-0.012</v>
      </c>
      <c r="O24" s="16">
        <f t="shared" si="3"/>
        <v>-0.011</v>
      </c>
      <c r="P24" s="17" t="s">
        <v>46</v>
      </c>
      <c r="Q24" s="17" t="s">
        <v>46</v>
      </c>
    </row>
    <row r="25">
      <c r="A25" s="1" t="s">
        <v>49</v>
      </c>
      <c r="B25" s="1">
        <v>11.0</v>
      </c>
      <c r="C25" s="1">
        <v>921.0</v>
      </c>
      <c r="D25" s="1" t="s">
        <v>50</v>
      </c>
      <c r="E25" s="1">
        <v>0.0</v>
      </c>
      <c r="F25" s="14">
        <v>1.0</v>
      </c>
      <c r="G25" s="14">
        <v>1.0</v>
      </c>
      <c r="H25" s="15">
        <v>45490.5624537037</v>
      </c>
      <c r="I25" s="1">
        <v>0.231</v>
      </c>
      <c r="J25" s="1">
        <v>124.92</v>
      </c>
      <c r="K25" s="1">
        <v>0.2</v>
      </c>
      <c r="L25" s="1">
        <v>86.0</v>
      </c>
      <c r="M25" s="1">
        <v>1.0</v>
      </c>
      <c r="N25" s="3">
        <f t="shared" si="2"/>
        <v>0.231</v>
      </c>
      <c r="O25" s="16">
        <f t="shared" si="3"/>
        <v>0.2</v>
      </c>
      <c r="P25" s="16">
        <f t="shared" ref="P25:Q25" si="11">N25</f>
        <v>0.231</v>
      </c>
      <c r="Q25" s="16">
        <f t="shared" si="11"/>
        <v>0.2</v>
      </c>
    </row>
    <row r="26">
      <c r="A26" s="1" t="s">
        <v>51</v>
      </c>
      <c r="B26" s="1">
        <v>12.0</v>
      </c>
      <c r="C26" s="1">
        <v>905.0</v>
      </c>
      <c r="D26" s="1" t="s">
        <v>52</v>
      </c>
      <c r="E26" s="1">
        <v>0.0</v>
      </c>
      <c r="F26" s="14">
        <v>1.0</v>
      </c>
      <c r="G26" s="14">
        <v>2.0</v>
      </c>
      <c r="H26" s="15">
        <v>45490.563263888886</v>
      </c>
      <c r="I26" s="1">
        <v>0.003</v>
      </c>
      <c r="J26" s="1">
        <v>7.73</v>
      </c>
      <c r="K26" s="1">
        <v>0.01</v>
      </c>
      <c r="L26" s="1">
        <v>8.49</v>
      </c>
      <c r="M26" s="1">
        <v>1.0</v>
      </c>
      <c r="N26" s="3">
        <f t="shared" si="2"/>
        <v>0.003</v>
      </c>
      <c r="O26" s="16">
        <f t="shared" si="3"/>
        <v>0.01</v>
      </c>
      <c r="P26" s="16">
        <f t="shared" ref="P26:Q26" si="12">N26</f>
        <v>0.003</v>
      </c>
      <c r="Q26" s="16">
        <f t="shared" si="12"/>
        <v>0.01</v>
      </c>
    </row>
    <row r="27">
      <c r="A27" s="1" t="s">
        <v>51</v>
      </c>
      <c r="B27" s="1">
        <v>13.0</v>
      </c>
      <c r="C27" s="1">
        <v>905.0</v>
      </c>
      <c r="D27" s="1" t="s">
        <v>52</v>
      </c>
      <c r="E27" s="1">
        <v>0.0</v>
      </c>
      <c r="F27" s="14">
        <v>1.0</v>
      </c>
      <c r="G27" s="14">
        <v>3.0</v>
      </c>
      <c r="H27" s="15">
        <v>45490.56407407407</v>
      </c>
      <c r="I27" s="1">
        <v>0.005</v>
      </c>
      <c r="J27" s="1">
        <v>8.92</v>
      </c>
      <c r="K27" s="1">
        <v>0.01</v>
      </c>
      <c r="L27" s="1">
        <v>8.49</v>
      </c>
      <c r="M27" s="1">
        <v>1.0</v>
      </c>
      <c r="N27" s="3">
        <f t="shared" si="2"/>
        <v>0.005</v>
      </c>
      <c r="O27" s="16">
        <f t="shared" si="3"/>
        <v>0.01</v>
      </c>
      <c r="P27" s="16">
        <f t="shared" ref="P27:Q27" si="13">N27</f>
        <v>0.005</v>
      </c>
      <c r="Q27" s="16">
        <f t="shared" si="13"/>
        <v>0.01</v>
      </c>
    </row>
    <row r="28">
      <c r="A28" s="1" t="s">
        <v>45</v>
      </c>
      <c r="B28" s="1">
        <v>14.0</v>
      </c>
      <c r="C28" s="1">
        <v>906.0</v>
      </c>
      <c r="D28" s="1" t="s">
        <v>53</v>
      </c>
      <c r="E28" s="1">
        <v>0.0</v>
      </c>
      <c r="F28" s="14">
        <v>0.0</v>
      </c>
      <c r="G28" s="14">
        <v>0.0</v>
      </c>
      <c r="H28" s="15">
        <v>45490.564884259256</v>
      </c>
      <c r="I28" s="1">
        <v>0.0</v>
      </c>
      <c r="J28" s="1">
        <v>6.31</v>
      </c>
      <c r="K28" s="1">
        <v>-0.001</v>
      </c>
      <c r="L28" s="1">
        <v>4.2</v>
      </c>
      <c r="M28" s="1">
        <v>1.0</v>
      </c>
      <c r="N28" s="3">
        <f t="shared" si="2"/>
        <v>0</v>
      </c>
      <c r="O28" s="16">
        <f t="shared" si="3"/>
        <v>-0.001</v>
      </c>
      <c r="P28" s="17" t="s">
        <v>46</v>
      </c>
      <c r="Q28" s="17" t="s">
        <v>46</v>
      </c>
    </row>
    <row r="29">
      <c r="A29" s="1" t="s">
        <v>54</v>
      </c>
      <c r="B29" s="1">
        <v>15.0</v>
      </c>
      <c r="C29" s="1">
        <v>907.0</v>
      </c>
      <c r="D29" s="1" t="s">
        <v>55</v>
      </c>
      <c r="E29" s="1">
        <v>0.0</v>
      </c>
      <c r="F29" s="14">
        <v>0.0</v>
      </c>
      <c r="G29" s="14">
        <v>1.0</v>
      </c>
      <c r="H29" s="15">
        <v>45490.56569444444</v>
      </c>
      <c r="I29" s="1">
        <v>0.166</v>
      </c>
      <c r="J29" s="1">
        <v>91.35</v>
      </c>
      <c r="K29" s="1">
        <v>0.146</v>
      </c>
      <c r="L29" s="1">
        <v>63.92</v>
      </c>
      <c r="M29" s="1">
        <v>1.0</v>
      </c>
      <c r="N29" s="3">
        <f t="shared" si="2"/>
        <v>0.166</v>
      </c>
      <c r="O29" s="16">
        <f t="shared" si="3"/>
        <v>0.146</v>
      </c>
      <c r="P29" s="16">
        <f t="shared" ref="P29:Q29" si="14">N29</f>
        <v>0.166</v>
      </c>
      <c r="Q29" s="16">
        <f t="shared" si="14"/>
        <v>0.146</v>
      </c>
    </row>
    <row r="30">
      <c r="A30" s="1" t="s">
        <v>56</v>
      </c>
      <c r="B30" s="1">
        <v>16.0</v>
      </c>
      <c r="C30" s="1">
        <v>908.0</v>
      </c>
      <c r="D30" s="1" t="s">
        <v>57</v>
      </c>
      <c r="E30" s="1">
        <v>0.0</v>
      </c>
      <c r="F30" s="14">
        <v>0.0</v>
      </c>
      <c r="G30" s="14">
        <v>0.0</v>
      </c>
      <c r="H30" s="15">
        <v>45490.56650462963</v>
      </c>
      <c r="I30" s="1">
        <v>0.159</v>
      </c>
      <c r="J30" s="1">
        <v>87.63</v>
      </c>
      <c r="K30" s="1">
        <v>0.027</v>
      </c>
      <c r="L30" s="1">
        <v>15.59</v>
      </c>
      <c r="M30" s="1">
        <v>1.0</v>
      </c>
      <c r="N30" s="3">
        <f t="shared" si="2"/>
        <v>0.159</v>
      </c>
      <c r="O30" s="16">
        <f t="shared" si="3"/>
        <v>0.027</v>
      </c>
      <c r="P30" s="16">
        <f t="shared" ref="P30:Q30" si="15">N30</f>
        <v>0.159</v>
      </c>
      <c r="Q30" s="16">
        <f t="shared" si="15"/>
        <v>0.027</v>
      </c>
    </row>
    <row r="31">
      <c r="A31" s="1" t="s">
        <v>58</v>
      </c>
      <c r="B31" s="1">
        <v>17.0</v>
      </c>
      <c r="C31" s="1">
        <v>909.0</v>
      </c>
      <c r="D31" s="1" t="s">
        <v>57</v>
      </c>
      <c r="E31" s="1">
        <v>0.0</v>
      </c>
      <c r="F31" s="14">
        <v>0.0</v>
      </c>
      <c r="G31" s="14">
        <v>0.0</v>
      </c>
      <c r="H31" s="15">
        <v>45490.56731481481</v>
      </c>
      <c r="I31" s="1">
        <v>0.171</v>
      </c>
      <c r="J31" s="1">
        <v>94.24</v>
      </c>
      <c r="K31" s="1">
        <v>0.027</v>
      </c>
      <c r="L31" s="1">
        <v>15.46</v>
      </c>
      <c r="M31" s="1">
        <v>1.0</v>
      </c>
      <c r="N31" s="3">
        <f t="shared" si="2"/>
        <v>0.171</v>
      </c>
      <c r="O31" s="16">
        <f t="shared" si="3"/>
        <v>0.027</v>
      </c>
      <c r="P31" s="16">
        <f t="shared" ref="P31:Q31" si="16">N31</f>
        <v>0.171</v>
      </c>
      <c r="Q31" s="16">
        <f t="shared" si="16"/>
        <v>0.027</v>
      </c>
    </row>
    <row r="32">
      <c r="A32" s="1">
        <v>152.0</v>
      </c>
      <c r="B32" s="1">
        <v>18.0</v>
      </c>
      <c r="C32" s="1">
        <v>1.0</v>
      </c>
      <c r="D32" s="1" t="s">
        <v>53</v>
      </c>
      <c r="E32" s="1">
        <v>0.0</v>
      </c>
      <c r="F32" s="14">
        <v>0.0</v>
      </c>
      <c r="G32" s="14">
        <v>0.0</v>
      </c>
      <c r="H32" s="15">
        <v>45490.568125</v>
      </c>
      <c r="I32" s="1">
        <v>0.021</v>
      </c>
      <c r="J32" s="1">
        <v>16.92</v>
      </c>
      <c r="K32" s="1">
        <v>-0.002</v>
      </c>
      <c r="L32" s="1">
        <v>3.51</v>
      </c>
      <c r="M32" s="1">
        <v>1.0</v>
      </c>
      <c r="N32" s="3">
        <f t="shared" si="2"/>
        <v>0.021</v>
      </c>
      <c r="O32" s="16">
        <f t="shared" si="3"/>
        <v>-0.002</v>
      </c>
      <c r="P32" s="16">
        <f t="shared" ref="P32:P44" si="17">N32</f>
        <v>0.021</v>
      </c>
      <c r="Q32" s="17" t="s">
        <v>46</v>
      </c>
    </row>
    <row r="33">
      <c r="A33" s="1">
        <v>347.0</v>
      </c>
      <c r="B33" s="1">
        <v>19.0</v>
      </c>
      <c r="C33" s="1">
        <v>2.0</v>
      </c>
      <c r="D33" s="1" t="s">
        <v>53</v>
      </c>
      <c r="E33" s="1">
        <v>0.0</v>
      </c>
      <c r="F33" s="14">
        <v>0.0</v>
      </c>
      <c r="G33" s="14">
        <v>0.0</v>
      </c>
      <c r="H33" s="15">
        <v>45490.56893518518</v>
      </c>
      <c r="I33" s="1">
        <v>0.03</v>
      </c>
      <c r="J33" s="1">
        <v>21.71</v>
      </c>
      <c r="K33" s="1">
        <v>0.02</v>
      </c>
      <c r="L33" s="1">
        <v>12.75</v>
      </c>
      <c r="M33" s="1">
        <v>1.0</v>
      </c>
      <c r="N33" s="3">
        <f t="shared" si="2"/>
        <v>0.03</v>
      </c>
      <c r="O33" s="16">
        <f t="shared" si="3"/>
        <v>0.02</v>
      </c>
      <c r="P33" s="16">
        <f t="shared" si="17"/>
        <v>0.03</v>
      </c>
      <c r="Q33" s="16">
        <f>O33</f>
        <v>0.02</v>
      </c>
    </row>
    <row r="34">
      <c r="A34" s="1">
        <v>100.0</v>
      </c>
      <c r="B34" s="1">
        <v>20.0</v>
      </c>
      <c r="C34" s="1">
        <v>3.0</v>
      </c>
      <c r="D34" s="1" t="s">
        <v>53</v>
      </c>
      <c r="E34" s="1">
        <v>0.0</v>
      </c>
      <c r="F34" s="14">
        <v>0.0</v>
      </c>
      <c r="G34" s="14">
        <v>0.0</v>
      </c>
      <c r="H34" s="15">
        <v>45490.56974537037</v>
      </c>
      <c r="I34" s="1">
        <v>0.021</v>
      </c>
      <c r="J34" s="1">
        <v>17.25</v>
      </c>
      <c r="K34" s="1">
        <v>0.0</v>
      </c>
      <c r="L34" s="1">
        <v>4.63</v>
      </c>
      <c r="M34" s="1">
        <v>1.0</v>
      </c>
      <c r="N34" s="3">
        <f t="shared" si="2"/>
        <v>0.021</v>
      </c>
      <c r="O34" s="16">
        <f t="shared" si="3"/>
        <v>0</v>
      </c>
      <c r="P34" s="16">
        <f t="shared" si="17"/>
        <v>0.021</v>
      </c>
      <c r="Q34" s="17" t="s">
        <v>46</v>
      </c>
    </row>
    <row r="35">
      <c r="A35" s="1">
        <v>204.0</v>
      </c>
      <c r="B35" s="1">
        <v>21.0</v>
      </c>
      <c r="C35" s="1">
        <v>4.0</v>
      </c>
      <c r="D35" s="1" t="s">
        <v>53</v>
      </c>
      <c r="E35" s="1">
        <v>0.0</v>
      </c>
      <c r="F35" s="14">
        <v>0.0</v>
      </c>
      <c r="G35" s="14">
        <v>0.0</v>
      </c>
      <c r="H35" s="15">
        <v>45490.570555555554</v>
      </c>
      <c r="I35" s="1">
        <v>0.021</v>
      </c>
      <c r="J35" s="1">
        <v>16.79</v>
      </c>
      <c r="K35" s="1">
        <v>0.0</v>
      </c>
      <c r="L35" s="1">
        <v>4.54</v>
      </c>
      <c r="M35" s="1">
        <v>1.0</v>
      </c>
      <c r="N35" s="3">
        <f t="shared" si="2"/>
        <v>0.021</v>
      </c>
      <c r="O35" s="16">
        <f t="shared" si="3"/>
        <v>0</v>
      </c>
      <c r="P35" s="16">
        <f t="shared" si="17"/>
        <v>0.021</v>
      </c>
      <c r="Q35" s="17" t="s">
        <v>46</v>
      </c>
    </row>
    <row r="36">
      <c r="A36" s="1">
        <v>87.0</v>
      </c>
      <c r="B36" s="1">
        <v>22.0</v>
      </c>
      <c r="C36" s="1">
        <v>5.0</v>
      </c>
      <c r="D36" s="1" t="s">
        <v>53</v>
      </c>
      <c r="E36" s="1">
        <v>0.0</v>
      </c>
      <c r="F36" s="14">
        <v>0.0</v>
      </c>
      <c r="G36" s="14">
        <v>0.0</v>
      </c>
      <c r="H36" s="15">
        <v>45490.57136574074</v>
      </c>
      <c r="I36" s="1">
        <v>0.021</v>
      </c>
      <c r="J36" s="1">
        <v>16.99</v>
      </c>
      <c r="K36" s="1">
        <v>-0.001</v>
      </c>
      <c r="L36" s="1">
        <v>4.07</v>
      </c>
      <c r="M36" s="1">
        <v>1.0</v>
      </c>
      <c r="N36" s="3">
        <f t="shared" si="2"/>
        <v>0.021</v>
      </c>
      <c r="O36" s="16">
        <f t="shared" si="3"/>
        <v>-0.001</v>
      </c>
      <c r="P36" s="16">
        <f t="shared" si="17"/>
        <v>0.021</v>
      </c>
      <c r="Q36" s="17" t="s">
        <v>46</v>
      </c>
    </row>
    <row r="37">
      <c r="A37" s="1">
        <v>61.0</v>
      </c>
      <c r="B37" s="1">
        <v>23.0</v>
      </c>
      <c r="C37" s="1">
        <v>6.0</v>
      </c>
      <c r="D37" s="1" t="s">
        <v>53</v>
      </c>
      <c r="E37" s="1">
        <v>0.0</v>
      </c>
      <c r="F37" s="14">
        <v>0.0</v>
      </c>
      <c r="G37" s="14">
        <v>0.0</v>
      </c>
      <c r="H37" s="15">
        <v>45490.572175925925</v>
      </c>
      <c r="I37" s="1">
        <v>0.012</v>
      </c>
      <c r="J37" s="1">
        <v>12.18</v>
      </c>
      <c r="K37" s="1">
        <v>0.009</v>
      </c>
      <c r="L37" s="1">
        <v>8.18</v>
      </c>
      <c r="M37" s="1">
        <v>1.0</v>
      </c>
      <c r="N37" s="3">
        <f t="shared" si="2"/>
        <v>0.012</v>
      </c>
      <c r="O37" s="16">
        <f t="shared" si="3"/>
        <v>0.009</v>
      </c>
      <c r="P37" s="16">
        <f t="shared" si="17"/>
        <v>0.012</v>
      </c>
      <c r="Q37" s="16">
        <f>O37</f>
        <v>0.009</v>
      </c>
    </row>
    <row r="38">
      <c r="A38" s="1">
        <v>269.0</v>
      </c>
      <c r="B38" s="1">
        <v>24.0</v>
      </c>
      <c r="C38" s="1">
        <v>7.0</v>
      </c>
      <c r="D38" s="1" t="s">
        <v>53</v>
      </c>
      <c r="E38" s="1">
        <v>0.0</v>
      </c>
      <c r="F38" s="14">
        <v>0.0</v>
      </c>
      <c r="G38" s="14">
        <v>0.0</v>
      </c>
      <c r="H38" s="15">
        <v>45490.57298611111</v>
      </c>
      <c r="I38" s="1">
        <v>0.018</v>
      </c>
      <c r="J38" s="1">
        <v>15.28</v>
      </c>
      <c r="K38" s="1">
        <v>0.001</v>
      </c>
      <c r="L38" s="1">
        <v>4.91</v>
      </c>
      <c r="M38" s="1">
        <v>1.0</v>
      </c>
      <c r="N38" s="3">
        <f t="shared" si="2"/>
        <v>0.018</v>
      </c>
      <c r="O38" s="16">
        <f t="shared" si="3"/>
        <v>0.001</v>
      </c>
      <c r="P38" s="16">
        <f t="shared" si="17"/>
        <v>0.018</v>
      </c>
      <c r="Q38" s="17" t="s">
        <v>46</v>
      </c>
    </row>
    <row r="39">
      <c r="A39" s="1">
        <v>9.0</v>
      </c>
      <c r="B39" s="1">
        <v>25.0</v>
      </c>
      <c r="C39" s="1">
        <v>8.0</v>
      </c>
      <c r="D39" s="1" t="s">
        <v>53</v>
      </c>
      <c r="E39" s="1">
        <v>0.0</v>
      </c>
      <c r="F39" s="14">
        <v>0.0</v>
      </c>
      <c r="G39" s="14">
        <v>0.0</v>
      </c>
      <c r="H39" s="15">
        <v>45490.573796296296</v>
      </c>
      <c r="I39" s="1">
        <v>0.015</v>
      </c>
      <c r="J39" s="1">
        <v>13.97</v>
      </c>
      <c r="K39" s="1">
        <v>-0.003</v>
      </c>
      <c r="L39" s="1">
        <v>3.24</v>
      </c>
      <c r="M39" s="1">
        <v>1.0</v>
      </c>
      <c r="N39" s="3">
        <f t="shared" si="2"/>
        <v>0.015</v>
      </c>
      <c r="O39" s="16">
        <f t="shared" si="3"/>
        <v>-0.003</v>
      </c>
      <c r="P39" s="16">
        <f t="shared" si="17"/>
        <v>0.015</v>
      </c>
      <c r="Q39" s="17" t="s">
        <v>46</v>
      </c>
    </row>
    <row r="40">
      <c r="A40" s="1">
        <v>243.0</v>
      </c>
      <c r="B40" s="1">
        <v>26.0</v>
      </c>
      <c r="C40" s="1">
        <v>9.0</v>
      </c>
      <c r="D40" s="1" t="s">
        <v>53</v>
      </c>
      <c r="E40" s="1">
        <v>0.0</v>
      </c>
      <c r="F40" s="14">
        <v>0.0</v>
      </c>
      <c r="G40" s="14">
        <v>0.0</v>
      </c>
      <c r="H40" s="15">
        <v>45490.57460648148</v>
      </c>
      <c r="I40" s="1">
        <v>0.013</v>
      </c>
      <c r="J40" s="1">
        <v>13.04</v>
      </c>
      <c r="K40" s="1">
        <v>0.004</v>
      </c>
      <c r="L40" s="1">
        <v>6.18</v>
      </c>
      <c r="M40" s="1">
        <v>1.0</v>
      </c>
      <c r="N40" s="3">
        <f t="shared" si="2"/>
        <v>0.013</v>
      </c>
      <c r="O40" s="16">
        <f t="shared" si="3"/>
        <v>0.004</v>
      </c>
      <c r="P40" s="16">
        <f t="shared" si="17"/>
        <v>0.013</v>
      </c>
      <c r="Q40" s="16">
        <f>O40</f>
        <v>0.004</v>
      </c>
    </row>
    <row r="41">
      <c r="A41" s="1">
        <v>165.0</v>
      </c>
      <c r="B41" s="1">
        <v>27.0</v>
      </c>
      <c r="C41" s="1">
        <v>10.0</v>
      </c>
      <c r="D41" s="1" t="s">
        <v>53</v>
      </c>
      <c r="E41" s="1">
        <v>0.0</v>
      </c>
      <c r="F41" s="14">
        <v>0.0</v>
      </c>
      <c r="G41" s="14">
        <v>0.0</v>
      </c>
      <c r="H41" s="15">
        <v>45490.57541666667</v>
      </c>
      <c r="I41" s="1">
        <v>0.022</v>
      </c>
      <c r="J41" s="1">
        <v>17.68</v>
      </c>
      <c r="K41" s="1">
        <v>-0.004</v>
      </c>
      <c r="L41" s="1">
        <v>2.99</v>
      </c>
      <c r="M41" s="1">
        <v>1.0</v>
      </c>
      <c r="N41" s="3">
        <f t="shared" si="2"/>
        <v>0.022</v>
      </c>
      <c r="O41" s="16">
        <f t="shared" si="3"/>
        <v>-0.004</v>
      </c>
      <c r="P41" s="16">
        <f t="shared" si="17"/>
        <v>0.022</v>
      </c>
      <c r="Q41" s="17" t="s">
        <v>46</v>
      </c>
    </row>
    <row r="42">
      <c r="A42" s="1" t="s">
        <v>59</v>
      </c>
      <c r="B42" s="1">
        <v>28.0</v>
      </c>
      <c r="C42" s="1">
        <v>11.0</v>
      </c>
      <c r="D42" s="1" t="s">
        <v>55</v>
      </c>
      <c r="E42" s="1">
        <v>0.0</v>
      </c>
      <c r="F42" s="14">
        <v>0.0</v>
      </c>
      <c r="G42" s="14">
        <v>1.0</v>
      </c>
      <c r="H42" s="15">
        <v>45490.57622685185</v>
      </c>
      <c r="I42" s="1">
        <v>0.186</v>
      </c>
      <c r="J42" s="1">
        <v>101.82</v>
      </c>
      <c r="K42" s="1">
        <v>0.142</v>
      </c>
      <c r="L42" s="1">
        <v>62.31</v>
      </c>
      <c r="M42" s="1">
        <v>1.0</v>
      </c>
      <c r="N42" s="3">
        <f t="shared" si="2"/>
        <v>0.186</v>
      </c>
      <c r="O42" s="16">
        <f t="shared" si="3"/>
        <v>0.142</v>
      </c>
      <c r="P42" s="16">
        <f t="shared" si="17"/>
        <v>0.186</v>
      </c>
      <c r="Q42" s="16">
        <f t="shared" ref="Q42:Q44" si="18">O42</f>
        <v>0.142</v>
      </c>
    </row>
    <row r="43">
      <c r="A43" s="1" t="s">
        <v>56</v>
      </c>
      <c r="B43" s="1">
        <v>29.0</v>
      </c>
      <c r="C43" s="1">
        <v>908.0</v>
      </c>
      <c r="D43" s="1" t="s">
        <v>57</v>
      </c>
      <c r="E43" s="1">
        <v>0.0</v>
      </c>
      <c r="F43" s="14">
        <v>0.0</v>
      </c>
      <c r="G43" s="14">
        <v>0.0</v>
      </c>
      <c r="H43" s="15">
        <v>45490.57703703704</v>
      </c>
      <c r="I43" s="1">
        <v>0.155</v>
      </c>
      <c r="J43" s="1">
        <v>85.54</v>
      </c>
      <c r="K43" s="1">
        <v>0.027</v>
      </c>
      <c r="L43" s="1">
        <v>15.39</v>
      </c>
      <c r="M43" s="1">
        <v>1.0</v>
      </c>
      <c r="N43" s="3">
        <f t="shared" si="2"/>
        <v>0.155</v>
      </c>
      <c r="O43" s="16">
        <f t="shared" si="3"/>
        <v>0.027</v>
      </c>
      <c r="P43" s="16">
        <f t="shared" si="17"/>
        <v>0.155</v>
      </c>
      <c r="Q43" s="16">
        <f t="shared" si="18"/>
        <v>0.027</v>
      </c>
    </row>
    <row r="44">
      <c r="A44" s="1" t="s">
        <v>58</v>
      </c>
      <c r="B44" s="1">
        <v>30.0</v>
      </c>
      <c r="C44" s="1">
        <v>909.0</v>
      </c>
      <c r="D44" s="1" t="s">
        <v>57</v>
      </c>
      <c r="E44" s="1">
        <v>0.0</v>
      </c>
      <c r="F44" s="14">
        <v>0.0</v>
      </c>
      <c r="G44" s="14">
        <v>0.0</v>
      </c>
      <c r="H44" s="15">
        <v>45490.57784722222</v>
      </c>
      <c r="I44" s="1">
        <v>0.166</v>
      </c>
      <c r="J44" s="1">
        <v>91.31</v>
      </c>
      <c r="K44" s="1">
        <v>0.027</v>
      </c>
      <c r="L44" s="1">
        <v>15.71</v>
      </c>
      <c r="M44" s="1">
        <v>1.0</v>
      </c>
      <c r="N44" s="3">
        <f t="shared" si="2"/>
        <v>0.166</v>
      </c>
      <c r="O44" s="16">
        <f t="shared" si="3"/>
        <v>0.027</v>
      </c>
      <c r="P44" s="16">
        <f t="shared" si="17"/>
        <v>0.166</v>
      </c>
      <c r="Q44" s="16">
        <f t="shared" si="18"/>
        <v>0.027</v>
      </c>
    </row>
    <row r="45">
      <c r="A45" s="1" t="s">
        <v>47</v>
      </c>
      <c r="B45" s="1">
        <v>31.0</v>
      </c>
      <c r="C45" s="1">
        <v>0.0</v>
      </c>
      <c r="D45" s="1" t="s">
        <v>48</v>
      </c>
      <c r="E45" s="1">
        <v>0.0</v>
      </c>
      <c r="F45" s="14">
        <v>0.0</v>
      </c>
      <c r="G45" s="14">
        <v>0.0</v>
      </c>
      <c r="H45" s="15">
        <v>45490.57865740741</v>
      </c>
      <c r="I45" s="1">
        <v>-0.012</v>
      </c>
      <c r="J45" s="1">
        <v>0.0</v>
      </c>
      <c r="K45" s="1">
        <v>-0.011</v>
      </c>
      <c r="L45" s="1">
        <v>0.0</v>
      </c>
      <c r="M45" s="1">
        <v>1.0</v>
      </c>
      <c r="N45" s="3">
        <f t="shared" si="2"/>
        <v>-0.012</v>
      </c>
      <c r="O45" s="16">
        <f t="shared" si="3"/>
        <v>-0.011</v>
      </c>
      <c r="P45" s="17" t="s">
        <v>46</v>
      </c>
      <c r="Q45" s="17" t="s">
        <v>46</v>
      </c>
    </row>
    <row r="46">
      <c r="A46" s="1">
        <v>139.0</v>
      </c>
      <c r="B46" s="1">
        <v>32.0</v>
      </c>
      <c r="C46" s="1">
        <v>12.0</v>
      </c>
      <c r="D46" s="1" t="s">
        <v>53</v>
      </c>
      <c r="E46" s="1">
        <v>0.0</v>
      </c>
      <c r="F46" s="14">
        <v>0.0</v>
      </c>
      <c r="G46" s="14">
        <v>0.0</v>
      </c>
      <c r="H46" s="15">
        <v>45490.581087962964</v>
      </c>
      <c r="I46" s="1">
        <v>0.025</v>
      </c>
      <c r="J46" s="1">
        <v>19.12</v>
      </c>
      <c r="K46" s="1">
        <v>-0.003</v>
      </c>
      <c r="L46" s="1">
        <v>3.29</v>
      </c>
      <c r="M46" s="1">
        <v>1.0</v>
      </c>
      <c r="N46" s="3">
        <f t="shared" si="2"/>
        <v>0.025</v>
      </c>
      <c r="O46" s="16">
        <f t="shared" si="3"/>
        <v>-0.003</v>
      </c>
      <c r="P46" s="16">
        <f t="shared" ref="P46:P58" si="19">N46</f>
        <v>0.025</v>
      </c>
      <c r="Q46" s="17" t="s">
        <v>46</v>
      </c>
    </row>
    <row r="47">
      <c r="A47" s="1">
        <v>35.0</v>
      </c>
      <c r="B47" s="1">
        <v>33.0</v>
      </c>
      <c r="C47" s="1">
        <v>13.0</v>
      </c>
      <c r="D47" s="1" t="s">
        <v>53</v>
      </c>
      <c r="E47" s="1">
        <v>0.0</v>
      </c>
      <c r="F47" s="14">
        <v>0.0</v>
      </c>
      <c r="G47" s="14">
        <v>0.0</v>
      </c>
      <c r="H47" s="15">
        <v>45490.58189814815</v>
      </c>
      <c r="I47" s="1">
        <v>0.014</v>
      </c>
      <c r="J47" s="1">
        <v>13.49</v>
      </c>
      <c r="K47" s="1">
        <v>0.003</v>
      </c>
      <c r="L47" s="1">
        <v>5.81</v>
      </c>
      <c r="M47" s="1">
        <v>1.0</v>
      </c>
      <c r="N47" s="3">
        <f t="shared" si="2"/>
        <v>0.014</v>
      </c>
      <c r="O47" s="16">
        <f t="shared" si="3"/>
        <v>0.003</v>
      </c>
      <c r="P47" s="16">
        <f t="shared" si="19"/>
        <v>0.014</v>
      </c>
      <c r="Q47" s="16">
        <f>O47</f>
        <v>0.003</v>
      </c>
    </row>
    <row r="48">
      <c r="A48" s="1">
        <v>22.0</v>
      </c>
      <c r="B48" s="1">
        <v>34.0</v>
      </c>
      <c r="C48" s="1">
        <v>14.0</v>
      </c>
      <c r="D48" s="1" t="s">
        <v>53</v>
      </c>
      <c r="E48" s="1">
        <v>0.0</v>
      </c>
      <c r="F48" s="14">
        <v>0.0</v>
      </c>
      <c r="G48" s="14">
        <v>0.0</v>
      </c>
      <c r="H48" s="15">
        <v>45490.582708333335</v>
      </c>
      <c r="I48" s="1">
        <v>0.006</v>
      </c>
      <c r="J48" s="1">
        <v>9.44</v>
      </c>
      <c r="K48" s="1">
        <v>-0.004</v>
      </c>
      <c r="L48" s="1">
        <v>2.8</v>
      </c>
      <c r="M48" s="1">
        <v>1.0</v>
      </c>
      <c r="N48" s="3">
        <f t="shared" si="2"/>
        <v>0.006</v>
      </c>
      <c r="O48" s="16">
        <f t="shared" si="3"/>
        <v>-0.004</v>
      </c>
      <c r="P48" s="16">
        <f t="shared" si="19"/>
        <v>0.006</v>
      </c>
      <c r="Q48" s="17" t="s">
        <v>46</v>
      </c>
    </row>
    <row r="49">
      <c r="A49" s="1">
        <v>230.0</v>
      </c>
      <c r="B49" s="1">
        <v>35.0</v>
      </c>
      <c r="C49" s="1">
        <v>15.0</v>
      </c>
      <c r="D49" s="1" t="s">
        <v>53</v>
      </c>
      <c r="E49" s="1">
        <v>0.0</v>
      </c>
      <c r="F49" s="14">
        <v>0.0</v>
      </c>
      <c r="G49" s="14">
        <v>0.0</v>
      </c>
      <c r="H49" s="15">
        <v>45490.58351851852</v>
      </c>
      <c r="I49" s="1">
        <v>0.011</v>
      </c>
      <c r="J49" s="1">
        <v>11.61</v>
      </c>
      <c r="K49" s="1">
        <v>-0.004</v>
      </c>
      <c r="L49" s="1">
        <v>2.95</v>
      </c>
      <c r="M49" s="1">
        <v>1.0</v>
      </c>
      <c r="N49" s="3">
        <f t="shared" si="2"/>
        <v>0.011</v>
      </c>
      <c r="O49" s="16">
        <f t="shared" si="3"/>
        <v>-0.004</v>
      </c>
      <c r="P49" s="16">
        <f t="shared" si="19"/>
        <v>0.011</v>
      </c>
      <c r="Q49" s="17" t="s">
        <v>46</v>
      </c>
    </row>
    <row r="50">
      <c r="A50" s="1">
        <v>48.0</v>
      </c>
      <c r="B50" s="1">
        <v>36.0</v>
      </c>
      <c r="C50" s="1">
        <v>16.0</v>
      </c>
      <c r="D50" s="1" t="s">
        <v>53</v>
      </c>
      <c r="E50" s="1">
        <v>0.0</v>
      </c>
      <c r="F50" s="14">
        <v>0.0</v>
      </c>
      <c r="G50" s="14">
        <v>0.0</v>
      </c>
      <c r="H50" s="15">
        <v>45490.584328703706</v>
      </c>
      <c r="I50" s="1">
        <v>0.025</v>
      </c>
      <c r="J50" s="1">
        <v>18.84</v>
      </c>
      <c r="K50" s="1">
        <v>-0.004</v>
      </c>
      <c r="L50" s="1">
        <v>2.75</v>
      </c>
      <c r="M50" s="1">
        <v>1.0</v>
      </c>
      <c r="N50" s="3">
        <f t="shared" si="2"/>
        <v>0.025</v>
      </c>
      <c r="O50" s="16">
        <f t="shared" si="3"/>
        <v>-0.004</v>
      </c>
      <c r="P50" s="16">
        <f t="shared" si="19"/>
        <v>0.025</v>
      </c>
      <c r="Q50" s="17" t="s">
        <v>46</v>
      </c>
    </row>
    <row r="51">
      <c r="A51" s="1">
        <v>308.0</v>
      </c>
      <c r="B51" s="1">
        <v>37.0</v>
      </c>
      <c r="C51" s="1">
        <v>17.0</v>
      </c>
      <c r="D51" s="1" t="s">
        <v>53</v>
      </c>
      <c r="E51" s="1">
        <v>0.0</v>
      </c>
      <c r="F51" s="14">
        <v>0.0</v>
      </c>
      <c r="G51" s="14">
        <v>0.0</v>
      </c>
      <c r="H51" s="15">
        <v>45490.58513888889</v>
      </c>
      <c r="I51" s="1">
        <v>0.016</v>
      </c>
      <c r="J51" s="1">
        <v>14.18</v>
      </c>
      <c r="K51" s="1">
        <v>-0.004</v>
      </c>
      <c r="L51" s="1">
        <v>3.0</v>
      </c>
      <c r="M51" s="1">
        <v>1.0</v>
      </c>
      <c r="N51" s="3">
        <f t="shared" si="2"/>
        <v>0.016</v>
      </c>
      <c r="O51" s="16">
        <f t="shared" si="3"/>
        <v>-0.004</v>
      </c>
      <c r="P51" s="16">
        <f t="shared" si="19"/>
        <v>0.016</v>
      </c>
      <c r="Q51" s="17" t="s">
        <v>46</v>
      </c>
    </row>
    <row r="52">
      <c r="A52" s="1">
        <v>191.0</v>
      </c>
      <c r="B52" s="1">
        <v>38.0</v>
      </c>
      <c r="C52" s="1">
        <v>18.0</v>
      </c>
      <c r="D52" s="1" t="s">
        <v>53</v>
      </c>
      <c r="E52" s="1">
        <v>0.0</v>
      </c>
      <c r="F52" s="14">
        <v>0.0</v>
      </c>
      <c r="G52" s="14">
        <v>0.0</v>
      </c>
      <c r="H52" s="15">
        <v>45490.58594907408</v>
      </c>
      <c r="I52" s="1">
        <v>0.011</v>
      </c>
      <c r="J52" s="1">
        <v>11.87</v>
      </c>
      <c r="K52" s="1">
        <v>-0.004</v>
      </c>
      <c r="L52" s="1">
        <v>2.7</v>
      </c>
      <c r="M52" s="1">
        <v>1.0</v>
      </c>
      <c r="N52" s="3">
        <f t="shared" si="2"/>
        <v>0.011</v>
      </c>
      <c r="O52" s="16">
        <f t="shared" si="3"/>
        <v>-0.004</v>
      </c>
      <c r="P52" s="16">
        <f t="shared" si="19"/>
        <v>0.011</v>
      </c>
      <c r="Q52" s="17" t="s">
        <v>46</v>
      </c>
    </row>
    <row r="53">
      <c r="A53" s="1">
        <v>295.0</v>
      </c>
      <c r="B53" s="1">
        <v>39.0</v>
      </c>
      <c r="C53" s="1">
        <v>19.0</v>
      </c>
      <c r="D53" s="1" t="s">
        <v>53</v>
      </c>
      <c r="E53" s="1">
        <v>0.0</v>
      </c>
      <c r="F53" s="14">
        <v>0.0</v>
      </c>
      <c r="G53" s="14">
        <v>0.0</v>
      </c>
      <c r="H53" s="15">
        <v>45490.58675925926</v>
      </c>
      <c r="I53" s="1">
        <v>0.011</v>
      </c>
      <c r="J53" s="1">
        <v>12.11</v>
      </c>
      <c r="K53" s="1">
        <v>-0.003</v>
      </c>
      <c r="L53" s="1">
        <v>3.19</v>
      </c>
      <c r="M53" s="1">
        <v>1.0</v>
      </c>
      <c r="N53" s="3">
        <f t="shared" si="2"/>
        <v>0.011</v>
      </c>
      <c r="O53" s="16">
        <f t="shared" si="3"/>
        <v>-0.003</v>
      </c>
      <c r="P53" s="16">
        <f t="shared" si="19"/>
        <v>0.011</v>
      </c>
      <c r="Q53" s="17" t="s">
        <v>46</v>
      </c>
    </row>
    <row r="54">
      <c r="A54" s="1">
        <v>282.0</v>
      </c>
      <c r="B54" s="1">
        <v>40.0</v>
      </c>
      <c r="C54" s="1">
        <v>20.0</v>
      </c>
      <c r="D54" s="1" t="s">
        <v>53</v>
      </c>
      <c r="E54" s="1">
        <v>0.0</v>
      </c>
      <c r="F54" s="14">
        <v>0.0</v>
      </c>
      <c r="G54" s="14">
        <v>0.0</v>
      </c>
      <c r="H54" s="15">
        <v>45490.58756944445</v>
      </c>
      <c r="I54" s="1">
        <v>0.012</v>
      </c>
      <c r="J54" s="1">
        <v>12.17</v>
      </c>
      <c r="K54" s="1">
        <v>-0.003</v>
      </c>
      <c r="L54" s="1">
        <v>3.31</v>
      </c>
      <c r="M54" s="1">
        <v>1.0</v>
      </c>
      <c r="N54" s="3">
        <f t="shared" si="2"/>
        <v>0.012</v>
      </c>
      <c r="O54" s="16">
        <f t="shared" si="3"/>
        <v>-0.003</v>
      </c>
      <c r="P54" s="16">
        <f t="shared" si="19"/>
        <v>0.012</v>
      </c>
      <c r="Q54" s="17" t="s">
        <v>46</v>
      </c>
    </row>
    <row r="55">
      <c r="A55" s="1">
        <v>178.0</v>
      </c>
      <c r="B55" s="1">
        <v>41.0</v>
      </c>
      <c r="C55" s="1">
        <v>21.0</v>
      </c>
      <c r="D55" s="1" t="s">
        <v>53</v>
      </c>
      <c r="E55" s="1">
        <v>0.0</v>
      </c>
      <c r="F55" s="14">
        <v>0.0</v>
      </c>
      <c r="G55" s="14">
        <v>0.0</v>
      </c>
      <c r="H55" s="15">
        <v>45490.58837962963</v>
      </c>
      <c r="I55" s="1">
        <v>0.01</v>
      </c>
      <c r="J55" s="1">
        <v>11.12</v>
      </c>
      <c r="K55" s="1">
        <v>-0.004</v>
      </c>
      <c r="L55" s="1">
        <v>2.88</v>
      </c>
      <c r="M55" s="1">
        <v>1.0</v>
      </c>
      <c r="N55" s="3">
        <f t="shared" si="2"/>
        <v>0.01</v>
      </c>
      <c r="O55" s="16">
        <f t="shared" si="3"/>
        <v>-0.004</v>
      </c>
      <c r="P55" s="16">
        <f t="shared" si="19"/>
        <v>0.01</v>
      </c>
      <c r="Q55" s="17" t="s">
        <v>46</v>
      </c>
    </row>
    <row r="56">
      <c r="A56" s="1" t="s">
        <v>60</v>
      </c>
      <c r="B56" s="1">
        <v>42.0</v>
      </c>
      <c r="C56" s="1">
        <v>22.0</v>
      </c>
      <c r="D56" s="1" t="s">
        <v>55</v>
      </c>
      <c r="E56" s="1">
        <v>0.0</v>
      </c>
      <c r="F56" s="14">
        <v>0.0</v>
      </c>
      <c r="G56" s="14">
        <v>1.0</v>
      </c>
      <c r="H56" s="15">
        <v>45490.58918981482</v>
      </c>
      <c r="I56" s="1">
        <v>0.152</v>
      </c>
      <c r="J56" s="1">
        <v>84.27</v>
      </c>
      <c r="K56" s="1">
        <v>0.141</v>
      </c>
      <c r="L56" s="1">
        <v>62.03</v>
      </c>
      <c r="M56" s="1">
        <v>1.0</v>
      </c>
      <c r="N56" s="3">
        <f t="shared" si="2"/>
        <v>0.152</v>
      </c>
      <c r="O56" s="16">
        <f t="shared" si="3"/>
        <v>0.141</v>
      </c>
      <c r="P56" s="16">
        <f t="shared" si="19"/>
        <v>0.152</v>
      </c>
      <c r="Q56" s="16">
        <f t="shared" ref="Q56:Q58" si="20">O56</f>
        <v>0.141</v>
      </c>
    </row>
    <row r="57">
      <c r="A57" s="1" t="s">
        <v>56</v>
      </c>
      <c r="B57" s="1">
        <v>43.0</v>
      </c>
      <c r="C57" s="1">
        <v>908.0</v>
      </c>
      <c r="D57" s="1" t="s">
        <v>57</v>
      </c>
      <c r="E57" s="1">
        <v>0.0</v>
      </c>
      <c r="F57" s="14">
        <v>0.0</v>
      </c>
      <c r="G57" s="14">
        <v>0.0</v>
      </c>
      <c r="H57" s="15">
        <v>45490.59</v>
      </c>
      <c r="I57" s="1">
        <v>0.153</v>
      </c>
      <c r="J57" s="1">
        <v>84.53</v>
      </c>
      <c r="K57" s="1">
        <v>0.027</v>
      </c>
      <c r="L57" s="1">
        <v>15.41</v>
      </c>
      <c r="M57" s="1">
        <v>1.0</v>
      </c>
      <c r="N57" s="3">
        <f t="shared" si="2"/>
        <v>0.153</v>
      </c>
      <c r="O57" s="16">
        <f t="shared" si="3"/>
        <v>0.027</v>
      </c>
      <c r="P57" s="16">
        <f t="shared" si="19"/>
        <v>0.153</v>
      </c>
      <c r="Q57" s="16">
        <f t="shared" si="20"/>
        <v>0.027</v>
      </c>
    </row>
    <row r="58">
      <c r="A58" s="1" t="s">
        <v>58</v>
      </c>
      <c r="B58" s="1">
        <v>44.0</v>
      </c>
      <c r="C58" s="1">
        <v>909.0</v>
      </c>
      <c r="D58" s="1" t="s">
        <v>57</v>
      </c>
      <c r="E58" s="1">
        <v>0.0</v>
      </c>
      <c r="F58" s="14">
        <v>0.0</v>
      </c>
      <c r="G58" s="14">
        <v>0.0</v>
      </c>
      <c r="H58" s="15">
        <v>45490.59081018518</v>
      </c>
      <c r="I58" s="1">
        <v>0.141</v>
      </c>
      <c r="J58" s="1">
        <v>78.4</v>
      </c>
      <c r="K58" s="1">
        <v>0.027</v>
      </c>
      <c r="L58" s="1">
        <v>15.44</v>
      </c>
      <c r="M58" s="1">
        <v>1.0</v>
      </c>
      <c r="N58" s="3">
        <f t="shared" si="2"/>
        <v>0.141</v>
      </c>
      <c r="O58" s="16">
        <f t="shared" si="3"/>
        <v>0.027</v>
      </c>
      <c r="P58" s="16">
        <f t="shared" si="19"/>
        <v>0.141</v>
      </c>
      <c r="Q58" s="16">
        <f t="shared" si="20"/>
        <v>0.027</v>
      </c>
    </row>
    <row r="59">
      <c r="A59" s="1" t="s">
        <v>47</v>
      </c>
      <c r="B59" s="1">
        <v>45.0</v>
      </c>
      <c r="C59" s="1">
        <v>0.0</v>
      </c>
      <c r="D59" s="1" t="s">
        <v>48</v>
      </c>
      <c r="E59" s="1">
        <v>0.0</v>
      </c>
      <c r="F59" s="14">
        <v>0.0</v>
      </c>
      <c r="G59" s="14">
        <v>0.0</v>
      </c>
      <c r="H59" s="15">
        <v>45490.59162037037</v>
      </c>
      <c r="I59" s="1">
        <v>-0.012</v>
      </c>
      <c r="J59" s="1">
        <v>0.0</v>
      </c>
      <c r="K59" s="1">
        <v>-0.011</v>
      </c>
      <c r="L59" s="1">
        <v>0.0</v>
      </c>
      <c r="M59" s="1">
        <v>1.0</v>
      </c>
      <c r="N59" s="3">
        <f t="shared" si="2"/>
        <v>-0.012</v>
      </c>
      <c r="O59" s="16">
        <f t="shared" si="3"/>
        <v>-0.011</v>
      </c>
      <c r="P59" s="17" t="s">
        <v>46</v>
      </c>
      <c r="Q59" s="17" t="s">
        <v>46</v>
      </c>
    </row>
    <row r="60">
      <c r="A60" s="1">
        <v>74.0</v>
      </c>
      <c r="B60" s="1">
        <v>46.0</v>
      </c>
      <c r="C60" s="1">
        <v>23.0</v>
      </c>
      <c r="D60" s="1" t="s">
        <v>53</v>
      </c>
      <c r="E60" s="1">
        <v>0.0</v>
      </c>
      <c r="F60" s="14">
        <v>0.0</v>
      </c>
      <c r="G60" s="14">
        <v>0.0</v>
      </c>
      <c r="H60" s="15">
        <v>45490.59405092592</v>
      </c>
      <c r="I60" s="1">
        <v>0.009</v>
      </c>
      <c r="J60" s="1">
        <v>10.66</v>
      </c>
      <c r="K60" s="1">
        <v>0.002</v>
      </c>
      <c r="L60" s="1">
        <v>5.22</v>
      </c>
      <c r="M60" s="1">
        <v>1.0</v>
      </c>
      <c r="N60" s="3">
        <f t="shared" si="2"/>
        <v>0.009</v>
      </c>
      <c r="O60" s="16">
        <f t="shared" si="3"/>
        <v>0.002</v>
      </c>
      <c r="P60" s="16">
        <f t="shared" ref="P60:Q60" si="21">N60</f>
        <v>0.009</v>
      </c>
      <c r="Q60" s="16">
        <f t="shared" si="21"/>
        <v>0.002</v>
      </c>
    </row>
    <row r="61">
      <c r="A61" s="1">
        <v>113.0</v>
      </c>
      <c r="B61" s="1">
        <v>47.0</v>
      </c>
      <c r="C61" s="1">
        <v>24.0</v>
      </c>
      <c r="D61" s="1" t="s">
        <v>53</v>
      </c>
      <c r="E61" s="1">
        <v>0.0</v>
      </c>
      <c r="F61" s="14">
        <v>0.0</v>
      </c>
      <c r="G61" s="14">
        <v>0.0</v>
      </c>
      <c r="H61" s="15">
        <v>45490.59486111111</v>
      </c>
      <c r="I61" s="1">
        <v>0.013</v>
      </c>
      <c r="J61" s="1">
        <v>12.65</v>
      </c>
      <c r="K61" s="1">
        <v>-0.004</v>
      </c>
      <c r="L61" s="1">
        <v>2.77</v>
      </c>
      <c r="M61" s="1">
        <v>1.0</v>
      </c>
      <c r="N61" s="3">
        <f t="shared" si="2"/>
        <v>0.013</v>
      </c>
      <c r="O61" s="16">
        <f t="shared" si="3"/>
        <v>-0.004</v>
      </c>
      <c r="P61" s="16">
        <f t="shared" ref="P61:P68" si="22">N61</f>
        <v>0.013</v>
      </c>
      <c r="Q61" s="17" t="s">
        <v>46</v>
      </c>
    </row>
    <row r="62">
      <c r="A62" s="1">
        <v>126.0</v>
      </c>
      <c r="B62" s="1">
        <v>48.0</v>
      </c>
      <c r="C62" s="1">
        <v>25.0</v>
      </c>
      <c r="D62" s="1" t="s">
        <v>53</v>
      </c>
      <c r="E62" s="1">
        <v>0.0</v>
      </c>
      <c r="F62" s="14">
        <v>0.0</v>
      </c>
      <c r="G62" s="14">
        <v>0.0</v>
      </c>
      <c r="H62" s="15">
        <v>45490.595671296294</v>
      </c>
      <c r="I62" s="1">
        <v>0.015</v>
      </c>
      <c r="J62" s="1">
        <v>13.94</v>
      </c>
      <c r="K62" s="1">
        <v>-0.005</v>
      </c>
      <c r="L62" s="1">
        <v>2.51</v>
      </c>
      <c r="M62" s="1">
        <v>1.0</v>
      </c>
      <c r="N62" s="3">
        <f t="shared" si="2"/>
        <v>0.015</v>
      </c>
      <c r="O62" s="16">
        <f t="shared" si="3"/>
        <v>-0.005</v>
      </c>
      <c r="P62" s="16">
        <f t="shared" si="22"/>
        <v>0.015</v>
      </c>
      <c r="Q62" s="17" t="s">
        <v>46</v>
      </c>
    </row>
    <row r="63">
      <c r="A63" s="1">
        <v>321.0</v>
      </c>
      <c r="B63" s="1">
        <v>49.0</v>
      </c>
      <c r="C63" s="1">
        <v>26.0</v>
      </c>
      <c r="D63" s="1" t="s">
        <v>53</v>
      </c>
      <c r="E63" s="1">
        <v>0.0</v>
      </c>
      <c r="F63" s="14">
        <v>0.0</v>
      </c>
      <c r="G63" s="14">
        <v>0.0</v>
      </c>
      <c r="H63" s="15">
        <v>45490.59648148148</v>
      </c>
      <c r="I63" s="1">
        <v>0.016</v>
      </c>
      <c r="J63" s="1">
        <v>14.63</v>
      </c>
      <c r="K63" s="1">
        <v>-0.004</v>
      </c>
      <c r="L63" s="1">
        <v>2.72</v>
      </c>
      <c r="M63" s="1">
        <v>1.0</v>
      </c>
      <c r="N63" s="3">
        <f t="shared" si="2"/>
        <v>0.016</v>
      </c>
      <c r="O63" s="16">
        <f t="shared" si="3"/>
        <v>-0.004</v>
      </c>
      <c r="P63" s="16">
        <f t="shared" si="22"/>
        <v>0.016</v>
      </c>
      <c r="Q63" s="17" t="s">
        <v>46</v>
      </c>
    </row>
    <row r="64">
      <c r="A64" s="1">
        <v>217.0</v>
      </c>
      <c r="B64" s="1">
        <v>50.0</v>
      </c>
      <c r="C64" s="1">
        <v>27.0</v>
      </c>
      <c r="D64" s="1" t="s">
        <v>53</v>
      </c>
      <c r="E64" s="1">
        <v>0.0</v>
      </c>
      <c r="F64" s="14">
        <v>0.0</v>
      </c>
      <c r="G64" s="14">
        <v>0.0</v>
      </c>
      <c r="H64" s="15">
        <v>45490.597291666665</v>
      </c>
      <c r="I64" s="1">
        <v>0.026</v>
      </c>
      <c r="J64" s="1">
        <v>19.54</v>
      </c>
      <c r="K64" s="1">
        <v>-0.005</v>
      </c>
      <c r="L64" s="1">
        <v>2.61</v>
      </c>
      <c r="M64" s="1">
        <v>1.0</v>
      </c>
      <c r="N64" s="3">
        <f t="shared" si="2"/>
        <v>0.026</v>
      </c>
      <c r="O64" s="16">
        <f t="shared" si="3"/>
        <v>-0.005</v>
      </c>
      <c r="P64" s="16">
        <f t="shared" si="22"/>
        <v>0.026</v>
      </c>
      <c r="Q64" s="17" t="s">
        <v>46</v>
      </c>
    </row>
    <row r="65">
      <c r="A65" s="1">
        <v>256.0</v>
      </c>
      <c r="B65" s="1">
        <v>51.0</v>
      </c>
      <c r="C65" s="1">
        <v>28.0</v>
      </c>
      <c r="D65" s="1" t="s">
        <v>53</v>
      </c>
      <c r="E65" s="1">
        <v>0.0</v>
      </c>
      <c r="F65" s="14">
        <v>0.0</v>
      </c>
      <c r="G65" s="14">
        <v>0.0</v>
      </c>
      <c r="H65" s="15">
        <v>45490.59810185185</v>
      </c>
      <c r="I65" s="1">
        <v>0.02</v>
      </c>
      <c r="J65" s="1">
        <v>16.48</v>
      </c>
      <c r="K65" s="1">
        <v>-0.005</v>
      </c>
      <c r="L65" s="1">
        <v>2.44</v>
      </c>
      <c r="M65" s="1">
        <v>1.0</v>
      </c>
      <c r="N65" s="3">
        <f t="shared" si="2"/>
        <v>0.02</v>
      </c>
      <c r="O65" s="16">
        <f t="shared" si="3"/>
        <v>-0.005</v>
      </c>
      <c r="P65" s="16">
        <f t="shared" si="22"/>
        <v>0.02</v>
      </c>
      <c r="Q65" s="17" t="s">
        <v>46</v>
      </c>
    </row>
    <row r="66">
      <c r="A66" s="1" t="s">
        <v>61</v>
      </c>
      <c r="B66" s="1">
        <v>52.0</v>
      </c>
      <c r="C66" s="1">
        <v>29.0</v>
      </c>
      <c r="D66" s="1" t="s">
        <v>55</v>
      </c>
      <c r="E66" s="1">
        <v>0.0</v>
      </c>
      <c r="F66" s="14">
        <v>0.0</v>
      </c>
      <c r="G66" s="14">
        <v>1.0</v>
      </c>
      <c r="H66" s="15">
        <v>45490.598912037036</v>
      </c>
      <c r="I66" s="1">
        <v>0.148</v>
      </c>
      <c r="J66" s="1">
        <v>82.28</v>
      </c>
      <c r="K66" s="1">
        <v>0.138</v>
      </c>
      <c r="L66" s="1">
        <v>60.86</v>
      </c>
      <c r="M66" s="1">
        <v>1.0</v>
      </c>
      <c r="N66" s="3">
        <f t="shared" si="2"/>
        <v>0.148</v>
      </c>
      <c r="O66" s="16">
        <f t="shared" si="3"/>
        <v>0.138</v>
      </c>
      <c r="P66" s="16">
        <f t="shared" si="22"/>
        <v>0.148</v>
      </c>
      <c r="Q66" s="16">
        <f t="shared" ref="Q66:Q68" si="23">O66</f>
        <v>0.138</v>
      </c>
    </row>
    <row r="67">
      <c r="A67" s="1" t="s">
        <v>56</v>
      </c>
      <c r="B67" s="1">
        <v>53.0</v>
      </c>
      <c r="C67" s="1">
        <v>908.0</v>
      </c>
      <c r="D67" s="1" t="s">
        <v>57</v>
      </c>
      <c r="E67" s="1">
        <v>0.0</v>
      </c>
      <c r="F67" s="14">
        <v>0.0</v>
      </c>
      <c r="G67" s="14">
        <v>0.0</v>
      </c>
      <c r="H67" s="15">
        <v>45490.59972222222</v>
      </c>
      <c r="I67" s="1">
        <v>0.167</v>
      </c>
      <c r="J67" s="1">
        <v>92.09</v>
      </c>
      <c r="K67" s="1">
        <v>0.026</v>
      </c>
      <c r="L67" s="1">
        <v>15.22</v>
      </c>
      <c r="M67" s="1">
        <v>1.0</v>
      </c>
      <c r="N67" s="3">
        <f t="shared" si="2"/>
        <v>0.167</v>
      </c>
      <c r="O67" s="16">
        <f t="shared" si="3"/>
        <v>0.026</v>
      </c>
      <c r="P67" s="16">
        <f t="shared" si="22"/>
        <v>0.167</v>
      </c>
      <c r="Q67" s="16">
        <f t="shared" si="23"/>
        <v>0.026</v>
      </c>
    </row>
    <row r="68">
      <c r="A68" s="1" t="s">
        <v>58</v>
      </c>
      <c r="B68" s="1">
        <v>54.0</v>
      </c>
      <c r="C68" s="1">
        <v>909.0</v>
      </c>
      <c r="D68" s="1" t="s">
        <v>57</v>
      </c>
      <c r="E68" s="1">
        <v>0.0</v>
      </c>
      <c r="F68" s="14">
        <v>0.0</v>
      </c>
      <c r="G68" s="14">
        <v>0.0</v>
      </c>
      <c r="H68" s="15">
        <v>45490.60053240741</v>
      </c>
      <c r="I68" s="1">
        <v>0.163</v>
      </c>
      <c r="J68" s="1">
        <v>89.78</v>
      </c>
      <c r="K68" s="1">
        <v>0.026</v>
      </c>
      <c r="L68" s="1">
        <v>15.27</v>
      </c>
      <c r="M68" s="1">
        <v>1.0</v>
      </c>
      <c r="N68" s="3">
        <f t="shared" si="2"/>
        <v>0.163</v>
      </c>
      <c r="O68" s="16">
        <f t="shared" si="3"/>
        <v>0.026</v>
      </c>
      <c r="P68" s="16">
        <f t="shared" si="22"/>
        <v>0.163</v>
      </c>
      <c r="Q68" s="16">
        <f t="shared" si="23"/>
        <v>0.026</v>
      </c>
    </row>
    <row r="69">
      <c r="A69" s="1" t="s">
        <v>47</v>
      </c>
      <c r="B69" s="1">
        <v>55.0</v>
      </c>
      <c r="C69" s="1">
        <v>0.0</v>
      </c>
      <c r="D69" s="1" t="s">
        <v>48</v>
      </c>
      <c r="E69" s="1">
        <v>0.0</v>
      </c>
      <c r="F69" s="14">
        <v>0.0</v>
      </c>
      <c r="G69" s="14">
        <v>0.0</v>
      </c>
      <c r="H69" s="15">
        <v>45490.60134259259</v>
      </c>
      <c r="I69" s="1">
        <v>-0.012</v>
      </c>
      <c r="J69" s="1">
        <v>0.0</v>
      </c>
      <c r="K69" s="1">
        <v>-0.011</v>
      </c>
      <c r="L69" s="1">
        <v>0.0</v>
      </c>
      <c r="M69" s="1">
        <v>1.0</v>
      </c>
      <c r="N69" s="3">
        <f t="shared" si="2"/>
        <v>-0.012</v>
      </c>
      <c r="O69" s="16">
        <f t="shared" si="3"/>
        <v>-0.011</v>
      </c>
      <c r="P69" s="17" t="s">
        <v>46</v>
      </c>
      <c r="Q69" s="17" t="s">
        <v>46</v>
      </c>
    </row>
    <row r="70">
      <c r="A70" s="1" t="s">
        <v>45</v>
      </c>
      <c r="B70" s="1">
        <v>56.0</v>
      </c>
      <c r="C70" s="1">
        <v>906.0</v>
      </c>
      <c r="D70" s="1" t="s">
        <v>53</v>
      </c>
      <c r="E70" s="1">
        <v>0.0</v>
      </c>
      <c r="F70" s="14">
        <v>0.0</v>
      </c>
      <c r="G70" s="14">
        <v>0.0</v>
      </c>
      <c r="H70" s="15">
        <v>45490.60377314815</v>
      </c>
      <c r="I70" s="1">
        <v>-0.006</v>
      </c>
      <c r="J70" s="1">
        <v>3.2</v>
      </c>
      <c r="K70" s="1">
        <v>-0.001</v>
      </c>
      <c r="L70" s="1">
        <v>4.02</v>
      </c>
      <c r="M70" s="1">
        <v>1.0</v>
      </c>
      <c r="N70" s="3">
        <f t="shared" si="2"/>
        <v>-0.006</v>
      </c>
      <c r="O70" s="16">
        <f t="shared" si="3"/>
        <v>-0.001</v>
      </c>
      <c r="P70" s="17" t="s">
        <v>46</v>
      </c>
      <c r="Q70" s="17" t="s">
        <v>46</v>
      </c>
    </row>
    <row r="71">
      <c r="A71" s="1" t="s">
        <v>45</v>
      </c>
      <c r="B71" s="1">
        <v>57.0</v>
      </c>
      <c r="C71" s="1">
        <v>906.0</v>
      </c>
      <c r="D71" s="1" t="s">
        <v>53</v>
      </c>
      <c r="E71" s="1">
        <v>0.0</v>
      </c>
      <c r="F71" s="14">
        <v>0.0</v>
      </c>
      <c r="G71" s="14">
        <v>0.0</v>
      </c>
      <c r="H71" s="15">
        <v>45490.604583333334</v>
      </c>
      <c r="I71" s="1">
        <v>-0.005</v>
      </c>
      <c r="J71" s="1">
        <v>3.59</v>
      </c>
      <c r="K71" s="1">
        <v>0.0</v>
      </c>
      <c r="L71" s="1">
        <v>4.33</v>
      </c>
      <c r="M71" s="1">
        <v>1.0</v>
      </c>
      <c r="N71" s="3">
        <f t="shared" si="2"/>
        <v>-0.005</v>
      </c>
      <c r="O71" s="16">
        <f t="shared" si="3"/>
        <v>0</v>
      </c>
      <c r="P71" s="17" t="s">
        <v>46</v>
      </c>
      <c r="Q71" s="17" t="s">
        <v>46</v>
      </c>
    </row>
    <row r="72">
      <c r="A72" s="1" t="s">
        <v>45</v>
      </c>
      <c r="B72" s="1">
        <v>58.0</v>
      </c>
      <c r="C72" s="1">
        <v>906.0</v>
      </c>
      <c r="D72" s="1" t="s">
        <v>53</v>
      </c>
      <c r="E72" s="1">
        <v>0.0</v>
      </c>
      <c r="F72" s="14">
        <v>0.0</v>
      </c>
      <c r="G72" s="14">
        <v>0.0</v>
      </c>
      <c r="H72" s="15">
        <v>45490.60539351852</v>
      </c>
      <c r="I72" s="1">
        <v>-0.005</v>
      </c>
      <c r="J72" s="1">
        <v>3.58</v>
      </c>
      <c r="K72" s="1">
        <v>-0.002</v>
      </c>
      <c r="L72" s="1">
        <v>3.89</v>
      </c>
      <c r="M72" s="1">
        <v>1.0</v>
      </c>
      <c r="N72" s="3">
        <f t="shared" si="2"/>
        <v>-0.005</v>
      </c>
      <c r="O72" s="16">
        <f t="shared" si="3"/>
        <v>-0.002</v>
      </c>
      <c r="P72" s="17" t="s">
        <v>46</v>
      </c>
      <c r="Q72" s="17" t="s">
        <v>46</v>
      </c>
    </row>
    <row r="73">
      <c r="A73" s="1" t="s">
        <v>45</v>
      </c>
      <c r="B73" s="1">
        <v>59.0</v>
      </c>
      <c r="C73" s="1">
        <v>906.0</v>
      </c>
      <c r="D73" s="1" t="s">
        <v>53</v>
      </c>
      <c r="E73" s="1">
        <v>0.0</v>
      </c>
      <c r="F73" s="14">
        <v>0.0</v>
      </c>
      <c r="G73" s="14">
        <v>0.0</v>
      </c>
      <c r="H73" s="15">
        <v>45490.606203703705</v>
      </c>
      <c r="I73" s="1">
        <v>-0.005</v>
      </c>
      <c r="J73" s="1">
        <v>3.64</v>
      </c>
      <c r="K73" s="1">
        <v>-0.001</v>
      </c>
      <c r="L73" s="1">
        <v>4.01</v>
      </c>
      <c r="M73" s="1">
        <v>1.0</v>
      </c>
      <c r="N73" s="3">
        <f t="shared" si="2"/>
        <v>-0.005</v>
      </c>
      <c r="O73" s="16">
        <f t="shared" si="3"/>
        <v>-0.001</v>
      </c>
      <c r="P73" s="17" t="s">
        <v>46</v>
      </c>
      <c r="Q73" s="17" t="s">
        <v>46</v>
      </c>
    </row>
    <row r="74">
      <c r="A74" s="1" t="s">
        <v>45</v>
      </c>
      <c r="B74" s="1">
        <v>60.0</v>
      </c>
      <c r="C74" s="1">
        <v>906.0</v>
      </c>
      <c r="D74" s="1" t="s">
        <v>53</v>
      </c>
      <c r="E74" s="1">
        <v>0.0</v>
      </c>
      <c r="F74" s="14">
        <v>0.0</v>
      </c>
      <c r="G74" s="14">
        <v>0.0</v>
      </c>
      <c r="H74" s="15">
        <v>45490.60701388889</v>
      </c>
      <c r="I74" s="1">
        <v>-0.005</v>
      </c>
      <c r="J74" s="1">
        <v>3.7</v>
      </c>
      <c r="K74" s="1">
        <v>-0.002</v>
      </c>
      <c r="L74" s="1">
        <v>3.91</v>
      </c>
      <c r="M74" s="1">
        <v>1.0</v>
      </c>
      <c r="N74" s="3">
        <f t="shared" si="2"/>
        <v>-0.005</v>
      </c>
      <c r="O74" s="16">
        <f t="shared" si="3"/>
        <v>-0.002</v>
      </c>
      <c r="P74" s="17" t="s">
        <v>46</v>
      </c>
      <c r="Q74" s="17" t="s">
        <v>46</v>
      </c>
    </row>
    <row r="75">
      <c r="A75" s="1" t="s">
        <v>45</v>
      </c>
      <c r="B75" s="1">
        <v>61.0</v>
      </c>
      <c r="C75" s="1">
        <v>906.0</v>
      </c>
      <c r="D75" s="1" t="s">
        <v>53</v>
      </c>
      <c r="E75" s="1">
        <v>0.0</v>
      </c>
      <c r="F75" s="14">
        <v>0.0</v>
      </c>
      <c r="G75" s="14">
        <v>0.0</v>
      </c>
      <c r="H75" s="15">
        <v>45490.607824074075</v>
      </c>
      <c r="I75" s="1">
        <v>-0.005</v>
      </c>
      <c r="J75" s="1">
        <v>3.76</v>
      </c>
      <c r="K75" s="1">
        <v>-0.002</v>
      </c>
      <c r="L75" s="1">
        <v>3.84</v>
      </c>
      <c r="M75" s="1">
        <v>1.0</v>
      </c>
      <c r="N75" s="3">
        <f t="shared" si="2"/>
        <v>-0.005</v>
      </c>
      <c r="O75" s="16">
        <f t="shared" si="3"/>
        <v>-0.002</v>
      </c>
      <c r="P75" s="17" t="s">
        <v>46</v>
      </c>
      <c r="Q75" s="17" t="s">
        <v>46</v>
      </c>
    </row>
    <row r="76">
      <c r="A76" s="1" t="s">
        <v>45</v>
      </c>
      <c r="B76" s="1">
        <v>62.0</v>
      </c>
      <c r="C76" s="1">
        <v>906.0</v>
      </c>
      <c r="D76" s="1" t="s">
        <v>53</v>
      </c>
      <c r="E76" s="1">
        <v>0.0</v>
      </c>
      <c r="F76" s="14">
        <v>0.0</v>
      </c>
      <c r="G76" s="14">
        <v>0.0</v>
      </c>
      <c r="H76" s="15">
        <v>45490.60863425926</v>
      </c>
      <c r="I76" s="1">
        <v>-0.005</v>
      </c>
      <c r="J76" s="1">
        <v>3.76</v>
      </c>
      <c r="K76" s="1">
        <v>-0.002</v>
      </c>
      <c r="L76" s="1">
        <v>3.86</v>
      </c>
      <c r="M76" s="1">
        <v>1.0</v>
      </c>
      <c r="N76" s="3">
        <f t="shared" si="2"/>
        <v>-0.005</v>
      </c>
      <c r="O76" s="16">
        <f t="shared" si="3"/>
        <v>-0.002</v>
      </c>
      <c r="P76" s="17" t="s">
        <v>46</v>
      </c>
      <c r="Q76" s="17" t="s">
        <v>46</v>
      </c>
    </row>
    <row r="77">
      <c r="A77" s="1" t="s">
        <v>45</v>
      </c>
      <c r="B77" s="1">
        <v>63.0</v>
      </c>
      <c r="C77" s="1">
        <v>906.0</v>
      </c>
      <c r="D77" s="1" t="s">
        <v>53</v>
      </c>
      <c r="E77" s="1">
        <v>0.0</v>
      </c>
      <c r="F77" s="14">
        <v>0.0</v>
      </c>
      <c r="G77" s="14">
        <v>0.0</v>
      </c>
      <c r="H77" s="15">
        <v>45490.609444444446</v>
      </c>
      <c r="I77" s="1">
        <v>-0.004</v>
      </c>
      <c r="J77" s="1">
        <v>3.96</v>
      </c>
      <c r="K77" s="1">
        <v>0.0</v>
      </c>
      <c r="L77" s="1">
        <v>4.38</v>
      </c>
      <c r="M77" s="1">
        <v>1.0</v>
      </c>
      <c r="N77" s="3">
        <f t="shared" si="2"/>
        <v>-0.004</v>
      </c>
      <c r="O77" s="16">
        <f t="shared" si="3"/>
        <v>0</v>
      </c>
      <c r="P77" s="17" t="s">
        <v>46</v>
      </c>
      <c r="Q77" s="17" t="s">
        <v>46</v>
      </c>
    </row>
    <row r="78">
      <c r="A78" s="1" t="s">
        <v>45</v>
      </c>
      <c r="B78" s="1">
        <v>64.0</v>
      </c>
      <c r="C78" s="1">
        <v>906.0</v>
      </c>
      <c r="D78" s="1" t="s">
        <v>53</v>
      </c>
      <c r="E78" s="1">
        <v>0.0</v>
      </c>
      <c r="F78" s="14">
        <v>0.0</v>
      </c>
      <c r="G78" s="14">
        <v>0.0</v>
      </c>
      <c r="H78" s="15">
        <v>45490.61025462963</v>
      </c>
      <c r="I78" s="1">
        <v>-0.004</v>
      </c>
      <c r="J78" s="1">
        <v>4.06</v>
      </c>
      <c r="K78" s="1">
        <v>-0.001</v>
      </c>
      <c r="L78" s="1">
        <v>4.22</v>
      </c>
      <c r="M78" s="1">
        <v>1.0</v>
      </c>
      <c r="N78" s="3">
        <f t="shared" si="2"/>
        <v>-0.004</v>
      </c>
      <c r="O78" s="16">
        <f t="shared" si="3"/>
        <v>-0.001</v>
      </c>
      <c r="P78" s="17" t="s">
        <v>46</v>
      </c>
      <c r="Q78" s="17" t="s">
        <v>46</v>
      </c>
    </row>
    <row r="79">
      <c r="A79" s="1" t="s">
        <v>45</v>
      </c>
      <c r="B79" s="1">
        <v>65.0</v>
      </c>
      <c r="C79" s="1">
        <v>906.0</v>
      </c>
      <c r="D79" s="1" t="s">
        <v>53</v>
      </c>
      <c r="E79" s="1">
        <v>0.0</v>
      </c>
      <c r="F79" s="14">
        <v>0.0</v>
      </c>
      <c r="G79" s="14">
        <v>0.0</v>
      </c>
      <c r="H79" s="15">
        <v>45490.61106481482</v>
      </c>
      <c r="I79" s="1">
        <v>-0.003</v>
      </c>
      <c r="J79" s="1">
        <v>4.53</v>
      </c>
      <c r="K79" s="1">
        <v>0.0</v>
      </c>
      <c r="L79" s="1">
        <v>4.34</v>
      </c>
      <c r="M79" s="1">
        <v>1.0</v>
      </c>
      <c r="N79" s="3">
        <f t="shared" si="2"/>
        <v>-0.003</v>
      </c>
      <c r="O79" s="16">
        <f t="shared" si="3"/>
        <v>0</v>
      </c>
      <c r="P79" s="17" t="s">
        <v>46</v>
      </c>
      <c r="Q79" s="17" t="s">
        <v>46</v>
      </c>
    </row>
    <row r="80">
      <c r="A80" s="1" t="s">
        <v>56</v>
      </c>
      <c r="B80" s="1">
        <v>66.0</v>
      </c>
      <c r="C80" s="1">
        <v>908.0</v>
      </c>
      <c r="D80" s="1" t="s">
        <v>57</v>
      </c>
      <c r="E80" s="1">
        <v>0.0</v>
      </c>
      <c r="F80" s="14">
        <v>0.0</v>
      </c>
      <c r="G80" s="14">
        <v>0.0</v>
      </c>
      <c r="H80" s="15">
        <v>45490.611875</v>
      </c>
      <c r="I80" s="1">
        <v>0.167</v>
      </c>
      <c r="J80" s="1">
        <v>92.04</v>
      </c>
      <c r="K80" s="1">
        <v>0.027</v>
      </c>
      <c r="L80" s="1">
        <v>15.68</v>
      </c>
      <c r="M80" s="1">
        <v>1.0</v>
      </c>
      <c r="N80" s="3">
        <f t="shared" si="2"/>
        <v>0.167</v>
      </c>
      <c r="O80" s="16">
        <f t="shared" si="3"/>
        <v>0.027</v>
      </c>
      <c r="P80" s="16">
        <f t="shared" ref="P80:Q80" si="24">N80</f>
        <v>0.167</v>
      </c>
      <c r="Q80" s="16">
        <f t="shared" si="24"/>
        <v>0.027</v>
      </c>
    </row>
    <row r="81">
      <c r="A81" s="1" t="s">
        <v>58</v>
      </c>
      <c r="B81" s="1">
        <v>67.0</v>
      </c>
      <c r="C81" s="1">
        <v>909.0</v>
      </c>
      <c r="D81" s="1" t="s">
        <v>57</v>
      </c>
      <c r="E81" s="1">
        <v>0.0</v>
      </c>
      <c r="F81" s="14">
        <v>0.0</v>
      </c>
      <c r="G81" s="14">
        <v>0.0</v>
      </c>
      <c r="H81" s="15">
        <v>45490.61268518519</v>
      </c>
      <c r="I81" s="1">
        <v>0.19</v>
      </c>
      <c r="J81" s="1">
        <v>103.95</v>
      </c>
      <c r="K81" s="1">
        <v>0.027</v>
      </c>
      <c r="L81" s="1">
        <v>15.38</v>
      </c>
      <c r="M81" s="1">
        <v>1.0</v>
      </c>
      <c r="N81" s="3">
        <f t="shared" si="2"/>
        <v>0.19</v>
      </c>
      <c r="O81" s="16">
        <f t="shared" si="3"/>
        <v>0.027</v>
      </c>
      <c r="P81" s="16">
        <f t="shared" ref="P81:Q81" si="25">N81</f>
        <v>0.19</v>
      </c>
      <c r="Q81" s="16">
        <f t="shared" si="25"/>
        <v>0.027</v>
      </c>
    </row>
    <row r="82">
      <c r="A82" s="1" t="s">
        <v>47</v>
      </c>
      <c r="B82" s="1">
        <v>68.0</v>
      </c>
      <c r="C82" s="1">
        <v>0.0</v>
      </c>
      <c r="D82" s="1" t="s">
        <v>48</v>
      </c>
      <c r="E82" s="1">
        <v>0.0</v>
      </c>
      <c r="F82" s="14">
        <v>0.0</v>
      </c>
      <c r="G82" s="14">
        <v>0.0</v>
      </c>
      <c r="H82" s="15">
        <v>45490.61349537037</v>
      </c>
      <c r="I82" s="1">
        <v>-0.012</v>
      </c>
      <c r="J82" s="1">
        <v>0.0</v>
      </c>
      <c r="K82" s="1">
        <v>-0.011</v>
      </c>
      <c r="L82" s="1">
        <v>0.0</v>
      </c>
      <c r="M82" s="1">
        <v>1.0</v>
      </c>
      <c r="N82" s="3">
        <f t="shared" si="2"/>
        <v>-0.012</v>
      </c>
      <c r="O82" s="16">
        <f t="shared" si="3"/>
        <v>-0.011</v>
      </c>
      <c r="P82" s="17" t="s">
        <v>46</v>
      </c>
      <c r="Q82" s="17" t="s">
        <v>46</v>
      </c>
    </row>
    <row r="83">
      <c r="A83" s="1" t="s">
        <v>40</v>
      </c>
      <c r="B83" s="1">
        <v>69.0</v>
      </c>
      <c r="C83" s="1">
        <v>921.0</v>
      </c>
      <c r="D83" s="1" t="s">
        <v>41</v>
      </c>
      <c r="E83" s="1">
        <v>0.0</v>
      </c>
      <c r="F83" s="14">
        <v>0.0</v>
      </c>
      <c r="G83" s="14">
        <v>0.0</v>
      </c>
      <c r="H83" s="15">
        <v>45490.61592592593</v>
      </c>
      <c r="I83" s="1">
        <v>0.208</v>
      </c>
      <c r="J83" s="1">
        <v>112.77</v>
      </c>
      <c r="K83" s="1">
        <v>0.2</v>
      </c>
      <c r="L83" s="1">
        <v>85.93</v>
      </c>
      <c r="M83" s="1">
        <v>1.0</v>
      </c>
      <c r="N83" s="3">
        <f t="shared" si="2"/>
        <v>0.208</v>
      </c>
      <c r="O83" s="16">
        <f t="shared" si="3"/>
        <v>0.2</v>
      </c>
      <c r="P83" s="16">
        <f t="shared" ref="P83:Q83" si="26">N83</f>
        <v>0.208</v>
      </c>
      <c r="Q83" s="16">
        <f t="shared" si="26"/>
        <v>0.2</v>
      </c>
    </row>
    <row r="84">
      <c r="A84" s="1" t="s">
        <v>62</v>
      </c>
      <c r="B84" s="1">
        <v>70.0</v>
      </c>
      <c r="C84" s="1">
        <v>0.0</v>
      </c>
      <c r="D84" s="1" t="s">
        <v>63</v>
      </c>
      <c r="E84" s="1">
        <v>0.0</v>
      </c>
      <c r="F84" s="14">
        <v>0.0</v>
      </c>
      <c r="G84" s="14">
        <v>0.0</v>
      </c>
      <c r="H84" s="15">
        <v>45490.616736111115</v>
      </c>
      <c r="I84" s="1">
        <v>-0.012</v>
      </c>
      <c r="J84" s="1">
        <v>0.0</v>
      </c>
      <c r="K84" s="1">
        <v>-0.011</v>
      </c>
      <c r="L84" s="1">
        <v>0.0</v>
      </c>
      <c r="M84" s="1">
        <v>1.0</v>
      </c>
      <c r="N84" s="3">
        <f t="shared" si="2"/>
        <v>-0.012</v>
      </c>
      <c r="O84" s="16">
        <f t="shared" si="3"/>
        <v>-0.011</v>
      </c>
      <c r="P84" s="17" t="s">
        <v>46</v>
      </c>
      <c r="Q84" s="17" t="s">
        <v>46</v>
      </c>
    </row>
    <row r="85">
      <c r="A85" s="18" t="s">
        <v>0</v>
      </c>
      <c r="B85" s="18" t="s">
        <v>1</v>
      </c>
      <c r="C85" s="18" t="s">
        <v>2</v>
      </c>
      <c r="D85" s="18" t="s">
        <v>64</v>
      </c>
      <c r="E85" s="18" t="s">
        <v>65</v>
      </c>
      <c r="F85" s="18" t="s">
        <v>66</v>
      </c>
      <c r="G85" s="18" t="s">
        <v>67</v>
      </c>
      <c r="H85" s="18" t="s">
        <v>68</v>
      </c>
      <c r="I85" s="18" t="s">
        <v>69</v>
      </c>
      <c r="J85" s="18" t="s">
        <v>70</v>
      </c>
      <c r="K85" s="18" t="s">
        <v>71</v>
      </c>
      <c r="L85" s="18" t="s">
        <v>72</v>
      </c>
      <c r="M85" s="18" t="s">
        <v>73</v>
      </c>
      <c r="N85" s="18" t="s">
        <v>74</v>
      </c>
      <c r="Q85" s="16" t="str">
        <f>O85</f>
        <v/>
      </c>
    </row>
    <row r="86">
      <c r="A86" s="19"/>
      <c r="B86" s="19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>
      <c r="A87" s="19"/>
      <c r="B87" s="21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>
      <c r="A88" s="19"/>
      <c r="B88" s="2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>
      <c r="A89" s="19"/>
      <c r="B89" s="19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>
      <c r="A90" s="19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>
      <c r="A91" s="19"/>
      <c r="B91" s="19"/>
      <c r="C91" s="19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>
      <c r="A92" s="19"/>
      <c r="B92" s="19"/>
      <c r="C92" s="19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>
      <c r="A93" s="19"/>
      <c r="B93" s="19"/>
      <c r="C93" s="19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>
      <c r="A94" s="19"/>
      <c r="B94" s="19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>
      <c r="A95" s="19"/>
      <c r="B95" s="20"/>
      <c r="C95" s="20"/>
      <c r="D95" s="20"/>
      <c r="E95" s="20"/>
      <c r="F95" s="20"/>
      <c r="G95" s="20"/>
      <c r="H95" s="20"/>
      <c r="I95" s="20"/>
      <c r="J95" s="19"/>
      <c r="K95" s="19"/>
      <c r="L95" s="20"/>
      <c r="M95" s="20"/>
      <c r="N95" s="20"/>
    </row>
    <row r="96">
      <c r="A96" s="19"/>
      <c r="B96" s="19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>
      <c r="A97" s="19"/>
      <c r="B97" s="19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>
      <c r="A98" s="19"/>
      <c r="B98" s="19"/>
      <c r="C98" s="19"/>
      <c r="D98" s="19"/>
      <c r="E98" s="19"/>
      <c r="F98" s="20"/>
      <c r="G98" s="20"/>
      <c r="H98" s="19"/>
      <c r="I98" s="19"/>
      <c r="J98" s="19"/>
      <c r="K98" s="19"/>
      <c r="L98" s="19"/>
      <c r="M98" s="19"/>
      <c r="N98" s="20"/>
    </row>
    <row r="99">
      <c r="A99" s="19"/>
      <c r="B99" s="19"/>
      <c r="C99" s="19"/>
      <c r="D99" s="19"/>
      <c r="E99" s="19"/>
      <c r="F99" s="23"/>
      <c r="G99" s="23"/>
      <c r="H99" s="24"/>
      <c r="I99" s="19"/>
      <c r="J99" s="19"/>
      <c r="K99" s="19"/>
      <c r="L99" s="19"/>
      <c r="M99" s="19"/>
      <c r="N99" s="20"/>
    </row>
    <row r="100">
      <c r="A100" s="19"/>
      <c r="B100" s="19"/>
      <c r="C100" s="19"/>
      <c r="D100" s="19"/>
      <c r="E100" s="19"/>
      <c r="F100" s="23"/>
      <c r="G100" s="23"/>
      <c r="H100" s="24"/>
      <c r="I100" s="19"/>
      <c r="J100" s="19"/>
      <c r="K100" s="19"/>
      <c r="L100" s="19"/>
      <c r="M100" s="19"/>
      <c r="N100" s="20"/>
    </row>
    <row r="101">
      <c r="A101" s="19"/>
      <c r="B101" s="19"/>
      <c r="C101" s="19"/>
      <c r="D101" s="19"/>
      <c r="E101" s="19"/>
      <c r="F101" s="23"/>
      <c r="G101" s="23"/>
      <c r="H101" s="24"/>
      <c r="I101" s="19"/>
      <c r="J101" s="19"/>
      <c r="K101" s="19"/>
      <c r="L101" s="19"/>
      <c r="M101" s="19"/>
      <c r="N101" s="20"/>
    </row>
    <row r="102">
      <c r="A102" s="19"/>
      <c r="B102" s="19"/>
      <c r="C102" s="19"/>
      <c r="D102" s="19"/>
      <c r="E102" s="19"/>
      <c r="F102" s="23"/>
      <c r="G102" s="23"/>
      <c r="H102" s="24"/>
      <c r="I102" s="19"/>
      <c r="J102" s="19"/>
      <c r="K102" s="19"/>
      <c r="L102" s="19"/>
      <c r="M102" s="19"/>
      <c r="N102" s="20"/>
    </row>
    <row r="103">
      <c r="A103" s="19"/>
      <c r="B103" s="19"/>
      <c r="C103" s="19"/>
      <c r="D103" s="19"/>
      <c r="E103" s="19"/>
      <c r="F103" s="23"/>
      <c r="G103" s="23"/>
      <c r="H103" s="24"/>
      <c r="I103" s="19"/>
      <c r="J103" s="19"/>
      <c r="K103" s="19"/>
      <c r="L103" s="19"/>
      <c r="M103" s="19"/>
      <c r="N103" s="20"/>
    </row>
    <row r="104">
      <c r="A104" s="19"/>
      <c r="B104" s="19"/>
      <c r="C104" s="19"/>
      <c r="D104" s="19"/>
      <c r="E104" s="19"/>
      <c r="F104" s="23"/>
      <c r="G104" s="23"/>
      <c r="H104" s="24"/>
      <c r="I104" s="19"/>
      <c r="J104" s="19"/>
      <c r="K104" s="19"/>
      <c r="L104" s="19"/>
      <c r="M104" s="19"/>
      <c r="N104" s="20"/>
    </row>
    <row r="105">
      <c r="A105" s="19"/>
      <c r="B105" s="19"/>
      <c r="C105" s="19"/>
      <c r="D105" s="19"/>
      <c r="E105" s="19"/>
      <c r="F105" s="23"/>
      <c r="G105" s="23"/>
      <c r="H105" s="24"/>
      <c r="I105" s="19"/>
      <c r="J105" s="19"/>
      <c r="K105" s="19"/>
      <c r="L105" s="19"/>
      <c r="M105" s="19"/>
      <c r="N105" s="20"/>
    </row>
    <row r="106">
      <c r="A106" s="19"/>
      <c r="B106" s="19"/>
      <c r="C106" s="19"/>
      <c r="D106" s="19"/>
      <c r="E106" s="19"/>
      <c r="F106" s="23"/>
      <c r="G106" s="23"/>
      <c r="H106" s="24"/>
      <c r="I106" s="19"/>
      <c r="J106" s="19"/>
      <c r="K106" s="19"/>
      <c r="L106" s="19"/>
      <c r="M106" s="19"/>
      <c r="N106" s="20"/>
    </row>
    <row r="107">
      <c r="A107" s="19"/>
      <c r="B107" s="19"/>
      <c r="C107" s="19"/>
      <c r="D107" s="19"/>
      <c r="E107" s="19"/>
      <c r="F107" s="23"/>
      <c r="G107" s="23"/>
      <c r="H107" s="24"/>
      <c r="I107" s="19"/>
      <c r="J107" s="19"/>
      <c r="K107" s="19"/>
      <c r="L107" s="19"/>
      <c r="M107" s="19"/>
      <c r="N107" s="20"/>
    </row>
    <row r="108">
      <c r="A108" s="19"/>
      <c r="B108" s="19"/>
      <c r="C108" s="19"/>
      <c r="D108" s="19"/>
      <c r="E108" s="19"/>
      <c r="F108" s="23"/>
      <c r="G108" s="23"/>
      <c r="H108" s="24"/>
      <c r="I108" s="19"/>
      <c r="J108" s="19"/>
      <c r="K108" s="19"/>
      <c r="L108" s="19"/>
      <c r="M108" s="19"/>
      <c r="N108" s="20"/>
    </row>
    <row r="109">
      <c r="A109" s="19"/>
      <c r="B109" s="19"/>
      <c r="C109" s="19"/>
      <c r="D109" s="19"/>
      <c r="E109" s="19"/>
      <c r="F109" s="23"/>
      <c r="G109" s="23"/>
      <c r="H109" s="24"/>
      <c r="I109" s="19"/>
      <c r="J109" s="19"/>
      <c r="K109" s="19"/>
      <c r="L109" s="19"/>
      <c r="M109" s="19"/>
      <c r="N109" s="20"/>
    </row>
    <row r="110">
      <c r="A110" s="19"/>
      <c r="B110" s="19"/>
      <c r="C110" s="19"/>
      <c r="D110" s="19"/>
      <c r="E110" s="19"/>
      <c r="F110" s="23"/>
      <c r="G110" s="23"/>
      <c r="H110" s="24"/>
      <c r="I110" s="19"/>
      <c r="J110" s="19"/>
      <c r="K110" s="19"/>
      <c r="L110" s="19"/>
      <c r="M110" s="19"/>
      <c r="N110" s="20"/>
    </row>
    <row r="111">
      <c r="A111" s="19"/>
      <c r="B111" s="19"/>
      <c r="C111" s="19"/>
      <c r="D111" s="19"/>
      <c r="E111" s="19"/>
      <c r="F111" s="23"/>
      <c r="G111" s="23"/>
      <c r="H111" s="24"/>
      <c r="I111" s="19"/>
      <c r="J111" s="19"/>
      <c r="K111" s="19"/>
      <c r="L111" s="19"/>
      <c r="M111" s="19"/>
      <c r="N111" s="20"/>
    </row>
    <row r="112">
      <c r="A112" s="19"/>
      <c r="B112" s="19"/>
      <c r="C112" s="19"/>
      <c r="D112" s="19"/>
      <c r="E112" s="19"/>
      <c r="F112" s="23"/>
      <c r="G112" s="23"/>
      <c r="H112" s="24"/>
      <c r="I112" s="19"/>
      <c r="J112" s="19"/>
      <c r="K112" s="19"/>
      <c r="L112" s="19"/>
      <c r="M112" s="19"/>
      <c r="N112" s="20"/>
    </row>
    <row r="113">
      <c r="A113" s="19"/>
      <c r="B113" s="19"/>
      <c r="C113" s="19"/>
      <c r="D113" s="19"/>
      <c r="E113" s="19"/>
      <c r="F113" s="23"/>
      <c r="G113" s="23"/>
      <c r="H113" s="24"/>
      <c r="I113" s="19"/>
      <c r="J113" s="19"/>
      <c r="K113" s="19"/>
      <c r="L113" s="19"/>
      <c r="M113" s="19"/>
      <c r="N113" s="20"/>
    </row>
    <row r="114">
      <c r="A114" s="19"/>
      <c r="B114" s="19"/>
      <c r="C114" s="19"/>
      <c r="D114" s="19"/>
      <c r="E114" s="19"/>
      <c r="F114" s="23"/>
      <c r="G114" s="23"/>
      <c r="H114" s="24"/>
      <c r="I114" s="19"/>
      <c r="J114" s="19"/>
      <c r="K114" s="19"/>
      <c r="L114" s="19"/>
      <c r="M114" s="19"/>
      <c r="N114" s="20"/>
    </row>
    <row r="115">
      <c r="A115" s="19"/>
      <c r="B115" s="19"/>
      <c r="C115" s="19"/>
      <c r="D115" s="19"/>
      <c r="E115" s="19"/>
      <c r="F115" s="23"/>
      <c r="G115" s="23"/>
      <c r="H115" s="24"/>
      <c r="I115" s="19"/>
      <c r="J115" s="19"/>
      <c r="K115" s="19"/>
      <c r="L115" s="19"/>
      <c r="M115" s="19"/>
      <c r="N115" s="20"/>
    </row>
    <row r="116">
      <c r="A116" s="19"/>
      <c r="B116" s="19"/>
      <c r="C116" s="19"/>
      <c r="D116" s="19"/>
      <c r="E116" s="19"/>
      <c r="F116" s="23"/>
      <c r="G116" s="23"/>
      <c r="H116" s="24"/>
      <c r="I116" s="19"/>
      <c r="J116" s="19"/>
      <c r="K116" s="19"/>
      <c r="L116" s="19"/>
      <c r="M116" s="19"/>
      <c r="N116" s="20"/>
    </row>
    <row r="117">
      <c r="A117" s="19"/>
      <c r="B117" s="19"/>
      <c r="C117" s="19"/>
      <c r="D117" s="19"/>
      <c r="E117" s="19"/>
      <c r="F117" s="23"/>
      <c r="G117" s="23"/>
      <c r="H117" s="24"/>
      <c r="I117" s="19"/>
      <c r="J117" s="19"/>
      <c r="K117" s="19"/>
      <c r="L117" s="19"/>
      <c r="M117" s="19"/>
      <c r="N117" s="20"/>
    </row>
    <row r="118">
      <c r="A118" s="19"/>
      <c r="B118" s="19"/>
      <c r="C118" s="19"/>
      <c r="D118" s="19"/>
      <c r="E118" s="19"/>
      <c r="F118" s="23"/>
      <c r="G118" s="23"/>
      <c r="H118" s="24"/>
      <c r="I118" s="19"/>
      <c r="J118" s="19"/>
      <c r="K118" s="19"/>
      <c r="L118" s="19"/>
      <c r="M118" s="19"/>
      <c r="N118" s="20"/>
    </row>
    <row r="119">
      <c r="A119" s="19"/>
      <c r="B119" s="19"/>
      <c r="C119" s="19"/>
      <c r="D119" s="19"/>
      <c r="E119" s="19"/>
      <c r="F119" s="23"/>
      <c r="G119" s="23"/>
      <c r="H119" s="24"/>
      <c r="I119" s="19"/>
      <c r="J119" s="19"/>
      <c r="K119" s="19"/>
      <c r="L119" s="19"/>
      <c r="M119" s="19"/>
      <c r="N119" s="20"/>
    </row>
    <row r="120">
      <c r="A120" s="19"/>
      <c r="B120" s="19"/>
      <c r="C120" s="19"/>
      <c r="D120" s="19"/>
      <c r="E120" s="19"/>
      <c r="F120" s="23"/>
      <c r="G120" s="23"/>
      <c r="H120" s="24"/>
      <c r="I120" s="19"/>
      <c r="J120" s="19"/>
      <c r="K120" s="19"/>
      <c r="L120" s="19"/>
      <c r="M120" s="19"/>
      <c r="N120" s="20"/>
    </row>
    <row r="121">
      <c r="A121" s="19"/>
      <c r="B121" s="19"/>
      <c r="C121" s="19"/>
      <c r="D121" s="19"/>
      <c r="E121" s="19"/>
      <c r="F121" s="23"/>
      <c r="G121" s="23"/>
      <c r="H121" s="24"/>
      <c r="I121" s="19"/>
      <c r="J121" s="19"/>
      <c r="K121" s="19"/>
      <c r="L121" s="19"/>
      <c r="M121" s="19"/>
      <c r="N121" s="20"/>
    </row>
    <row r="122">
      <c r="A122" s="19"/>
      <c r="B122" s="19"/>
      <c r="C122" s="19"/>
      <c r="D122" s="19"/>
      <c r="E122" s="19"/>
      <c r="F122" s="23"/>
      <c r="G122" s="23"/>
      <c r="H122" s="24"/>
      <c r="I122" s="19"/>
      <c r="J122" s="19"/>
      <c r="K122" s="19"/>
      <c r="L122" s="19"/>
      <c r="M122" s="19"/>
      <c r="N122" s="20"/>
    </row>
    <row r="123">
      <c r="A123" s="19"/>
      <c r="B123" s="19"/>
      <c r="C123" s="19"/>
      <c r="D123" s="19"/>
      <c r="E123" s="19"/>
      <c r="F123" s="23"/>
      <c r="G123" s="23"/>
      <c r="H123" s="24"/>
      <c r="I123" s="19"/>
      <c r="J123" s="19"/>
      <c r="K123" s="19"/>
      <c r="L123" s="19"/>
      <c r="M123" s="19"/>
      <c r="N123" s="20"/>
    </row>
    <row r="124">
      <c r="A124" s="19"/>
      <c r="B124" s="19"/>
      <c r="C124" s="19"/>
      <c r="D124" s="19"/>
      <c r="E124" s="19"/>
      <c r="F124" s="23"/>
      <c r="G124" s="23"/>
      <c r="H124" s="24"/>
      <c r="I124" s="19"/>
      <c r="J124" s="19"/>
      <c r="K124" s="19"/>
      <c r="L124" s="19"/>
      <c r="M124" s="19"/>
      <c r="N124" s="20"/>
    </row>
    <row r="125">
      <c r="A125" s="19"/>
      <c r="B125" s="19"/>
      <c r="C125" s="19"/>
      <c r="D125" s="19"/>
      <c r="E125" s="19"/>
      <c r="F125" s="23"/>
      <c r="G125" s="23"/>
      <c r="H125" s="24"/>
      <c r="I125" s="19"/>
      <c r="J125" s="19"/>
      <c r="K125" s="19"/>
      <c r="L125" s="19"/>
      <c r="M125" s="19"/>
      <c r="N125" s="20"/>
    </row>
    <row r="126">
      <c r="A126" s="19"/>
      <c r="B126" s="19"/>
      <c r="C126" s="19"/>
      <c r="D126" s="19"/>
      <c r="E126" s="19"/>
      <c r="F126" s="23"/>
      <c r="G126" s="23"/>
      <c r="H126" s="24"/>
      <c r="I126" s="19"/>
      <c r="J126" s="19"/>
      <c r="K126" s="19"/>
      <c r="L126" s="19"/>
      <c r="M126" s="19"/>
      <c r="N126" s="20"/>
    </row>
    <row r="127">
      <c r="A127" s="19"/>
      <c r="B127" s="19"/>
      <c r="C127" s="19"/>
      <c r="D127" s="19"/>
      <c r="E127" s="19"/>
      <c r="F127" s="23"/>
      <c r="G127" s="23"/>
      <c r="H127" s="24"/>
      <c r="I127" s="19"/>
      <c r="J127" s="19"/>
      <c r="K127" s="19"/>
      <c r="L127" s="19"/>
      <c r="M127" s="19"/>
      <c r="N127" s="20"/>
    </row>
    <row r="128">
      <c r="A128" s="19"/>
      <c r="B128" s="19"/>
      <c r="C128" s="19"/>
      <c r="D128" s="19"/>
      <c r="E128" s="19"/>
      <c r="F128" s="23"/>
      <c r="G128" s="23"/>
      <c r="H128" s="24"/>
      <c r="I128" s="19"/>
      <c r="J128" s="19"/>
      <c r="K128" s="19"/>
      <c r="L128" s="19"/>
      <c r="M128" s="19"/>
      <c r="N128" s="20"/>
    </row>
    <row r="129">
      <c r="A129" s="19"/>
      <c r="B129" s="19"/>
      <c r="C129" s="19"/>
      <c r="D129" s="19"/>
      <c r="E129" s="19"/>
      <c r="F129" s="23"/>
      <c r="G129" s="23"/>
      <c r="H129" s="24"/>
      <c r="I129" s="19"/>
      <c r="J129" s="19"/>
      <c r="K129" s="19"/>
      <c r="L129" s="19"/>
      <c r="M129" s="19"/>
      <c r="N129" s="20"/>
    </row>
    <row r="130">
      <c r="A130" s="19"/>
      <c r="B130" s="19"/>
      <c r="C130" s="19"/>
      <c r="D130" s="19"/>
      <c r="E130" s="19"/>
      <c r="F130" s="23"/>
      <c r="G130" s="23"/>
      <c r="H130" s="24"/>
      <c r="I130" s="19"/>
      <c r="J130" s="19"/>
      <c r="K130" s="19"/>
      <c r="L130" s="19"/>
      <c r="M130" s="19"/>
      <c r="N130" s="20"/>
    </row>
    <row r="131">
      <c r="A131" s="19"/>
      <c r="B131" s="19"/>
      <c r="C131" s="19"/>
      <c r="D131" s="19"/>
      <c r="E131" s="19"/>
      <c r="F131" s="23"/>
      <c r="G131" s="23"/>
      <c r="H131" s="24"/>
      <c r="I131" s="19"/>
      <c r="J131" s="19"/>
      <c r="K131" s="19"/>
      <c r="L131" s="19"/>
      <c r="M131" s="19"/>
      <c r="N131" s="20"/>
    </row>
    <row r="132">
      <c r="A132" s="19"/>
      <c r="B132" s="19"/>
      <c r="C132" s="19"/>
      <c r="D132" s="19"/>
      <c r="E132" s="19"/>
      <c r="F132" s="23"/>
      <c r="G132" s="23"/>
      <c r="H132" s="24"/>
      <c r="I132" s="19"/>
      <c r="J132" s="19"/>
      <c r="K132" s="19"/>
      <c r="L132" s="19"/>
      <c r="M132" s="19"/>
      <c r="N132" s="20"/>
    </row>
    <row r="133">
      <c r="A133" s="19"/>
      <c r="B133" s="19"/>
      <c r="C133" s="19"/>
      <c r="D133" s="19"/>
      <c r="E133" s="19"/>
      <c r="F133" s="23"/>
      <c r="G133" s="23"/>
      <c r="H133" s="24"/>
      <c r="I133" s="19"/>
      <c r="J133" s="19"/>
      <c r="K133" s="19"/>
      <c r="L133" s="19"/>
      <c r="M133" s="19"/>
      <c r="N133" s="20"/>
    </row>
    <row r="134">
      <c r="A134" s="19"/>
      <c r="B134" s="19"/>
      <c r="C134" s="19"/>
      <c r="D134" s="19"/>
      <c r="E134" s="19"/>
      <c r="F134" s="23"/>
      <c r="G134" s="23"/>
      <c r="H134" s="24"/>
      <c r="I134" s="19"/>
      <c r="J134" s="19"/>
      <c r="K134" s="19"/>
      <c r="L134" s="19"/>
      <c r="M134" s="19"/>
      <c r="N134" s="20"/>
    </row>
    <row r="135">
      <c r="A135" s="19"/>
      <c r="B135" s="19"/>
      <c r="C135" s="19"/>
      <c r="D135" s="19"/>
      <c r="E135" s="19"/>
      <c r="F135" s="23"/>
      <c r="G135" s="23"/>
      <c r="H135" s="24"/>
      <c r="I135" s="19"/>
      <c r="J135" s="19"/>
      <c r="K135" s="19"/>
      <c r="L135" s="19"/>
      <c r="M135" s="19"/>
      <c r="N135" s="20"/>
    </row>
    <row r="136">
      <c r="A136" s="19"/>
      <c r="B136" s="19"/>
      <c r="C136" s="19"/>
      <c r="D136" s="19"/>
      <c r="E136" s="19"/>
      <c r="F136" s="23"/>
      <c r="G136" s="23"/>
      <c r="H136" s="24"/>
      <c r="I136" s="19"/>
      <c r="J136" s="19"/>
      <c r="K136" s="19"/>
      <c r="L136" s="19"/>
      <c r="M136" s="19"/>
      <c r="N136" s="20"/>
    </row>
    <row r="137">
      <c r="A137" s="19"/>
      <c r="B137" s="19"/>
      <c r="C137" s="19"/>
      <c r="D137" s="19"/>
      <c r="E137" s="19"/>
      <c r="F137" s="23"/>
      <c r="G137" s="23"/>
      <c r="H137" s="24"/>
      <c r="I137" s="19"/>
      <c r="J137" s="19"/>
      <c r="K137" s="19"/>
      <c r="L137" s="19"/>
      <c r="M137" s="19"/>
      <c r="N137" s="20"/>
    </row>
    <row r="138">
      <c r="A138" s="19"/>
      <c r="B138" s="19"/>
      <c r="C138" s="19"/>
      <c r="D138" s="19"/>
      <c r="E138" s="19"/>
      <c r="F138" s="23"/>
      <c r="G138" s="23"/>
      <c r="H138" s="24"/>
      <c r="I138" s="19"/>
      <c r="J138" s="19"/>
      <c r="K138" s="19"/>
      <c r="L138" s="19"/>
      <c r="M138" s="19"/>
      <c r="N138" s="20"/>
    </row>
    <row r="139">
      <c r="A139" s="19"/>
      <c r="B139" s="19"/>
      <c r="C139" s="19"/>
      <c r="D139" s="19"/>
      <c r="E139" s="19"/>
      <c r="F139" s="23"/>
      <c r="G139" s="23"/>
      <c r="H139" s="24"/>
      <c r="I139" s="19"/>
      <c r="J139" s="19"/>
      <c r="K139" s="19"/>
      <c r="L139" s="19"/>
      <c r="M139" s="19"/>
      <c r="N139" s="20"/>
    </row>
    <row r="140">
      <c r="A140" s="19"/>
      <c r="B140" s="19"/>
      <c r="C140" s="19"/>
      <c r="D140" s="19"/>
      <c r="E140" s="19"/>
      <c r="F140" s="23"/>
      <c r="G140" s="23"/>
      <c r="H140" s="24"/>
      <c r="I140" s="19"/>
      <c r="J140" s="19"/>
      <c r="K140" s="19"/>
      <c r="L140" s="19"/>
      <c r="M140" s="19"/>
      <c r="N140" s="20"/>
    </row>
    <row r="141">
      <c r="A141" s="19"/>
      <c r="B141" s="19"/>
      <c r="C141" s="19"/>
      <c r="D141" s="19"/>
      <c r="E141" s="19"/>
      <c r="F141" s="23"/>
      <c r="G141" s="23"/>
      <c r="H141" s="24"/>
      <c r="I141" s="19"/>
      <c r="J141" s="19"/>
      <c r="K141" s="19"/>
      <c r="L141" s="19"/>
      <c r="M141" s="19"/>
      <c r="N141" s="20"/>
    </row>
    <row r="142">
      <c r="A142" s="19"/>
      <c r="B142" s="19"/>
      <c r="C142" s="19"/>
      <c r="D142" s="19"/>
      <c r="E142" s="19"/>
      <c r="F142" s="23"/>
      <c r="G142" s="23"/>
      <c r="H142" s="24"/>
      <c r="I142" s="19"/>
      <c r="J142" s="19"/>
      <c r="K142" s="19"/>
      <c r="L142" s="19"/>
      <c r="M142" s="19"/>
      <c r="N142" s="20"/>
    </row>
    <row r="143">
      <c r="A143" s="19"/>
      <c r="B143" s="19"/>
      <c r="C143" s="19"/>
      <c r="D143" s="19"/>
      <c r="E143" s="19"/>
      <c r="F143" s="23"/>
      <c r="G143" s="23"/>
      <c r="H143" s="24"/>
      <c r="I143" s="19"/>
      <c r="J143" s="19"/>
      <c r="K143" s="19"/>
      <c r="L143" s="19"/>
      <c r="M143" s="19"/>
      <c r="N143" s="20"/>
    </row>
    <row r="144">
      <c r="A144" s="19"/>
      <c r="B144" s="19"/>
      <c r="C144" s="19"/>
      <c r="D144" s="19"/>
      <c r="E144" s="19"/>
      <c r="F144" s="23"/>
      <c r="G144" s="23"/>
      <c r="H144" s="24"/>
      <c r="I144" s="19"/>
      <c r="J144" s="19"/>
      <c r="K144" s="19"/>
      <c r="L144" s="19"/>
      <c r="M144" s="19"/>
      <c r="N144" s="20"/>
    </row>
    <row r="145">
      <c r="A145" s="19"/>
      <c r="B145" s="19"/>
      <c r="C145" s="19"/>
      <c r="D145" s="19"/>
      <c r="E145" s="19"/>
      <c r="F145" s="23"/>
      <c r="G145" s="23"/>
      <c r="H145" s="24"/>
      <c r="I145" s="19"/>
      <c r="J145" s="19"/>
      <c r="K145" s="19"/>
      <c r="L145" s="19"/>
      <c r="M145" s="19"/>
      <c r="N145" s="20"/>
    </row>
    <row r="146">
      <c r="A146" s="19"/>
      <c r="B146" s="19"/>
      <c r="C146" s="19"/>
      <c r="D146" s="19"/>
      <c r="E146" s="19"/>
      <c r="F146" s="23"/>
      <c r="G146" s="23"/>
      <c r="H146" s="24"/>
      <c r="I146" s="19"/>
      <c r="J146" s="19"/>
      <c r="K146" s="19"/>
      <c r="L146" s="19"/>
      <c r="M146" s="19"/>
      <c r="N146" s="20"/>
    </row>
    <row r="147">
      <c r="A147" s="19"/>
      <c r="B147" s="19"/>
      <c r="C147" s="19"/>
      <c r="D147" s="19"/>
      <c r="E147" s="19"/>
      <c r="F147" s="23"/>
      <c r="G147" s="23"/>
      <c r="H147" s="24"/>
      <c r="I147" s="19"/>
      <c r="J147" s="19"/>
      <c r="K147" s="19"/>
      <c r="L147" s="19"/>
      <c r="M147" s="19"/>
      <c r="N147" s="20"/>
    </row>
    <row r="148">
      <c r="A148" s="19"/>
      <c r="B148" s="19"/>
      <c r="C148" s="19"/>
      <c r="D148" s="19"/>
      <c r="E148" s="19"/>
      <c r="F148" s="23"/>
      <c r="G148" s="23"/>
      <c r="H148" s="24"/>
      <c r="I148" s="19"/>
      <c r="J148" s="19"/>
      <c r="K148" s="19"/>
      <c r="L148" s="19"/>
      <c r="M148" s="19"/>
      <c r="N148" s="20"/>
    </row>
    <row r="149">
      <c r="A149" s="19"/>
      <c r="B149" s="19"/>
      <c r="C149" s="19"/>
      <c r="D149" s="19"/>
      <c r="E149" s="19"/>
      <c r="F149" s="23"/>
      <c r="G149" s="23"/>
      <c r="H149" s="24"/>
      <c r="I149" s="19"/>
      <c r="J149" s="19"/>
      <c r="K149" s="19"/>
      <c r="L149" s="19"/>
      <c r="M149" s="19"/>
      <c r="N149" s="20"/>
    </row>
    <row r="150">
      <c r="A150" s="19"/>
      <c r="B150" s="19"/>
      <c r="C150" s="19"/>
      <c r="D150" s="19"/>
      <c r="E150" s="19"/>
      <c r="F150" s="23"/>
      <c r="G150" s="23"/>
      <c r="H150" s="24"/>
      <c r="I150" s="19"/>
      <c r="J150" s="19"/>
      <c r="K150" s="19"/>
      <c r="L150" s="19"/>
      <c r="M150" s="19"/>
      <c r="N150" s="20"/>
    </row>
    <row r="151">
      <c r="A151" s="19"/>
      <c r="B151" s="19"/>
      <c r="C151" s="19"/>
      <c r="D151" s="19"/>
      <c r="E151" s="19"/>
      <c r="F151" s="23"/>
      <c r="G151" s="23"/>
      <c r="H151" s="24"/>
      <c r="I151" s="19"/>
      <c r="J151" s="19"/>
      <c r="K151" s="19"/>
      <c r="L151" s="19"/>
      <c r="M151" s="19"/>
      <c r="N151" s="20"/>
    </row>
    <row r="152">
      <c r="A152" s="19"/>
      <c r="B152" s="19"/>
      <c r="C152" s="19"/>
      <c r="D152" s="19"/>
      <c r="E152" s="19"/>
      <c r="F152" s="23"/>
      <c r="G152" s="23"/>
      <c r="H152" s="24"/>
      <c r="I152" s="19"/>
      <c r="J152" s="19"/>
      <c r="K152" s="19"/>
      <c r="L152" s="19"/>
      <c r="M152" s="19"/>
      <c r="N152" s="20"/>
    </row>
    <row r="153">
      <c r="A153" s="19"/>
      <c r="B153" s="19"/>
      <c r="C153" s="19"/>
      <c r="D153" s="19"/>
      <c r="E153" s="19"/>
      <c r="F153" s="23"/>
      <c r="G153" s="23"/>
      <c r="H153" s="24"/>
      <c r="I153" s="19"/>
      <c r="J153" s="19"/>
      <c r="K153" s="19"/>
      <c r="L153" s="19"/>
      <c r="M153" s="19"/>
      <c r="N153" s="20"/>
    </row>
    <row r="154">
      <c r="A154" s="19"/>
      <c r="B154" s="19"/>
      <c r="C154" s="19"/>
      <c r="D154" s="19"/>
      <c r="E154" s="19"/>
      <c r="F154" s="23"/>
      <c r="G154" s="23"/>
      <c r="H154" s="24"/>
      <c r="I154" s="19"/>
      <c r="J154" s="19"/>
      <c r="K154" s="19"/>
      <c r="L154" s="19"/>
      <c r="M154" s="19"/>
      <c r="N154" s="20"/>
    </row>
    <row r="155">
      <c r="A155" s="19"/>
      <c r="B155" s="19"/>
      <c r="C155" s="19"/>
      <c r="D155" s="19"/>
      <c r="E155" s="19"/>
      <c r="F155" s="23"/>
      <c r="G155" s="23"/>
      <c r="H155" s="24"/>
      <c r="I155" s="19"/>
      <c r="J155" s="19"/>
      <c r="K155" s="19"/>
      <c r="L155" s="19"/>
      <c r="M155" s="19"/>
      <c r="N155" s="20"/>
    </row>
    <row r="156">
      <c r="A156" s="19"/>
      <c r="B156" s="19"/>
      <c r="C156" s="19"/>
      <c r="D156" s="19"/>
      <c r="E156" s="19"/>
      <c r="F156" s="23"/>
      <c r="G156" s="23"/>
      <c r="H156" s="24"/>
      <c r="I156" s="19"/>
      <c r="J156" s="19"/>
      <c r="K156" s="19"/>
      <c r="L156" s="19"/>
      <c r="M156" s="19"/>
      <c r="N156" s="20"/>
    </row>
    <row r="157">
      <c r="A157" s="19"/>
      <c r="B157" s="19"/>
      <c r="C157" s="19"/>
      <c r="D157" s="19"/>
      <c r="E157" s="19"/>
      <c r="F157" s="23"/>
      <c r="G157" s="23"/>
      <c r="H157" s="24"/>
      <c r="I157" s="19"/>
      <c r="J157" s="19"/>
      <c r="K157" s="19"/>
      <c r="L157" s="19"/>
      <c r="M157" s="19"/>
      <c r="N157" s="20"/>
    </row>
    <row r="158">
      <c r="A158" s="19"/>
      <c r="B158" s="19"/>
      <c r="C158" s="19"/>
      <c r="D158" s="19"/>
      <c r="E158" s="19"/>
      <c r="F158" s="23"/>
      <c r="G158" s="23"/>
      <c r="H158" s="24"/>
      <c r="I158" s="19"/>
      <c r="J158" s="19"/>
      <c r="K158" s="19"/>
      <c r="L158" s="19"/>
      <c r="M158" s="19"/>
      <c r="N158" s="20"/>
    </row>
    <row r="159">
      <c r="A159" s="19"/>
      <c r="B159" s="19"/>
      <c r="C159" s="19"/>
      <c r="D159" s="19"/>
      <c r="E159" s="19"/>
      <c r="F159" s="23"/>
      <c r="G159" s="23"/>
      <c r="H159" s="24"/>
      <c r="I159" s="19"/>
      <c r="J159" s="19"/>
      <c r="K159" s="19"/>
      <c r="L159" s="19"/>
      <c r="M159" s="19"/>
      <c r="N159" s="20"/>
    </row>
    <row r="160">
      <c r="A160" s="19"/>
      <c r="B160" s="19"/>
      <c r="C160" s="19"/>
      <c r="D160" s="19"/>
      <c r="E160" s="19"/>
      <c r="F160" s="23"/>
      <c r="G160" s="23"/>
      <c r="H160" s="24"/>
      <c r="I160" s="19"/>
      <c r="J160" s="19"/>
      <c r="K160" s="19"/>
      <c r="L160" s="19"/>
      <c r="M160" s="19"/>
      <c r="N160" s="20"/>
    </row>
    <row r="161">
      <c r="A161" s="19"/>
      <c r="B161" s="19"/>
      <c r="C161" s="19"/>
      <c r="D161" s="19"/>
      <c r="E161" s="19"/>
      <c r="F161" s="23"/>
      <c r="G161" s="23"/>
      <c r="H161" s="24"/>
      <c r="I161" s="19"/>
      <c r="J161" s="19"/>
      <c r="K161" s="19"/>
      <c r="L161" s="19"/>
      <c r="M161" s="19"/>
      <c r="N161" s="20"/>
    </row>
    <row r="162">
      <c r="A162" s="19"/>
      <c r="B162" s="19"/>
      <c r="C162" s="19"/>
      <c r="D162" s="19"/>
      <c r="E162" s="19"/>
      <c r="F162" s="23"/>
      <c r="G162" s="23"/>
      <c r="H162" s="24"/>
      <c r="I162" s="19"/>
      <c r="J162" s="19"/>
      <c r="K162" s="19"/>
      <c r="L162" s="19"/>
      <c r="M162" s="19"/>
      <c r="N162" s="20"/>
    </row>
    <row r="163">
      <c r="A163" s="19"/>
      <c r="B163" s="19"/>
      <c r="C163" s="19"/>
      <c r="D163" s="19"/>
      <c r="E163" s="19"/>
      <c r="F163" s="23"/>
      <c r="G163" s="23"/>
      <c r="H163" s="24"/>
      <c r="I163" s="19"/>
      <c r="J163" s="19"/>
      <c r="K163" s="19"/>
      <c r="L163" s="19"/>
      <c r="M163" s="19"/>
      <c r="N163" s="20"/>
    </row>
    <row r="164">
      <c r="A164" s="19"/>
      <c r="B164" s="19"/>
      <c r="C164" s="19"/>
      <c r="D164" s="19"/>
      <c r="E164" s="19"/>
      <c r="F164" s="23"/>
      <c r="G164" s="23"/>
      <c r="H164" s="24"/>
      <c r="I164" s="19"/>
      <c r="J164" s="19"/>
      <c r="K164" s="19"/>
      <c r="L164" s="19"/>
      <c r="M164" s="19"/>
      <c r="N164" s="20"/>
    </row>
    <row r="165">
      <c r="A165" s="19"/>
      <c r="B165" s="19"/>
      <c r="C165" s="19"/>
      <c r="D165" s="19"/>
      <c r="E165" s="19"/>
      <c r="F165" s="23"/>
      <c r="G165" s="23"/>
      <c r="H165" s="24"/>
      <c r="I165" s="19"/>
      <c r="J165" s="19"/>
      <c r="K165" s="19"/>
      <c r="L165" s="19"/>
      <c r="M165" s="19"/>
      <c r="N165" s="20"/>
    </row>
  </sheetData>
  <conditionalFormatting sqref="N1:N1000">
    <cfRule type="cellIs" dxfId="0" priority="1" operator="lessThan">
      <formula>0.002</formula>
    </cfRule>
  </conditionalFormatting>
  <conditionalFormatting sqref="O1:O1000">
    <cfRule type="cellIs" dxfId="0" priority="2" operator="lessThan">
      <formula>0.002</formula>
    </cfRule>
  </conditionalFormatting>
  <drawing r:id="rId1"/>
</worksheet>
</file>