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4/"/>
    </mc:Choice>
  </mc:AlternateContent>
  <xr:revisionPtr revIDLastSave="84" documentId="8_{3F060640-BB22-4869-B2C7-6758DB55556F}" xr6:coauthVersionLast="47" xr6:coauthVersionMax="47" xr10:uidLastSave="{FB89BEF8-BDD6-4F71-A504-F334AD92B850}"/>
  <bookViews>
    <workbookView xWindow="-120" yWindow="-120" windowWidth="29040" windowHeight="15720" xr2:uid="{3447352B-49E6-4130-8FDA-8B942843E0F9}"/>
  </bookViews>
  <sheets>
    <sheet name="Quarter_4_Replicate_data" sheetId="1" r:id="rId1"/>
  </sheets>
  <calcPr calcId="0"/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B26" i="1"/>
  <c r="B25" i="1"/>
  <c r="B24" i="1"/>
  <c r="B23" i="1"/>
  <c r="B22" i="1"/>
  <c r="B21" i="1"/>
  <c r="B20" i="1"/>
  <c r="B19" i="1"/>
  <c r="B18" i="1"/>
  <c r="B17" i="1"/>
</calcChain>
</file>

<file path=xl/sharedStrings.xml><?xml version="1.0" encoding="utf-8"?>
<sst xmlns="http://schemas.openxmlformats.org/spreadsheetml/2006/main" count="116" uniqueCount="49">
  <si>
    <t>Site_Code</t>
  </si>
  <si>
    <t>Surface_Temp_C</t>
  </si>
  <si>
    <t>Surface_Sal_psu</t>
  </si>
  <si>
    <t>Surface_DO_mg_L</t>
  </si>
  <si>
    <t>Surface_pH</t>
  </si>
  <si>
    <t>Bottom_Temp_C</t>
  </si>
  <si>
    <t>Bottom_Sal_psu</t>
  </si>
  <si>
    <t>Bottom_DO_mg_L</t>
  </si>
  <si>
    <t>Bottom_pH</t>
  </si>
  <si>
    <t>Secchi_Avg_Depth</t>
  </si>
  <si>
    <t>TSS (mg/L)</t>
  </si>
  <si>
    <t>Enterococcus (MPN)</t>
  </si>
  <si>
    <t>SS (ml/L)</t>
  </si>
  <si>
    <t>Surface BOD (mg/L)</t>
  </si>
  <si>
    <t>Bottom BOD (mg/L)</t>
  </si>
  <si>
    <t>Chl-a (Âµg/L)</t>
  </si>
  <si>
    <t>Turbidity (NTU)</t>
  </si>
  <si>
    <t>Surface DIC (Âµmol/kg)</t>
  </si>
  <si>
    <t>Bottom DIC (Âµmol/kg)</t>
  </si>
  <si>
    <t>Surface TA (Âµmol/kg)</t>
  </si>
  <si>
    <t>Bottom TA (Âµmol/kg)</t>
  </si>
  <si>
    <t>NOx LOD (mg/L)</t>
  </si>
  <si>
    <t>PO4 LOD (mg/L)</t>
  </si>
  <si>
    <t>TKN LOD (mg/L)</t>
  </si>
  <si>
    <t>AURO05</t>
  </si>
  <si>
    <t>&gt; 3</t>
  </si>
  <si>
    <t>&lt; 10</t>
  </si>
  <si>
    <t>&lt; 0.1</t>
  </si>
  <si>
    <t>AURO05-R</t>
  </si>
  <si>
    <t>&gt; 3.5</t>
  </si>
  <si>
    <t>CIBU05</t>
  </si>
  <si>
    <t>&lt;0.006</t>
  </si>
  <si>
    <t>&lt;0.08</t>
  </si>
  <si>
    <t>CIBU05-R</t>
  </si>
  <si>
    <t>DIAB05</t>
  </si>
  <si>
    <t>&gt; 5.5</t>
  </si>
  <si>
    <t>DIAB05-R</t>
  </si>
  <si>
    <t>&gt; 5</t>
  </si>
  <si>
    <t>NA</t>
  </si>
  <si>
    <t>DOMI05</t>
  </si>
  <si>
    <t>&gt; 4</t>
  </si>
  <si>
    <t>DOMI05-R</t>
  </si>
  <si>
    <t>RODR05</t>
  </si>
  <si>
    <t>&lt;0.007</t>
  </si>
  <si>
    <t>RODR05-R</t>
  </si>
  <si>
    <t>Agrees within 20% RPD</t>
  </si>
  <si>
    <t>Agrees within Accuracy</t>
  </si>
  <si>
    <t>Outside 20% RPD &amp; Accuracy</t>
  </si>
  <si>
    <t>No Data - Failed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</si>
</sst>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1" fontId="6" fillId="2" borderId="0" xfId="6" applyNumberFormat="1"/>
    <xf numFmtId="0" fontId="6" fillId="2" borderId="0" xfId="6"/>
    <xf numFmtId="0" fontId="7" fillId="3" borderId="0" xfId="7"/>
    <xf numFmtId="0" fontId="8" fillId="4" borderId="0" xfId="8"/>
    <xf numFmtId="0" fontId="6" fillId="2" borderId="0" xfId="6" applyAlignment="1">
      <alignment horizontal="center"/>
    </xf>
    <xf numFmtId="0" fontId="8" fillId="4" borderId="0" xfId="8" applyAlignment="1">
      <alignment horizontal="center"/>
    </xf>
    <xf numFmtId="0" fontId="0" fillId="0" borderId="0" xfId="0" applyAlignment="1">
      <alignment horizontal="center"/>
    </xf>
    <xf numFmtId="0" fontId="7" fillId="3" borderId="0" xfId="7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221C-43F8-45E9-8108-CDBB869FE235}">
  <dimension ref="A2:X26"/>
  <sheetViews>
    <sheetView tabSelected="1" zoomScale="90" zoomScaleNormal="90" workbookViewId="0">
      <selection activeCell="I34" sqref="I34"/>
    </sheetView>
  </sheetViews>
  <sheetFormatPr defaultRowHeight="15" x14ac:dyDescent="0.25"/>
  <cols>
    <col min="1" max="1" width="9.85546875" bestFit="1" customWidth="1"/>
    <col min="2" max="9" width="11.28515625" bestFit="1" customWidth="1"/>
    <col min="10" max="11" width="12.28515625" bestFit="1" customWidth="1"/>
    <col min="12" max="12" width="9.42578125" bestFit="1" customWidth="1"/>
    <col min="13" max="13" width="11.140625" customWidth="1"/>
    <col min="14" max="15" width="12.28515625" bestFit="1" customWidth="1"/>
    <col min="16" max="16" width="12.42578125" bestFit="1" customWidth="1"/>
    <col min="17" max="17" width="12.5703125" bestFit="1" customWidth="1"/>
    <col min="18" max="20" width="11.28515625" bestFit="1" customWidth="1"/>
    <col min="21" max="21" width="10.5703125" bestFit="1" customWidth="1"/>
    <col min="22" max="23" width="12.5703125" bestFit="1" customWidth="1"/>
    <col min="24" max="24" width="11.5703125" bestFit="1" customWidth="1"/>
  </cols>
  <sheetData>
    <row r="2" spans="1:24" x14ac:dyDescent="0.25">
      <c r="I2" s="6" t="s">
        <v>45</v>
      </c>
      <c r="J2" s="6"/>
      <c r="L2" s="7" t="s">
        <v>46</v>
      </c>
      <c r="M2" s="7"/>
      <c r="O2" s="9" t="s">
        <v>47</v>
      </c>
      <c r="P2" s="9"/>
      <c r="R2" s="8" t="s">
        <v>48</v>
      </c>
      <c r="S2" s="8"/>
    </row>
    <row r="4" spans="1:24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</row>
    <row r="5" spans="1:24" x14ac:dyDescent="0.25">
      <c r="A5" t="s">
        <v>24</v>
      </c>
      <c r="B5" s="3">
        <v>28.92</v>
      </c>
      <c r="C5" s="3">
        <v>36.94</v>
      </c>
      <c r="D5" s="3">
        <v>5.56</v>
      </c>
      <c r="E5" s="3">
        <v>8.02</v>
      </c>
      <c r="F5" s="3">
        <v>28.94</v>
      </c>
      <c r="G5" s="3">
        <v>36.9</v>
      </c>
      <c r="H5" s="3">
        <v>5.23</v>
      </c>
      <c r="I5" s="3">
        <v>8.0299999999999994</v>
      </c>
      <c r="J5" s="3" t="s">
        <v>25</v>
      </c>
      <c r="K5" s="3">
        <v>5.0999999999999996</v>
      </c>
      <c r="L5" s="3" t="s">
        <v>26</v>
      </c>
      <c r="M5" s="3" t="s">
        <v>27</v>
      </c>
      <c r="N5" s="5">
        <v>0.33</v>
      </c>
      <c r="O5" s="3">
        <v>0.66</v>
      </c>
      <c r="P5" s="5">
        <v>0.3</v>
      </c>
      <c r="Q5" s="4">
        <v>0.2</v>
      </c>
      <c r="R5" s="3">
        <v>2049</v>
      </c>
      <c r="S5" s="3">
        <v>2042</v>
      </c>
      <c r="T5" s="3">
        <v>2343</v>
      </c>
      <c r="U5" s="3">
        <v>2341</v>
      </c>
      <c r="V5" s="4">
        <v>2.1000000000000001E-2</v>
      </c>
      <c r="W5" s="4">
        <v>3.9E-2</v>
      </c>
      <c r="X5" s="4">
        <v>0.22800000000000001</v>
      </c>
    </row>
    <row r="6" spans="1:24" x14ac:dyDescent="0.25">
      <c r="A6" t="s">
        <v>28</v>
      </c>
      <c r="B6" s="3">
        <v>28.91</v>
      </c>
      <c r="C6" s="3">
        <v>37</v>
      </c>
      <c r="D6" s="3">
        <v>5.68</v>
      </c>
      <c r="E6" s="3">
        <v>8.0399999999999991</v>
      </c>
      <c r="F6" s="3">
        <v>28.94</v>
      </c>
      <c r="G6" s="3">
        <v>36.93</v>
      </c>
      <c r="H6" s="3">
        <v>5.32</v>
      </c>
      <c r="I6" s="3">
        <v>8.0500000000000007</v>
      </c>
      <c r="J6" s="3" t="s">
        <v>29</v>
      </c>
      <c r="K6" s="3">
        <v>5.4</v>
      </c>
      <c r="L6" s="3" t="s">
        <v>26</v>
      </c>
      <c r="M6" s="3" t="s">
        <v>27</v>
      </c>
      <c r="N6" s="5">
        <v>0.63</v>
      </c>
      <c r="O6" s="3">
        <v>0.69</v>
      </c>
      <c r="P6" s="5">
        <v>0.21</v>
      </c>
      <c r="Q6" s="4">
        <v>0.35</v>
      </c>
      <c r="R6" s="3">
        <v>2047</v>
      </c>
      <c r="S6" s="3">
        <v>2045</v>
      </c>
      <c r="T6" s="3">
        <v>2343</v>
      </c>
      <c r="U6" s="3">
        <v>2340</v>
      </c>
      <c r="V6" s="4">
        <v>8.9999999999999993E-3</v>
      </c>
      <c r="W6" s="4">
        <v>7.0000000000000001E-3</v>
      </c>
      <c r="X6" s="4">
        <v>0.13700000000000001</v>
      </c>
    </row>
    <row r="7" spans="1:24" x14ac:dyDescent="0.25">
      <c r="A7" t="s">
        <v>30</v>
      </c>
      <c r="B7" s="3">
        <v>27.5</v>
      </c>
      <c r="C7" s="3">
        <v>36.74</v>
      </c>
      <c r="D7" s="3">
        <v>6.49</v>
      </c>
      <c r="E7" s="3">
        <v>8.1199999999999992</v>
      </c>
      <c r="F7" s="3">
        <v>27.46</v>
      </c>
      <c r="G7" s="3">
        <v>36.85</v>
      </c>
      <c r="H7" s="3">
        <v>6.17</v>
      </c>
      <c r="I7" s="3">
        <v>8.1</v>
      </c>
      <c r="J7" s="3">
        <v>6.9166666670000003</v>
      </c>
      <c r="K7" s="5">
        <v>4.4000000000000004</v>
      </c>
      <c r="L7" s="3" t="s">
        <v>26</v>
      </c>
      <c r="M7" s="3" t="s">
        <v>27</v>
      </c>
      <c r="N7" s="5">
        <v>0.48</v>
      </c>
      <c r="O7" s="3">
        <v>0.36</v>
      </c>
      <c r="P7" s="3">
        <v>0.19</v>
      </c>
      <c r="Q7" s="4">
        <v>0.25</v>
      </c>
      <c r="R7" s="3">
        <v>2043</v>
      </c>
      <c r="S7" s="3">
        <v>2045</v>
      </c>
      <c r="T7" s="3">
        <v>2372</v>
      </c>
      <c r="U7" s="3">
        <v>2375</v>
      </c>
      <c r="V7" s="3">
        <v>1.6E-2</v>
      </c>
      <c r="W7" s="3" t="s">
        <v>31</v>
      </c>
      <c r="X7" s="3" t="s">
        <v>32</v>
      </c>
    </row>
    <row r="8" spans="1:24" x14ac:dyDescent="0.25">
      <c r="A8" t="s">
        <v>33</v>
      </c>
      <c r="B8" s="3">
        <v>27.51</v>
      </c>
      <c r="C8" s="3">
        <v>36.83</v>
      </c>
      <c r="D8" s="3">
        <v>6.44</v>
      </c>
      <c r="E8" s="3">
        <v>8.14</v>
      </c>
      <c r="F8" s="3">
        <v>27.46</v>
      </c>
      <c r="G8" s="3">
        <v>36.82</v>
      </c>
      <c r="H8" s="3">
        <v>6.27</v>
      </c>
      <c r="I8" s="3">
        <v>8.1300000000000008</v>
      </c>
      <c r="J8" s="3">
        <v>8.5833333330000006</v>
      </c>
      <c r="K8" s="5">
        <v>5.4</v>
      </c>
      <c r="L8" s="3" t="s">
        <v>26</v>
      </c>
      <c r="M8" s="3" t="s">
        <v>27</v>
      </c>
      <c r="N8" s="5">
        <v>0.39</v>
      </c>
      <c r="O8" s="3">
        <v>0.42</v>
      </c>
      <c r="P8" s="3">
        <v>0.16</v>
      </c>
      <c r="Q8" s="4">
        <v>0.1</v>
      </c>
      <c r="R8" s="3">
        <v>2038</v>
      </c>
      <c r="S8" s="3">
        <v>2040</v>
      </c>
      <c r="T8" s="3">
        <v>2372</v>
      </c>
      <c r="U8" s="3">
        <v>2369</v>
      </c>
      <c r="V8" s="3">
        <v>1.7000000000000001E-2</v>
      </c>
      <c r="W8" s="3" t="s">
        <v>31</v>
      </c>
      <c r="X8" s="3" t="s">
        <v>32</v>
      </c>
    </row>
    <row r="9" spans="1:24" x14ac:dyDescent="0.25">
      <c r="A9" t="s">
        <v>34</v>
      </c>
      <c r="B9" s="3">
        <v>28.37</v>
      </c>
      <c r="C9" s="3">
        <v>36.94</v>
      </c>
      <c r="D9" s="3">
        <v>6.14</v>
      </c>
      <c r="E9" s="3">
        <v>8.1199999999999992</v>
      </c>
      <c r="F9" s="3">
        <v>27.89</v>
      </c>
      <c r="G9" s="3">
        <v>37.06</v>
      </c>
      <c r="H9" s="3">
        <v>6.09</v>
      </c>
      <c r="I9" s="3">
        <v>8.11</v>
      </c>
      <c r="J9" s="3" t="s">
        <v>35</v>
      </c>
      <c r="K9" s="5">
        <v>2.4</v>
      </c>
      <c r="L9" s="3" t="s">
        <v>26</v>
      </c>
      <c r="M9" s="3" t="s">
        <v>27</v>
      </c>
      <c r="N9" s="5">
        <v>0.28999999999999998</v>
      </c>
      <c r="O9" s="3">
        <v>0.61</v>
      </c>
      <c r="P9" s="5">
        <v>0.61</v>
      </c>
      <c r="Q9" s="4">
        <v>0.25</v>
      </c>
      <c r="R9" s="3">
        <v>2020</v>
      </c>
      <c r="S9">
        <v>2030</v>
      </c>
      <c r="T9" s="3">
        <v>2349</v>
      </c>
      <c r="U9">
        <v>2348</v>
      </c>
      <c r="V9" s="3">
        <v>1.4E-2</v>
      </c>
      <c r="W9" s="3" t="s">
        <v>31</v>
      </c>
      <c r="X9" s="3" t="s">
        <v>32</v>
      </c>
    </row>
    <row r="10" spans="1:24" x14ac:dyDescent="0.25">
      <c r="A10" t="s">
        <v>36</v>
      </c>
      <c r="B10" s="3">
        <v>28.43</v>
      </c>
      <c r="C10" s="3">
        <v>36.9</v>
      </c>
      <c r="D10" s="3">
        <v>6.26</v>
      </c>
      <c r="E10" s="3">
        <v>8.11</v>
      </c>
      <c r="F10" s="3">
        <v>27.86</v>
      </c>
      <c r="G10" s="3">
        <v>37.119999999999997</v>
      </c>
      <c r="H10" s="3">
        <v>6.15</v>
      </c>
      <c r="I10" s="3">
        <v>8.1199999999999992</v>
      </c>
      <c r="J10" s="3" t="s">
        <v>37</v>
      </c>
      <c r="K10" s="5">
        <v>4.5999999999999996</v>
      </c>
      <c r="L10" s="3" t="s">
        <v>26</v>
      </c>
      <c r="M10" s="3" t="s">
        <v>27</v>
      </c>
      <c r="N10" s="5">
        <v>0.52</v>
      </c>
      <c r="O10" s="3">
        <v>0.52</v>
      </c>
      <c r="P10" s="5">
        <v>0.48</v>
      </c>
      <c r="Q10" s="4">
        <v>0.05</v>
      </c>
      <c r="R10" s="3">
        <v>2023</v>
      </c>
      <c r="S10" t="s">
        <v>38</v>
      </c>
      <c r="T10" s="3">
        <v>2346</v>
      </c>
      <c r="U10" t="s">
        <v>38</v>
      </c>
      <c r="V10" s="3">
        <v>1.4E-2</v>
      </c>
      <c r="W10" s="3" t="s">
        <v>31</v>
      </c>
      <c r="X10" s="3" t="s">
        <v>32</v>
      </c>
    </row>
    <row r="11" spans="1:24" x14ac:dyDescent="0.25">
      <c r="A11" t="s">
        <v>39</v>
      </c>
      <c r="B11" s="3">
        <v>27.62</v>
      </c>
      <c r="C11" s="3">
        <v>37.020000000000003</v>
      </c>
      <c r="D11" s="3">
        <v>6.26</v>
      </c>
      <c r="E11" s="3">
        <v>8.1199999999999992</v>
      </c>
      <c r="F11" s="3">
        <v>27.26</v>
      </c>
      <c r="G11" s="3">
        <v>37.020000000000003</v>
      </c>
      <c r="H11" s="3">
        <v>6.3</v>
      </c>
      <c r="I11" s="3">
        <v>8.1300000000000008</v>
      </c>
      <c r="J11" s="3" t="s">
        <v>40</v>
      </c>
      <c r="K11" s="5">
        <v>5.0999999999999996</v>
      </c>
      <c r="L11" s="3" t="s">
        <v>26</v>
      </c>
      <c r="M11" s="3" t="s">
        <v>27</v>
      </c>
      <c r="N11" s="5">
        <v>0.27</v>
      </c>
      <c r="O11" s="5">
        <v>0.56999999999999995</v>
      </c>
      <c r="P11" s="5">
        <v>0.53</v>
      </c>
      <c r="Q11" s="4">
        <v>0.15</v>
      </c>
      <c r="R11" s="3">
        <v>2043</v>
      </c>
      <c r="S11" s="3">
        <v>2057</v>
      </c>
      <c r="T11" s="3">
        <v>2365</v>
      </c>
      <c r="U11" s="3">
        <v>2366</v>
      </c>
      <c r="V11" s="3">
        <v>2.1000000000000001E-2</v>
      </c>
      <c r="W11" s="3" t="s">
        <v>31</v>
      </c>
      <c r="X11" s="3" t="s">
        <v>32</v>
      </c>
    </row>
    <row r="12" spans="1:24" x14ac:dyDescent="0.25">
      <c r="A12" t="s">
        <v>41</v>
      </c>
      <c r="B12" s="3">
        <v>27.52</v>
      </c>
      <c r="C12" s="3">
        <v>37.06</v>
      </c>
      <c r="D12" s="3">
        <v>6.34</v>
      </c>
      <c r="E12" s="3">
        <v>8.1199999999999992</v>
      </c>
      <c r="F12" s="3">
        <v>27.33</v>
      </c>
      <c r="G12" s="3">
        <v>37.08</v>
      </c>
      <c r="H12" s="3">
        <v>6.4</v>
      </c>
      <c r="I12" s="3">
        <v>8.1300000000000008</v>
      </c>
      <c r="J12" s="3" t="s">
        <v>40</v>
      </c>
      <c r="K12" s="5">
        <v>3.4</v>
      </c>
      <c r="L12" s="3" t="s">
        <v>26</v>
      </c>
      <c r="M12" s="3" t="s">
        <v>27</v>
      </c>
      <c r="N12" s="5">
        <v>0.35</v>
      </c>
      <c r="O12" s="5">
        <v>0.39</v>
      </c>
      <c r="P12" s="5">
        <v>0.23</v>
      </c>
      <c r="Q12" s="4">
        <v>0.4</v>
      </c>
      <c r="R12" s="3">
        <v>2045</v>
      </c>
      <c r="S12" s="3">
        <v>2045</v>
      </c>
      <c r="T12" s="3">
        <v>2367</v>
      </c>
      <c r="U12" s="3">
        <v>2366</v>
      </c>
      <c r="V12" s="3">
        <v>1.7999999999999999E-2</v>
      </c>
      <c r="W12" s="3" t="s">
        <v>31</v>
      </c>
      <c r="X12" s="3" t="s">
        <v>32</v>
      </c>
    </row>
    <row r="13" spans="1:24" x14ac:dyDescent="0.25">
      <c r="A13" t="s">
        <v>42</v>
      </c>
      <c r="B13" s="3">
        <v>28.47</v>
      </c>
      <c r="C13" s="3">
        <v>36.04</v>
      </c>
      <c r="D13" s="3">
        <v>6.47</v>
      </c>
      <c r="E13" s="3">
        <v>8.08</v>
      </c>
      <c r="F13" s="3">
        <v>28.48</v>
      </c>
      <c r="G13" s="3">
        <v>37.18</v>
      </c>
      <c r="H13" s="3">
        <v>6.19</v>
      </c>
      <c r="I13" s="3">
        <v>8.1</v>
      </c>
      <c r="J13" s="3">
        <v>3</v>
      </c>
      <c r="K13" s="3">
        <v>6.6</v>
      </c>
      <c r="L13" s="3" t="s">
        <v>26</v>
      </c>
      <c r="M13" s="3" t="s">
        <v>27</v>
      </c>
      <c r="N13" s="4">
        <v>0.34</v>
      </c>
      <c r="O13" s="5">
        <v>0.21</v>
      </c>
      <c r="P13" s="3">
        <v>0.95</v>
      </c>
      <c r="Q13" s="4">
        <v>0.45</v>
      </c>
      <c r="R13" s="3">
        <v>2025</v>
      </c>
      <c r="S13" s="3">
        <v>2021</v>
      </c>
      <c r="T13" s="3">
        <v>2366</v>
      </c>
      <c r="U13" s="3">
        <v>2358</v>
      </c>
      <c r="V13" s="4">
        <v>1.4999999999999999E-2</v>
      </c>
      <c r="W13" s="3" t="s">
        <v>43</v>
      </c>
      <c r="X13" s="3" t="s">
        <v>32</v>
      </c>
    </row>
    <row r="14" spans="1:24" x14ac:dyDescent="0.25">
      <c r="A14" t="s">
        <v>44</v>
      </c>
      <c r="B14" s="3">
        <v>28.49</v>
      </c>
      <c r="C14" s="3">
        <v>37.21</v>
      </c>
      <c r="D14" s="3">
        <v>6.4</v>
      </c>
      <c r="E14" s="3">
        <v>8.1199999999999992</v>
      </c>
      <c r="F14" s="3">
        <v>28.42</v>
      </c>
      <c r="G14" s="3">
        <v>37.270000000000003</v>
      </c>
      <c r="H14" s="3">
        <v>6.17</v>
      </c>
      <c r="I14" s="3">
        <v>8.1199999999999992</v>
      </c>
      <c r="J14" s="3">
        <v>3.1666666669999999</v>
      </c>
      <c r="K14" s="3">
        <v>6</v>
      </c>
      <c r="L14" s="3" t="s">
        <v>26</v>
      </c>
      <c r="M14" s="3" t="s">
        <v>27</v>
      </c>
      <c r="N14" s="4">
        <v>0.89</v>
      </c>
      <c r="O14" s="5">
        <v>0.48</v>
      </c>
      <c r="P14" s="3">
        <v>0.89</v>
      </c>
      <c r="Q14" s="4">
        <v>0.1</v>
      </c>
      <c r="R14" s="3">
        <v>2022</v>
      </c>
      <c r="S14" s="3">
        <v>2023</v>
      </c>
      <c r="T14" s="3">
        <v>2353</v>
      </c>
      <c r="U14" s="3">
        <v>2351</v>
      </c>
      <c r="V14" s="4">
        <v>4.0000000000000001E-3</v>
      </c>
      <c r="W14" s="3" t="s">
        <v>43</v>
      </c>
      <c r="X14" s="3" t="s">
        <v>32</v>
      </c>
    </row>
    <row r="16" spans="1:24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  <c r="R16" t="s">
        <v>17</v>
      </c>
      <c r="S16" t="s">
        <v>18</v>
      </c>
      <c r="T16" t="s">
        <v>19</v>
      </c>
      <c r="U16" t="s">
        <v>20</v>
      </c>
      <c r="V16" t="s">
        <v>21</v>
      </c>
      <c r="W16" t="s">
        <v>22</v>
      </c>
      <c r="X16" t="s">
        <v>23</v>
      </c>
    </row>
    <row r="17" spans="1:24" x14ac:dyDescent="0.25">
      <c r="A17" t="s">
        <v>24</v>
      </c>
      <c r="B17" s="1">
        <f>ABS(B5-B6)/(AVERAGE(B5:B6))*100</f>
        <v>3.4584125886223636E-2</v>
      </c>
      <c r="C17" s="1">
        <f t="shared" ref="C17:X17" si="0">ABS(C5-C6)/(AVERAGE(C5:C6))*100</f>
        <v>0.16229375169056606</v>
      </c>
      <c r="D17" s="1">
        <f t="shared" si="0"/>
        <v>2.1352313167259807</v>
      </c>
      <c r="E17" s="1">
        <f t="shared" si="0"/>
        <v>0.24906600249065472</v>
      </c>
      <c r="F17" s="1">
        <f t="shared" si="0"/>
        <v>0</v>
      </c>
      <c r="G17" s="1">
        <f t="shared" si="0"/>
        <v>8.12677773262932E-2</v>
      </c>
      <c r="H17" s="1">
        <f t="shared" si="0"/>
        <v>1.7061611374407555</v>
      </c>
      <c r="I17" s="1">
        <f t="shared" si="0"/>
        <v>0.24875621890548946</v>
      </c>
      <c r="J17" s="2" t="e">
        <f t="shared" si="0"/>
        <v>#VALUE!</v>
      </c>
      <c r="K17" s="1">
        <f t="shared" si="0"/>
        <v>5.7142857142857277</v>
      </c>
      <c r="L17" s="2" t="e">
        <f t="shared" si="0"/>
        <v>#VALUE!</v>
      </c>
      <c r="M17" s="2" t="e">
        <f t="shared" si="0"/>
        <v>#VALUE!</v>
      </c>
      <c r="N17" s="1">
        <f t="shared" si="0"/>
        <v>62.5</v>
      </c>
      <c r="O17" s="1">
        <f t="shared" si="0"/>
        <v>4.4444444444444313</v>
      </c>
      <c r="P17" s="1">
        <f t="shared" si="0"/>
        <v>35.294117647058819</v>
      </c>
      <c r="Q17" s="1">
        <f t="shared" si="0"/>
        <v>54.545454545454533</v>
      </c>
      <c r="R17" s="1">
        <f t="shared" si="0"/>
        <v>9.765625E-2</v>
      </c>
      <c r="S17" s="1">
        <f t="shared" si="0"/>
        <v>0.14680694886224616</v>
      </c>
      <c r="T17" s="1">
        <f t="shared" si="0"/>
        <v>0</v>
      </c>
      <c r="U17" s="1">
        <f t="shared" si="0"/>
        <v>4.2725913266396069E-2</v>
      </c>
      <c r="V17" s="1">
        <f t="shared" si="0"/>
        <v>80.000000000000014</v>
      </c>
      <c r="W17" s="1">
        <f t="shared" si="0"/>
        <v>139.13043478260869</v>
      </c>
      <c r="X17" s="1">
        <f t="shared" si="0"/>
        <v>49.863013698630141</v>
      </c>
    </row>
    <row r="18" spans="1:24" x14ac:dyDescent="0.25">
      <c r="A18" t="s">
        <v>28</v>
      </c>
      <c r="B18" s="1">
        <f>ABS(B5-B6)/(AVERAGE(B5:B6))*100</f>
        <v>3.4584125886223636E-2</v>
      </c>
      <c r="C18" s="1">
        <f t="shared" ref="C18:X18" si="1">ABS(C5-C6)/(AVERAGE(C5:C6))*100</f>
        <v>0.16229375169056606</v>
      </c>
      <c r="D18" s="1">
        <f t="shared" si="1"/>
        <v>2.1352313167259807</v>
      </c>
      <c r="E18" s="1">
        <f t="shared" si="1"/>
        <v>0.24906600249065472</v>
      </c>
      <c r="F18" s="1">
        <f t="shared" si="1"/>
        <v>0</v>
      </c>
      <c r="G18" s="1">
        <f t="shared" si="1"/>
        <v>8.12677773262932E-2</v>
      </c>
      <c r="H18" s="1">
        <f t="shared" si="1"/>
        <v>1.7061611374407555</v>
      </c>
      <c r="I18" s="1">
        <f t="shared" si="1"/>
        <v>0.24875621890548946</v>
      </c>
      <c r="J18" s="2" t="e">
        <f t="shared" si="1"/>
        <v>#VALUE!</v>
      </c>
      <c r="K18" s="1">
        <f t="shared" si="1"/>
        <v>5.7142857142857277</v>
      </c>
      <c r="L18" s="2" t="e">
        <f t="shared" si="1"/>
        <v>#VALUE!</v>
      </c>
      <c r="M18" s="2" t="e">
        <f t="shared" si="1"/>
        <v>#VALUE!</v>
      </c>
      <c r="N18" s="1">
        <f t="shared" si="1"/>
        <v>62.5</v>
      </c>
      <c r="O18" s="1">
        <f t="shared" si="1"/>
        <v>4.4444444444444313</v>
      </c>
      <c r="P18" s="1">
        <f t="shared" si="1"/>
        <v>35.294117647058819</v>
      </c>
      <c r="Q18" s="1">
        <f t="shared" si="1"/>
        <v>54.545454545454533</v>
      </c>
      <c r="R18" s="1">
        <f t="shared" si="1"/>
        <v>9.765625E-2</v>
      </c>
      <c r="S18" s="1">
        <f t="shared" si="1"/>
        <v>0.14680694886224616</v>
      </c>
      <c r="T18" s="1">
        <f t="shared" si="1"/>
        <v>0</v>
      </c>
      <c r="U18" s="1">
        <f t="shared" si="1"/>
        <v>4.2725913266396069E-2</v>
      </c>
      <c r="V18" s="1">
        <f t="shared" si="1"/>
        <v>80.000000000000014</v>
      </c>
      <c r="W18" s="1">
        <f t="shared" si="1"/>
        <v>139.13043478260869</v>
      </c>
      <c r="X18" s="1">
        <f t="shared" si="1"/>
        <v>49.863013698630141</v>
      </c>
    </row>
    <row r="19" spans="1:24" x14ac:dyDescent="0.25">
      <c r="A19" t="s">
        <v>30</v>
      </c>
      <c r="B19" s="1">
        <f>ABS(B7-B8)/(AVERAGE(B7:B8))*100</f>
        <v>3.6357025995279263E-2</v>
      </c>
      <c r="C19" s="1">
        <f t="shared" ref="C19:X19" si="2">ABS(C7-C8)/(AVERAGE(C7:C8))*100</f>
        <v>0.24466494495037736</v>
      </c>
      <c r="D19" s="1">
        <f t="shared" si="2"/>
        <v>0.77339520494972658</v>
      </c>
      <c r="E19" s="1">
        <f t="shared" si="2"/>
        <v>0.24600246002461687</v>
      </c>
      <c r="F19" s="1">
        <f t="shared" si="2"/>
        <v>0</v>
      </c>
      <c r="G19" s="1">
        <f t="shared" si="2"/>
        <v>8.1444278539435699E-2</v>
      </c>
      <c r="H19" s="1">
        <f t="shared" si="2"/>
        <v>1.6077170418006375</v>
      </c>
      <c r="I19" s="1">
        <f t="shared" si="2"/>
        <v>0.36968576709798073</v>
      </c>
      <c r="J19" s="1">
        <f t="shared" si="2"/>
        <v>21.505376335483874</v>
      </c>
      <c r="K19" s="1">
        <f t="shared" si="2"/>
        <v>20.408163265306118</v>
      </c>
      <c r="L19" s="2" t="e">
        <f t="shared" si="2"/>
        <v>#VALUE!</v>
      </c>
      <c r="M19" s="2" t="e">
        <f t="shared" si="2"/>
        <v>#VALUE!</v>
      </c>
      <c r="N19" s="1">
        <f t="shared" si="2"/>
        <v>20.689655172413786</v>
      </c>
      <c r="O19" s="1">
        <f t="shared" si="2"/>
        <v>15.384615384615383</v>
      </c>
      <c r="P19" s="1">
        <f t="shared" si="2"/>
        <v>17.142857142857142</v>
      </c>
      <c r="Q19" s="1">
        <f t="shared" si="2"/>
        <v>85.714285714285722</v>
      </c>
      <c r="R19" s="1">
        <f t="shared" si="2"/>
        <v>0.24503798088703752</v>
      </c>
      <c r="S19" s="1">
        <f t="shared" si="2"/>
        <v>0.24479804161566704</v>
      </c>
      <c r="T19" s="1">
        <f t="shared" si="2"/>
        <v>0</v>
      </c>
      <c r="U19" s="1">
        <f t="shared" si="2"/>
        <v>0.25295109612141653</v>
      </c>
      <c r="V19" s="1">
        <f t="shared" si="2"/>
        <v>6.0606060606060659</v>
      </c>
      <c r="W19" s="2" t="e">
        <f t="shared" si="2"/>
        <v>#VALUE!</v>
      </c>
      <c r="X19" s="2" t="e">
        <f t="shared" si="2"/>
        <v>#VALUE!</v>
      </c>
    </row>
    <row r="20" spans="1:24" x14ac:dyDescent="0.25">
      <c r="A20" t="s">
        <v>33</v>
      </c>
      <c r="B20" s="1">
        <f>ABS(B7-B8)/(AVERAGE(B7:B8))*100</f>
        <v>3.6357025995279263E-2</v>
      </c>
      <c r="C20" s="1">
        <f t="shared" ref="C20:X20" si="3">ABS(C7-C8)/(AVERAGE(C7:C8))*100</f>
        <v>0.24466494495037736</v>
      </c>
      <c r="D20" s="1">
        <f t="shared" si="3"/>
        <v>0.77339520494972658</v>
      </c>
      <c r="E20" s="1">
        <f t="shared" si="3"/>
        <v>0.24600246002461687</v>
      </c>
      <c r="F20" s="1">
        <f t="shared" si="3"/>
        <v>0</v>
      </c>
      <c r="G20" s="1">
        <f t="shared" si="3"/>
        <v>8.1444278539435699E-2</v>
      </c>
      <c r="H20" s="1">
        <f t="shared" si="3"/>
        <v>1.6077170418006375</v>
      </c>
      <c r="I20" s="1">
        <f t="shared" si="3"/>
        <v>0.36968576709798073</v>
      </c>
      <c r="J20" s="1">
        <f t="shared" si="3"/>
        <v>21.505376335483874</v>
      </c>
      <c r="K20" s="1">
        <f t="shared" si="3"/>
        <v>20.408163265306118</v>
      </c>
      <c r="L20" s="2" t="e">
        <f t="shared" si="3"/>
        <v>#VALUE!</v>
      </c>
      <c r="M20" s="2" t="e">
        <f t="shared" si="3"/>
        <v>#VALUE!</v>
      </c>
      <c r="N20" s="1">
        <f t="shared" si="3"/>
        <v>20.689655172413786</v>
      </c>
      <c r="O20" s="1">
        <f t="shared" si="3"/>
        <v>15.384615384615383</v>
      </c>
      <c r="P20" s="1">
        <f t="shared" si="3"/>
        <v>17.142857142857142</v>
      </c>
      <c r="Q20" s="1">
        <f t="shared" si="3"/>
        <v>85.714285714285722</v>
      </c>
      <c r="R20" s="1">
        <f t="shared" si="3"/>
        <v>0.24503798088703752</v>
      </c>
      <c r="S20" s="1">
        <f t="shared" si="3"/>
        <v>0.24479804161566704</v>
      </c>
      <c r="T20" s="1">
        <f t="shared" si="3"/>
        <v>0</v>
      </c>
      <c r="U20" s="1">
        <f t="shared" si="3"/>
        <v>0.25295109612141653</v>
      </c>
      <c r="V20" s="1">
        <f t="shared" si="3"/>
        <v>6.0606060606060659</v>
      </c>
      <c r="W20" s="2" t="e">
        <f t="shared" si="3"/>
        <v>#VALUE!</v>
      </c>
      <c r="X20" s="2" t="e">
        <f t="shared" si="3"/>
        <v>#VALUE!</v>
      </c>
    </row>
    <row r="21" spans="1:24" x14ac:dyDescent="0.25">
      <c r="A21" t="s">
        <v>34</v>
      </c>
      <c r="B21" s="1">
        <f>ABS(B9-B10)/(AVERAGE(B9:B10))*100</f>
        <v>0.21126760563379832</v>
      </c>
      <c r="C21" s="1">
        <f t="shared" ref="C21:X21" si="4">ABS(C9-C10)/(AVERAGE(C9:C10))*100</f>
        <v>0.10834236186348632</v>
      </c>
      <c r="D21" s="1">
        <f t="shared" si="4"/>
        <v>1.9354838709677438</v>
      </c>
      <c r="E21" s="1">
        <f t="shared" si="4"/>
        <v>0.12322858903265298</v>
      </c>
      <c r="F21" s="1">
        <f t="shared" si="4"/>
        <v>0.10762331838565431</v>
      </c>
      <c r="G21" s="1">
        <f t="shared" si="4"/>
        <v>0.16176867080074189</v>
      </c>
      <c r="H21" s="1">
        <f t="shared" si="4"/>
        <v>0.98039215686275327</v>
      </c>
      <c r="I21" s="1">
        <f t="shared" si="4"/>
        <v>0.12322858903265298</v>
      </c>
      <c r="J21" s="2" t="e">
        <f t="shared" si="4"/>
        <v>#VALUE!</v>
      </c>
      <c r="K21" s="1">
        <f t="shared" si="4"/>
        <v>62.857142857142847</v>
      </c>
      <c r="L21" s="2" t="e">
        <f t="shared" si="4"/>
        <v>#VALUE!</v>
      </c>
      <c r="M21" s="2" t="e">
        <f t="shared" si="4"/>
        <v>#VALUE!</v>
      </c>
      <c r="N21" s="1">
        <f t="shared" si="4"/>
        <v>56.790123456790134</v>
      </c>
      <c r="O21" s="1">
        <f t="shared" si="4"/>
        <v>15.929203539823005</v>
      </c>
      <c r="P21" s="1">
        <f t="shared" si="4"/>
        <v>23.853211009174316</v>
      </c>
      <c r="Q21" s="1">
        <f t="shared" si="4"/>
        <v>133.33333333333334</v>
      </c>
      <c r="R21" s="1">
        <f t="shared" si="4"/>
        <v>0.14840465001236705</v>
      </c>
      <c r="S21" s="1" t="e">
        <f t="shared" si="4"/>
        <v>#VALUE!</v>
      </c>
      <c r="T21" s="1">
        <f t="shared" si="4"/>
        <v>0.12779552715654952</v>
      </c>
      <c r="U21" s="1" t="e">
        <f t="shared" si="4"/>
        <v>#VALUE!</v>
      </c>
      <c r="V21" s="1">
        <f t="shared" si="4"/>
        <v>0</v>
      </c>
      <c r="W21" s="2" t="e">
        <f t="shared" si="4"/>
        <v>#VALUE!</v>
      </c>
      <c r="X21" s="2" t="e">
        <f t="shared" si="4"/>
        <v>#VALUE!</v>
      </c>
    </row>
    <row r="22" spans="1:24" x14ac:dyDescent="0.25">
      <c r="A22" t="s">
        <v>36</v>
      </c>
      <c r="B22" s="1">
        <f>ABS(B9-B10)/(AVERAGE(B9:B10))*100</f>
        <v>0.21126760563379832</v>
      </c>
      <c r="C22" s="1">
        <f t="shared" ref="C22:X22" si="5">ABS(C9-C10)/(AVERAGE(C9:C10))*100</f>
        <v>0.10834236186348632</v>
      </c>
      <c r="D22" s="1">
        <f t="shared" si="5"/>
        <v>1.9354838709677438</v>
      </c>
      <c r="E22" s="1">
        <f t="shared" si="5"/>
        <v>0.12322858903265298</v>
      </c>
      <c r="F22" s="1">
        <f t="shared" si="5"/>
        <v>0.10762331838565431</v>
      </c>
      <c r="G22" s="1">
        <f t="shared" si="5"/>
        <v>0.16176867080074189</v>
      </c>
      <c r="H22" s="1">
        <f t="shared" si="5"/>
        <v>0.98039215686275327</v>
      </c>
      <c r="I22" s="1">
        <f t="shared" si="5"/>
        <v>0.12322858903265298</v>
      </c>
      <c r="J22" s="2" t="e">
        <f t="shared" si="5"/>
        <v>#VALUE!</v>
      </c>
      <c r="K22" s="1">
        <f t="shared" si="5"/>
        <v>62.857142857142847</v>
      </c>
      <c r="L22" s="2" t="e">
        <f t="shared" si="5"/>
        <v>#VALUE!</v>
      </c>
      <c r="M22" s="2" t="e">
        <f t="shared" si="5"/>
        <v>#VALUE!</v>
      </c>
      <c r="N22" s="1">
        <f t="shared" si="5"/>
        <v>56.790123456790134</v>
      </c>
      <c r="O22" s="1">
        <f t="shared" si="5"/>
        <v>15.929203539823005</v>
      </c>
      <c r="P22" s="1">
        <f t="shared" si="5"/>
        <v>23.853211009174316</v>
      </c>
      <c r="Q22" s="1">
        <f t="shared" si="5"/>
        <v>133.33333333333334</v>
      </c>
      <c r="R22" s="1">
        <f t="shared" si="5"/>
        <v>0.14840465001236705</v>
      </c>
      <c r="S22" s="1" t="e">
        <f t="shared" si="5"/>
        <v>#VALUE!</v>
      </c>
      <c r="T22" s="1">
        <f t="shared" si="5"/>
        <v>0.12779552715654952</v>
      </c>
      <c r="U22" s="1" t="e">
        <f t="shared" si="5"/>
        <v>#VALUE!</v>
      </c>
      <c r="V22" s="1">
        <f t="shared" si="5"/>
        <v>0</v>
      </c>
      <c r="W22" s="2" t="e">
        <f t="shared" si="5"/>
        <v>#VALUE!</v>
      </c>
      <c r="X22" s="2" t="e">
        <f t="shared" si="5"/>
        <v>#VALUE!</v>
      </c>
    </row>
    <row r="23" spans="1:24" x14ac:dyDescent="0.25">
      <c r="A23" t="s">
        <v>39</v>
      </c>
      <c r="B23" s="1">
        <f>ABS(B11-B12)/(AVERAGE(B11:B12))*100</f>
        <v>0.36271309394269646</v>
      </c>
      <c r="C23" s="1">
        <f t="shared" ref="C23:X23" si="6">ABS(C11-C12)/(AVERAGE(C11:C12))*100</f>
        <v>0.1079913606911424</v>
      </c>
      <c r="D23" s="1">
        <f t="shared" si="6"/>
        <v>1.2698412698412711</v>
      </c>
      <c r="E23" s="1">
        <f t="shared" si="6"/>
        <v>0</v>
      </c>
      <c r="F23" s="1">
        <f t="shared" si="6"/>
        <v>0.25645722659826609</v>
      </c>
      <c r="G23" s="1">
        <f t="shared" si="6"/>
        <v>0.16194331983804364</v>
      </c>
      <c r="H23" s="1">
        <f t="shared" si="6"/>
        <v>1.574803149606308</v>
      </c>
      <c r="I23" s="1">
        <f t="shared" si="6"/>
        <v>0</v>
      </c>
      <c r="J23" s="2" t="e">
        <f t="shared" si="6"/>
        <v>#VALUE!</v>
      </c>
      <c r="K23" s="1">
        <f t="shared" si="6"/>
        <v>39.999999999999993</v>
      </c>
      <c r="L23" s="2" t="e">
        <f t="shared" si="6"/>
        <v>#VALUE!</v>
      </c>
      <c r="M23" s="2" t="e">
        <f t="shared" si="6"/>
        <v>#VALUE!</v>
      </c>
      <c r="N23" s="1">
        <f t="shared" si="6"/>
        <v>25.806451612903214</v>
      </c>
      <c r="O23" s="1">
        <f t="shared" si="6"/>
        <v>37.499999999999986</v>
      </c>
      <c r="P23" s="1">
        <f t="shared" si="6"/>
        <v>78.947368421052644</v>
      </c>
      <c r="Q23" s="1">
        <f t="shared" si="6"/>
        <v>90.909090909090907</v>
      </c>
      <c r="R23" s="1">
        <f t="shared" si="6"/>
        <v>9.7847358121330719E-2</v>
      </c>
      <c r="S23" s="1">
        <f t="shared" si="6"/>
        <v>0.58508044856167729</v>
      </c>
      <c r="T23" s="1">
        <f t="shared" si="6"/>
        <v>8.453085376162299E-2</v>
      </c>
      <c r="U23" s="1">
        <f t="shared" si="6"/>
        <v>0</v>
      </c>
      <c r="V23" s="1">
        <f t="shared" si="6"/>
        <v>15.384615384615399</v>
      </c>
      <c r="W23" s="2" t="e">
        <f t="shared" si="6"/>
        <v>#VALUE!</v>
      </c>
      <c r="X23" s="2" t="e">
        <f t="shared" si="6"/>
        <v>#VALUE!</v>
      </c>
    </row>
    <row r="24" spans="1:24" x14ac:dyDescent="0.25">
      <c r="A24" t="s">
        <v>41</v>
      </c>
      <c r="B24" s="1">
        <f>ABS(B11-B12)/(AVERAGE(B11:B12))*100</f>
        <v>0.36271309394269646</v>
      </c>
      <c r="C24" s="1">
        <f t="shared" ref="C24:X24" si="7">ABS(C11-C12)/(AVERAGE(C11:C12))*100</f>
        <v>0.1079913606911424</v>
      </c>
      <c r="D24" s="1">
        <f t="shared" si="7"/>
        <v>1.2698412698412711</v>
      </c>
      <c r="E24" s="1">
        <f t="shared" si="7"/>
        <v>0</v>
      </c>
      <c r="F24" s="1">
        <f t="shared" si="7"/>
        <v>0.25645722659826609</v>
      </c>
      <c r="G24" s="1">
        <f t="shared" si="7"/>
        <v>0.16194331983804364</v>
      </c>
      <c r="H24" s="1">
        <f t="shared" si="7"/>
        <v>1.574803149606308</v>
      </c>
      <c r="I24" s="1">
        <f t="shared" si="7"/>
        <v>0</v>
      </c>
      <c r="J24" s="2" t="e">
        <f t="shared" si="7"/>
        <v>#VALUE!</v>
      </c>
      <c r="K24" s="1">
        <f t="shared" si="7"/>
        <v>39.999999999999993</v>
      </c>
      <c r="L24" s="2" t="e">
        <f t="shared" si="7"/>
        <v>#VALUE!</v>
      </c>
      <c r="M24" s="2" t="e">
        <f t="shared" si="7"/>
        <v>#VALUE!</v>
      </c>
      <c r="N24" s="1">
        <f t="shared" si="7"/>
        <v>25.806451612903214</v>
      </c>
      <c r="O24" s="1">
        <f t="shared" si="7"/>
        <v>37.499999999999986</v>
      </c>
      <c r="P24" s="1">
        <f t="shared" si="7"/>
        <v>78.947368421052644</v>
      </c>
      <c r="Q24" s="1">
        <f t="shared" si="7"/>
        <v>90.909090909090907</v>
      </c>
      <c r="R24" s="1">
        <f t="shared" si="7"/>
        <v>9.7847358121330719E-2</v>
      </c>
      <c r="S24" s="1">
        <f t="shared" si="7"/>
        <v>0.58508044856167729</v>
      </c>
      <c r="T24" s="1">
        <f t="shared" si="7"/>
        <v>8.453085376162299E-2</v>
      </c>
      <c r="U24" s="1">
        <f t="shared" si="7"/>
        <v>0</v>
      </c>
      <c r="V24" s="1">
        <f t="shared" si="7"/>
        <v>15.384615384615399</v>
      </c>
      <c r="W24" s="2" t="e">
        <f t="shared" si="7"/>
        <v>#VALUE!</v>
      </c>
      <c r="X24" s="2" t="e">
        <f t="shared" si="7"/>
        <v>#VALUE!</v>
      </c>
    </row>
    <row r="25" spans="1:24" x14ac:dyDescent="0.25">
      <c r="A25" t="s">
        <v>42</v>
      </c>
      <c r="B25" s="1">
        <f>ABS(B13-B14)/(AVERAGE(B13:B14))*100</f>
        <v>7.0224719101122102E-2</v>
      </c>
      <c r="C25" s="1">
        <f t="shared" ref="C25:X25" si="8">ABS(C13-C14)/(AVERAGE(C13:C14))*100</f>
        <v>3.1945392491467626</v>
      </c>
      <c r="D25" s="1">
        <f t="shared" si="8"/>
        <v>1.0878010878010782</v>
      </c>
      <c r="E25" s="1">
        <f t="shared" si="8"/>
        <v>0.49382716049381664</v>
      </c>
      <c r="F25" s="1">
        <f t="shared" si="8"/>
        <v>0.2108963093145825</v>
      </c>
      <c r="G25" s="1">
        <f t="shared" si="8"/>
        <v>0.24177300201478416</v>
      </c>
      <c r="H25" s="1">
        <f t="shared" si="8"/>
        <v>0.32362459546926314</v>
      </c>
      <c r="I25" s="1">
        <f t="shared" si="8"/>
        <v>0.24660912453760264</v>
      </c>
      <c r="J25" s="1">
        <f t="shared" si="8"/>
        <v>5.4054054159240286</v>
      </c>
      <c r="K25" s="1">
        <f t="shared" si="8"/>
        <v>9.5238095238095184</v>
      </c>
      <c r="L25" s="2" t="e">
        <f t="shared" si="8"/>
        <v>#VALUE!</v>
      </c>
      <c r="M25" s="2" t="e">
        <f t="shared" si="8"/>
        <v>#VALUE!</v>
      </c>
      <c r="N25" s="1">
        <f t="shared" si="8"/>
        <v>89.430894308943095</v>
      </c>
      <c r="O25" s="1">
        <f t="shared" si="8"/>
        <v>78.260869565217405</v>
      </c>
      <c r="P25" s="1">
        <f t="shared" si="8"/>
        <v>6.5217391304347769</v>
      </c>
      <c r="Q25" s="1">
        <f t="shared" si="8"/>
        <v>127.27272727272725</v>
      </c>
      <c r="R25" s="1">
        <f t="shared" si="8"/>
        <v>0.14825796886582654</v>
      </c>
      <c r="S25" s="1">
        <f t="shared" si="8"/>
        <v>9.8911968348170121E-2</v>
      </c>
      <c r="T25" s="1">
        <f t="shared" si="8"/>
        <v>0.55096418732782371</v>
      </c>
      <c r="U25" s="1">
        <f t="shared" si="8"/>
        <v>0.297303036738161</v>
      </c>
      <c r="V25" s="1">
        <f t="shared" si="8"/>
        <v>115.78947368421053</v>
      </c>
      <c r="W25" s="2" t="e">
        <f t="shared" si="8"/>
        <v>#VALUE!</v>
      </c>
      <c r="X25" s="2" t="e">
        <f t="shared" si="8"/>
        <v>#VALUE!</v>
      </c>
    </row>
    <row r="26" spans="1:24" x14ac:dyDescent="0.25">
      <c r="A26" t="s">
        <v>44</v>
      </c>
      <c r="B26" s="1">
        <f>ABS(B13-B14)/(AVERAGE(B13:B14))*100</f>
        <v>7.0224719101122102E-2</v>
      </c>
      <c r="C26" s="1">
        <f t="shared" ref="C26:X26" si="9">ABS(C13-C14)/(AVERAGE(C13:C14))*100</f>
        <v>3.1945392491467626</v>
      </c>
      <c r="D26" s="1">
        <f t="shared" si="9"/>
        <v>1.0878010878010782</v>
      </c>
      <c r="E26" s="1">
        <f t="shared" si="9"/>
        <v>0.49382716049381664</v>
      </c>
      <c r="F26" s="1">
        <f t="shared" si="9"/>
        <v>0.2108963093145825</v>
      </c>
      <c r="G26" s="1">
        <f t="shared" si="9"/>
        <v>0.24177300201478416</v>
      </c>
      <c r="H26" s="1">
        <f t="shared" si="9"/>
        <v>0.32362459546926314</v>
      </c>
      <c r="I26" s="1">
        <f t="shared" si="9"/>
        <v>0.24660912453760264</v>
      </c>
      <c r="J26" s="1">
        <f t="shared" si="9"/>
        <v>5.4054054159240286</v>
      </c>
      <c r="K26" s="1">
        <f t="shared" si="9"/>
        <v>9.5238095238095184</v>
      </c>
      <c r="L26" s="2" t="e">
        <f t="shared" si="9"/>
        <v>#VALUE!</v>
      </c>
      <c r="M26" s="2" t="e">
        <f t="shared" si="9"/>
        <v>#VALUE!</v>
      </c>
      <c r="N26" s="1">
        <f t="shared" si="9"/>
        <v>89.430894308943095</v>
      </c>
      <c r="O26" s="1">
        <f t="shared" si="9"/>
        <v>78.260869565217405</v>
      </c>
      <c r="P26" s="1">
        <f t="shared" si="9"/>
        <v>6.5217391304347769</v>
      </c>
      <c r="Q26" s="1">
        <f t="shared" si="9"/>
        <v>127.27272727272725</v>
      </c>
      <c r="R26" s="1">
        <f t="shared" si="9"/>
        <v>0.14825796886582654</v>
      </c>
      <c r="S26" s="1">
        <f t="shared" si="9"/>
        <v>9.8911968348170121E-2</v>
      </c>
      <c r="T26" s="1">
        <f t="shared" si="9"/>
        <v>0.55096418732782371</v>
      </c>
      <c r="U26" s="1">
        <f t="shared" si="9"/>
        <v>0.297303036738161</v>
      </c>
      <c r="V26" s="1">
        <f t="shared" si="9"/>
        <v>115.78947368421053</v>
      </c>
      <c r="W26" s="2" t="e">
        <f t="shared" si="9"/>
        <v>#VALUE!</v>
      </c>
      <c r="X26" s="2" t="e">
        <f t="shared" si="9"/>
        <v>#VALUE!</v>
      </c>
    </row>
  </sheetData>
  <mergeCells count="4">
    <mergeCell ref="I2:J2"/>
    <mergeCell ref="L2:M2"/>
    <mergeCell ref="O2:P2"/>
    <mergeCell ref="R2:S2"/>
  </mergeCells>
  <conditionalFormatting sqref="B17:X26">
    <cfRule type="cellIs" dxfId="13" priority="1" operator="greaterThan">
      <formula>20</formula>
    </cfRule>
    <cfRule type="cellIs" dxfId="12" priority="2" operator="less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Quarter_4_Replicate_data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A Courtney</cp:lastModifiedBy>
  <dcterms:created xsi:type="dcterms:W3CDTF">2024-05-17T14:43:38Z</dcterms:created>
  <dcterms:modified xsi:type="dcterms:W3CDTF">2024-05-17T14:56:14Z</dcterms:modified>
</cp:coreProperties>
</file>