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0430_Q4_NP1R2" sheetId="1" r:id="rId4"/>
  </sheets>
  <definedNames/>
  <calcPr/>
  <extLst>
    <ext uri="GoogleSheetsCustomDataVersion2">
      <go:sheetsCustomData xmlns:go="http://customooxmlschemas.google.com/" r:id="rId5" roundtripDataChecksum="4rkQJvZoxCpYlP4TI6fFuQmheIfv/jOoPbXHhEeFD3Y="/>
    </ext>
  </extLst>
</workbook>
</file>

<file path=xl/sharedStrings.xml><?xml version="1.0" encoding="utf-8"?>
<sst xmlns="http://schemas.openxmlformats.org/spreadsheetml/2006/main" count="193" uniqueCount="62">
  <si>
    <t>ANAL</t>
  </si>
  <si>
    <t>NOx_PO4.ANL</t>
  </si>
  <si>
    <t xml:space="preserve">RUN </t>
  </si>
  <si>
    <t>240430_Q4_NP1R2.RUN</t>
  </si>
  <si>
    <t>DATE</t>
  </si>
  <si>
    <t>TIME</t>
  </si>
  <si>
    <t>NOx</t>
  </si>
  <si>
    <t>PO4</t>
  </si>
  <si>
    <t>OPER</t>
  </si>
  <si>
    <t>CLMR</t>
  </si>
  <si>
    <t>LOD</t>
  </si>
  <si>
    <t>COMM</t>
  </si>
  <si>
    <t>CHAN</t>
  </si>
  <si>
    <t>METH</t>
  </si>
  <si>
    <t>Dilution</t>
  </si>
  <si>
    <t>UNIT</t>
  </si>
  <si>
    <t>mg/L</t>
  </si>
  <si>
    <t>Base</t>
  </si>
  <si>
    <t>Gain</t>
  </si>
  <si>
    <t>FIT</t>
  </si>
  <si>
    <t>L</t>
  </si>
  <si>
    <t>COEFF</t>
  </si>
  <si>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</si>
  <si>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</si>
  <si>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</si>
  <si>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</si>
  <si>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</si>
  <si>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</si>
  <si>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</si>
  <si>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</si>
  <si>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</si>
  <si>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</si>
  <si>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</si>
  <si>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</si>
  <si>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</si>
  <si>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</si>
  <si>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</si>
  <si>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</si>
  <si>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</si>
  <si>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</si>
  <si>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</si>
  <si>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&lt;0.007</t>
  </si>
  <si>
    <t>Blank</t>
  </si>
  <si>
    <t>&lt;0.0009</t>
  </si>
  <si>
    <t>Baseline</t>
  </si>
  <si>
    <t>BASL</t>
  </si>
  <si>
    <t>High</t>
  </si>
  <si>
    <t>HIGH</t>
  </si>
  <si>
    <t>Low</t>
  </si>
  <si>
    <t xml:space="preserve">LOW </t>
  </si>
  <si>
    <t>SAMP</t>
  </si>
  <si>
    <t>Blank spiked</t>
  </si>
  <si>
    <t>SPIK</t>
  </si>
  <si>
    <t>CRM [0.15/0.03]</t>
  </si>
  <si>
    <t>QUAL</t>
  </si>
  <si>
    <t>CRM Old</t>
  </si>
  <si>
    <t>152 spiked</t>
  </si>
  <si>
    <t>87 spiked</t>
  </si>
  <si>
    <t>48 Dup</t>
  </si>
  <si>
    <t>61 spiked</t>
  </si>
  <si>
    <t>End</t>
  </si>
  <si>
    <t xml:space="preserve">END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</si>
</sst>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0000000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9C5700"/>
      <name val="Aptos narrow"/>
    </font>
    <font>
      <sz val="11.0"/>
      <color rgb="FF000000"/>
      <name val="Arial"/>
    </font>
    <font>
      <sz val="11.0"/>
      <color rgb="FF000000"/>
      <name val="&quot;Ȫptos Narrow\&quot;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4" xfId="0" applyFont="1" applyNumberFormat="1"/>
    <xf borderId="0" fillId="0" fontId="2" numFmtId="19" xfId="0" applyFont="1" applyNumberFormat="1"/>
    <xf borderId="1" fillId="2" fontId="2" numFmtId="165" xfId="0" applyAlignment="1" applyBorder="1" applyFill="1" applyFont="1" applyNumberFormat="1">
      <alignment vertical="bottom"/>
    </xf>
    <xf borderId="2" fillId="2" fontId="3" numFmtId="165" xfId="0" applyAlignment="1" applyBorder="1" applyFont="1" applyNumberFormat="1">
      <alignment vertical="bottom"/>
    </xf>
    <xf borderId="3" fillId="2" fontId="3" numFmtId="165" xfId="0" applyAlignment="1" applyBorder="1" applyFont="1" applyNumberFormat="1">
      <alignment vertical="bottom"/>
    </xf>
    <xf borderId="4" fillId="2" fontId="3" numFmtId="165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horizontal="right" vertical="bottom"/>
    </xf>
    <xf borderId="6" fillId="2" fontId="3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2" numFmtId="22" xfId="0" applyFont="1" applyNumberFormat="1"/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8.75"/>
    <col customWidth="1" min="10" max="10" width="7.5"/>
    <col customWidth="1" min="11" max="11" width="8.75"/>
    <col customWidth="1" min="12" max="13" width="8.63"/>
    <col customWidth="1" min="14" max="14" width="9.75"/>
    <col customWidth="1" min="15" max="15" width="9.88"/>
    <col customWidth="1" min="16" max="16" width="9.5"/>
    <col customWidth="1" min="17" max="17" width="9.63"/>
    <col customWidth="1" min="18" max="26" width="8.63"/>
  </cols>
  <sheetData>
    <row r="1" ht="14.25" customHeight="1">
      <c r="A1" s="1" t="s">
        <v>0</v>
      </c>
      <c r="B1" s="1" t="s">
        <v>1</v>
      </c>
      <c r="P1" s="2"/>
      <c r="Q1" s="2"/>
    </row>
    <row r="2" ht="14.25" customHeight="1">
      <c r="A2" s="1" t="s">
        <v>2</v>
      </c>
      <c r="B2" s="1" t="s">
        <v>3</v>
      </c>
      <c r="P2" s="2"/>
      <c r="Q2" s="2"/>
    </row>
    <row r="3" ht="14.25" customHeight="1">
      <c r="A3" s="1" t="s">
        <v>4</v>
      </c>
      <c r="B3" s="3">
        <v>45412.0</v>
      </c>
      <c r="P3" s="2"/>
      <c r="Q3" s="2"/>
    </row>
    <row r="4" ht="14.25" customHeight="1">
      <c r="A4" s="1" t="s">
        <v>5</v>
      </c>
      <c r="B4" s="4">
        <v>0.7568981481481482</v>
      </c>
      <c r="I4" s="5"/>
      <c r="J4" s="6" t="s">
        <v>6</v>
      </c>
      <c r="K4" s="7" t="s">
        <v>7</v>
      </c>
      <c r="P4" s="2"/>
      <c r="Q4" s="2"/>
    </row>
    <row r="5" ht="14.25" customHeight="1">
      <c r="A5" s="1" t="s">
        <v>8</v>
      </c>
      <c r="B5" s="1" t="s">
        <v>9</v>
      </c>
      <c r="I5" s="8" t="s">
        <v>10</v>
      </c>
      <c r="J5" s="9">
        <f>STDEV(I67:I76)*2.821</f>
        <v>0.0008920785279</v>
      </c>
      <c r="K5" s="10">
        <f>STDEV(K67:K76)*2.821+AVERAGE(K67:K76)</f>
        <v>0.00720529851</v>
      </c>
      <c r="P5" s="2"/>
      <c r="Q5" s="2"/>
    </row>
    <row r="6" ht="14.25" customHeight="1">
      <c r="A6" s="1" t="s">
        <v>11</v>
      </c>
      <c r="P6" s="2"/>
      <c r="Q6" s="2"/>
    </row>
    <row r="7" ht="14.25" customHeight="1">
      <c r="A7" s="1" t="s">
        <v>12</v>
      </c>
      <c r="B7" s="1">
        <v>1.0</v>
      </c>
      <c r="C7" s="1">
        <v>3.0</v>
      </c>
      <c r="D7" s="1">
        <v>2.0</v>
      </c>
      <c r="P7" s="2"/>
      <c r="Q7" s="2"/>
    </row>
    <row r="8" ht="14.25" customHeight="1">
      <c r="A8" s="1" t="s">
        <v>13</v>
      </c>
      <c r="B8" s="1" t="s">
        <v>6</v>
      </c>
      <c r="C8" s="1" t="s">
        <v>7</v>
      </c>
      <c r="D8" s="1" t="s">
        <v>14</v>
      </c>
      <c r="P8" s="2"/>
      <c r="Q8" s="2"/>
    </row>
    <row r="9" ht="14.25" customHeight="1">
      <c r="A9" s="1" t="s">
        <v>15</v>
      </c>
      <c r="B9" s="1" t="s">
        <v>16</v>
      </c>
      <c r="C9" s="1" t="s">
        <v>16</v>
      </c>
      <c r="D9" s="1" t="s">
        <v>16</v>
      </c>
      <c r="P9" s="2"/>
      <c r="Q9" s="2"/>
    </row>
    <row r="10" ht="14.25" customHeight="1">
      <c r="A10" s="1" t="s">
        <v>17</v>
      </c>
      <c r="B10" s="1">
        <v>203.0</v>
      </c>
      <c r="C10" s="1">
        <v>4816.0</v>
      </c>
      <c r="P10" s="2"/>
      <c r="Q10" s="2"/>
    </row>
    <row r="11" ht="14.25" customHeight="1">
      <c r="A11" s="1" t="s">
        <v>18</v>
      </c>
      <c r="J11" s="1">
        <v>24.0</v>
      </c>
      <c r="K11" s="1">
        <v>107.0</v>
      </c>
      <c r="P11" s="2"/>
      <c r="Q11" s="2"/>
    </row>
    <row r="12" ht="14.25" customHeight="1">
      <c r="A12" s="1" t="s">
        <v>19</v>
      </c>
      <c r="B12" s="1" t="s">
        <v>20</v>
      </c>
      <c r="C12" s="1" t="s">
        <v>20</v>
      </c>
      <c r="P12" s="2"/>
      <c r="Q12" s="2"/>
    </row>
    <row r="13" ht="14.25" customHeight="1">
      <c r="A13" s="1" t="s">
        <v>21</v>
      </c>
      <c r="B13" s="1">
        <v>0.9998</v>
      </c>
      <c r="C13" s="1">
        <v>0.9999</v>
      </c>
      <c r="P13" s="2"/>
      <c r="Q13" s="2"/>
    </row>
    <row r="14" ht="14.25" customHeight="1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H14" s="1" t="s">
        <v>27</v>
      </c>
      <c r="I14" s="1" t="s">
        <v>28</v>
      </c>
      <c r="J14" s="1" t="s">
        <v>29</v>
      </c>
      <c r="K14" s="1" t="s">
        <v>30</v>
      </c>
      <c r="L14" s="1" t="s">
        <v>29</v>
      </c>
      <c r="M14" s="1" t="s">
        <v>31</v>
      </c>
      <c r="N14" s="11" t="s">
        <v>32</v>
      </c>
      <c r="O14" s="11" t="s">
        <v>33</v>
      </c>
      <c r="P14" s="12" t="s">
        <v>34</v>
      </c>
      <c r="Q14" s="12" t="s">
        <v>35</v>
      </c>
    </row>
    <row r="15" ht="14.25" customHeight="1">
      <c r="A15" s="1" t="s">
        <v>36</v>
      </c>
      <c r="B15" s="1">
        <v>1.0</v>
      </c>
      <c r="C15" s="1">
        <v>921.0</v>
      </c>
      <c r="D15" s="1" t="s">
        <v>37</v>
      </c>
      <c r="E15" s="1">
        <v>0.0</v>
      </c>
      <c r="F15" s="1">
        <v>0.0</v>
      </c>
      <c r="G15" s="1">
        <v>0.0</v>
      </c>
      <c r="H15" s="13">
        <v>45412.75818287037</v>
      </c>
      <c r="I15" s="1">
        <v>0.198</v>
      </c>
      <c r="J15" s="1">
        <v>333.06</v>
      </c>
      <c r="K15" s="1">
        <v>0.198</v>
      </c>
      <c r="L15" s="1">
        <v>78.16</v>
      </c>
      <c r="M15" s="1">
        <v>1.0</v>
      </c>
      <c r="N15" s="1">
        <f t="shared" ref="N15:N79" si="1">I15</f>
        <v>0.198</v>
      </c>
      <c r="O15" s="1">
        <f t="shared" ref="O15:O79" si="2">K15</f>
        <v>0.198</v>
      </c>
      <c r="P15" s="2">
        <f t="shared" ref="P15:P22" si="3">I15</f>
        <v>0.198</v>
      </c>
      <c r="Q15" s="2">
        <f t="shared" ref="Q15:Q21" si="4">K15</f>
        <v>0.198</v>
      </c>
    </row>
    <row r="16" ht="14.25" customHeight="1">
      <c r="A16" s="1" t="s">
        <v>38</v>
      </c>
      <c r="B16" s="1">
        <v>2.0</v>
      </c>
      <c r="C16" s="1">
        <v>921.0</v>
      </c>
      <c r="D16" s="1" t="s">
        <v>39</v>
      </c>
      <c r="E16" s="1">
        <v>0.0</v>
      </c>
      <c r="F16" s="1">
        <v>0.0</v>
      </c>
      <c r="G16" s="1">
        <v>0.0</v>
      </c>
      <c r="H16" s="13">
        <v>45412.758993055555</v>
      </c>
      <c r="I16" s="1">
        <v>0.203</v>
      </c>
      <c r="J16" s="1">
        <v>342.36</v>
      </c>
      <c r="K16" s="1">
        <v>0.199</v>
      </c>
      <c r="L16" s="1">
        <v>78.72</v>
      </c>
      <c r="M16" s="1">
        <v>1.0</v>
      </c>
      <c r="N16" s="1">
        <f t="shared" si="1"/>
        <v>0.203</v>
      </c>
      <c r="O16" s="1">
        <f t="shared" si="2"/>
        <v>0.199</v>
      </c>
      <c r="P16" s="2">
        <f t="shared" si="3"/>
        <v>0.203</v>
      </c>
      <c r="Q16" s="2">
        <f t="shared" si="4"/>
        <v>0.199</v>
      </c>
    </row>
    <row r="17" ht="14.25" customHeight="1">
      <c r="A17" s="1">
        <v>0.2</v>
      </c>
      <c r="B17" s="1">
        <v>3.0</v>
      </c>
      <c r="C17" s="1">
        <v>921.0</v>
      </c>
      <c r="D17" s="1" t="s">
        <v>40</v>
      </c>
      <c r="E17" s="1">
        <v>0.0</v>
      </c>
      <c r="F17" s="1">
        <v>0.0</v>
      </c>
      <c r="G17" s="1">
        <v>0.0</v>
      </c>
      <c r="H17" s="13">
        <v>45412.75980324074</v>
      </c>
      <c r="I17" s="1">
        <v>0.2</v>
      </c>
      <c r="J17" s="1">
        <v>337.1</v>
      </c>
      <c r="K17" s="1">
        <v>0.2</v>
      </c>
      <c r="L17" s="1">
        <v>78.98</v>
      </c>
      <c r="M17" s="1">
        <v>1.0</v>
      </c>
      <c r="N17" s="1">
        <f t="shared" si="1"/>
        <v>0.2</v>
      </c>
      <c r="O17" s="1">
        <f t="shared" si="2"/>
        <v>0.2</v>
      </c>
      <c r="P17" s="2">
        <f t="shared" si="3"/>
        <v>0.2</v>
      </c>
      <c r="Q17" s="2">
        <f t="shared" si="4"/>
        <v>0.2</v>
      </c>
    </row>
    <row r="18" ht="14.25" customHeight="1">
      <c r="A18" s="1">
        <v>0.1</v>
      </c>
      <c r="B18" s="1">
        <v>4.0</v>
      </c>
      <c r="C18" s="1">
        <v>901.0</v>
      </c>
      <c r="D18" s="1" t="s">
        <v>40</v>
      </c>
      <c r="E18" s="1">
        <v>0.0</v>
      </c>
      <c r="F18" s="1">
        <v>0.0</v>
      </c>
      <c r="G18" s="1">
        <v>0.0</v>
      </c>
      <c r="H18" s="13">
        <v>45412.760613425926</v>
      </c>
      <c r="I18" s="1">
        <v>0.099</v>
      </c>
      <c r="J18" s="1">
        <v>170.75</v>
      </c>
      <c r="K18" s="1">
        <v>0.101</v>
      </c>
      <c r="L18" s="1">
        <v>39.69</v>
      </c>
      <c r="M18" s="1">
        <v>1.0</v>
      </c>
      <c r="N18" s="1">
        <f t="shared" si="1"/>
        <v>0.099</v>
      </c>
      <c r="O18" s="1">
        <f t="shared" si="2"/>
        <v>0.101</v>
      </c>
      <c r="P18" s="2">
        <f t="shared" si="3"/>
        <v>0.099</v>
      </c>
      <c r="Q18" s="2">
        <f t="shared" si="4"/>
        <v>0.101</v>
      </c>
    </row>
    <row r="19" ht="14.25" customHeight="1">
      <c r="A19" s="1">
        <v>0.05</v>
      </c>
      <c r="B19" s="1">
        <v>5.0</v>
      </c>
      <c r="C19" s="1">
        <v>902.0</v>
      </c>
      <c r="D19" s="1" t="s">
        <v>40</v>
      </c>
      <c r="E19" s="1">
        <v>0.0</v>
      </c>
      <c r="F19" s="1">
        <v>0.0</v>
      </c>
      <c r="G19" s="1">
        <v>0.0</v>
      </c>
      <c r="H19" s="13">
        <v>45412.76142361111</v>
      </c>
      <c r="I19" s="1">
        <v>0.05</v>
      </c>
      <c r="J19" s="1">
        <v>89.43</v>
      </c>
      <c r="K19" s="1">
        <v>0.049</v>
      </c>
      <c r="L19" s="1">
        <v>19.35</v>
      </c>
      <c r="M19" s="1">
        <v>1.0</v>
      </c>
      <c r="N19" s="1">
        <f t="shared" si="1"/>
        <v>0.05</v>
      </c>
      <c r="O19" s="1">
        <f t="shared" si="2"/>
        <v>0.049</v>
      </c>
      <c r="P19" s="2">
        <f t="shared" si="3"/>
        <v>0.05</v>
      </c>
      <c r="Q19" s="2">
        <f t="shared" si="4"/>
        <v>0.049</v>
      </c>
    </row>
    <row r="20" ht="14.25" customHeight="1">
      <c r="A20" s="1">
        <v>0.025</v>
      </c>
      <c r="B20" s="1">
        <v>6.0</v>
      </c>
      <c r="C20" s="1">
        <v>903.0</v>
      </c>
      <c r="D20" s="1" t="s">
        <v>40</v>
      </c>
      <c r="E20" s="1">
        <v>0.0</v>
      </c>
      <c r="F20" s="1">
        <v>0.0</v>
      </c>
      <c r="G20" s="1">
        <v>0.0</v>
      </c>
      <c r="H20" s="13">
        <v>45412.7622337963</v>
      </c>
      <c r="I20" s="1">
        <v>0.027</v>
      </c>
      <c r="J20" s="1">
        <v>50.27</v>
      </c>
      <c r="K20" s="1">
        <v>0.024</v>
      </c>
      <c r="L20" s="1">
        <v>9.34</v>
      </c>
      <c r="M20" s="1">
        <v>1.0</v>
      </c>
      <c r="N20" s="1">
        <f t="shared" si="1"/>
        <v>0.027</v>
      </c>
      <c r="O20" s="1">
        <f t="shared" si="2"/>
        <v>0.024</v>
      </c>
      <c r="P20" s="2">
        <f t="shared" si="3"/>
        <v>0.027</v>
      </c>
      <c r="Q20" s="2">
        <f t="shared" si="4"/>
        <v>0.024</v>
      </c>
    </row>
    <row r="21" ht="14.25" customHeight="1">
      <c r="A21" s="1">
        <v>0.01</v>
      </c>
      <c r="B21" s="1">
        <v>7.0</v>
      </c>
      <c r="C21" s="1">
        <v>904.0</v>
      </c>
      <c r="D21" s="1" t="s">
        <v>40</v>
      </c>
      <c r="E21" s="1">
        <v>0.0</v>
      </c>
      <c r="F21" s="1">
        <v>0.0</v>
      </c>
      <c r="G21" s="1">
        <v>0.0</v>
      </c>
      <c r="H21" s="13">
        <v>45412.76304398148</v>
      </c>
      <c r="I21" s="1">
        <v>0.009</v>
      </c>
      <c r="J21" s="1">
        <v>20.49</v>
      </c>
      <c r="K21" s="1">
        <v>0.009</v>
      </c>
      <c r="L21" s="1">
        <v>3.39</v>
      </c>
      <c r="M21" s="1">
        <v>1.0</v>
      </c>
      <c r="N21" s="1">
        <f t="shared" si="1"/>
        <v>0.009</v>
      </c>
      <c r="O21" s="1">
        <f t="shared" si="2"/>
        <v>0.009</v>
      </c>
      <c r="P21" s="2">
        <f t="shared" si="3"/>
        <v>0.009</v>
      </c>
      <c r="Q21" s="2">
        <f t="shared" si="4"/>
        <v>0.009</v>
      </c>
    </row>
    <row r="22" ht="14.25" customHeight="1">
      <c r="A22" s="1">
        <v>0.005</v>
      </c>
      <c r="B22" s="1">
        <v>8.0</v>
      </c>
      <c r="C22" s="1">
        <v>905.0</v>
      </c>
      <c r="D22" s="1" t="s">
        <v>40</v>
      </c>
      <c r="E22" s="1">
        <v>0.0</v>
      </c>
      <c r="F22" s="1">
        <v>0.0</v>
      </c>
      <c r="G22" s="1">
        <v>0.0</v>
      </c>
      <c r="H22" s="13">
        <v>45412.76385416667</v>
      </c>
      <c r="I22" s="1">
        <v>0.007</v>
      </c>
      <c r="J22" s="1">
        <v>17.88</v>
      </c>
      <c r="K22" s="1">
        <v>0.005</v>
      </c>
      <c r="L22" s="1">
        <v>1.98</v>
      </c>
      <c r="M22" s="1">
        <v>1.0</v>
      </c>
      <c r="N22" s="1">
        <f t="shared" si="1"/>
        <v>0.007</v>
      </c>
      <c r="O22" s="1">
        <f t="shared" si="2"/>
        <v>0.005</v>
      </c>
      <c r="P22" s="2">
        <f t="shared" si="3"/>
        <v>0.007</v>
      </c>
      <c r="Q22" s="14" t="s">
        <v>41</v>
      </c>
    </row>
    <row r="23" ht="14.25" customHeight="1">
      <c r="A23" s="1" t="s">
        <v>42</v>
      </c>
      <c r="B23" s="1">
        <v>9.0</v>
      </c>
      <c r="C23" s="1">
        <v>906.0</v>
      </c>
      <c r="D23" s="1" t="s">
        <v>40</v>
      </c>
      <c r="E23" s="1">
        <v>0.0</v>
      </c>
      <c r="F23" s="1">
        <v>0.0</v>
      </c>
      <c r="G23" s="1">
        <v>0.0</v>
      </c>
      <c r="H23" s="13">
        <v>45412.76466435185</v>
      </c>
      <c r="I23" s="1">
        <v>-0.002</v>
      </c>
      <c r="J23" s="1">
        <v>3.13</v>
      </c>
      <c r="K23" s="1">
        <v>0.002</v>
      </c>
      <c r="L23" s="1">
        <v>0.55</v>
      </c>
      <c r="M23" s="1">
        <v>1.0</v>
      </c>
      <c r="N23" s="1">
        <f t="shared" si="1"/>
        <v>-0.002</v>
      </c>
      <c r="O23" s="1">
        <f t="shared" si="2"/>
        <v>0.002</v>
      </c>
      <c r="P23" s="14" t="s">
        <v>43</v>
      </c>
      <c r="Q23" s="14" t="s">
        <v>41</v>
      </c>
    </row>
    <row r="24" ht="14.25" customHeight="1">
      <c r="A24" s="1" t="s">
        <v>44</v>
      </c>
      <c r="B24" s="1">
        <v>10.0</v>
      </c>
      <c r="C24" s="1">
        <v>0.0</v>
      </c>
      <c r="D24" s="1" t="s">
        <v>45</v>
      </c>
      <c r="E24" s="1">
        <v>0.0</v>
      </c>
      <c r="F24" s="1">
        <v>0.0</v>
      </c>
      <c r="G24" s="1">
        <v>0.0</v>
      </c>
      <c r="H24" s="13">
        <v>45412.76547453704</v>
      </c>
      <c r="I24" s="1">
        <v>-0.004</v>
      </c>
      <c r="J24" s="1">
        <v>0.0</v>
      </c>
      <c r="K24" s="1">
        <v>0.0</v>
      </c>
      <c r="L24" s="1">
        <v>0.0</v>
      </c>
      <c r="M24" s="1">
        <v>1.0</v>
      </c>
      <c r="N24" s="1">
        <f t="shared" si="1"/>
        <v>-0.004</v>
      </c>
      <c r="O24" s="1">
        <f t="shared" si="2"/>
        <v>0</v>
      </c>
      <c r="P24" s="14" t="s">
        <v>43</v>
      </c>
      <c r="Q24" s="14" t="s">
        <v>41</v>
      </c>
    </row>
    <row r="25" ht="14.25" customHeight="1">
      <c r="A25" s="1" t="s">
        <v>46</v>
      </c>
      <c r="B25" s="1">
        <v>11.0</v>
      </c>
      <c r="C25" s="1">
        <v>921.0</v>
      </c>
      <c r="D25" s="1" t="s">
        <v>47</v>
      </c>
      <c r="E25" s="1">
        <v>0.0</v>
      </c>
      <c r="F25" s="1">
        <v>1.0</v>
      </c>
      <c r="G25" s="1">
        <v>1.0</v>
      </c>
      <c r="H25" s="13">
        <v>45412.767905092594</v>
      </c>
      <c r="I25" s="1">
        <v>0.2</v>
      </c>
      <c r="J25" s="1">
        <v>336.42</v>
      </c>
      <c r="K25" s="1">
        <v>0.198</v>
      </c>
      <c r="L25" s="1">
        <v>78.37</v>
      </c>
      <c r="M25" s="1">
        <v>1.0</v>
      </c>
      <c r="N25" s="1">
        <f t="shared" si="1"/>
        <v>0.2</v>
      </c>
      <c r="O25" s="1">
        <f t="shared" si="2"/>
        <v>0.198</v>
      </c>
      <c r="P25" s="2">
        <f t="shared" ref="P25:P27" si="5">I25</f>
        <v>0.2</v>
      </c>
      <c r="Q25" s="2">
        <f>K25</f>
        <v>0.198</v>
      </c>
    </row>
    <row r="26" ht="14.25" customHeight="1">
      <c r="A26" s="1" t="s">
        <v>48</v>
      </c>
      <c r="B26" s="1">
        <v>12.0</v>
      </c>
      <c r="C26" s="1">
        <v>905.0</v>
      </c>
      <c r="D26" s="1" t="s">
        <v>49</v>
      </c>
      <c r="E26" s="1">
        <v>0.0</v>
      </c>
      <c r="F26" s="1">
        <v>1.0</v>
      </c>
      <c r="G26" s="1">
        <v>2.0</v>
      </c>
      <c r="H26" s="13">
        <v>45412.76871527778</v>
      </c>
      <c r="I26" s="1">
        <v>0.007</v>
      </c>
      <c r="J26" s="1">
        <v>18.12</v>
      </c>
      <c r="K26" s="1">
        <v>0.005</v>
      </c>
      <c r="L26" s="1">
        <v>1.69</v>
      </c>
      <c r="M26" s="1">
        <v>1.0</v>
      </c>
      <c r="N26" s="1">
        <f t="shared" si="1"/>
        <v>0.007</v>
      </c>
      <c r="O26" s="1">
        <f t="shared" si="2"/>
        <v>0.005</v>
      </c>
      <c r="P26" s="2">
        <f t="shared" si="5"/>
        <v>0.007</v>
      </c>
      <c r="Q26" s="14" t="s">
        <v>41</v>
      </c>
    </row>
    <row r="27" ht="14.25" customHeight="1">
      <c r="A27" s="1" t="s">
        <v>48</v>
      </c>
      <c r="B27" s="1">
        <v>13.0</v>
      </c>
      <c r="C27" s="1">
        <v>905.0</v>
      </c>
      <c r="D27" s="1" t="s">
        <v>49</v>
      </c>
      <c r="E27" s="1">
        <v>0.0</v>
      </c>
      <c r="F27" s="1">
        <v>1.0</v>
      </c>
      <c r="G27" s="1">
        <v>3.0</v>
      </c>
      <c r="H27" s="13">
        <v>45412.769525462965</v>
      </c>
      <c r="I27" s="1">
        <v>0.007</v>
      </c>
      <c r="J27" s="1">
        <v>18.13</v>
      </c>
      <c r="K27" s="1">
        <v>0.005</v>
      </c>
      <c r="L27" s="1">
        <v>1.69</v>
      </c>
      <c r="M27" s="1">
        <v>1.0</v>
      </c>
      <c r="N27" s="1">
        <f t="shared" si="1"/>
        <v>0.007</v>
      </c>
      <c r="O27" s="1">
        <f t="shared" si="2"/>
        <v>0.005</v>
      </c>
      <c r="P27" s="2">
        <f t="shared" si="5"/>
        <v>0.007</v>
      </c>
      <c r="Q27" s="14" t="s">
        <v>41</v>
      </c>
    </row>
    <row r="28" ht="14.25" customHeight="1">
      <c r="A28" s="1" t="s">
        <v>42</v>
      </c>
      <c r="B28" s="1">
        <v>14.0</v>
      </c>
      <c r="C28" s="1">
        <v>906.0</v>
      </c>
      <c r="D28" s="1" t="s">
        <v>50</v>
      </c>
      <c r="E28" s="1">
        <v>0.0</v>
      </c>
      <c r="F28" s="1">
        <v>0.0</v>
      </c>
      <c r="G28" s="1">
        <v>0.0</v>
      </c>
      <c r="H28" s="13">
        <v>45412.77033564815</v>
      </c>
      <c r="I28" s="1">
        <v>-0.002</v>
      </c>
      <c r="J28" s="1">
        <v>3.39</v>
      </c>
      <c r="K28" s="1">
        <v>0.033</v>
      </c>
      <c r="L28" s="1">
        <v>12.84</v>
      </c>
      <c r="M28" s="1">
        <v>1.0</v>
      </c>
      <c r="N28" s="1">
        <f t="shared" si="1"/>
        <v>-0.002</v>
      </c>
      <c r="O28" s="1">
        <f t="shared" si="2"/>
        <v>0.033</v>
      </c>
      <c r="P28" s="14" t="s">
        <v>43</v>
      </c>
      <c r="Q28" s="2">
        <f t="shared" ref="Q28:Q37" si="6">K28</f>
        <v>0.033</v>
      </c>
    </row>
    <row r="29" ht="14.25" customHeight="1">
      <c r="A29" s="1" t="s">
        <v>51</v>
      </c>
      <c r="B29" s="1">
        <v>15.0</v>
      </c>
      <c r="C29" s="1">
        <v>907.0</v>
      </c>
      <c r="D29" s="1" t="s">
        <v>52</v>
      </c>
      <c r="E29" s="1">
        <v>0.0</v>
      </c>
      <c r="F29" s="1">
        <v>0.0</v>
      </c>
      <c r="G29" s="1">
        <v>1.0</v>
      </c>
      <c r="H29" s="13">
        <v>45412.771145833336</v>
      </c>
      <c r="I29" s="1">
        <v>0.144</v>
      </c>
      <c r="J29" s="1">
        <v>244.03</v>
      </c>
      <c r="K29" s="1">
        <v>0.148</v>
      </c>
      <c r="L29" s="1">
        <v>58.22</v>
      </c>
      <c r="M29" s="1">
        <v>1.0</v>
      </c>
      <c r="N29" s="1">
        <f t="shared" si="1"/>
        <v>0.144</v>
      </c>
      <c r="O29" s="1">
        <f t="shared" si="2"/>
        <v>0.148</v>
      </c>
      <c r="P29" s="2">
        <f t="shared" ref="P29:P44" si="7">I29</f>
        <v>0.144</v>
      </c>
      <c r="Q29" s="2">
        <f t="shared" si="6"/>
        <v>0.148</v>
      </c>
    </row>
    <row r="30" ht="14.25" customHeight="1">
      <c r="A30" s="1" t="s">
        <v>53</v>
      </c>
      <c r="B30" s="1">
        <v>16.0</v>
      </c>
      <c r="C30" s="1">
        <v>908.0</v>
      </c>
      <c r="D30" s="1" t="s">
        <v>54</v>
      </c>
      <c r="E30" s="1">
        <v>0.0</v>
      </c>
      <c r="F30" s="1">
        <v>0.0</v>
      </c>
      <c r="G30" s="1">
        <v>0.0</v>
      </c>
      <c r="H30" s="13">
        <v>45412.77195601852</v>
      </c>
      <c r="I30" s="1">
        <v>0.148</v>
      </c>
      <c r="J30" s="1">
        <v>251.04</v>
      </c>
      <c r="K30" s="1">
        <v>0.039</v>
      </c>
      <c r="L30" s="1">
        <v>15.25</v>
      </c>
      <c r="M30" s="1">
        <v>1.0</v>
      </c>
      <c r="N30" s="1">
        <f t="shared" si="1"/>
        <v>0.148</v>
      </c>
      <c r="O30" s="1">
        <f t="shared" si="2"/>
        <v>0.039</v>
      </c>
      <c r="P30" s="2">
        <f t="shared" si="7"/>
        <v>0.148</v>
      </c>
      <c r="Q30" s="2">
        <f t="shared" si="6"/>
        <v>0.039</v>
      </c>
    </row>
    <row r="31" ht="14.25" customHeight="1">
      <c r="A31" s="1" t="s">
        <v>55</v>
      </c>
      <c r="B31" s="1">
        <v>17.0</v>
      </c>
      <c r="C31" s="1">
        <v>909.0</v>
      </c>
      <c r="D31" s="1" t="s">
        <v>54</v>
      </c>
      <c r="E31" s="1">
        <v>0.0</v>
      </c>
      <c r="F31" s="1">
        <v>0.0</v>
      </c>
      <c r="G31" s="1">
        <v>0.0</v>
      </c>
      <c r="H31" s="13">
        <v>45412.77276620371</v>
      </c>
      <c r="I31" s="1">
        <v>0.153</v>
      </c>
      <c r="J31" s="1">
        <v>259.21</v>
      </c>
      <c r="K31" s="1">
        <v>0.119</v>
      </c>
      <c r="L31" s="1">
        <v>47.12</v>
      </c>
      <c r="M31" s="1">
        <v>1.0</v>
      </c>
      <c r="N31" s="1">
        <f t="shared" si="1"/>
        <v>0.153</v>
      </c>
      <c r="O31" s="1">
        <f t="shared" si="2"/>
        <v>0.119</v>
      </c>
      <c r="P31" s="2">
        <f t="shared" si="7"/>
        <v>0.153</v>
      </c>
      <c r="Q31" s="2">
        <f t="shared" si="6"/>
        <v>0.119</v>
      </c>
    </row>
    <row r="32" ht="14.25" customHeight="1">
      <c r="A32" s="1">
        <v>35.0</v>
      </c>
      <c r="B32" s="1">
        <v>18.0</v>
      </c>
      <c r="C32" s="1">
        <v>1.0</v>
      </c>
      <c r="D32" s="1" t="s">
        <v>50</v>
      </c>
      <c r="E32" s="1">
        <v>0.0</v>
      </c>
      <c r="F32" s="1">
        <v>0.0</v>
      </c>
      <c r="G32" s="1">
        <v>0.0</v>
      </c>
      <c r="H32" s="13">
        <v>45412.77357638889</v>
      </c>
      <c r="I32" s="1">
        <v>0.006</v>
      </c>
      <c r="J32" s="1">
        <v>15.95</v>
      </c>
      <c r="K32" s="1">
        <v>0.013</v>
      </c>
      <c r="L32" s="1">
        <v>4.86</v>
      </c>
      <c r="M32" s="1">
        <v>1.0</v>
      </c>
      <c r="N32" s="1">
        <f t="shared" si="1"/>
        <v>0.006</v>
      </c>
      <c r="O32" s="1">
        <f t="shared" si="2"/>
        <v>0.013</v>
      </c>
      <c r="P32" s="2">
        <f t="shared" si="7"/>
        <v>0.006</v>
      </c>
      <c r="Q32" s="2">
        <f t="shared" si="6"/>
        <v>0.013</v>
      </c>
    </row>
    <row r="33" ht="14.25" customHeight="1">
      <c r="A33" s="1">
        <v>191.0</v>
      </c>
      <c r="B33" s="1">
        <v>19.0</v>
      </c>
      <c r="C33" s="1">
        <v>2.0</v>
      </c>
      <c r="D33" s="1" t="s">
        <v>50</v>
      </c>
      <c r="E33" s="1">
        <v>0.0</v>
      </c>
      <c r="F33" s="1">
        <v>0.0</v>
      </c>
      <c r="G33" s="1">
        <v>0.0</v>
      </c>
      <c r="H33" s="13">
        <v>45412.77438657408</v>
      </c>
      <c r="I33" s="1">
        <v>0.01</v>
      </c>
      <c r="J33" s="1">
        <v>22.27</v>
      </c>
      <c r="K33" s="1">
        <v>0.008</v>
      </c>
      <c r="L33" s="1">
        <v>3.1</v>
      </c>
      <c r="M33" s="1">
        <v>1.0</v>
      </c>
      <c r="N33" s="1">
        <f t="shared" si="1"/>
        <v>0.01</v>
      </c>
      <c r="O33" s="1">
        <f t="shared" si="2"/>
        <v>0.008</v>
      </c>
      <c r="P33" s="2">
        <f t="shared" si="7"/>
        <v>0.01</v>
      </c>
      <c r="Q33" s="2">
        <f t="shared" si="6"/>
        <v>0.008</v>
      </c>
    </row>
    <row r="34" ht="14.25" customHeight="1">
      <c r="A34" s="1">
        <v>100.0</v>
      </c>
      <c r="B34" s="1">
        <v>20.0</v>
      </c>
      <c r="C34" s="1">
        <v>3.0</v>
      </c>
      <c r="D34" s="1" t="s">
        <v>50</v>
      </c>
      <c r="E34" s="1">
        <v>0.0</v>
      </c>
      <c r="F34" s="1">
        <v>0.0</v>
      </c>
      <c r="G34" s="1">
        <v>0.0</v>
      </c>
      <c r="H34" s="13">
        <v>45412.775196759256</v>
      </c>
      <c r="I34" s="1">
        <v>0.009</v>
      </c>
      <c r="J34" s="1">
        <v>20.61</v>
      </c>
      <c r="K34" s="1">
        <v>0.007</v>
      </c>
      <c r="L34" s="1">
        <v>2.45</v>
      </c>
      <c r="M34" s="1">
        <v>1.0</v>
      </c>
      <c r="N34" s="1">
        <f t="shared" si="1"/>
        <v>0.009</v>
      </c>
      <c r="O34" s="1">
        <f t="shared" si="2"/>
        <v>0.007</v>
      </c>
      <c r="P34" s="2">
        <f t="shared" si="7"/>
        <v>0.009</v>
      </c>
      <c r="Q34" s="2">
        <f t="shared" si="6"/>
        <v>0.007</v>
      </c>
    </row>
    <row r="35" ht="14.25" customHeight="1">
      <c r="A35" s="1">
        <v>22.0</v>
      </c>
      <c r="B35" s="1">
        <v>21.0</v>
      </c>
      <c r="C35" s="1">
        <v>4.0</v>
      </c>
      <c r="D35" s="1" t="s">
        <v>50</v>
      </c>
      <c r="E35" s="1">
        <v>0.0</v>
      </c>
      <c r="F35" s="1">
        <v>0.0</v>
      </c>
      <c r="G35" s="1">
        <v>0.0</v>
      </c>
      <c r="H35" s="13">
        <v>45412.77600694444</v>
      </c>
      <c r="I35" s="1">
        <v>0.009</v>
      </c>
      <c r="J35" s="1">
        <v>21.03</v>
      </c>
      <c r="K35" s="1">
        <v>0.014</v>
      </c>
      <c r="L35" s="1">
        <v>5.39</v>
      </c>
      <c r="M35" s="1">
        <v>1.0</v>
      </c>
      <c r="N35" s="1">
        <f t="shared" si="1"/>
        <v>0.009</v>
      </c>
      <c r="O35" s="1">
        <f t="shared" si="2"/>
        <v>0.014</v>
      </c>
      <c r="P35" s="2">
        <f t="shared" si="7"/>
        <v>0.009</v>
      </c>
      <c r="Q35" s="2">
        <f t="shared" si="6"/>
        <v>0.014</v>
      </c>
    </row>
    <row r="36" ht="14.25" customHeight="1">
      <c r="A36" s="1">
        <v>74.0</v>
      </c>
      <c r="B36" s="1">
        <v>22.0</v>
      </c>
      <c r="C36" s="1">
        <v>5.0</v>
      </c>
      <c r="D36" s="1" t="s">
        <v>50</v>
      </c>
      <c r="E36" s="1">
        <v>0.0</v>
      </c>
      <c r="F36" s="1">
        <v>0.0</v>
      </c>
      <c r="G36" s="1">
        <v>0.0</v>
      </c>
      <c r="H36" s="13">
        <v>45412.77681712963</v>
      </c>
      <c r="I36" s="1">
        <v>0.021</v>
      </c>
      <c r="J36" s="1">
        <v>41.19</v>
      </c>
      <c r="K36" s="1">
        <v>0.039</v>
      </c>
      <c r="L36" s="1">
        <v>15.43</v>
      </c>
      <c r="M36" s="1">
        <v>1.0</v>
      </c>
      <c r="N36" s="1">
        <f t="shared" si="1"/>
        <v>0.021</v>
      </c>
      <c r="O36" s="1">
        <f t="shared" si="2"/>
        <v>0.039</v>
      </c>
      <c r="P36" s="2">
        <f t="shared" si="7"/>
        <v>0.021</v>
      </c>
      <c r="Q36" s="2">
        <f t="shared" si="6"/>
        <v>0.039</v>
      </c>
    </row>
    <row r="37" ht="14.25" customHeight="1">
      <c r="A37" s="1">
        <v>48.0</v>
      </c>
      <c r="B37" s="1">
        <v>23.0</v>
      </c>
      <c r="C37" s="1">
        <v>6.0</v>
      </c>
      <c r="D37" s="1" t="s">
        <v>50</v>
      </c>
      <c r="E37" s="1">
        <v>0.0</v>
      </c>
      <c r="F37" s="1">
        <v>0.0</v>
      </c>
      <c r="G37" s="1">
        <v>0.0</v>
      </c>
      <c r="H37" s="13">
        <v>45412.77762731481</v>
      </c>
      <c r="I37" s="1">
        <v>0.01</v>
      </c>
      <c r="J37" s="1">
        <v>22.44</v>
      </c>
      <c r="K37" s="1">
        <v>0.009</v>
      </c>
      <c r="L37" s="1">
        <v>3.6</v>
      </c>
      <c r="M37" s="1">
        <v>1.0</v>
      </c>
      <c r="N37" s="1">
        <f t="shared" si="1"/>
        <v>0.01</v>
      </c>
      <c r="O37" s="1">
        <f t="shared" si="2"/>
        <v>0.009</v>
      </c>
      <c r="P37" s="2">
        <f t="shared" si="7"/>
        <v>0.01</v>
      </c>
      <c r="Q37" s="2">
        <f t="shared" si="6"/>
        <v>0.009</v>
      </c>
    </row>
    <row r="38" ht="14.25" customHeight="1">
      <c r="A38" s="1">
        <v>9.0</v>
      </c>
      <c r="B38" s="1">
        <v>24.0</v>
      </c>
      <c r="C38" s="1">
        <v>7.0</v>
      </c>
      <c r="D38" s="1" t="s">
        <v>50</v>
      </c>
      <c r="E38" s="1">
        <v>0.0</v>
      </c>
      <c r="F38" s="1">
        <v>0.0</v>
      </c>
      <c r="G38" s="1">
        <v>0.0</v>
      </c>
      <c r="H38" s="13">
        <v>45412.7784375</v>
      </c>
      <c r="I38" s="1">
        <v>0.01</v>
      </c>
      <c r="J38" s="1">
        <v>23.48</v>
      </c>
      <c r="K38" s="1">
        <v>0.0</v>
      </c>
      <c r="L38" s="1">
        <v>-0.23</v>
      </c>
      <c r="M38" s="1">
        <v>1.0</v>
      </c>
      <c r="N38" s="1">
        <f t="shared" si="1"/>
        <v>0.01</v>
      </c>
      <c r="O38" s="1">
        <f t="shared" si="2"/>
        <v>0</v>
      </c>
      <c r="P38" s="2">
        <f t="shared" si="7"/>
        <v>0.01</v>
      </c>
      <c r="Q38" s="14" t="s">
        <v>41</v>
      </c>
    </row>
    <row r="39" ht="14.25" customHeight="1">
      <c r="A39" s="1">
        <v>126.0</v>
      </c>
      <c r="B39" s="1">
        <v>25.0</v>
      </c>
      <c r="C39" s="1">
        <v>8.0</v>
      </c>
      <c r="D39" s="1" t="s">
        <v>50</v>
      </c>
      <c r="E39" s="1">
        <v>0.0</v>
      </c>
      <c r="F39" s="1">
        <v>0.0</v>
      </c>
      <c r="G39" s="1">
        <v>0.0</v>
      </c>
      <c r="H39" s="13">
        <v>45412.77924768518</v>
      </c>
      <c r="I39" s="1">
        <v>0.015</v>
      </c>
      <c r="J39" s="1">
        <v>31.31</v>
      </c>
      <c r="K39" s="1">
        <v>0.004</v>
      </c>
      <c r="L39" s="1">
        <v>1.34</v>
      </c>
      <c r="M39" s="1">
        <v>1.0</v>
      </c>
      <c r="N39" s="1">
        <f t="shared" si="1"/>
        <v>0.015</v>
      </c>
      <c r="O39" s="1">
        <f t="shared" si="2"/>
        <v>0.004</v>
      </c>
      <c r="P39" s="2">
        <f t="shared" si="7"/>
        <v>0.015</v>
      </c>
      <c r="Q39" s="14" t="s">
        <v>41</v>
      </c>
    </row>
    <row r="40" ht="14.25" customHeight="1">
      <c r="A40" s="1">
        <v>139.0</v>
      </c>
      <c r="B40" s="1">
        <v>26.0</v>
      </c>
      <c r="C40" s="1">
        <v>9.0</v>
      </c>
      <c r="D40" s="1" t="s">
        <v>50</v>
      </c>
      <c r="E40" s="1">
        <v>0.0</v>
      </c>
      <c r="F40" s="1">
        <v>0.0</v>
      </c>
      <c r="G40" s="1">
        <v>0.0</v>
      </c>
      <c r="H40" s="13">
        <v>45412.78005787037</v>
      </c>
      <c r="I40" s="1">
        <v>0.015</v>
      </c>
      <c r="J40" s="1">
        <v>31.66</v>
      </c>
      <c r="K40" s="1">
        <v>0.005</v>
      </c>
      <c r="L40" s="1">
        <v>1.66</v>
      </c>
      <c r="M40" s="1">
        <v>1.0</v>
      </c>
      <c r="N40" s="1">
        <f t="shared" si="1"/>
        <v>0.015</v>
      </c>
      <c r="O40" s="1">
        <f t="shared" si="2"/>
        <v>0.005</v>
      </c>
      <c r="P40" s="2">
        <f t="shared" si="7"/>
        <v>0.015</v>
      </c>
      <c r="Q40" s="14" t="s">
        <v>41</v>
      </c>
    </row>
    <row r="41" ht="14.25" customHeight="1">
      <c r="A41" s="1">
        <v>152.0</v>
      </c>
      <c r="B41" s="1">
        <v>27.0</v>
      </c>
      <c r="C41" s="1">
        <v>10.0</v>
      </c>
      <c r="D41" s="1" t="s">
        <v>50</v>
      </c>
      <c r="E41" s="1">
        <v>0.0</v>
      </c>
      <c r="F41" s="1">
        <v>0.0</v>
      </c>
      <c r="G41" s="1">
        <v>0.0</v>
      </c>
      <c r="H41" s="13">
        <v>45412.78086805555</v>
      </c>
      <c r="I41" s="1">
        <v>0.013</v>
      </c>
      <c r="J41" s="1">
        <v>28.23</v>
      </c>
      <c r="K41" s="1">
        <v>0.003</v>
      </c>
      <c r="L41" s="1">
        <v>0.97</v>
      </c>
      <c r="M41" s="1">
        <v>1.0</v>
      </c>
      <c r="N41" s="1">
        <f t="shared" si="1"/>
        <v>0.013</v>
      </c>
      <c r="O41" s="1">
        <f t="shared" si="2"/>
        <v>0.003</v>
      </c>
      <c r="P41" s="2">
        <f t="shared" si="7"/>
        <v>0.013</v>
      </c>
      <c r="Q41" s="14" t="s">
        <v>41</v>
      </c>
    </row>
    <row r="42" ht="14.25" customHeight="1">
      <c r="A42" s="1" t="s">
        <v>56</v>
      </c>
      <c r="B42" s="1">
        <v>28.0</v>
      </c>
      <c r="C42" s="1">
        <v>11.0</v>
      </c>
      <c r="D42" s="1" t="s">
        <v>52</v>
      </c>
      <c r="E42" s="1">
        <v>0.0</v>
      </c>
      <c r="F42" s="1">
        <v>0.0</v>
      </c>
      <c r="G42" s="1">
        <v>1.0</v>
      </c>
      <c r="H42" s="13">
        <v>45412.78167824074</v>
      </c>
      <c r="I42" s="1">
        <v>0.158</v>
      </c>
      <c r="J42" s="1">
        <v>267.44</v>
      </c>
      <c r="K42" s="1">
        <v>0.149</v>
      </c>
      <c r="L42" s="1">
        <v>59.0</v>
      </c>
      <c r="M42" s="1">
        <v>1.0</v>
      </c>
      <c r="N42" s="1">
        <f t="shared" si="1"/>
        <v>0.158</v>
      </c>
      <c r="O42" s="1">
        <f t="shared" si="2"/>
        <v>0.149</v>
      </c>
      <c r="P42" s="2">
        <f t="shared" si="7"/>
        <v>0.158</v>
      </c>
      <c r="Q42" s="2">
        <f t="shared" ref="Q42:Q44" si="8">K42</f>
        <v>0.149</v>
      </c>
    </row>
    <row r="43" ht="14.25" customHeight="1">
      <c r="A43" s="1" t="s">
        <v>53</v>
      </c>
      <c r="B43" s="1">
        <v>29.0</v>
      </c>
      <c r="C43" s="1">
        <v>908.0</v>
      </c>
      <c r="D43" s="1" t="s">
        <v>54</v>
      </c>
      <c r="E43" s="1">
        <v>0.0</v>
      </c>
      <c r="F43" s="1">
        <v>0.0</v>
      </c>
      <c r="G43" s="1">
        <v>0.0</v>
      </c>
      <c r="H43" s="13">
        <v>45412.782488425924</v>
      </c>
      <c r="I43" s="1">
        <v>0.146</v>
      </c>
      <c r="J43" s="1">
        <v>247.96</v>
      </c>
      <c r="K43" s="1">
        <v>0.032</v>
      </c>
      <c r="L43" s="1">
        <v>12.7</v>
      </c>
      <c r="M43" s="1">
        <v>1.0</v>
      </c>
      <c r="N43" s="1">
        <f t="shared" si="1"/>
        <v>0.146</v>
      </c>
      <c r="O43" s="1">
        <f t="shared" si="2"/>
        <v>0.032</v>
      </c>
      <c r="P43" s="2">
        <f t="shared" si="7"/>
        <v>0.146</v>
      </c>
      <c r="Q43" s="2">
        <f t="shared" si="8"/>
        <v>0.032</v>
      </c>
    </row>
    <row r="44" ht="14.25" customHeight="1">
      <c r="A44" s="1" t="s">
        <v>55</v>
      </c>
      <c r="B44" s="1">
        <v>30.0</v>
      </c>
      <c r="C44" s="1">
        <v>909.0</v>
      </c>
      <c r="D44" s="1" t="s">
        <v>54</v>
      </c>
      <c r="E44" s="1">
        <v>0.0</v>
      </c>
      <c r="F44" s="1">
        <v>0.0</v>
      </c>
      <c r="G44" s="1">
        <v>0.0</v>
      </c>
      <c r="H44" s="13">
        <v>45412.78329861111</v>
      </c>
      <c r="I44" s="1">
        <v>0.152</v>
      </c>
      <c r="J44" s="1">
        <v>257.72</v>
      </c>
      <c r="K44" s="1">
        <v>0.121</v>
      </c>
      <c r="L44" s="1">
        <v>47.87</v>
      </c>
      <c r="M44" s="1">
        <v>1.0</v>
      </c>
      <c r="N44" s="1">
        <f t="shared" si="1"/>
        <v>0.152</v>
      </c>
      <c r="O44" s="1">
        <f t="shared" si="2"/>
        <v>0.121</v>
      </c>
      <c r="P44" s="2">
        <f t="shared" si="7"/>
        <v>0.152</v>
      </c>
      <c r="Q44" s="2">
        <f t="shared" si="8"/>
        <v>0.121</v>
      </c>
    </row>
    <row r="45" ht="14.25" customHeight="1">
      <c r="A45" s="1" t="s">
        <v>44</v>
      </c>
      <c r="B45" s="1">
        <v>31.0</v>
      </c>
      <c r="C45" s="1">
        <v>0.0</v>
      </c>
      <c r="D45" s="1" t="s">
        <v>45</v>
      </c>
      <c r="E45" s="1">
        <v>0.0</v>
      </c>
      <c r="F45" s="1">
        <v>0.0</v>
      </c>
      <c r="G45" s="1">
        <v>0.0</v>
      </c>
      <c r="H45" s="13">
        <v>45412.784108796295</v>
      </c>
      <c r="I45" s="1">
        <v>-0.004</v>
      </c>
      <c r="J45" s="1">
        <v>0.0</v>
      </c>
      <c r="K45" s="1">
        <v>0.0</v>
      </c>
      <c r="L45" s="1">
        <v>0.0</v>
      </c>
      <c r="M45" s="1">
        <v>1.0</v>
      </c>
      <c r="N45" s="1">
        <f t="shared" si="1"/>
        <v>-0.004</v>
      </c>
      <c r="O45" s="1">
        <f t="shared" si="2"/>
        <v>0</v>
      </c>
      <c r="P45" s="14" t="s">
        <v>43</v>
      </c>
      <c r="Q45" s="14" t="s">
        <v>41</v>
      </c>
    </row>
    <row r="46" ht="14.25" customHeight="1">
      <c r="A46" s="1">
        <v>165.0</v>
      </c>
      <c r="B46" s="1">
        <v>32.0</v>
      </c>
      <c r="C46" s="1">
        <v>12.0</v>
      </c>
      <c r="D46" s="1" t="s">
        <v>50</v>
      </c>
      <c r="E46" s="1">
        <v>0.0</v>
      </c>
      <c r="F46" s="1">
        <v>0.0</v>
      </c>
      <c r="G46" s="1">
        <v>0.0</v>
      </c>
      <c r="H46" s="13">
        <v>45412.78653935185</v>
      </c>
      <c r="I46" s="1">
        <v>0.004</v>
      </c>
      <c r="J46" s="1">
        <v>13.27</v>
      </c>
      <c r="K46" s="1">
        <v>0.001</v>
      </c>
      <c r="L46" s="1">
        <v>0.44</v>
      </c>
      <c r="M46" s="1">
        <v>1.0</v>
      </c>
      <c r="N46" s="1">
        <f t="shared" si="1"/>
        <v>0.004</v>
      </c>
      <c r="O46" s="1">
        <f t="shared" si="2"/>
        <v>0.001</v>
      </c>
      <c r="P46" s="2">
        <f t="shared" ref="P46:P51" si="9">I46</f>
        <v>0.004</v>
      </c>
      <c r="Q46" s="14" t="s">
        <v>41</v>
      </c>
    </row>
    <row r="47" ht="14.25" customHeight="1">
      <c r="A47" s="1">
        <v>230.0</v>
      </c>
      <c r="B47" s="1">
        <v>33.0</v>
      </c>
      <c r="C47" s="1">
        <v>13.0</v>
      </c>
      <c r="D47" s="1" t="s">
        <v>50</v>
      </c>
      <c r="E47" s="1">
        <v>0.0</v>
      </c>
      <c r="F47" s="1">
        <v>0.0</v>
      </c>
      <c r="G47" s="1">
        <v>0.0</v>
      </c>
      <c r="H47" s="13">
        <v>45412.78734953704</v>
      </c>
      <c r="I47" s="1">
        <v>0.005</v>
      </c>
      <c r="J47" s="1">
        <v>14.88</v>
      </c>
      <c r="K47" s="1">
        <v>0.006</v>
      </c>
      <c r="L47" s="1">
        <v>2.04</v>
      </c>
      <c r="M47" s="1">
        <v>1.0</v>
      </c>
      <c r="N47" s="1">
        <f t="shared" si="1"/>
        <v>0.005</v>
      </c>
      <c r="O47" s="1">
        <f t="shared" si="2"/>
        <v>0.006</v>
      </c>
      <c r="P47" s="2">
        <f t="shared" si="9"/>
        <v>0.005</v>
      </c>
      <c r="Q47" s="14" t="s">
        <v>41</v>
      </c>
    </row>
    <row r="48" ht="14.25" customHeight="1">
      <c r="A48" s="1">
        <v>373.0</v>
      </c>
      <c r="B48" s="1">
        <v>34.0</v>
      </c>
      <c r="C48" s="1">
        <v>14.0</v>
      </c>
      <c r="D48" s="1" t="s">
        <v>50</v>
      </c>
      <c r="E48" s="1">
        <v>0.0</v>
      </c>
      <c r="F48" s="1">
        <v>0.0</v>
      </c>
      <c r="G48" s="1">
        <v>0.0</v>
      </c>
      <c r="H48" s="13">
        <v>45412.78815972222</v>
      </c>
      <c r="I48" s="1">
        <v>0.003</v>
      </c>
      <c r="J48" s="1">
        <v>11.84</v>
      </c>
      <c r="K48" s="1">
        <v>0.017</v>
      </c>
      <c r="L48" s="1">
        <v>6.58</v>
      </c>
      <c r="M48" s="1">
        <v>1.0</v>
      </c>
      <c r="N48" s="1">
        <f t="shared" si="1"/>
        <v>0.003</v>
      </c>
      <c r="O48" s="1">
        <f t="shared" si="2"/>
        <v>0.017</v>
      </c>
      <c r="P48" s="2">
        <f t="shared" si="9"/>
        <v>0.003</v>
      </c>
      <c r="Q48" s="2">
        <f t="shared" ref="Q48:Q49" si="10">K48</f>
        <v>0.017</v>
      </c>
    </row>
    <row r="49" ht="14.25" customHeight="1">
      <c r="A49" s="1">
        <v>243.0</v>
      </c>
      <c r="B49" s="1">
        <v>35.0</v>
      </c>
      <c r="C49" s="1">
        <v>15.0</v>
      </c>
      <c r="D49" s="1" t="s">
        <v>50</v>
      </c>
      <c r="E49" s="1">
        <v>0.0</v>
      </c>
      <c r="F49" s="1">
        <v>0.0</v>
      </c>
      <c r="G49" s="1">
        <v>0.0</v>
      </c>
      <c r="H49" s="13">
        <v>45412.78896990741</v>
      </c>
      <c r="I49" s="1">
        <v>0.013</v>
      </c>
      <c r="J49" s="1">
        <v>27.72</v>
      </c>
      <c r="K49" s="1">
        <v>0.025</v>
      </c>
      <c r="L49" s="1">
        <v>9.85</v>
      </c>
      <c r="M49" s="1">
        <v>1.0</v>
      </c>
      <c r="N49" s="1">
        <f t="shared" si="1"/>
        <v>0.013</v>
      </c>
      <c r="O49" s="1">
        <f t="shared" si="2"/>
        <v>0.025</v>
      </c>
      <c r="P49" s="2">
        <f t="shared" si="9"/>
        <v>0.013</v>
      </c>
      <c r="Q49" s="2">
        <f t="shared" si="10"/>
        <v>0.025</v>
      </c>
    </row>
    <row r="50" ht="14.25" customHeight="1">
      <c r="A50" s="1">
        <v>217.0</v>
      </c>
      <c r="B50" s="1">
        <v>36.0</v>
      </c>
      <c r="C50" s="1">
        <v>16.0</v>
      </c>
      <c r="D50" s="1" t="s">
        <v>50</v>
      </c>
      <c r="E50" s="1">
        <v>0.0</v>
      </c>
      <c r="F50" s="1">
        <v>0.0</v>
      </c>
      <c r="G50" s="1">
        <v>0.0</v>
      </c>
      <c r="H50" s="13">
        <v>45412.78978009259</v>
      </c>
      <c r="I50" s="1">
        <v>0.013</v>
      </c>
      <c r="J50" s="1">
        <v>27.26</v>
      </c>
      <c r="K50" s="1">
        <v>0.005</v>
      </c>
      <c r="L50" s="1">
        <v>1.94</v>
      </c>
      <c r="M50" s="1">
        <v>1.0</v>
      </c>
      <c r="N50" s="1">
        <f t="shared" si="1"/>
        <v>0.013</v>
      </c>
      <c r="O50" s="1">
        <f t="shared" si="2"/>
        <v>0.005</v>
      </c>
      <c r="P50" s="2">
        <f t="shared" si="9"/>
        <v>0.013</v>
      </c>
      <c r="Q50" s="14" t="s">
        <v>41</v>
      </c>
    </row>
    <row r="51" ht="14.25" customHeight="1">
      <c r="A51" s="1">
        <v>269.0</v>
      </c>
      <c r="B51" s="1">
        <v>37.0</v>
      </c>
      <c r="C51" s="1">
        <v>17.0</v>
      </c>
      <c r="D51" s="1" t="s">
        <v>50</v>
      </c>
      <c r="E51" s="1">
        <v>0.0</v>
      </c>
      <c r="F51" s="1">
        <v>0.0</v>
      </c>
      <c r="G51" s="1">
        <v>0.0</v>
      </c>
      <c r="H51" s="13">
        <v>45412.79059027778</v>
      </c>
      <c r="I51" s="1">
        <v>0.009</v>
      </c>
      <c r="J51" s="1">
        <v>20.4</v>
      </c>
      <c r="K51" s="1">
        <v>0.003</v>
      </c>
      <c r="L51" s="1">
        <v>1.1</v>
      </c>
      <c r="M51" s="1">
        <v>1.0</v>
      </c>
      <c r="N51" s="1">
        <f t="shared" si="1"/>
        <v>0.009</v>
      </c>
      <c r="O51" s="1">
        <f t="shared" si="2"/>
        <v>0.003</v>
      </c>
      <c r="P51" s="2">
        <f t="shared" si="9"/>
        <v>0.009</v>
      </c>
      <c r="Q51" s="14" t="s">
        <v>41</v>
      </c>
    </row>
    <row r="52" ht="14.25" customHeight="1">
      <c r="A52" s="1">
        <v>282.0</v>
      </c>
      <c r="B52" s="1">
        <v>38.0</v>
      </c>
      <c r="C52" s="1">
        <v>18.0</v>
      </c>
      <c r="D52" s="1" t="s">
        <v>50</v>
      </c>
      <c r="E52" s="1">
        <v>0.0</v>
      </c>
      <c r="F52" s="1">
        <v>0.0</v>
      </c>
      <c r="G52" s="1">
        <v>0.0</v>
      </c>
      <c r="H52" s="13">
        <v>45412.791400462964</v>
      </c>
      <c r="I52" s="1">
        <v>-0.003</v>
      </c>
      <c r="J52" s="1">
        <v>2.14</v>
      </c>
      <c r="K52" s="1">
        <v>0.0</v>
      </c>
      <c r="L52" s="1">
        <v>0.01</v>
      </c>
      <c r="M52" s="1">
        <v>1.0</v>
      </c>
      <c r="N52" s="1">
        <f t="shared" si="1"/>
        <v>-0.003</v>
      </c>
      <c r="O52" s="1">
        <f t="shared" si="2"/>
        <v>0</v>
      </c>
      <c r="P52" s="14" t="s">
        <v>43</v>
      </c>
      <c r="Q52" s="14" t="s">
        <v>41</v>
      </c>
    </row>
    <row r="53" ht="14.25" customHeight="1">
      <c r="A53" s="1">
        <v>256.0</v>
      </c>
      <c r="B53" s="1">
        <v>39.0</v>
      </c>
      <c r="C53" s="1">
        <v>19.0</v>
      </c>
      <c r="D53" s="1" t="s">
        <v>50</v>
      </c>
      <c r="E53" s="1">
        <v>0.0</v>
      </c>
      <c r="F53" s="1">
        <v>0.0</v>
      </c>
      <c r="G53" s="1">
        <v>0.0</v>
      </c>
      <c r="H53" s="13">
        <v>45412.79221064815</v>
      </c>
      <c r="I53" s="1">
        <v>0.001</v>
      </c>
      <c r="J53" s="1">
        <v>7.87</v>
      </c>
      <c r="K53" s="1">
        <v>0.006</v>
      </c>
      <c r="L53" s="1">
        <v>2.32</v>
      </c>
      <c r="M53" s="1">
        <v>1.0</v>
      </c>
      <c r="N53" s="1">
        <f t="shared" si="1"/>
        <v>0.001</v>
      </c>
      <c r="O53" s="1">
        <f t="shared" si="2"/>
        <v>0.006</v>
      </c>
      <c r="P53" s="2">
        <f t="shared" ref="P53:P58" si="11">I53</f>
        <v>0.001</v>
      </c>
      <c r="Q53" s="14" t="s">
        <v>41</v>
      </c>
    </row>
    <row r="54" ht="14.25" customHeight="1">
      <c r="A54" s="1">
        <v>321.0</v>
      </c>
      <c r="B54" s="1">
        <v>40.0</v>
      </c>
      <c r="C54" s="1">
        <v>20.0</v>
      </c>
      <c r="D54" s="1" t="s">
        <v>50</v>
      </c>
      <c r="E54" s="1">
        <v>0.0</v>
      </c>
      <c r="F54" s="1">
        <v>0.0</v>
      </c>
      <c r="G54" s="1">
        <v>0.0</v>
      </c>
      <c r="H54" s="13">
        <v>45412.793020833335</v>
      </c>
      <c r="I54" s="1">
        <v>0.002</v>
      </c>
      <c r="J54" s="1">
        <v>8.79</v>
      </c>
      <c r="K54" s="1">
        <v>0.009</v>
      </c>
      <c r="L54" s="1">
        <v>3.57</v>
      </c>
      <c r="M54" s="1">
        <v>1.0</v>
      </c>
      <c r="N54" s="1">
        <f t="shared" si="1"/>
        <v>0.002</v>
      </c>
      <c r="O54" s="1">
        <f t="shared" si="2"/>
        <v>0.009</v>
      </c>
      <c r="P54" s="2">
        <f t="shared" si="11"/>
        <v>0.002</v>
      </c>
      <c r="Q54" s="2">
        <f>K54</f>
        <v>0.009</v>
      </c>
    </row>
    <row r="55" ht="14.25" customHeight="1">
      <c r="A55" s="1">
        <v>87.0</v>
      </c>
      <c r="B55" s="1">
        <v>41.0</v>
      </c>
      <c r="C55" s="1">
        <v>21.0</v>
      </c>
      <c r="D55" s="1" t="s">
        <v>50</v>
      </c>
      <c r="E55" s="1">
        <v>0.0</v>
      </c>
      <c r="F55" s="1">
        <v>0.0</v>
      </c>
      <c r="G55" s="1">
        <v>0.0</v>
      </c>
      <c r="H55" s="13">
        <v>45412.79383101852</v>
      </c>
      <c r="I55" s="1">
        <v>0.005</v>
      </c>
      <c r="J55" s="1">
        <v>14.85</v>
      </c>
      <c r="K55" s="1">
        <v>0.005</v>
      </c>
      <c r="L55" s="1">
        <v>1.88</v>
      </c>
      <c r="M55" s="1">
        <v>1.0</v>
      </c>
      <c r="N55" s="1">
        <f t="shared" si="1"/>
        <v>0.005</v>
      </c>
      <c r="O55" s="1">
        <f t="shared" si="2"/>
        <v>0.005</v>
      </c>
      <c r="P55" s="2">
        <f t="shared" si="11"/>
        <v>0.005</v>
      </c>
      <c r="Q55" s="14" t="s">
        <v>41</v>
      </c>
    </row>
    <row r="56" ht="14.25" customHeight="1">
      <c r="A56" s="1" t="s">
        <v>57</v>
      </c>
      <c r="B56" s="1">
        <v>42.0</v>
      </c>
      <c r="C56" s="1">
        <v>22.0</v>
      </c>
      <c r="D56" s="1" t="s">
        <v>52</v>
      </c>
      <c r="E56" s="1">
        <v>0.0</v>
      </c>
      <c r="F56" s="1">
        <v>0.0</v>
      </c>
      <c r="G56" s="1">
        <v>1.0</v>
      </c>
      <c r="H56" s="13">
        <v>45412.794641203705</v>
      </c>
      <c r="I56" s="1">
        <v>0.148</v>
      </c>
      <c r="J56" s="1">
        <v>251.68</v>
      </c>
      <c r="K56" s="1">
        <v>0.151</v>
      </c>
      <c r="L56" s="1">
        <v>59.76</v>
      </c>
      <c r="M56" s="1">
        <v>1.0</v>
      </c>
      <c r="N56" s="1">
        <f t="shared" si="1"/>
        <v>0.148</v>
      </c>
      <c r="O56" s="1">
        <f t="shared" si="2"/>
        <v>0.151</v>
      </c>
      <c r="P56" s="2">
        <f t="shared" si="11"/>
        <v>0.148</v>
      </c>
      <c r="Q56" s="2">
        <f t="shared" ref="Q56:Q58" si="12">K56</f>
        <v>0.151</v>
      </c>
    </row>
    <row r="57" ht="14.25" customHeight="1">
      <c r="A57" s="1" t="s">
        <v>53</v>
      </c>
      <c r="B57" s="1">
        <v>43.0</v>
      </c>
      <c r="C57" s="1">
        <v>908.0</v>
      </c>
      <c r="D57" s="1" t="s">
        <v>54</v>
      </c>
      <c r="E57" s="1">
        <v>0.0</v>
      </c>
      <c r="F57" s="1">
        <v>0.0</v>
      </c>
      <c r="G57" s="1">
        <v>0.0</v>
      </c>
      <c r="H57" s="13">
        <v>45412.79545138889</v>
      </c>
      <c r="I57" s="1">
        <v>0.148</v>
      </c>
      <c r="J57" s="1">
        <v>250.34</v>
      </c>
      <c r="K57" s="1">
        <v>0.032</v>
      </c>
      <c r="L57" s="1">
        <v>12.45</v>
      </c>
      <c r="M57" s="1">
        <v>1.0</v>
      </c>
      <c r="N57" s="1">
        <f t="shared" si="1"/>
        <v>0.148</v>
      </c>
      <c r="O57" s="1">
        <f t="shared" si="2"/>
        <v>0.032</v>
      </c>
      <c r="P57" s="2">
        <f t="shared" si="11"/>
        <v>0.148</v>
      </c>
      <c r="Q57" s="2">
        <f t="shared" si="12"/>
        <v>0.032</v>
      </c>
    </row>
    <row r="58" ht="14.25" customHeight="1">
      <c r="A58" s="1" t="s">
        <v>55</v>
      </c>
      <c r="B58" s="1">
        <v>44.0</v>
      </c>
      <c r="C58" s="1">
        <v>909.0</v>
      </c>
      <c r="D58" s="1" t="s">
        <v>54</v>
      </c>
      <c r="E58" s="1">
        <v>0.0</v>
      </c>
      <c r="F58" s="1">
        <v>0.0</v>
      </c>
      <c r="G58" s="1">
        <v>0.0</v>
      </c>
      <c r="H58" s="13">
        <v>45412.796261574076</v>
      </c>
      <c r="I58" s="1">
        <v>0.152</v>
      </c>
      <c r="J58" s="1">
        <v>258.23</v>
      </c>
      <c r="K58" s="1">
        <v>0.12</v>
      </c>
      <c r="L58" s="1">
        <v>47.27</v>
      </c>
      <c r="M58" s="1">
        <v>1.0</v>
      </c>
      <c r="N58" s="1">
        <f t="shared" si="1"/>
        <v>0.152</v>
      </c>
      <c r="O58" s="1">
        <f t="shared" si="2"/>
        <v>0.12</v>
      </c>
      <c r="P58" s="2">
        <f t="shared" si="11"/>
        <v>0.152</v>
      </c>
      <c r="Q58" s="2">
        <f t="shared" si="12"/>
        <v>0.12</v>
      </c>
    </row>
    <row r="59" ht="14.25" customHeight="1">
      <c r="A59" s="1" t="s">
        <v>44</v>
      </c>
      <c r="B59" s="1">
        <v>45.0</v>
      </c>
      <c r="C59" s="1">
        <v>0.0</v>
      </c>
      <c r="D59" s="1" t="s">
        <v>45</v>
      </c>
      <c r="E59" s="1">
        <v>0.0</v>
      </c>
      <c r="F59" s="1">
        <v>0.0</v>
      </c>
      <c r="G59" s="1">
        <v>0.0</v>
      </c>
      <c r="H59" s="13">
        <v>45412.79707175926</v>
      </c>
      <c r="I59" s="1">
        <v>-0.004</v>
      </c>
      <c r="J59" s="1">
        <v>0.0</v>
      </c>
      <c r="K59" s="1">
        <v>0.0</v>
      </c>
      <c r="L59" s="1">
        <v>0.0</v>
      </c>
      <c r="M59" s="1">
        <v>1.0</v>
      </c>
      <c r="N59" s="1">
        <f t="shared" si="1"/>
        <v>-0.004</v>
      </c>
      <c r="O59" s="1">
        <f t="shared" si="2"/>
        <v>0</v>
      </c>
      <c r="P59" s="14" t="s">
        <v>43</v>
      </c>
      <c r="Q59" s="14" t="s">
        <v>41</v>
      </c>
    </row>
    <row r="60" ht="14.25" customHeight="1">
      <c r="A60" s="1">
        <v>113.0</v>
      </c>
      <c r="B60" s="1">
        <v>46.0</v>
      </c>
      <c r="C60" s="1">
        <v>23.0</v>
      </c>
      <c r="D60" s="1" t="s">
        <v>50</v>
      </c>
      <c r="E60" s="1">
        <v>0.0</v>
      </c>
      <c r="F60" s="1">
        <v>0.0</v>
      </c>
      <c r="G60" s="1">
        <v>0.0</v>
      </c>
      <c r="H60" s="13">
        <v>45412.79950231482</v>
      </c>
      <c r="I60" s="1">
        <v>0.007</v>
      </c>
      <c r="J60" s="1">
        <v>17.5</v>
      </c>
      <c r="K60" s="1">
        <v>0.001</v>
      </c>
      <c r="L60" s="1">
        <v>0.38</v>
      </c>
      <c r="M60" s="1">
        <v>1.0</v>
      </c>
      <c r="N60" s="1">
        <f t="shared" si="1"/>
        <v>0.007</v>
      </c>
      <c r="O60" s="1">
        <f t="shared" si="2"/>
        <v>0.001</v>
      </c>
      <c r="P60" s="2">
        <f t="shared" ref="P60:P66" si="13">I60</f>
        <v>0.007</v>
      </c>
      <c r="Q60" s="14" t="s">
        <v>41</v>
      </c>
    </row>
    <row r="61" ht="14.25" customHeight="1">
      <c r="A61" s="1">
        <v>308.0</v>
      </c>
      <c r="B61" s="1">
        <v>47.0</v>
      </c>
      <c r="C61" s="1">
        <v>24.0</v>
      </c>
      <c r="D61" s="1" t="s">
        <v>50</v>
      </c>
      <c r="E61" s="1">
        <v>0.0</v>
      </c>
      <c r="F61" s="1">
        <v>0.0</v>
      </c>
      <c r="G61" s="1">
        <v>0.0</v>
      </c>
      <c r="H61" s="13">
        <v>45412.8003125</v>
      </c>
      <c r="I61" s="1">
        <v>0.001</v>
      </c>
      <c r="J61" s="1">
        <v>7.29</v>
      </c>
      <c r="K61" s="1">
        <v>0.008</v>
      </c>
      <c r="L61" s="1">
        <v>2.95</v>
      </c>
      <c r="M61" s="1">
        <v>1.0</v>
      </c>
      <c r="N61" s="1">
        <f t="shared" si="1"/>
        <v>0.001</v>
      </c>
      <c r="O61" s="1">
        <f t="shared" si="2"/>
        <v>0.008</v>
      </c>
      <c r="P61" s="2">
        <f t="shared" si="13"/>
        <v>0.001</v>
      </c>
      <c r="Q61" s="2">
        <f t="shared" ref="Q61:Q62" si="14">K61</f>
        <v>0.008</v>
      </c>
    </row>
    <row r="62" ht="14.25" customHeight="1">
      <c r="A62" s="1" t="s">
        <v>58</v>
      </c>
      <c r="B62" s="1">
        <v>48.0</v>
      </c>
      <c r="C62" s="1">
        <v>25.0</v>
      </c>
      <c r="D62" s="1" t="s">
        <v>50</v>
      </c>
      <c r="E62" s="1">
        <v>0.0</v>
      </c>
      <c r="F62" s="1">
        <v>0.0</v>
      </c>
      <c r="G62" s="1">
        <v>0.0</v>
      </c>
      <c r="H62" s="13">
        <v>45412.80112268519</v>
      </c>
      <c r="I62" s="1">
        <v>0.013</v>
      </c>
      <c r="J62" s="1">
        <v>27.9</v>
      </c>
      <c r="K62" s="1">
        <v>0.024</v>
      </c>
      <c r="L62" s="1">
        <v>9.29</v>
      </c>
      <c r="M62" s="1">
        <v>1.0</v>
      </c>
      <c r="N62" s="1">
        <f t="shared" si="1"/>
        <v>0.013</v>
      </c>
      <c r="O62" s="1">
        <f t="shared" si="2"/>
        <v>0.024</v>
      </c>
      <c r="P62" s="2">
        <f t="shared" si="13"/>
        <v>0.013</v>
      </c>
      <c r="Q62" s="2">
        <f t="shared" si="14"/>
        <v>0.024</v>
      </c>
    </row>
    <row r="63" ht="14.25" customHeight="1">
      <c r="A63" s="1">
        <v>61.0</v>
      </c>
      <c r="B63" s="1">
        <v>49.0</v>
      </c>
      <c r="C63" s="1">
        <v>26.0</v>
      </c>
      <c r="D63" s="1" t="s">
        <v>50</v>
      </c>
      <c r="E63" s="1">
        <v>0.0</v>
      </c>
      <c r="F63" s="1">
        <v>0.0</v>
      </c>
      <c r="G63" s="1">
        <v>0.0</v>
      </c>
      <c r="H63" s="13">
        <v>45412.801932870374</v>
      </c>
      <c r="I63" s="1">
        <v>0.004</v>
      </c>
      <c r="J63" s="1">
        <v>13.58</v>
      </c>
      <c r="K63" s="1">
        <v>0.004</v>
      </c>
      <c r="L63" s="1">
        <v>1.48</v>
      </c>
      <c r="M63" s="1">
        <v>1.0</v>
      </c>
      <c r="N63" s="1">
        <f t="shared" si="1"/>
        <v>0.004</v>
      </c>
      <c r="O63" s="1">
        <f t="shared" si="2"/>
        <v>0.004</v>
      </c>
      <c r="P63" s="2">
        <f t="shared" si="13"/>
        <v>0.004</v>
      </c>
      <c r="Q63" s="14" t="s">
        <v>41</v>
      </c>
    </row>
    <row r="64" ht="14.25" customHeight="1">
      <c r="A64" s="1" t="s">
        <v>59</v>
      </c>
      <c r="B64" s="1">
        <v>50.0</v>
      </c>
      <c r="C64" s="1">
        <v>27.0</v>
      </c>
      <c r="D64" s="1" t="s">
        <v>52</v>
      </c>
      <c r="E64" s="1">
        <v>0.0</v>
      </c>
      <c r="F64" s="1">
        <v>0.0</v>
      </c>
      <c r="G64" s="1">
        <v>1.0</v>
      </c>
      <c r="H64" s="13">
        <v>45412.80274305555</v>
      </c>
      <c r="I64" s="1">
        <v>0.149</v>
      </c>
      <c r="J64" s="1">
        <v>252.85</v>
      </c>
      <c r="K64" s="1">
        <v>0.149</v>
      </c>
      <c r="L64" s="1">
        <v>58.91</v>
      </c>
      <c r="M64" s="1">
        <v>1.0</v>
      </c>
      <c r="N64" s="1">
        <f t="shared" si="1"/>
        <v>0.149</v>
      </c>
      <c r="O64" s="1">
        <f t="shared" si="2"/>
        <v>0.149</v>
      </c>
      <c r="P64" s="2">
        <f t="shared" si="13"/>
        <v>0.149</v>
      </c>
      <c r="Q64" s="2">
        <f t="shared" ref="Q64:Q66" si="15">K64</f>
        <v>0.149</v>
      </c>
    </row>
    <row r="65" ht="14.25" customHeight="1">
      <c r="A65" s="1" t="s">
        <v>53</v>
      </c>
      <c r="B65" s="1">
        <v>51.0</v>
      </c>
      <c r="C65" s="1">
        <v>908.0</v>
      </c>
      <c r="D65" s="1" t="s">
        <v>54</v>
      </c>
      <c r="E65" s="1">
        <v>0.0</v>
      </c>
      <c r="F65" s="1">
        <v>0.0</v>
      </c>
      <c r="G65" s="1">
        <v>0.0</v>
      </c>
      <c r="H65" s="13">
        <v>45412.80355324074</v>
      </c>
      <c r="I65" s="1">
        <v>0.148</v>
      </c>
      <c r="J65" s="1">
        <v>251.57</v>
      </c>
      <c r="K65" s="1">
        <v>0.03</v>
      </c>
      <c r="L65" s="1">
        <v>11.86</v>
      </c>
      <c r="M65" s="1">
        <v>1.0</v>
      </c>
      <c r="N65" s="1">
        <f t="shared" si="1"/>
        <v>0.148</v>
      </c>
      <c r="O65" s="1">
        <f t="shared" si="2"/>
        <v>0.03</v>
      </c>
      <c r="P65" s="2">
        <f t="shared" si="13"/>
        <v>0.148</v>
      </c>
      <c r="Q65" s="2">
        <f t="shared" si="15"/>
        <v>0.03</v>
      </c>
    </row>
    <row r="66" ht="14.25" customHeight="1">
      <c r="A66" s="1" t="s">
        <v>55</v>
      </c>
      <c r="B66" s="1">
        <v>52.0</v>
      </c>
      <c r="C66" s="1">
        <v>909.0</v>
      </c>
      <c r="D66" s="1" t="s">
        <v>54</v>
      </c>
      <c r="E66" s="1">
        <v>0.0</v>
      </c>
      <c r="F66" s="1">
        <v>0.0</v>
      </c>
      <c r="G66" s="1">
        <v>0.0</v>
      </c>
      <c r="H66" s="13">
        <v>45412.80436342592</v>
      </c>
      <c r="I66" s="1">
        <v>0.152</v>
      </c>
      <c r="J66" s="1">
        <v>258.39</v>
      </c>
      <c r="K66" s="1">
        <v>0.122</v>
      </c>
      <c r="L66" s="1">
        <v>48.05</v>
      </c>
      <c r="M66" s="1">
        <v>1.0</v>
      </c>
      <c r="N66" s="1">
        <f t="shared" si="1"/>
        <v>0.152</v>
      </c>
      <c r="O66" s="1">
        <f t="shared" si="2"/>
        <v>0.122</v>
      </c>
      <c r="P66" s="2">
        <f t="shared" si="13"/>
        <v>0.152</v>
      </c>
      <c r="Q66" s="2">
        <f t="shared" si="15"/>
        <v>0.122</v>
      </c>
    </row>
    <row r="67" ht="14.25" customHeight="1">
      <c r="A67" s="1" t="s">
        <v>42</v>
      </c>
      <c r="B67" s="1">
        <v>53.0</v>
      </c>
      <c r="C67" s="1">
        <v>922.0</v>
      </c>
      <c r="D67" s="1" t="s">
        <v>50</v>
      </c>
      <c r="E67" s="1">
        <v>0.0</v>
      </c>
      <c r="F67" s="1">
        <v>0.0</v>
      </c>
      <c r="G67" s="1">
        <v>0.0</v>
      </c>
      <c r="H67" s="13">
        <v>45412.80517361111</v>
      </c>
      <c r="I67" s="1">
        <v>0.0</v>
      </c>
      <c r="J67" s="1">
        <v>6.62</v>
      </c>
      <c r="K67" s="1">
        <v>0.006</v>
      </c>
      <c r="L67" s="1">
        <v>2.34</v>
      </c>
      <c r="M67" s="1">
        <v>1.0</v>
      </c>
      <c r="N67" s="1">
        <f t="shared" si="1"/>
        <v>0</v>
      </c>
      <c r="O67" s="1">
        <f t="shared" si="2"/>
        <v>0.006</v>
      </c>
      <c r="P67" s="14" t="s">
        <v>43</v>
      </c>
      <c r="Q67" s="14" t="s">
        <v>41</v>
      </c>
    </row>
    <row r="68" ht="14.25" customHeight="1">
      <c r="A68" s="1" t="s">
        <v>42</v>
      </c>
      <c r="B68" s="1">
        <v>54.0</v>
      </c>
      <c r="C68" s="1">
        <v>922.0</v>
      </c>
      <c r="D68" s="1" t="s">
        <v>50</v>
      </c>
      <c r="E68" s="1">
        <v>0.0</v>
      </c>
      <c r="F68" s="1">
        <v>0.0</v>
      </c>
      <c r="G68" s="1">
        <v>0.0</v>
      </c>
      <c r="H68" s="13">
        <v>45412.805983796294</v>
      </c>
      <c r="I68" s="1">
        <v>0.0</v>
      </c>
      <c r="J68" s="1">
        <v>7.09</v>
      </c>
      <c r="K68" s="1">
        <v>0.003</v>
      </c>
      <c r="L68" s="1">
        <v>1.17</v>
      </c>
      <c r="M68" s="1">
        <v>1.0</v>
      </c>
      <c r="N68" s="1">
        <f t="shared" si="1"/>
        <v>0</v>
      </c>
      <c r="O68" s="1">
        <f t="shared" si="2"/>
        <v>0.003</v>
      </c>
      <c r="P68" s="14" t="s">
        <v>43</v>
      </c>
      <c r="Q68" s="14" t="s">
        <v>41</v>
      </c>
    </row>
    <row r="69" ht="14.25" customHeight="1">
      <c r="A69" s="1" t="s">
        <v>42</v>
      </c>
      <c r="B69" s="1">
        <v>55.0</v>
      </c>
      <c r="C69" s="1">
        <v>922.0</v>
      </c>
      <c r="D69" s="1" t="s">
        <v>50</v>
      </c>
      <c r="E69" s="1">
        <v>0.0</v>
      </c>
      <c r="F69" s="1">
        <v>0.0</v>
      </c>
      <c r="G69" s="1">
        <v>0.0</v>
      </c>
      <c r="H69" s="13">
        <v>45412.80679398148</v>
      </c>
      <c r="I69" s="1">
        <v>0.0</v>
      </c>
      <c r="J69" s="1">
        <v>6.64</v>
      </c>
      <c r="K69" s="1">
        <v>0.001</v>
      </c>
      <c r="L69" s="1">
        <v>0.35</v>
      </c>
      <c r="M69" s="1">
        <v>1.0</v>
      </c>
      <c r="N69" s="1">
        <f t="shared" si="1"/>
        <v>0</v>
      </c>
      <c r="O69" s="1">
        <f t="shared" si="2"/>
        <v>0.001</v>
      </c>
      <c r="P69" s="14" t="s">
        <v>43</v>
      </c>
      <c r="Q69" s="14" t="s">
        <v>41</v>
      </c>
    </row>
    <row r="70" ht="14.25" customHeight="1">
      <c r="A70" s="1" t="s">
        <v>42</v>
      </c>
      <c r="B70" s="1">
        <v>56.0</v>
      </c>
      <c r="C70" s="1">
        <v>922.0</v>
      </c>
      <c r="D70" s="1" t="s">
        <v>50</v>
      </c>
      <c r="E70" s="1">
        <v>0.0</v>
      </c>
      <c r="F70" s="1">
        <v>0.0</v>
      </c>
      <c r="G70" s="1">
        <v>0.0</v>
      </c>
      <c r="H70" s="13">
        <v>45412.807604166665</v>
      </c>
      <c r="I70" s="1">
        <v>0.0</v>
      </c>
      <c r="J70" s="1">
        <v>6.56</v>
      </c>
      <c r="K70" s="1">
        <v>0.002</v>
      </c>
      <c r="L70" s="1">
        <v>0.68</v>
      </c>
      <c r="M70" s="1">
        <v>1.0</v>
      </c>
      <c r="N70" s="1">
        <f t="shared" si="1"/>
        <v>0</v>
      </c>
      <c r="O70" s="1">
        <f t="shared" si="2"/>
        <v>0.002</v>
      </c>
      <c r="P70" s="14" t="s">
        <v>43</v>
      </c>
      <c r="Q70" s="14" t="s">
        <v>41</v>
      </c>
    </row>
    <row r="71" ht="14.25" customHeight="1">
      <c r="A71" s="1" t="s">
        <v>42</v>
      </c>
      <c r="B71" s="1">
        <v>57.0</v>
      </c>
      <c r="C71" s="1">
        <v>922.0</v>
      </c>
      <c r="D71" s="1" t="s">
        <v>50</v>
      </c>
      <c r="E71" s="1">
        <v>0.0</v>
      </c>
      <c r="F71" s="1">
        <v>0.0</v>
      </c>
      <c r="G71" s="1">
        <v>0.0</v>
      </c>
      <c r="H71" s="13">
        <v>45412.80841435185</v>
      </c>
      <c r="I71" s="1">
        <v>0.0</v>
      </c>
      <c r="J71" s="1">
        <v>6.54</v>
      </c>
      <c r="K71" s="1">
        <v>0.002</v>
      </c>
      <c r="L71" s="1">
        <v>0.59</v>
      </c>
      <c r="M71" s="1">
        <v>1.0</v>
      </c>
      <c r="N71" s="1">
        <f t="shared" si="1"/>
        <v>0</v>
      </c>
      <c r="O71" s="1">
        <f t="shared" si="2"/>
        <v>0.002</v>
      </c>
      <c r="P71" s="14" t="s">
        <v>43</v>
      </c>
      <c r="Q71" s="14" t="s">
        <v>41</v>
      </c>
    </row>
    <row r="72" ht="14.25" customHeight="1">
      <c r="A72" s="1" t="s">
        <v>42</v>
      </c>
      <c r="B72" s="1">
        <v>58.0</v>
      </c>
      <c r="C72" s="1">
        <v>922.0</v>
      </c>
      <c r="D72" s="1" t="s">
        <v>50</v>
      </c>
      <c r="E72" s="1">
        <v>0.0</v>
      </c>
      <c r="F72" s="1">
        <v>0.0</v>
      </c>
      <c r="G72" s="1">
        <v>0.0</v>
      </c>
      <c r="H72" s="13">
        <v>45412.809224537035</v>
      </c>
      <c r="I72" s="1">
        <v>0.0</v>
      </c>
      <c r="J72" s="1">
        <v>6.59</v>
      </c>
      <c r="K72" s="1">
        <v>0.002</v>
      </c>
      <c r="L72" s="1">
        <v>0.52</v>
      </c>
      <c r="M72" s="1">
        <v>1.0</v>
      </c>
      <c r="N72" s="1">
        <f t="shared" si="1"/>
        <v>0</v>
      </c>
      <c r="O72" s="1">
        <f t="shared" si="2"/>
        <v>0.002</v>
      </c>
      <c r="P72" s="14" t="s">
        <v>43</v>
      </c>
      <c r="Q72" s="14" t="s">
        <v>41</v>
      </c>
    </row>
    <row r="73" ht="14.25" customHeight="1">
      <c r="A73" s="1" t="s">
        <v>42</v>
      </c>
      <c r="B73" s="1">
        <v>59.0</v>
      </c>
      <c r="C73" s="1">
        <v>922.0</v>
      </c>
      <c r="D73" s="1" t="s">
        <v>50</v>
      </c>
      <c r="E73" s="1">
        <v>0.0</v>
      </c>
      <c r="F73" s="1">
        <v>0.0</v>
      </c>
      <c r="G73" s="1">
        <v>0.0</v>
      </c>
      <c r="H73" s="13">
        <v>45412.81003472222</v>
      </c>
      <c r="I73" s="1">
        <v>0.0</v>
      </c>
      <c r="J73" s="1">
        <v>6.54</v>
      </c>
      <c r="K73" s="1">
        <v>0.002</v>
      </c>
      <c r="L73" s="1">
        <v>0.68</v>
      </c>
      <c r="M73" s="1">
        <v>1.0</v>
      </c>
      <c r="N73" s="1">
        <f t="shared" si="1"/>
        <v>0</v>
      </c>
      <c r="O73" s="1">
        <f t="shared" si="2"/>
        <v>0.002</v>
      </c>
      <c r="P73" s="14" t="s">
        <v>43</v>
      </c>
      <c r="Q73" s="14" t="s">
        <v>41</v>
      </c>
    </row>
    <row r="74" ht="14.25" customHeight="1">
      <c r="A74" s="1" t="s">
        <v>42</v>
      </c>
      <c r="B74" s="1">
        <v>60.0</v>
      </c>
      <c r="C74" s="1">
        <v>922.0</v>
      </c>
      <c r="D74" s="1" t="s">
        <v>50</v>
      </c>
      <c r="E74" s="1">
        <v>0.0</v>
      </c>
      <c r="F74" s="1">
        <v>0.0</v>
      </c>
      <c r="G74" s="1">
        <v>0.0</v>
      </c>
      <c r="H74" s="13">
        <v>45412.810844907406</v>
      </c>
      <c r="I74" s="1">
        <v>0.0</v>
      </c>
      <c r="J74" s="1">
        <v>6.16</v>
      </c>
      <c r="K74" s="1">
        <v>0.004</v>
      </c>
      <c r="L74" s="1">
        <v>1.43</v>
      </c>
      <c r="M74" s="1">
        <v>1.0</v>
      </c>
      <c r="N74" s="1">
        <f t="shared" si="1"/>
        <v>0</v>
      </c>
      <c r="O74" s="1">
        <f t="shared" si="2"/>
        <v>0.004</v>
      </c>
      <c r="P74" s="14" t="s">
        <v>43</v>
      </c>
      <c r="Q74" s="14" t="s">
        <v>41</v>
      </c>
    </row>
    <row r="75" ht="14.25" customHeight="1">
      <c r="A75" s="1" t="s">
        <v>42</v>
      </c>
      <c r="B75" s="1">
        <v>61.0</v>
      </c>
      <c r="C75" s="1">
        <v>922.0</v>
      </c>
      <c r="D75" s="1" t="s">
        <v>50</v>
      </c>
      <c r="E75" s="1">
        <v>0.0</v>
      </c>
      <c r="F75" s="1">
        <v>0.0</v>
      </c>
      <c r="G75" s="1">
        <v>0.0</v>
      </c>
      <c r="H75" s="13">
        <v>45412.81165509259</v>
      </c>
      <c r="I75" s="1">
        <v>-0.001</v>
      </c>
      <c r="J75" s="1">
        <v>5.14</v>
      </c>
      <c r="K75" s="1">
        <v>0.004</v>
      </c>
      <c r="L75" s="1">
        <v>1.4</v>
      </c>
      <c r="M75" s="1">
        <v>1.0</v>
      </c>
      <c r="N75" s="1">
        <f t="shared" si="1"/>
        <v>-0.001</v>
      </c>
      <c r="O75" s="1">
        <f t="shared" si="2"/>
        <v>0.004</v>
      </c>
      <c r="P75" s="14" t="s">
        <v>43</v>
      </c>
      <c r="Q75" s="14" t="s">
        <v>41</v>
      </c>
    </row>
    <row r="76" ht="14.25" customHeight="1">
      <c r="A76" s="1" t="s">
        <v>42</v>
      </c>
      <c r="B76" s="1">
        <v>62.0</v>
      </c>
      <c r="C76" s="1">
        <v>922.0</v>
      </c>
      <c r="D76" s="1" t="s">
        <v>50</v>
      </c>
      <c r="E76" s="1">
        <v>0.0</v>
      </c>
      <c r="F76" s="1">
        <v>0.0</v>
      </c>
      <c r="G76" s="1">
        <v>0.0</v>
      </c>
      <c r="H76" s="13">
        <v>45412.81246527778</v>
      </c>
      <c r="I76" s="1">
        <v>0.0</v>
      </c>
      <c r="J76" s="1">
        <v>6.68</v>
      </c>
      <c r="K76" s="1">
        <v>0.004</v>
      </c>
      <c r="L76" s="1">
        <v>1.61</v>
      </c>
      <c r="M76" s="1">
        <v>1.0</v>
      </c>
      <c r="N76" s="1">
        <f t="shared" si="1"/>
        <v>0</v>
      </c>
      <c r="O76" s="1">
        <f t="shared" si="2"/>
        <v>0.004</v>
      </c>
      <c r="P76" s="14" t="s">
        <v>43</v>
      </c>
      <c r="Q76" s="14" t="s">
        <v>41</v>
      </c>
    </row>
    <row r="77" ht="14.25" customHeight="1">
      <c r="A77" s="1" t="s">
        <v>44</v>
      </c>
      <c r="B77" s="1">
        <v>63.0</v>
      </c>
      <c r="C77" s="1">
        <v>0.0</v>
      </c>
      <c r="D77" s="1" t="s">
        <v>45</v>
      </c>
      <c r="E77" s="1">
        <v>0.0</v>
      </c>
      <c r="F77" s="1">
        <v>0.0</v>
      </c>
      <c r="G77" s="1">
        <v>0.0</v>
      </c>
      <c r="H77" s="13">
        <v>45412.81327546296</v>
      </c>
      <c r="I77" s="1">
        <v>-0.004</v>
      </c>
      <c r="J77" s="1">
        <v>0.0</v>
      </c>
      <c r="K77" s="1">
        <v>0.0</v>
      </c>
      <c r="L77" s="1">
        <v>0.0</v>
      </c>
      <c r="M77" s="1">
        <v>1.0</v>
      </c>
      <c r="N77" s="1">
        <f t="shared" si="1"/>
        <v>-0.004</v>
      </c>
      <c r="O77" s="1">
        <f t="shared" si="2"/>
        <v>0</v>
      </c>
      <c r="P77" s="14" t="s">
        <v>43</v>
      </c>
      <c r="Q77" s="14" t="s">
        <v>41</v>
      </c>
    </row>
    <row r="78" ht="14.25" customHeight="1">
      <c r="A78" s="1" t="s">
        <v>38</v>
      </c>
      <c r="B78" s="1">
        <v>64.0</v>
      </c>
      <c r="C78" s="1">
        <v>921.0</v>
      </c>
      <c r="D78" s="1" t="s">
        <v>39</v>
      </c>
      <c r="E78" s="1">
        <v>0.0</v>
      </c>
      <c r="F78" s="1">
        <v>0.0</v>
      </c>
      <c r="G78" s="1">
        <v>0.0</v>
      </c>
      <c r="H78" s="13">
        <v>45412.81570601852</v>
      </c>
      <c r="I78" s="1">
        <v>0.198</v>
      </c>
      <c r="J78" s="1">
        <v>333.38</v>
      </c>
      <c r="K78" s="1">
        <v>0.199</v>
      </c>
      <c r="L78" s="1">
        <v>78.55</v>
      </c>
      <c r="M78" s="1">
        <v>1.0</v>
      </c>
      <c r="N78" s="1">
        <f t="shared" si="1"/>
        <v>0.198</v>
      </c>
      <c r="O78" s="1">
        <f t="shared" si="2"/>
        <v>0.199</v>
      </c>
      <c r="P78" s="2">
        <f>I78</f>
        <v>0.198</v>
      </c>
      <c r="Q78" s="2">
        <f>K78</f>
        <v>0.199</v>
      </c>
    </row>
    <row r="79" ht="14.25" customHeight="1">
      <c r="A79" s="1" t="s">
        <v>60</v>
      </c>
      <c r="B79" s="1">
        <v>65.0</v>
      </c>
      <c r="C79" s="1">
        <v>0.0</v>
      </c>
      <c r="D79" s="1" t="s">
        <v>61</v>
      </c>
      <c r="E79" s="1">
        <v>0.0</v>
      </c>
      <c r="F79" s="1">
        <v>0.0</v>
      </c>
      <c r="G79" s="1">
        <v>0.0</v>
      </c>
      <c r="H79" s="13">
        <v>45412.816516203704</v>
      </c>
      <c r="I79" s="1">
        <v>-0.004</v>
      </c>
      <c r="J79" s="1">
        <v>0.0</v>
      </c>
      <c r="K79" s="1">
        <v>0.0</v>
      </c>
      <c r="L79" s="1">
        <v>0.0</v>
      </c>
      <c r="M79" s="1">
        <v>1.0</v>
      </c>
      <c r="N79" s="1">
        <f t="shared" si="1"/>
        <v>-0.004</v>
      </c>
      <c r="O79" s="1">
        <f t="shared" si="2"/>
        <v>0</v>
      </c>
      <c r="P79" s="14" t="s">
        <v>43</v>
      </c>
      <c r="Q79" s="14" t="s">
        <v>41</v>
      </c>
    </row>
    <row r="80" ht="14.25" customHeight="1">
      <c r="P80" s="2"/>
      <c r="Q80" s="2"/>
    </row>
    <row r="81" ht="14.25" customHeight="1">
      <c r="P81" s="2"/>
      <c r="Q81" s="2"/>
    </row>
    <row r="82" ht="14.25" customHeight="1">
      <c r="P82" s="2"/>
      <c r="Q82" s="2"/>
    </row>
    <row r="83" ht="14.25" customHeight="1">
      <c r="P83" s="2"/>
      <c r="Q83" s="2"/>
    </row>
    <row r="84" ht="14.25" customHeight="1">
      <c r="P84" s="2"/>
      <c r="Q84" s="2"/>
    </row>
    <row r="85" ht="14.25" customHeight="1">
      <c r="P85" s="2"/>
      <c r="Q85" s="2"/>
    </row>
    <row r="86" ht="14.25" customHeight="1">
      <c r="P86" s="2"/>
      <c r="Q86" s="2"/>
    </row>
    <row r="87" ht="14.25" customHeight="1">
      <c r="P87" s="2"/>
      <c r="Q87" s="2"/>
    </row>
    <row r="88" ht="14.25" customHeight="1">
      <c r="P88" s="2"/>
      <c r="Q88" s="2"/>
    </row>
    <row r="89" ht="14.25" customHeight="1">
      <c r="P89" s="2"/>
      <c r="Q89" s="2"/>
    </row>
    <row r="90" ht="14.25" customHeight="1">
      <c r="P90" s="2"/>
      <c r="Q90" s="2"/>
    </row>
    <row r="91" ht="14.25" customHeight="1">
      <c r="P91" s="2"/>
      <c r="Q91" s="2"/>
    </row>
    <row r="92" ht="14.25" customHeight="1">
      <c r="P92" s="2"/>
      <c r="Q92" s="2"/>
    </row>
    <row r="93" ht="14.25" customHeight="1">
      <c r="P93" s="2"/>
      <c r="Q93" s="2"/>
    </row>
    <row r="94" ht="14.25" customHeight="1">
      <c r="P94" s="2"/>
      <c r="Q94" s="2"/>
    </row>
    <row r="95" ht="14.25" customHeight="1">
      <c r="P95" s="2"/>
      <c r="Q95" s="2"/>
    </row>
    <row r="96" ht="14.25" customHeight="1">
      <c r="P96" s="2"/>
      <c r="Q96" s="2"/>
    </row>
    <row r="97" ht="14.25" customHeight="1">
      <c r="P97" s="2"/>
      <c r="Q97" s="2"/>
    </row>
    <row r="98" ht="14.25" customHeight="1">
      <c r="P98" s="2"/>
      <c r="Q98" s="2"/>
    </row>
    <row r="99" ht="14.25" customHeight="1">
      <c r="P99" s="2"/>
      <c r="Q99" s="2"/>
    </row>
    <row r="100" ht="14.25" customHeight="1">
      <c r="P100" s="2"/>
      <c r="Q100" s="2"/>
    </row>
    <row r="101" ht="14.25" customHeight="1">
      <c r="P101" s="2"/>
      <c r="Q101" s="2"/>
    </row>
    <row r="102" ht="14.25" customHeight="1">
      <c r="P102" s="2"/>
      <c r="Q102" s="2"/>
    </row>
    <row r="103" ht="14.25" customHeight="1">
      <c r="P103" s="2"/>
      <c r="Q103" s="2"/>
    </row>
    <row r="104" ht="14.25" customHeight="1">
      <c r="P104" s="2"/>
      <c r="Q104" s="2"/>
    </row>
    <row r="105" ht="14.25" customHeight="1">
      <c r="P105" s="2"/>
      <c r="Q105" s="2"/>
    </row>
    <row r="106" ht="14.25" customHeight="1">
      <c r="P106" s="2"/>
      <c r="Q106" s="2"/>
    </row>
    <row r="107" ht="14.25" customHeight="1">
      <c r="P107" s="2"/>
      <c r="Q107" s="2"/>
    </row>
    <row r="108" ht="14.25" customHeight="1">
      <c r="P108" s="2"/>
      <c r="Q108" s="2"/>
    </row>
    <row r="109" ht="14.25" customHeight="1">
      <c r="P109" s="2"/>
      <c r="Q109" s="2"/>
    </row>
    <row r="110" ht="14.25" customHeight="1">
      <c r="P110" s="2"/>
      <c r="Q110" s="2"/>
    </row>
    <row r="111" ht="14.25" customHeight="1">
      <c r="P111" s="2"/>
      <c r="Q111" s="2"/>
    </row>
    <row r="112" ht="14.25" customHeight="1">
      <c r="P112" s="2"/>
      <c r="Q112" s="2"/>
    </row>
    <row r="113" ht="14.25" customHeight="1">
      <c r="P113" s="2"/>
      <c r="Q113" s="2"/>
    </row>
    <row r="114" ht="14.25" customHeight="1">
      <c r="P114" s="2"/>
      <c r="Q114" s="2"/>
    </row>
    <row r="115" ht="14.25" customHeight="1">
      <c r="P115" s="2"/>
      <c r="Q115" s="2"/>
    </row>
    <row r="116" ht="14.25" customHeight="1">
      <c r="P116" s="2"/>
      <c r="Q116" s="2"/>
    </row>
    <row r="117" ht="14.25" customHeight="1">
      <c r="P117" s="2"/>
      <c r="Q117" s="2"/>
    </row>
    <row r="118" ht="14.25" customHeight="1">
      <c r="P118" s="2"/>
      <c r="Q118" s="2"/>
    </row>
    <row r="119" ht="14.25" customHeight="1">
      <c r="P119" s="2"/>
      <c r="Q119" s="2"/>
    </row>
    <row r="120" ht="14.25" customHeight="1">
      <c r="P120" s="2"/>
      <c r="Q120" s="2"/>
    </row>
    <row r="121" ht="14.25" customHeight="1">
      <c r="P121" s="2"/>
      <c r="Q121" s="2"/>
    </row>
    <row r="122" ht="14.25" customHeight="1">
      <c r="P122" s="2"/>
      <c r="Q122" s="2"/>
    </row>
    <row r="123" ht="14.25" customHeight="1">
      <c r="P123" s="2"/>
      <c r="Q123" s="2"/>
    </row>
    <row r="124" ht="14.25" customHeight="1">
      <c r="P124" s="2"/>
      <c r="Q124" s="2"/>
    </row>
    <row r="125" ht="14.25" customHeight="1">
      <c r="P125" s="2"/>
      <c r="Q125" s="2"/>
    </row>
    <row r="126" ht="14.25" customHeight="1">
      <c r="P126" s="2"/>
      <c r="Q126" s="2"/>
    </row>
    <row r="127" ht="14.25" customHeight="1">
      <c r="P127" s="2"/>
      <c r="Q127" s="2"/>
    </row>
    <row r="128" ht="14.25" customHeight="1">
      <c r="P128" s="2"/>
      <c r="Q128" s="2"/>
    </row>
    <row r="129" ht="14.25" customHeight="1">
      <c r="P129" s="2"/>
      <c r="Q129" s="2"/>
    </row>
    <row r="130" ht="14.25" customHeight="1">
      <c r="P130" s="2"/>
      <c r="Q130" s="2"/>
    </row>
    <row r="131" ht="14.25" customHeight="1">
      <c r="P131" s="2"/>
      <c r="Q131" s="2"/>
    </row>
    <row r="132" ht="14.25" customHeight="1">
      <c r="P132" s="2"/>
      <c r="Q132" s="2"/>
    </row>
    <row r="133" ht="14.25" customHeight="1">
      <c r="P133" s="2"/>
      <c r="Q133" s="2"/>
    </row>
    <row r="134" ht="14.25" customHeight="1">
      <c r="P134" s="2"/>
      <c r="Q134" s="2"/>
    </row>
    <row r="135" ht="14.25" customHeight="1">
      <c r="P135" s="2"/>
      <c r="Q135" s="2"/>
    </row>
    <row r="136" ht="14.25" customHeight="1">
      <c r="P136" s="2"/>
      <c r="Q136" s="2"/>
    </row>
    <row r="137" ht="14.25" customHeight="1">
      <c r="P137" s="2"/>
      <c r="Q137" s="2"/>
    </row>
    <row r="138" ht="14.25" customHeight="1">
      <c r="P138" s="2"/>
      <c r="Q138" s="2"/>
    </row>
    <row r="139" ht="14.25" customHeight="1">
      <c r="P139" s="2"/>
      <c r="Q139" s="2"/>
    </row>
    <row r="140" ht="14.25" customHeight="1">
      <c r="P140" s="2"/>
      <c r="Q140" s="2"/>
    </row>
    <row r="141" ht="14.25" customHeight="1">
      <c r="P141" s="2"/>
      <c r="Q141" s="2"/>
    </row>
    <row r="142" ht="14.25" customHeight="1">
      <c r="P142" s="2"/>
      <c r="Q142" s="2"/>
    </row>
    <row r="143" ht="14.25" customHeight="1">
      <c r="P143" s="2"/>
      <c r="Q143" s="2"/>
    </row>
    <row r="144" ht="14.25" customHeight="1">
      <c r="P144" s="2"/>
      <c r="Q144" s="2"/>
    </row>
    <row r="145" ht="14.25" customHeight="1">
      <c r="P145" s="2"/>
      <c r="Q145" s="2"/>
    </row>
    <row r="146" ht="14.25" customHeight="1">
      <c r="P146" s="2"/>
      <c r="Q146" s="2"/>
    </row>
    <row r="147" ht="14.25" customHeight="1">
      <c r="P147" s="2"/>
      <c r="Q147" s="2"/>
    </row>
    <row r="148" ht="14.25" customHeight="1">
      <c r="P148" s="2"/>
      <c r="Q148" s="2"/>
    </row>
    <row r="149" ht="14.25" customHeight="1">
      <c r="P149" s="2"/>
      <c r="Q149" s="2"/>
    </row>
    <row r="150" ht="14.25" customHeight="1">
      <c r="P150" s="2"/>
      <c r="Q150" s="2"/>
    </row>
    <row r="151" ht="14.25" customHeight="1">
      <c r="P151" s="2"/>
      <c r="Q151" s="2"/>
    </row>
    <row r="152" ht="14.25" customHeight="1">
      <c r="P152" s="2"/>
      <c r="Q152" s="2"/>
    </row>
    <row r="153" ht="14.25" customHeight="1">
      <c r="P153" s="2"/>
      <c r="Q153" s="2"/>
    </row>
    <row r="154" ht="14.25" customHeight="1">
      <c r="P154" s="2"/>
      <c r="Q154" s="2"/>
    </row>
    <row r="155" ht="14.25" customHeight="1">
      <c r="P155" s="2"/>
      <c r="Q155" s="2"/>
    </row>
    <row r="156" ht="14.25" customHeight="1">
      <c r="P156" s="2"/>
      <c r="Q156" s="2"/>
    </row>
    <row r="157" ht="14.25" customHeight="1">
      <c r="P157" s="2"/>
      <c r="Q157" s="2"/>
    </row>
    <row r="158" ht="14.25" customHeight="1">
      <c r="P158" s="2"/>
      <c r="Q158" s="2"/>
    </row>
    <row r="159" ht="14.25" customHeight="1">
      <c r="P159" s="2"/>
      <c r="Q159" s="2"/>
    </row>
    <row r="160" ht="14.25" customHeight="1">
      <c r="P160" s="2"/>
      <c r="Q160" s="2"/>
    </row>
    <row r="161" ht="14.25" customHeight="1">
      <c r="P161" s="2"/>
      <c r="Q161" s="2"/>
    </row>
    <row r="162" ht="14.25" customHeight="1">
      <c r="P162" s="2"/>
      <c r="Q162" s="2"/>
    </row>
    <row r="163" ht="14.25" customHeight="1">
      <c r="P163" s="2"/>
      <c r="Q163" s="2"/>
    </row>
    <row r="164" ht="14.25" customHeight="1">
      <c r="P164" s="2"/>
      <c r="Q164" s="2"/>
    </row>
    <row r="165" ht="14.25" customHeight="1">
      <c r="P165" s="2"/>
      <c r="Q165" s="2"/>
    </row>
    <row r="166" ht="14.25" customHeight="1">
      <c r="P166" s="2"/>
      <c r="Q166" s="2"/>
    </row>
    <row r="167" ht="14.25" customHeight="1">
      <c r="P167" s="2"/>
      <c r="Q167" s="2"/>
    </row>
    <row r="168" ht="14.25" customHeight="1">
      <c r="P168" s="2"/>
      <c r="Q168" s="2"/>
    </row>
    <row r="169" ht="14.25" customHeight="1">
      <c r="P169" s="2"/>
      <c r="Q169" s="2"/>
    </row>
    <row r="170" ht="14.25" customHeight="1">
      <c r="P170" s="2"/>
      <c r="Q170" s="2"/>
    </row>
    <row r="171" ht="14.25" customHeight="1">
      <c r="P171" s="2"/>
      <c r="Q171" s="2"/>
    </row>
    <row r="172" ht="14.25" customHeight="1">
      <c r="P172" s="2"/>
      <c r="Q172" s="2"/>
    </row>
    <row r="173" ht="14.25" customHeight="1">
      <c r="P173" s="2"/>
      <c r="Q173" s="2"/>
    </row>
    <row r="174" ht="14.25" customHeight="1">
      <c r="P174" s="2"/>
      <c r="Q174" s="2"/>
    </row>
    <row r="175" ht="14.25" customHeight="1">
      <c r="P175" s="2"/>
      <c r="Q175" s="2"/>
    </row>
    <row r="176" ht="14.25" customHeight="1">
      <c r="P176" s="2"/>
      <c r="Q176" s="2"/>
    </row>
    <row r="177" ht="14.25" customHeight="1">
      <c r="P177" s="2"/>
      <c r="Q177" s="2"/>
    </row>
    <row r="178" ht="14.25" customHeight="1">
      <c r="P178" s="2"/>
      <c r="Q178" s="2"/>
    </row>
    <row r="179" ht="14.25" customHeight="1">
      <c r="P179" s="2"/>
      <c r="Q179" s="2"/>
    </row>
    <row r="180" ht="14.25" customHeight="1">
      <c r="P180" s="2"/>
      <c r="Q180" s="2"/>
    </row>
    <row r="181" ht="14.25" customHeight="1">
      <c r="P181" s="2"/>
      <c r="Q181" s="2"/>
    </row>
    <row r="182" ht="14.25" customHeight="1">
      <c r="P182" s="2"/>
      <c r="Q182" s="2"/>
    </row>
    <row r="183" ht="14.25" customHeight="1">
      <c r="P183" s="2"/>
      <c r="Q183" s="2"/>
    </row>
    <row r="184" ht="14.25" customHeight="1">
      <c r="P184" s="2"/>
      <c r="Q184" s="2"/>
    </row>
    <row r="185" ht="14.25" customHeight="1">
      <c r="P185" s="2"/>
      <c r="Q185" s="2"/>
    </row>
    <row r="186" ht="14.25" customHeight="1">
      <c r="P186" s="2"/>
      <c r="Q186" s="2"/>
    </row>
    <row r="187" ht="14.25" customHeight="1">
      <c r="P187" s="2"/>
      <c r="Q187" s="2"/>
    </row>
    <row r="188" ht="14.25" customHeight="1">
      <c r="P188" s="2"/>
      <c r="Q188" s="2"/>
    </row>
    <row r="189" ht="14.25" customHeight="1">
      <c r="P189" s="2"/>
      <c r="Q189" s="2"/>
    </row>
    <row r="190" ht="14.25" customHeight="1">
      <c r="P190" s="2"/>
      <c r="Q190" s="2"/>
    </row>
    <row r="191" ht="14.25" customHeight="1">
      <c r="P191" s="2"/>
      <c r="Q191" s="2"/>
    </row>
    <row r="192" ht="14.25" customHeight="1">
      <c r="P192" s="2"/>
      <c r="Q192" s="2"/>
    </row>
    <row r="193" ht="14.25" customHeight="1">
      <c r="P193" s="2"/>
      <c r="Q193" s="2"/>
    </row>
    <row r="194" ht="14.25" customHeight="1">
      <c r="P194" s="2"/>
      <c r="Q194" s="2"/>
    </row>
    <row r="195" ht="14.25" customHeight="1">
      <c r="P195" s="2"/>
      <c r="Q195" s="2"/>
    </row>
    <row r="196" ht="14.25" customHeight="1">
      <c r="P196" s="2"/>
      <c r="Q196" s="2"/>
    </row>
    <row r="197" ht="14.25" customHeight="1">
      <c r="P197" s="2"/>
      <c r="Q197" s="2"/>
    </row>
    <row r="198" ht="14.25" customHeight="1">
      <c r="P198" s="2"/>
      <c r="Q198" s="2"/>
    </row>
    <row r="199" ht="14.25" customHeight="1">
      <c r="P199" s="2"/>
      <c r="Q199" s="2"/>
    </row>
    <row r="200" ht="14.25" customHeight="1">
      <c r="P200" s="2"/>
      <c r="Q200" s="2"/>
    </row>
    <row r="201" ht="14.25" customHeight="1">
      <c r="P201" s="2"/>
      <c r="Q201" s="2"/>
    </row>
    <row r="202" ht="14.25" customHeight="1">
      <c r="P202" s="2"/>
      <c r="Q202" s="2"/>
    </row>
    <row r="203" ht="14.25" customHeight="1">
      <c r="P203" s="2"/>
      <c r="Q203" s="2"/>
    </row>
    <row r="204" ht="14.25" customHeight="1">
      <c r="P204" s="2"/>
      <c r="Q204" s="2"/>
    </row>
    <row r="205" ht="14.25" customHeight="1">
      <c r="P205" s="2"/>
      <c r="Q205" s="2"/>
    </row>
    <row r="206" ht="14.25" customHeight="1">
      <c r="P206" s="2"/>
      <c r="Q206" s="2"/>
    </row>
    <row r="207" ht="14.25" customHeight="1">
      <c r="P207" s="2"/>
      <c r="Q207" s="2"/>
    </row>
    <row r="208" ht="14.25" customHeight="1">
      <c r="P208" s="2"/>
      <c r="Q208" s="2"/>
    </row>
    <row r="209" ht="14.25" customHeight="1">
      <c r="P209" s="2"/>
      <c r="Q209" s="2"/>
    </row>
    <row r="210" ht="14.25" customHeight="1">
      <c r="P210" s="2"/>
      <c r="Q210" s="2"/>
    </row>
    <row r="211" ht="14.25" customHeight="1">
      <c r="P211" s="2"/>
      <c r="Q211" s="2"/>
    </row>
    <row r="212" ht="14.25" customHeight="1">
      <c r="P212" s="2"/>
      <c r="Q212" s="2"/>
    </row>
    <row r="213" ht="14.25" customHeight="1">
      <c r="P213" s="2"/>
      <c r="Q213" s="2"/>
    </row>
    <row r="214" ht="14.25" customHeight="1">
      <c r="P214" s="2"/>
      <c r="Q214" s="2"/>
    </row>
    <row r="215" ht="14.25" customHeight="1">
      <c r="P215" s="2"/>
      <c r="Q215" s="2"/>
    </row>
    <row r="216" ht="14.25" customHeight="1">
      <c r="P216" s="2"/>
      <c r="Q216" s="2"/>
    </row>
    <row r="217" ht="14.25" customHeight="1">
      <c r="P217" s="2"/>
      <c r="Q217" s="2"/>
    </row>
    <row r="218" ht="14.25" customHeight="1">
      <c r="P218" s="2"/>
      <c r="Q218" s="2"/>
    </row>
    <row r="219" ht="14.25" customHeight="1">
      <c r="P219" s="2"/>
      <c r="Q219" s="2"/>
    </row>
    <row r="220" ht="14.25" customHeight="1">
      <c r="P220" s="2"/>
      <c r="Q220" s="2"/>
    </row>
    <row r="221" ht="14.25" customHeight="1">
      <c r="P221" s="2"/>
      <c r="Q221" s="2"/>
    </row>
    <row r="222" ht="14.25" customHeight="1">
      <c r="P222" s="2"/>
      <c r="Q222" s="2"/>
    </row>
    <row r="223" ht="14.25" customHeight="1">
      <c r="P223" s="2"/>
      <c r="Q223" s="2"/>
    </row>
    <row r="224" ht="14.25" customHeight="1">
      <c r="P224" s="2"/>
      <c r="Q224" s="2"/>
    </row>
    <row r="225" ht="14.25" customHeight="1">
      <c r="P225" s="2"/>
      <c r="Q225" s="2"/>
    </row>
    <row r="226" ht="14.25" customHeight="1">
      <c r="P226" s="2"/>
      <c r="Q226" s="2"/>
    </row>
    <row r="227" ht="14.25" customHeight="1">
      <c r="P227" s="2"/>
      <c r="Q227" s="2"/>
    </row>
    <row r="228" ht="14.25" customHeight="1">
      <c r="P228" s="2"/>
      <c r="Q228" s="2"/>
    </row>
    <row r="229" ht="14.25" customHeight="1">
      <c r="P229" s="2"/>
      <c r="Q229" s="2"/>
    </row>
    <row r="230" ht="14.25" customHeight="1">
      <c r="P230" s="2"/>
      <c r="Q230" s="2"/>
    </row>
    <row r="231" ht="14.25" customHeight="1">
      <c r="P231" s="2"/>
      <c r="Q231" s="2"/>
    </row>
    <row r="232" ht="14.25" customHeight="1">
      <c r="P232" s="2"/>
      <c r="Q232" s="2"/>
    </row>
    <row r="233" ht="14.25" customHeight="1">
      <c r="P233" s="2"/>
      <c r="Q233" s="2"/>
    </row>
    <row r="234" ht="14.25" customHeight="1">
      <c r="P234" s="2"/>
      <c r="Q234" s="2"/>
    </row>
    <row r="235" ht="14.25" customHeight="1">
      <c r="P235" s="2"/>
      <c r="Q235" s="2"/>
    </row>
    <row r="236" ht="14.25" customHeight="1">
      <c r="P236" s="2"/>
      <c r="Q236" s="2"/>
    </row>
    <row r="237" ht="14.25" customHeight="1">
      <c r="P237" s="2"/>
      <c r="Q237" s="2"/>
    </row>
    <row r="238" ht="14.25" customHeight="1">
      <c r="P238" s="2"/>
      <c r="Q238" s="2"/>
    </row>
    <row r="239" ht="14.25" customHeight="1">
      <c r="P239" s="2"/>
      <c r="Q239" s="2"/>
    </row>
    <row r="240" ht="14.25" customHeight="1">
      <c r="P240" s="2"/>
      <c r="Q240" s="2"/>
    </row>
    <row r="241" ht="14.25" customHeight="1">
      <c r="P241" s="2"/>
      <c r="Q241" s="2"/>
    </row>
    <row r="242" ht="14.25" customHeight="1">
      <c r="P242" s="2"/>
      <c r="Q242" s="2"/>
    </row>
    <row r="243" ht="14.25" customHeight="1">
      <c r="P243" s="2"/>
      <c r="Q243" s="2"/>
    </row>
    <row r="244" ht="14.25" customHeight="1">
      <c r="P244" s="2"/>
      <c r="Q244" s="2"/>
    </row>
    <row r="245" ht="14.25" customHeight="1">
      <c r="P245" s="2"/>
      <c r="Q245" s="2"/>
    </row>
    <row r="246" ht="14.25" customHeight="1">
      <c r="P246" s="2"/>
      <c r="Q246" s="2"/>
    </row>
    <row r="247" ht="14.25" customHeight="1">
      <c r="P247" s="2"/>
      <c r="Q247" s="2"/>
    </row>
    <row r="248" ht="14.25" customHeight="1">
      <c r="P248" s="2"/>
      <c r="Q248" s="2"/>
    </row>
    <row r="249" ht="14.25" customHeight="1">
      <c r="P249" s="2"/>
      <c r="Q249" s="2"/>
    </row>
    <row r="250" ht="14.25" customHeight="1">
      <c r="P250" s="2"/>
      <c r="Q250" s="2"/>
    </row>
    <row r="251" ht="14.25" customHeight="1">
      <c r="P251" s="2"/>
      <c r="Q251" s="2"/>
    </row>
    <row r="252" ht="14.25" customHeight="1">
      <c r="P252" s="2"/>
      <c r="Q252" s="2"/>
    </row>
    <row r="253" ht="14.25" customHeight="1">
      <c r="P253" s="2"/>
      <c r="Q253" s="2"/>
    </row>
    <row r="254" ht="14.25" customHeight="1">
      <c r="P254" s="2"/>
      <c r="Q254" s="2"/>
    </row>
    <row r="255" ht="14.25" customHeight="1">
      <c r="P255" s="2"/>
      <c r="Q255" s="2"/>
    </row>
    <row r="256" ht="14.25" customHeight="1">
      <c r="P256" s="2"/>
      <c r="Q256" s="2"/>
    </row>
    <row r="257" ht="14.25" customHeight="1">
      <c r="P257" s="2"/>
      <c r="Q257" s="2"/>
    </row>
    <row r="258" ht="14.25" customHeight="1">
      <c r="P258" s="2"/>
      <c r="Q258" s="2"/>
    </row>
    <row r="259" ht="14.25" customHeight="1">
      <c r="P259" s="2"/>
      <c r="Q259" s="2"/>
    </row>
    <row r="260" ht="14.25" customHeight="1">
      <c r="P260" s="2"/>
      <c r="Q260" s="2"/>
    </row>
    <row r="261" ht="14.25" customHeight="1">
      <c r="P261" s="2"/>
      <c r="Q261" s="2"/>
    </row>
    <row r="262" ht="14.25" customHeight="1">
      <c r="P262" s="2"/>
      <c r="Q262" s="2"/>
    </row>
    <row r="263" ht="14.25" customHeight="1">
      <c r="P263" s="2"/>
      <c r="Q263" s="2"/>
    </row>
    <row r="264" ht="14.25" customHeight="1">
      <c r="P264" s="2"/>
      <c r="Q264" s="2"/>
    </row>
    <row r="265" ht="14.25" customHeight="1">
      <c r="P265" s="2"/>
      <c r="Q265" s="2"/>
    </row>
    <row r="266" ht="14.25" customHeight="1">
      <c r="P266" s="2"/>
      <c r="Q266" s="2"/>
    </row>
    <row r="267" ht="14.25" customHeight="1">
      <c r="P267" s="2"/>
      <c r="Q267" s="2"/>
    </row>
    <row r="268" ht="14.25" customHeight="1">
      <c r="P268" s="2"/>
      <c r="Q268" s="2"/>
    </row>
    <row r="269" ht="14.25" customHeight="1">
      <c r="P269" s="2"/>
      <c r="Q269" s="2"/>
    </row>
    <row r="270" ht="14.25" customHeight="1">
      <c r="P270" s="2"/>
      <c r="Q270" s="2"/>
    </row>
    <row r="271" ht="14.25" customHeight="1">
      <c r="P271" s="2"/>
      <c r="Q271" s="2"/>
    </row>
    <row r="272" ht="14.25" customHeight="1">
      <c r="P272" s="2"/>
      <c r="Q272" s="2"/>
    </row>
    <row r="273" ht="14.25" customHeight="1">
      <c r="P273" s="2"/>
      <c r="Q273" s="2"/>
    </row>
    <row r="274" ht="14.25" customHeight="1">
      <c r="P274" s="2"/>
      <c r="Q274" s="2"/>
    </row>
    <row r="275" ht="14.25" customHeight="1">
      <c r="P275" s="2"/>
      <c r="Q275" s="2"/>
    </row>
    <row r="276" ht="14.25" customHeight="1">
      <c r="P276" s="2"/>
      <c r="Q276" s="2"/>
    </row>
    <row r="277" ht="14.25" customHeight="1">
      <c r="P277" s="2"/>
      <c r="Q277" s="2"/>
    </row>
    <row r="278" ht="14.25" customHeight="1">
      <c r="P278" s="2"/>
      <c r="Q278" s="2"/>
    </row>
    <row r="279" ht="14.25" customHeight="1">
      <c r="P279" s="2"/>
      <c r="Q279" s="2"/>
    </row>
    <row r="280" ht="14.25" customHeight="1">
      <c r="P280" s="2"/>
      <c r="Q280" s="2"/>
    </row>
    <row r="281" ht="14.25" customHeight="1">
      <c r="P281" s="2"/>
      <c r="Q281" s="2"/>
    </row>
    <row r="282" ht="14.25" customHeight="1">
      <c r="P282" s="2"/>
      <c r="Q282" s="2"/>
    </row>
    <row r="283" ht="14.25" customHeight="1">
      <c r="P283" s="2"/>
      <c r="Q283" s="2"/>
    </row>
    <row r="284" ht="14.25" customHeight="1">
      <c r="P284" s="2"/>
      <c r="Q284" s="2"/>
    </row>
    <row r="285" ht="14.25" customHeight="1">
      <c r="P285" s="2"/>
      <c r="Q285" s="2"/>
    </row>
    <row r="286" ht="14.25" customHeight="1">
      <c r="P286" s="2"/>
      <c r="Q286" s="2"/>
    </row>
    <row r="287" ht="14.25" customHeight="1">
      <c r="P287" s="2"/>
      <c r="Q287" s="2"/>
    </row>
    <row r="288" ht="14.25" customHeight="1">
      <c r="P288" s="2"/>
      <c r="Q288" s="2"/>
    </row>
    <row r="289" ht="14.25" customHeight="1">
      <c r="P289" s="2"/>
      <c r="Q289" s="2"/>
    </row>
    <row r="290" ht="14.25" customHeight="1">
      <c r="P290" s="2"/>
      <c r="Q290" s="2"/>
    </row>
    <row r="291" ht="14.25" customHeight="1">
      <c r="P291" s="2"/>
      <c r="Q291" s="2"/>
    </row>
    <row r="292" ht="14.25" customHeight="1">
      <c r="P292" s="2"/>
      <c r="Q292" s="2"/>
    </row>
    <row r="293" ht="14.25" customHeight="1">
      <c r="P293" s="2"/>
      <c r="Q293" s="2"/>
    </row>
    <row r="294" ht="14.25" customHeight="1">
      <c r="P294" s="2"/>
      <c r="Q294" s="2"/>
    </row>
    <row r="295" ht="14.25" customHeight="1">
      <c r="P295" s="2"/>
      <c r="Q295" s="2"/>
    </row>
    <row r="296" ht="14.25" customHeight="1">
      <c r="P296" s="2"/>
      <c r="Q296" s="2"/>
    </row>
    <row r="297" ht="14.25" customHeight="1">
      <c r="P297" s="2"/>
      <c r="Q297" s="2"/>
    </row>
    <row r="298" ht="14.25" customHeight="1">
      <c r="P298" s="2"/>
      <c r="Q298" s="2"/>
    </row>
    <row r="299" ht="14.25" customHeight="1">
      <c r="P299" s="2"/>
      <c r="Q299" s="2"/>
    </row>
    <row r="300" ht="14.25" customHeight="1">
      <c r="P300" s="2"/>
      <c r="Q300" s="2"/>
    </row>
    <row r="301" ht="14.25" customHeight="1">
      <c r="P301" s="2"/>
      <c r="Q301" s="2"/>
    </row>
    <row r="302" ht="14.25" customHeight="1">
      <c r="P302" s="2"/>
      <c r="Q302" s="2"/>
    </row>
    <row r="303" ht="14.25" customHeight="1">
      <c r="P303" s="2"/>
      <c r="Q303" s="2"/>
    </row>
    <row r="304" ht="14.25" customHeight="1">
      <c r="P304" s="2"/>
      <c r="Q304" s="2"/>
    </row>
    <row r="305" ht="14.25" customHeight="1">
      <c r="P305" s="2"/>
      <c r="Q305" s="2"/>
    </row>
    <row r="306" ht="14.25" customHeight="1">
      <c r="P306" s="2"/>
      <c r="Q306" s="2"/>
    </row>
    <row r="307" ht="14.25" customHeight="1">
      <c r="P307" s="2"/>
      <c r="Q307" s="2"/>
    </row>
    <row r="308" ht="14.25" customHeight="1">
      <c r="P308" s="2"/>
      <c r="Q308" s="2"/>
    </row>
    <row r="309" ht="14.25" customHeight="1">
      <c r="P309" s="2"/>
      <c r="Q309" s="2"/>
    </row>
    <row r="310" ht="14.25" customHeight="1">
      <c r="P310" s="2"/>
      <c r="Q310" s="2"/>
    </row>
    <row r="311" ht="14.25" customHeight="1">
      <c r="P311" s="2"/>
      <c r="Q311" s="2"/>
    </row>
    <row r="312" ht="14.25" customHeight="1">
      <c r="P312" s="2"/>
      <c r="Q312" s="2"/>
    </row>
    <row r="313" ht="14.25" customHeight="1">
      <c r="P313" s="2"/>
      <c r="Q313" s="2"/>
    </row>
    <row r="314" ht="14.25" customHeight="1">
      <c r="P314" s="2"/>
      <c r="Q314" s="2"/>
    </row>
    <row r="315" ht="14.25" customHeight="1">
      <c r="P315" s="2"/>
      <c r="Q315" s="2"/>
    </row>
    <row r="316" ht="14.25" customHeight="1">
      <c r="P316" s="2"/>
      <c r="Q316" s="2"/>
    </row>
    <row r="317" ht="14.25" customHeight="1">
      <c r="P317" s="2"/>
      <c r="Q317" s="2"/>
    </row>
    <row r="318" ht="14.25" customHeight="1">
      <c r="P318" s="2"/>
      <c r="Q318" s="2"/>
    </row>
    <row r="319" ht="14.25" customHeight="1">
      <c r="P319" s="2"/>
      <c r="Q319" s="2"/>
    </row>
    <row r="320" ht="14.25" customHeight="1">
      <c r="P320" s="2"/>
      <c r="Q320" s="2"/>
    </row>
    <row r="321" ht="14.25" customHeight="1">
      <c r="P321" s="2"/>
      <c r="Q321" s="2"/>
    </row>
    <row r="322" ht="14.25" customHeight="1">
      <c r="P322" s="2"/>
      <c r="Q322" s="2"/>
    </row>
    <row r="323" ht="14.25" customHeight="1">
      <c r="P323" s="2"/>
      <c r="Q323" s="2"/>
    </row>
    <row r="324" ht="14.25" customHeight="1">
      <c r="P324" s="2"/>
      <c r="Q324" s="2"/>
    </row>
    <row r="325" ht="14.25" customHeight="1">
      <c r="P325" s="2"/>
      <c r="Q325" s="2"/>
    </row>
    <row r="326" ht="14.25" customHeight="1">
      <c r="P326" s="2"/>
      <c r="Q326" s="2"/>
    </row>
    <row r="327" ht="14.25" customHeight="1">
      <c r="P327" s="2"/>
      <c r="Q327" s="2"/>
    </row>
    <row r="328" ht="14.25" customHeight="1">
      <c r="P328" s="2"/>
      <c r="Q328" s="2"/>
    </row>
    <row r="329" ht="14.25" customHeight="1">
      <c r="P329" s="2"/>
      <c r="Q329" s="2"/>
    </row>
    <row r="330" ht="14.25" customHeight="1">
      <c r="P330" s="2"/>
      <c r="Q330" s="2"/>
    </row>
    <row r="331" ht="14.25" customHeight="1">
      <c r="P331" s="2"/>
      <c r="Q331" s="2"/>
    </row>
    <row r="332" ht="14.25" customHeight="1">
      <c r="P332" s="2"/>
      <c r="Q332" s="2"/>
    </row>
    <row r="333" ht="14.25" customHeight="1">
      <c r="P333" s="2"/>
      <c r="Q333" s="2"/>
    </row>
    <row r="334" ht="14.25" customHeight="1">
      <c r="P334" s="2"/>
      <c r="Q334" s="2"/>
    </row>
    <row r="335" ht="14.25" customHeight="1">
      <c r="P335" s="2"/>
      <c r="Q335" s="2"/>
    </row>
    <row r="336" ht="14.25" customHeight="1">
      <c r="P336" s="2"/>
      <c r="Q336" s="2"/>
    </row>
    <row r="337" ht="14.25" customHeight="1">
      <c r="P337" s="2"/>
      <c r="Q337" s="2"/>
    </row>
    <row r="338" ht="14.25" customHeight="1">
      <c r="P338" s="2"/>
      <c r="Q338" s="2"/>
    </row>
    <row r="339" ht="14.25" customHeight="1">
      <c r="P339" s="2"/>
      <c r="Q339" s="2"/>
    </row>
    <row r="340" ht="14.25" customHeight="1">
      <c r="P340" s="2"/>
      <c r="Q340" s="2"/>
    </row>
    <row r="341" ht="14.25" customHeight="1">
      <c r="P341" s="2"/>
      <c r="Q341" s="2"/>
    </row>
    <row r="342" ht="14.25" customHeight="1">
      <c r="P342" s="2"/>
      <c r="Q342" s="2"/>
    </row>
    <row r="343" ht="14.25" customHeight="1">
      <c r="P343" s="2"/>
      <c r="Q343" s="2"/>
    </row>
    <row r="344" ht="14.25" customHeight="1">
      <c r="P344" s="2"/>
      <c r="Q344" s="2"/>
    </row>
    <row r="345" ht="14.25" customHeight="1">
      <c r="P345" s="2"/>
      <c r="Q345" s="2"/>
    </row>
    <row r="346" ht="14.25" customHeight="1">
      <c r="P346" s="2"/>
      <c r="Q346" s="2"/>
    </row>
    <row r="347" ht="14.25" customHeight="1">
      <c r="P347" s="2"/>
      <c r="Q347" s="2"/>
    </row>
    <row r="348" ht="14.25" customHeight="1">
      <c r="P348" s="2"/>
      <c r="Q348" s="2"/>
    </row>
    <row r="349" ht="14.25" customHeight="1">
      <c r="P349" s="2"/>
      <c r="Q349" s="2"/>
    </row>
    <row r="350" ht="14.25" customHeight="1">
      <c r="P350" s="2"/>
      <c r="Q350" s="2"/>
    </row>
    <row r="351" ht="14.25" customHeight="1">
      <c r="P351" s="2"/>
      <c r="Q351" s="2"/>
    </row>
    <row r="352" ht="14.25" customHeight="1">
      <c r="P352" s="2"/>
      <c r="Q352" s="2"/>
    </row>
    <row r="353" ht="14.25" customHeight="1">
      <c r="P353" s="2"/>
      <c r="Q353" s="2"/>
    </row>
    <row r="354" ht="14.25" customHeight="1">
      <c r="P354" s="2"/>
      <c r="Q354" s="2"/>
    </row>
    <row r="355" ht="14.25" customHeight="1">
      <c r="P355" s="2"/>
      <c r="Q355" s="2"/>
    </row>
    <row r="356" ht="14.25" customHeight="1">
      <c r="P356" s="2"/>
      <c r="Q356" s="2"/>
    </row>
    <row r="357" ht="14.25" customHeight="1">
      <c r="P357" s="2"/>
      <c r="Q357" s="2"/>
    </row>
    <row r="358" ht="14.25" customHeight="1">
      <c r="P358" s="2"/>
      <c r="Q358" s="2"/>
    </row>
    <row r="359" ht="14.25" customHeight="1">
      <c r="P359" s="2"/>
      <c r="Q359" s="2"/>
    </row>
    <row r="360" ht="14.25" customHeight="1">
      <c r="P360" s="2"/>
      <c r="Q360" s="2"/>
    </row>
    <row r="361" ht="14.25" customHeight="1">
      <c r="P361" s="2"/>
      <c r="Q361" s="2"/>
    </row>
    <row r="362" ht="14.25" customHeight="1">
      <c r="P362" s="2"/>
      <c r="Q362" s="2"/>
    </row>
    <row r="363" ht="14.25" customHeight="1">
      <c r="P363" s="2"/>
      <c r="Q363" s="2"/>
    </row>
    <row r="364" ht="14.25" customHeight="1">
      <c r="P364" s="2"/>
      <c r="Q364" s="2"/>
    </row>
    <row r="365" ht="14.25" customHeight="1">
      <c r="P365" s="2"/>
      <c r="Q365" s="2"/>
    </row>
    <row r="366" ht="14.25" customHeight="1">
      <c r="P366" s="2"/>
      <c r="Q366" s="2"/>
    </row>
    <row r="367" ht="14.25" customHeight="1">
      <c r="P367" s="2"/>
      <c r="Q367" s="2"/>
    </row>
    <row r="368" ht="14.25" customHeight="1">
      <c r="P368" s="2"/>
      <c r="Q368" s="2"/>
    </row>
    <row r="369" ht="14.25" customHeight="1">
      <c r="P369" s="2"/>
      <c r="Q369" s="2"/>
    </row>
    <row r="370" ht="14.25" customHeight="1">
      <c r="P370" s="2"/>
      <c r="Q370" s="2"/>
    </row>
    <row r="371" ht="14.25" customHeight="1">
      <c r="P371" s="2"/>
      <c r="Q371" s="2"/>
    </row>
    <row r="372" ht="14.25" customHeight="1">
      <c r="P372" s="2"/>
      <c r="Q372" s="2"/>
    </row>
    <row r="373" ht="14.25" customHeight="1">
      <c r="P373" s="2"/>
      <c r="Q373" s="2"/>
    </row>
    <row r="374" ht="14.25" customHeight="1">
      <c r="P374" s="2"/>
      <c r="Q374" s="2"/>
    </row>
    <row r="375" ht="14.25" customHeight="1">
      <c r="P375" s="2"/>
      <c r="Q375" s="2"/>
    </row>
    <row r="376" ht="14.25" customHeight="1">
      <c r="P376" s="2"/>
      <c r="Q376" s="2"/>
    </row>
    <row r="377" ht="14.25" customHeight="1">
      <c r="P377" s="2"/>
      <c r="Q377" s="2"/>
    </row>
    <row r="378" ht="14.25" customHeight="1">
      <c r="P378" s="2"/>
      <c r="Q378" s="2"/>
    </row>
    <row r="379" ht="14.25" customHeight="1">
      <c r="P379" s="2"/>
      <c r="Q379" s="2"/>
    </row>
    <row r="380" ht="14.25" customHeight="1">
      <c r="P380" s="2"/>
      <c r="Q380" s="2"/>
    </row>
    <row r="381" ht="14.25" customHeight="1">
      <c r="P381" s="2"/>
      <c r="Q381" s="2"/>
    </row>
    <row r="382" ht="14.25" customHeight="1">
      <c r="P382" s="2"/>
      <c r="Q382" s="2"/>
    </row>
    <row r="383" ht="14.25" customHeight="1">
      <c r="P383" s="2"/>
      <c r="Q383" s="2"/>
    </row>
    <row r="384" ht="14.25" customHeight="1">
      <c r="P384" s="2"/>
      <c r="Q384" s="2"/>
    </row>
    <row r="385" ht="14.25" customHeight="1">
      <c r="P385" s="2"/>
      <c r="Q385" s="2"/>
    </row>
    <row r="386" ht="14.25" customHeight="1">
      <c r="P386" s="2"/>
      <c r="Q386" s="2"/>
    </row>
    <row r="387" ht="14.25" customHeight="1">
      <c r="P387" s="2"/>
      <c r="Q387" s="2"/>
    </row>
    <row r="388" ht="14.25" customHeight="1">
      <c r="P388" s="2"/>
      <c r="Q388" s="2"/>
    </row>
    <row r="389" ht="14.25" customHeight="1">
      <c r="P389" s="2"/>
      <c r="Q389" s="2"/>
    </row>
    <row r="390" ht="14.25" customHeight="1">
      <c r="P390" s="2"/>
      <c r="Q390" s="2"/>
    </row>
    <row r="391" ht="14.25" customHeight="1">
      <c r="P391" s="2"/>
      <c r="Q391" s="2"/>
    </row>
    <row r="392" ht="14.25" customHeight="1">
      <c r="P392" s="2"/>
      <c r="Q392" s="2"/>
    </row>
    <row r="393" ht="14.25" customHeight="1">
      <c r="P393" s="2"/>
      <c r="Q393" s="2"/>
    </row>
    <row r="394" ht="14.25" customHeight="1">
      <c r="P394" s="2"/>
      <c r="Q394" s="2"/>
    </row>
    <row r="395" ht="14.25" customHeight="1">
      <c r="P395" s="2"/>
      <c r="Q395" s="2"/>
    </row>
    <row r="396" ht="14.25" customHeight="1">
      <c r="P396" s="2"/>
      <c r="Q396" s="2"/>
    </row>
    <row r="397" ht="14.25" customHeight="1">
      <c r="P397" s="2"/>
      <c r="Q397" s="2"/>
    </row>
    <row r="398" ht="14.25" customHeight="1">
      <c r="P398" s="2"/>
      <c r="Q398" s="2"/>
    </row>
    <row r="399" ht="14.25" customHeight="1">
      <c r="P399" s="2"/>
      <c r="Q399" s="2"/>
    </row>
    <row r="400" ht="14.25" customHeight="1">
      <c r="P400" s="2"/>
      <c r="Q400" s="2"/>
    </row>
    <row r="401" ht="14.25" customHeight="1">
      <c r="P401" s="2"/>
      <c r="Q401" s="2"/>
    </row>
    <row r="402" ht="14.25" customHeight="1">
      <c r="P402" s="2"/>
      <c r="Q402" s="2"/>
    </row>
    <row r="403" ht="14.25" customHeight="1">
      <c r="P403" s="2"/>
      <c r="Q403" s="2"/>
    </row>
    <row r="404" ht="14.25" customHeight="1">
      <c r="P404" s="2"/>
      <c r="Q404" s="2"/>
    </row>
    <row r="405" ht="14.25" customHeight="1">
      <c r="P405" s="2"/>
      <c r="Q405" s="2"/>
    </row>
    <row r="406" ht="14.25" customHeight="1">
      <c r="P406" s="2"/>
      <c r="Q406" s="2"/>
    </row>
    <row r="407" ht="14.25" customHeight="1">
      <c r="P407" s="2"/>
      <c r="Q407" s="2"/>
    </row>
    <row r="408" ht="14.25" customHeight="1">
      <c r="P408" s="2"/>
      <c r="Q408" s="2"/>
    </row>
    <row r="409" ht="14.25" customHeight="1">
      <c r="P409" s="2"/>
      <c r="Q409" s="2"/>
    </row>
    <row r="410" ht="14.25" customHeight="1">
      <c r="P410" s="2"/>
      <c r="Q410" s="2"/>
    </row>
    <row r="411" ht="14.25" customHeight="1">
      <c r="P411" s="2"/>
      <c r="Q411" s="2"/>
    </row>
    <row r="412" ht="14.25" customHeight="1">
      <c r="P412" s="2"/>
      <c r="Q412" s="2"/>
    </row>
    <row r="413" ht="14.25" customHeight="1">
      <c r="P413" s="2"/>
      <c r="Q413" s="2"/>
    </row>
    <row r="414" ht="14.25" customHeight="1">
      <c r="P414" s="2"/>
      <c r="Q414" s="2"/>
    </row>
    <row r="415" ht="14.25" customHeight="1">
      <c r="P415" s="2"/>
      <c r="Q415" s="2"/>
    </row>
    <row r="416" ht="14.25" customHeight="1">
      <c r="P416" s="2"/>
      <c r="Q416" s="2"/>
    </row>
    <row r="417" ht="14.25" customHeight="1">
      <c r="P417" s="2"/>
      <c r="Q417" s="2"/>
    </row>
    <row r="418" ht="14.25" customHeight="1">
      <c r="P418" s="2"/>
      <c r="Q418" s="2"/>
    </row>
    <row r="419" ht="14.25" customHeight="1">
      <c r="P419" s="2"/>
      <c r="Q419" s="2"/>
    </row>
    <row r="420" ht="14.25" customHeight="1">
      <c r="P420" s="2"/>
      <c r="Q420" s="2"/>
    </row>
    <row r="421" ht="14.25" customHeight="1">
      <c r="P421" s="2"/>
      <c r="Q421" s="2"/>
    </row>
    <row r="422" ht="14.25" customHeight="1">
      <c r="P422" s="2"/>
      <c r="Q422" s="2"/>
    </row>
    <row r="423" ht="14.25" customHeight="1">
      <c r="P423" s="2"/>
      <c r="Q423" s="2"/>
    </row>
    <row r="424" ht="14.25" customHeight="1">
      <c r="P424" s="2"/>
      <c r="Q424" s="2"/>
    </row>
    <row r="425" ht="14.25" customHeight="1">
      <c r="P425" s="2"/>
      <c r="Q425" s="2"/>
    </row>
    <row r="426" ht="14.25" customHeight="1">
      <c r="P426" s="2"/>
      <c r="Q426" s="2"/>
    </row>
    <row r="427" ht="14.25" customHeight="1">
      <c r="P427" s="2"/>
      <c r="Q427" s="2"/>
    </row>
    <row r="428" ht="14.25" customHeight="1">
      <c r="P428" s="2"/>
      <c r="Q428" s="2"/>
    </row>
    <row r="429" ht="14.25" customHeight="1">
      <c r="P429" s="2"/>
      <c r="Q429" s="2"/>
    </row>
    <row r="430" ht="14.25" customHeight="1">
      <c r="P430" s="2"/>
      <c r="Q430" s="2"/>
    </row>
    <row r="431" ht="14.25" customHeight="1">
      <c r="P431" s="2"/>
      <c r="Q431" s="2"/>
    </row>
    <row r="432" ht="14.25" customHeight="1">
      <c r="P432" s="2"/>
      <c r="Q432" s="2"/>
    </row>
    <row r="433" ht="14.25" customHeight="1">
      <c r="P433" s="2"/>
      <c r="Q433" s="2"/>
    </row>
    <row r="434" ht="14.25" customHeight="1">
      <c r="P434" s="2"/>
      <c r="Q434" s="2"/>
    </row>
    <row r="435" ht="14.25" customHeight="1">
      <c r="P435" s="2"/>
      <c r="Q435" s="2"/>
    </row>
    <row r="436" ht="14.25" customHeight="1">
      <c r="P436" s="2"/>
      <c r="Q436" s="2"/>
    </row>
    <row r="437" ht="14.25" customHeight="1">
      <c r="P437" s="2"/>
      <c r="Q437" s="2"/>
    </row>
    <row r="438" ht="14.25" customHeight="1">
      <c r="P438" s="2"/>
      <c r="Q438" s="2"/>
    </row>
    <row r="439" ht="14.25" customHeight="1">
      <c r="P439" s="2"/>
      <c r="Q439" s="2"/>
    </row>
    <row r="440" ht="14.25" customHeight="1">
      <c r="P440" s="2"/>
      <c r="Q440" s="2"/>
    </row>
    <row r="441" ht="14.25" customHeight="1">
      <c r="P441" s="2"/>
      <c r="Q441" s="2"/>
    </row>
    <row r="442" ht="14.25" customHeight="1">
      <c r="P442" s="2"/>
      <c r="Q442" s="2"/>
    </row>
    <row r="443" ht="14.25" customHeight="1">
      <c r="P443" s="2"/>
      <c r="Q443" s="2"/>
    </row>
    <row r="444" ht="14.25" customHeight="1">
      <c r="P444" s="2"/>
      <c r="Q444" s="2"/>
    </row>
    <row r="445" ht="14.25" customHeight="1">
      <c r="P445" s="2"/>
      <c r="Q445" s="2"/>
    </row>
    <row r="446" ht="14.25" customHeight="1">
      <c r="P446" s="2"/>
      <c r="Q446" s="2"/>
    </row>
    <row r="447" ht="14.25" customHeight="1">
      <c r="P447" s="2"/>
      <c r="Q447" s="2"/>
    </row>
    <row r="448" ht="14.25" customHeight="1">
      <c r="P448" s="2"/>
      <c r="Q448" s="2"/>
    </row>
    <row r="449" ht="14.25" customHeight="1">
      <c r="P449" s="2"/>
      <c r="Q449" s="2"/>
    </row>
    <row r="450" ht="14.25" customHeight="1">
      <c r="P450" s="2"/>
      <c r="Q450" s="2"/>
    </row>
    <row r="451" ht="14.25" customHeight="1">
      <c r="P451" s="2"/>
      <c r="Q451" s="2"/>
    </row>
    <row r="452" ht="14.25" customHeight="1">
      <c r="P452" s="2"/>
      <c r="Q452" s="2"/>
    </row>
    <row r="453" ht="14.25" customHeight="1">
      <c r="P453" s="2"/>
      <c r="Q453" s="2"/>
    </row>
    <row r="454" ht="14.25" customHeight="1">
      <c r="P454" s="2"/>
      <c r="Q454" s="2"/>
    </row>
    <row r="455" ht="14.25" customHeight="1">
      <c r="P455" s="2"/>
      <c r="Q455" s="2"/>
    </row>
    <row r="456" ht="14.25" customHeight="1">
      <c r="P456" s="2"/>
      <c r="Q456" s="2"/>
    </row>
    <row r="457" ht="14.25" customHeight="1">
      <c r="P457" s="2"/>
      <c r="Q457" s="2"/>
    </row>
    <row r="458" ht="14.25" customHeight="1">
      <c r="P458" s="2"/>
      <c r="Q458" s="2"/>
    </row>
    <row r="459" ht="14.25" customHeight="1">
      <c r="P459" s="2"/>
      <c r="Q459" s="2"/>
    </row>
    <row r="460" ht="14.25" customHeight="1">
      <c r="P460" s="2"/>
      <c r="Q460" s="2"/>
    </row>
    <row r="461" ht="14.25" customHeight="1">
      <c r="P461" s="2"/>
      <c r="Q461" s="2"/>
    </row>
    <row r="462" ht="14.25" customHeight="1">
      <c r="P462" s="2"/>
      <c r="Q462" s="2"/>
    </row>
    <row r="463" ht="14.25" customHeight="1">
      <c r="P463" s="2"/>
      <c r="Q463" s="2"/>
    </row>
    <row r="464" ht="14.25" customHeight="1">
      <c r="P464" s="2"/>
      <c r="Q464" s="2"/>
    </row>
    <row r="465" ht="14.25" customHeight="1">
      <c r="P465" s="2"/>
      <c r="Q465" s="2"/>
    </row>
    <row r="466" ht="14.25" customHeight="1">
      <c r="P466" s="2"/>
      <c r="Q466" s="2"/>
    </row>
    <row r="467" ht="14.25" customHeight="1">
      <c r="P467" s="2"/>
      <c r="Q467" s="2"/>
    </row>
    <row r="468" ht="14.25" customHeight="1">
      <c r="P468" s="2"/>
      <c r="Q468" s="2"/>
    </row>
    <row r="469" ht="14.25" customHeight="1">
      <c r="P469" s="2"/>
      <c r="Q469" s="2"/>
    </row>
    <row r="470" ht="14.25" customHeight="1">
      <c r="P470" s="2"/>
      <c r="Q470" s="2"/>
    </row>
    <row r="471" ht="14.25" customHeight="1">
      <c r="P471" s="2"/>
      <c r="Q471" s="2"/>
    </row>
    <row r="472" ht="14.25" customHeight="1">
      <c r="P472" s="2"/>
      <c r="Q472" s="2"/>
    </row>
    <row r="473" ht="14.25" customHeight="1">
      <c r="P473" s="2"/>
      <c r="Q473" s="2"/>
    </row>
    <row r="474" ht="14.25" customHeight="1">
      <c r="P474" s="2"/>
      <c r="Q474" s="2"/>
    </row>
    <row r="475" ht="14.25" customHeight="1">
      <c r="P475" s="2"/>
      <c r="Q475" s="2"/>
    </row>
    <row r="476" ht="14.25" customHeight="1">
      <c r="P476" s="2"/>
      <c r="Q476" s="2"/>
    </row>
    <row r="477" ht="14.25" customHeight="1">
      <c r="P477" s="2"/>
      <c r="Q477" s="2"/>
    </row>
    <row r="478" ht="14.25" customHeight="1">
      <c r="P478" s="2"/>
      <c r="Q478" s="2"/>
    </row>
    <row r="479" ht="14.25" customHeight="1">
      <c r="P479" s="2"/>
      <c r="Q479" s="2"/>
    </row>
    <row r="480" ht="14.25" customHeight="1">
      <c r="P480" s="2"/>
      <c r="Q480" s="2"/>
    </row>
    <row r="481" ht="14.25" customHeight="1">
      <c r="P481" s="2"/>
      <c r="Q481" s="2"/>
    </row>
    <row r="482" ht="14.25" customHeight="1">
      <c r="P482" s="2"/>
      <c r="Q482" s="2"/>
    </row>
    <row r="483" ht="14.25" customHeight="1">
      <c r="P483" s="2"/>
      <c r="Q483" s="2"/>
    </row>
    <row r="484" ht="14.25" customHeight="1">
      <c r="P484" s="2"/>
      <c r="Q484" s="2"/>
    </row>
    <row r="485" ht="14.25" customHeight="1">
      <c r="P485" s="2"/>
      <c r="Q485" s="2"/>
    </row>
    <row r="486" ht="14.25" customHeight="1">
      <c r="P486" s="2"/>
      <c r="Q486" s="2"/>
    </row>
    <row r="487" ht="14.25" customHeight="1">
      <c r="P487" s="2"/>
      <c r="Q487" s="2"/>
    </row>
    <row r="488" ht="14.25" customHeight="1">
      <c r="P488" s="2"/>
      <c r="Q488" s="2"/>
    </row>
    <row r="489" ht="14.25" customHeight="1">
      <c r="P489" s="2"/>
      <c r="Q489" s="2"/>
    </row>
    <row r="490" ht="14.25" customHeight="1">
      <c r="P490" s="2"/>
      <c r="Q490" s="2"/>
    </row>
    <row r="491" ht="14.25" customHeight="1">
      <c r="P491" s="2"/>
      <c r="Q491" s="2"/>
    </row>
    <row r="492" ht="14.25" customHeight="1">
      <c r="P492" s="2"/>
      <c r="Q492" s="2"/>
    </row>
    <row r="493" ht="14.25" customHeight="1">
      <c r="P493" s="2"/>
      <c r="Q493" s="2"/>
    </row>
    <row r="494" ht="14.25" customHeight="1">
      <c r="P494" s="2"/>
      <c r="Q494" s="2"/>
    </row>
    <row r="495" ht="14.25" customHeight="1">
      <c r="P495" s="2"/>
      <c r="Q495" s="2"/>
    </row>
    <row r="496" ht="14.25" customHeight="1">
      <c r="P496" s="2"/>
      <c r="Q496" s="2"/>
    </row>
    <row r="497" ht="14.25" customHeight="1">
      <c r="P497" s="2"/>
      <c r="Q497" s="2"/>
    </row>
    <row r="498" ht="14.25" customHeight="1">
      <c r="P498" s="2"/>
      <c r="Q498" s="2"/>
    </row>
    <row r="499" ht="14.25" customHeight="1">
      <c r="P499" s="2"/>
      <c r="Q499" s="2"/>
    </row>
    <row r="500" ht="14.25" customHeight="1">
      <c r="P500" s="2"/>
      <c r="Q500" s="2"/>
    </row>
    <row r="501" ht="14.25" customHeight="1">
      <c r="P501" s="2"/>
      <c r="Q501" s="2"/>
    </row>
    <row r="502" ht="14.25" customHeight="1">
      <c r="P502" s="2"/>
      <c r="Q502" s="2"/>
    </row>
    <row r="503" ht="14.25" customHeight="1">
      <c r="P503" s="2"/>
      <c r="Q503" s="2"/>
    </row>
    <row r="504" ht="14.25" customHeight="1">
      <c r="P504" s="2"/>
      <c r="Q504" s="2"/>
    </row>
    <row r="505" ht="14.25" customHeight="1">
      <c r="P505" s="2"/>
      <c r="Q505" s="2"/>
    </row>
    <row r="506" ht="14.25" customHeight="1">
      <c r="P506" s="2"/>
      <c r="Q506" s="2"/>
    </row>
    <row r="507" ht="14.25" customHeight="1">
      <c r="P507" s="2"/>
      <c r="Q507" s="2"/>
    </row>
    <row r="508" ht="14.25" customHeight="1">
      <c r="P508" s="2"/>
      <c r="Q508" s="2"/>
    </row>
    <row r="509" ht="14.25" customHeight="1">
      <c r="P509" s="2"/>
      <c r="Q509" s="2"/>
    </row>
    <row r="510" ht="14.25" customHeight="1">
      <c r="P510" s="2"/>
      <c r="Q510" s="2"/>
    </row>
    <row r="511" ht="14.25" customHeight="1">
      <c r="P511" s="2"/>
      <c r="Q511" s="2"/>
    </row>
    <row r="512" ht="14.25" customHeight="1">
      <c r="P512" s="2"/>
      <c r="Q512" s="2"/>
    </row>
    <row r="513" ht="14.25" customHeight="1">
      <c r="P513" s="2"/>
      <c r="Q513" s="2"/>
    </row>
    <row r="514" ht="14.25" customHeight="1">
      <c r="P514" s="2"/>
      <c r="Q514" s="2"/>
    </row>
    <row r="515" ht="14.25" customHeight="1">
      <c r="P515" s="2"/>
      <c r="Q515" s="2"/>
    </row>
    <row r="516" ht="14.25" customHeight="1">
      <c r="P516" s="2"/>
      <c r="Q516" s="2"/>
    </row>
    <row r="517" ht="14.25" customHeight="1">
      <c r="P517" s="2"/>
      <c r="Q517" s="2"/>
    </row>
    <row r="518" ht="14.25" customHeight="1">
      <c r="P518" s="2"/>
      <c r="Q518" s="2"/>
    </row>
    <row r="519" ht="14.25" customHeight="1">
      <c r="P519" s="2"/>
      <c r="Q519" s="2"/>
    </row>
    <row r="520" ht="14.25" customHeight="1">
      <c r="P520" s="2"/>
      <c r="Q520" s="2"/>
    </row>
    <row r="521" ht="14.25" customHeight="1">
      <c r="P521" s="2"/>
      <c r="Q521" s="2"/>
    </row>
    <row r="522" ht="14.25" customHeight="1">
      <c r="P522" s="2"/>
      <c r="Q522" s="2"/>
    </row>
    <row r="523" ht="14.25" customHeight="1">
      <c r="P523" s="2"/>
      <c r="Q523" s="2"/>
    </row>
    <row r="524" ht="14.25" customHeight="1">
      <c r="P524" s="2"/>
      <c r="Q524" s="2"/>
    </row>
    <row r="525" ht="14.25" customHeight="1">
      <c r="P525" s="2"/>
      <c r="Q525" s="2"/>
    </row>
    <row r="526" ht="14.25" customHeight="1">
      <c r="P526" s="2"/>
      <c r="Q526" s="2"/>
    </row>
    <row r="527" ht="14.25" customHeight="1">
      <c r="P527" s="2"/>
      <c r="Q527" s="2"/>
    </row>
    <row r="528" ht="14.25" customHeight="1">
      <c r="P528" s="2"/>
      <c r="Q528" s="2"/>
    </row>
    <row r="529" ht="14.25" customHeight="1">
      <c r="P529" s="2"/>
      <c r="Q529" s="2"/>
    </row>
    <row r="530" ht="14.25" customHeight="1">
      <c r="P530" s="2"/>
      <c r="Q530" s="2"/>
    </row>
    <row r="531" ht="14.25" customHeight="1">
      <c r="P531" s="2"/>
      <c r="Q531" s="2"/>
    </row>
    <row r="532" ht="14.25" customHeight="1">
      <c r="P532" s="2"/>
      <c r="Q532" s="2"/>
    </row>
    <row r="533" ht="14.25" customHeight="1">
      <c r="P533" s="2"/>
      <c r="Q533" s="2"/>
    </row>
    <row r="534" ht="14.25" customHeight="1">
      <c r="P534" s="2"/>
      <c r="Q534" s="2"/>
    </row>
    <row r="535" ht="14.25" customHeight="1">
      <c r="P535" s="2"/>
      <c r="Q535" s="2"/>
    </row>
    <row r="536" ht="14.25" customHeight="1">
      <c r="P536" s="2"/>
      <c r="Q536" s="2"/>
    </row>
    <row r="537" ht="14.25" customHeight="1">
      <c r="P537" s="2"/>
      <c r="Q537" s="2"/>
    </row>
    <row r="538" ht="14.25" customHeight="1">
      <c r="P538" s="2"/>
      <c r="Q538" s="2"/>
    </row>
    <row r="539" ht="14.25" customHeight="1">
      <c r="P539" s="2"/>
      <c r="Q539" s="2"/>
    </row>
    <row r="540" ht="14.25" customHeight="1">
      <c r="P540" s="2"/>
      <c r="Q540" s="2"/>
    </row>
    <row r="541" ht="14.25" customHeight="1">
      <c r="P541" s="2"/>
      <c r="Q541" s="2"/>
    </row>
    <row r="542" ht="14.25" customHeight="1">
      <c r="P542" s="2"/>
      <c r="Q542" s="2"/>
    </row>
    <row r="543" ht="14.25" customHeight="1">
      <c r="P543" s="2"/>
      <c r="Q543" s="2"/>
    </row>
    <row r="544" ht="14.25" customHeight="1">
      <c r="P544" s="2"/>
      <c r="Q544" s="2"/>
    </row>
    <row r="545" ht="14.25" customHeight="1">
      <c r="P545" s="2"/>
      <c r="Q545" s="2"/>
    </row>
    <row r="546" ht="14.25" customHeight="1">
      <c r="P546" s="2"/>
      <c r="Q546" s="2"/>
    </row>
    <row r="547" ht="14.25" customHeight="1">
      <c r="P547" s="2"/>
      <c r="Q547" s="2"/>
    </row>
    <row r="548" ht="14.25" customHeight="1">
      <c r="P548" s="2"/>
      <c r="Q548" s="2"/>
    </row>
    <row r="549" ht="14.25" customHeight="1">
      <c r="P549" s="2"/>
      <c r="Q549" s="2"/>
    </row>
    <row r="550" ht="14.25" customHeight="1">
      <c r="P550" s="2"/>
      <c r="Q550" s="2"/>
    </row>
    <row r="551" ht="14.25" customHeight="1">
      <c r="P551" s="2"/>
      <c r="Q551" s="2"/>
    </row>
    <row r="552" ht="14.25" customHeight="1">
      <c r="P552" s="2"/>
      <c r="Q552" s="2"/>
    </row>
    <row r="553" ht="14.25" customHeight="1">
      <c r="P553" s="2"/>
      <c r="Q553" s="2"/>
    </row>
    <row r="554" ht="14.25" customHeight="1">
      <c r="P554" s="2"/>
      <c r="Q554" s="2"/>
    </row>
    <row r="555" ht="14.25" customHeight="1">
      <c r="P555" s="2"/>
      <c r="Q555" s="2"/>
    </row>
    <row r="556" ht="14.25" customHeight="1">
      <c r="P556" s="2"/>
      <c r="Q556" s="2"/>
    </row>
    <row r="557" ht="14.25" customHeight="1">
      <c r="P557" s="2"/>
      <c r="Q557" s="2"/>
    </row>
    <row r="558" ht="14.25" customHeight="1">
      <c r="P558" s="2"/>
      <c r="Q558" s="2"/>
    </row>
    <row r="559" ht="14.25" customHeight="1">
      <c r="P559" s="2"/>
      <c r="Q559" s="2"/>
    </row>
    <row r="560" ht="14.25" customHeight="1">
      <c r="P560" s="2"/>
      <c r="Q560" s="2"/>
    </row>
    <row r="561" ht="14.25" customHeight="1">
      <c r="P561" s="2"/>
      <c r="Q561" s="2"/>
    </row>
    <row r="562" ht="14.25" customHeight="1">
      <c r="P562" s="2"/>
      <c r="Q562" s="2"/>
    </row>
    <row r="563" ht="14.25" customHeight="1">
      <c r="P563" s="2"/>
      <c r="Q563" s="2"/>
    </row>
    <row r="564" ht="14.25" customHeight="1">
      <c r="P564" s="2"/>
      <c r="Q564" s="2"/>
    </row>
    <row r="565" ht="14.25" customHeight="1">
      <c r="P565" s="2"/>
      <c r="Q565" s="2"/>
    </row>
    <row r="566" ht="14.25" customHeight="1">
      <c r="P566" s="2"/>
      <c r="Q566" s="2"/>
    </row>
    <row r="567" ht="14.25" customHeight="1">
      <c r="P567" s="2"/>
      <c r="Q567" s="2"/>
    </row>
    <row r="568" ht="14.25" customHeight="1">
      <c r="P568" s="2"/>
      <c r="Q568" s="2"/>
    </row>
    <row r="569" ht="14.25" customHeight="1">
      <c r="P569" s="2"/>
      <c r="Q569" s="2"/>
    </row>
    <row r="570" ht="14.25" customHeight="1">
      <c r="P570" s="2"/>
      <c r="Q570" s="2"/>
    </row>
    <row r="571" ht="14.25" customHeight="1">
      <c r="P571" s="2"/>
      <c r="Q571" s="2"/>
    </row>
    <row r="572" ht="14.25" customHeight="1">
      <c r="P572" s="2"/>
      <c r="Q572" s="2"/>
    </row>
    <row r="573" ht="14.25" customHeight="1">
      <c r="P573" s="2"/>
      <c r="Q573" s="2"/>
    </row>
    <row r="574" ht="14.25" customHeight="1">
      <c r="P574" s="2"/>
      <c r="Q574" s="2"/>
    </row>
    <row r="575" ht="14.25" customHeight="1">
      <c r="P575" s="2"/>
      <c r="Q575" s="2"/>
    </row>
    <row r="576" ht="14.25" customHeight="1">
      <c r="P576" s="2"/>
      <c r="Q576" s="2"/>
    </row>
    <row r="577" ht="14.25" customHeight="1">
      <c r="P577" s="2"/>
      <c r="Q577" s="2"/>
    </row>
    <row r="578" ht="14.25" customHeight="1">
      <c r="P578" s="2"/>
      <c r="Q578" s="2"/>
    </row>
    <row r="579" ht="14.25" customHeight="1">
      <c r="P579" s="2"/>
      <c r="Q579" s="2"/>
    </row>
    <row r="580" ht="14.25" customHeight="1">
      <c r="P580" s="2"/>
      <c r="Q580" s="2"/>
    </row>
    <row r="581" ht="14.25" customHeight="1">
      <c r="P581" s="2"/>
      <c r="Q581" s="2"/>
    </row>
    <row r="582" ht="14.25" customHeight="1">
      <c r="P582" s="2"/>
      <c r="Q582" s="2"/>
    </row>
    <row r="583" ht="14.25" customHeight="1">
      <c r="P583" s="2"/>
      <c r="Q583" s="2"/>
    </row>
    <row r="584" ht="14.25" customHeight="1">
      <c r="P584" s="2"/>
      <c r="Q584" s="2"/>
    </row>
    <row r="585" ht="14.25" customHeight="1">
      <c r="P585" s="2"/>
      <c r="Q585" s="2"/>
    </row>
    <row r="586" ht="14.25" customHeight="1">
      <c r="P586" s="2"/>
      <c r="Q586" s="2"/>
    </row>
    <row r="587" ht="14.25" customHeight="1">
      <c r="P587" s="2"/>
      <c r="Q587" s="2"/>
    </row>
    <row r="588" ht="14.25" customHeight="1">
      <c r="P588" s="2"/>
      <c r="Q588" s="2"/>
    </row>
    <row r="589" ht="14.25" customHeight="1">
      <c r="P589" s="2"/>
      <c r="Q589" s="2"/>
    </row>
    <row r="590" ht="14.25" customHeight="1">
      <c r="P590" s="2"/>
      <c r="Q590" s="2"/>
    </row>
    <row r="591" ht="14.25" customHeight="1">
      <c r="P591" s="2"/>
      <c r="Q591" s="2"/>
    </row>
    <row r="592" ht="14.25" customHeight="1">
      <c r="P592" s="2"/>
      <c r="Q592" s="2"/>
    </row>
    <row r="593" ht="14.25" customHeight="1">
      <c r="P593" s="2"/>
      <c r="Q593" s="2"/>
    </row>
    <row r="594" ht="14.25" customHeight="1">
      <c r="P594" s="2"/>
      <c r="Q594" s="2"/>
    </row>
    <row r="595" ht="14.25" customHeight="1">
      <c r="P595" s="2"/>
      <c r="Q595" s="2"/>
    </row>
    <row r="596" ht="14.25" customHeight="1">
      <c r="P596" s="2"/>
      <c r="Q596" s="2"/>
    </row>
    <row r="597" ht="14.25" customHeight="1">
      <c r="P597" s="2"/>
      <c r="Q597" s="2"/>
    </row>
    <row r="598" ht="14.25" customHeight="1">
      <c r="P598" s="2"/>
      <c r="Q598" s="2"/>
    </row>
    <row r="599" ht="14.25" customHeight="1">
      <c r="P599" s="2"/>
      <c r="Q599" s="2"/>
    </row>
    <row r="600" ht="14.25" customHeight="1">
      <c r="P600" s="2"/>
      <c r="Q600" s="2"/>
    </row>
    <row r="601" ht="14.25" customHeight="1">
      <c r="P601" s="2"/>
      <c r="Q601" s="2"/>
    </row>
    <row r="602" ht="14.25" customHeight="1">
      <c r="P602" s="2"/>
      <c r="Q602" s="2"/>
    </row>
    <row r="603" ht="14.25" customHeight="1">
      <c r="P603" s="2"/>
      <c r="Q603" s="2"/>
    </row>
    <row r="604" ht="14.25" customHeight="1">
      <c r="P604" s="2"/>
      <c r="Q604" s="2"/>
    </row>
    <row r="605" ht="14.25" customHeight="1">
      <c r="P605" s="2"/>
      <c r="Q605" s="2"/>
    </row>
    <row r="606" ht="14.25" customHeight="1">
      <c r="P606" s="2"/>
      <c r="Q606" s="2"/>
    </row>
    <row r="607" ht="14.25" customHeight="1">
      <c r="P607" s="2"/>
      <c r="Q607" s="2"/>
    </row>
    <row r="608" ht="14.25" customHeight="1">
      <c r="P608" s="2"/>
      <c r="Q608" s="2"/>
    </row>
    <row r="609" ht="14.25" customHeight="1">
      <c r="P609" s="2"/>
      <c r="Q609" s="2"/>
    </row>
    <row r="610" ht="14.25" customHeight="1">
      <c r="P610" s="2"/>
      <c r="Q610" s="2"/>
    </row>
    <row r="611" ht="14.25" customHeight="1">
      <c r="P611" s="2"/>
      <c r="Q611" s="2"/>
    </row>
    <row r="612" ht="14.25" customHeight="1">
      <c r="P612" s="2"/>
      <c r="Q612" s="2"/>
    </row>
    <row r="613" ht="14.25" customHeight="1">
      <c r="P613" s="2"/>
      <c r="Q613" s="2"/>
    </row>
    <row r="614" ht="14.25" customHeight="1">
      <c r="P614" s="2"/>
      <c r="Q614" s="2"/>
    </row>
    <row r="615" ht="14.25" customHeight="1">
      <c r="P615" s="2"/>
      <c r="Q615" s="2"/>
    </row>
    <row r="616" ht="14.25" customHeight="1">
      <c r="P616" s="2"/>
      <c r="Q616" s="2"/>
    </row>
    <row r="617" ht="14.25" customHeight="1">
      <c r="P617" s="2"/>
      <c r="Q617" s="2"/>
    </row>
    <row r="618" ht="14.25" customHeight="1">
      <c r="P618" s="2"/>
      <c r="Q618" s="2"/>
    </row>
    <row r="619" ht="14.25" customHeight="1">
      <c r="P619" s="2"/>
      <c r="Q619" s="2"/>
    </row>
    <row r="620" ht="14.25" customHeight="1">
      <c r="P620" s="2"/>
      <c r="Q620" s="2"/>
    </row>
    <row r="621" ht="14.25" customHeight="1">
      <c r="P621" s="2"/>
      <c r="Q621" s="2"/>
    </row>
    <row r="622" ht="14.25" customHeight="1">
      <c r="P622" s="2"/>
      <c r="Q622" s="2"/>
    </row>
    <row r="623" ht="14.25" customHeight="1">
      <c r="P623" s="2"/>
      <c r="Q623" s="2"/>
    </row>
    <row r="624" ht="14.25" customHeight="1">
      <c r="P624" s="2"/>
      <c r="Q624" s="2"/>
    </row>
    <row r="625" ht="14.25" customHeight="1">
      <c r="P625" s="2"/>
      <c r="Q625" s="2"/>
    </row>
    <row r="626" ht="14.25" customHeight="1">
      <c r="P626" s="2"/>
      <c r="Q626" s="2"/>
    </row>
    <row r="627" ht="14.25" customHeight="1">
      <c r="P627" s="2"/>
      <c r="Q627" s="2"/>
    </row>
    <row r="628" ht="14.25" customHeight="1">
      <c r="P628" s="2"/>
      <c r="Q628" s="2"/>
    </row>
    <row r="629" ht="14.25" customHeight="1">
      <c r="P629" s="2"/>
      <c r="Q629" s="2"/>
    </row>
    <row r="630" ht="14.25" customHeight="1">
      <c r="P630" s="2"/>
      <c r="Q630" s="2"/>
    </row>
    <row r="631" ht="14.25" customHeight="1">
      <c r="P631" s="2"/>
      <c r="Q631" s="2"/>
    </row>
    <row r="632" ht="14.25" customHeight="1">
      <c r="P632" s="2"/>
      <c r="Q632" s="2"/>
    </row>
    <row r="633" ht="14.25" customHeight="1">
      <c r="P633" s="2"/>
      <c r="Q633" s="2"/>
    </row>
    <row r="634" ht="14.25" customHeight="1">
      <c r="P634" s="2"/>
      <c r="Q634" s="2"/>
    </row>
    <row r="635" ht="14.25" customHeight="1">
      <c r="P635" s="2"/>
      <c r="Q635" s="2"/>
    </row>
    <row r="636" ht="14.25" customHeight="1">
      <c r="P636" s="2"/>
      <c r="Q636" s="2"/>
    </row>
    <row r="637" ht="14.25" customHeight="1">
      <c r="P637" s="2"/>
      <c r="Q637" s="2"/>
    </row>
    <row r="638" ht="14.25" customHeight="1">
      <c r="P638" s="2"/>
      <c r="Q638" s="2"/>
    </row>
    <row r="639" ht="14.25" customHeight="1">
      <c r="P639" s="2"/>
      <c r="Q639" s="2"/>
    </row>
    <row r="640" ht="14.25" customHeight="1">
      <c r="P640" s="2"/>
      <c r="Q640" s="2"/>
    </row>
    <row r="641" ht="14.25" customHeight="1">
      <c r="P641" s="2"/>
      <c r="Q641" s="2"/>
    </row>
    <row r="642" ht="14.25" customHeight="1">
      <c r="P642" s="2"/>
      <c r="Q642" s="2"/>
    </row>
    <row r="643" ht="14.25" customHeight="1">
      <c r="P643" s="2"/>
      <c r="Q643" s="2"/>
    </row>
    <row r="644" ht="14.25" customHeight="1">
      <c r="P644" s="2"/>
      <c r="Q644" s="2"/>
    </row>
    <row r="645" ht="14.25" customHeight="1">
      <c r="P645" s="2"/>
      <c r="Q645" s="2"/>
    </row>
    <row r="646" ht="14.25" customHeight="1">
      <c r="P646" s="2"/>
      <c r="Q646" s="2"/>
    </row>
    <row r="647" ht="14.25" customHeight="1">
      <c r="P647" s="2"/>
      <c r="Q647" s="2"/>
    </row>
    <row r="648" ht="14.25" customHeight="1">
      <c r="P648" s="2"/>
      <c r="Q648" s="2"/>
    </row>
    <row r="649" ht="14.25" customHeight="1">
      <c r="P649" s="2"/>
      <c r="Q649" s="2"/>
    </row>
    <row r="650" ht="14.25" customHeight="1">
      <c r="P650" s="2"/>
      <c r="Q650" s="2"/>
    </row>
    <row r="651" ht="14.25" customHeight="1">
      <c r="P651" s="2"/>
      <c r="Q651" s="2"/>
    </row>
    <row r="652" ht="14.25" customHeight="1">
      <c r="P652" s="2"/>
      <c r="Q652" s="2"/>
    </row>
    <row r="653" ht="14.25" customHeight="1">
      <c r="P653" s="2"/>
      <c r="Q653" s="2"/>
    </row>
    <row r="654" ht="14.25" customHeight="1">
      <c r="P654" s="2"/>
      <c r="Q654" s="2"/>
    </row>
    <row r="655" ht="14.25" customHeight="1">
      <c r="P655" s="2"/>
      <c r="Q655" s="2"/>
    </row>
    <row r="656" ht="14.25" customHeight="1">
      <c r="P656" s="2"/>
      <c r="Q656" s="2"/>
    </row>
    <row r="657" ht="14.25" customHeight="1">
      <c r="P657" s="2"/>
      <c r="Q657" s="2"/>
    </row>
    <row r="658" ht="14.25" customHeight="1">
      <c r="P658" s="2"/>
      <c r="Q658" s="2"/>
    </row>
    <row r="659" ht="14.25" customHeight="1">
      <c r="P659" s="2"/>
      <c r="Q659" s="2"/>
    </row>
    <row r="660" ht="14.25" customHeight="1">
      <c r="P660" s="2"/>
      <c r="Q660" s="2"/>
    </row>
    <row r="661" ht="14.25" customHeight="1">
      <c r="P661" s="2"/>
      <c r="Q661" s="2"/>
    </row>
    <row r="662" ht="14.25" customHeight="1">
      <c r="P662" s="2"/>
      <c r="Q662" s="2"/>
    </row>
    <row r="663" ht="14.25" customHeight="1">
      <c r="P663" s="2"/>
      <c r="Q663" s="2"/>
    </row>
    <row r="664" ht="14.25" customHeight="1">
      <c r="P664" s="2"/>
      <c r="Q664" s="2"/>
    </row>
    <row r="665" ht="14.25" customHeight="1">
      <c r="P665" s="2"/>
      <c r="Q665" s="2"/>
    </row>
    <row r="666" ht="14.25" customHeight="1">
      <c r="P666" s="2"/>
      <c r="Q666" s="2"/>
    </row>
    <row r="667" ht="14.25" customHeight="1">
      <c r="P667" s="2"/>
      <c r="Q667" s="2"/>
    </row>
    <row r="668" ht="14.25" customHeight="1">
      <c r="P668" s="2"/>
      <c r="Q668" s="2"/>
    </row>
    <row r="669" ht="14.25" customHeight="1">
      <c r="P669" s="2"/>
      <c r="Q669" s="2"/>
    </row>
    <row r="670" ht="14.25" customHeight="1">
      <c r="P670" s="2"/>
      <c r="Q670" s="2"/>
    </row>
    <row r="671" ht="14.25" customHeight="1">
      <c r="P671" s="2"/>
      <c r="Q671" s="2"/>
    </row>
    <row r="672" ht="14.25" customHeight="1">
      <c r="P672" s="2"/>
      <c r="Q672" s="2"/>
    </row>
    <row r="673" ht="14.25" customHeight="1">
      <c r="P673" s="2"/>
      <c r="Q673" s="2"/>
    </row>
    <row r="674" ht="14.25" customHeight="1">
      <c r="P674" s="2"/>
      <c r="Q674" s="2"/>
    </row>
    <row r="675" ht="14.25" customHeight="1">
      <c r="P675" s="2"/>
      <c r="Q675" s="2"/>
    </row>
    <row r="676" ht="14.25" customHeight="1">
      <c r="P676" s="2"/>
      <c r="Q676" s="2"/>
    </row>
    <row r="677" ht="14.25" customHeight="1">
      <c r="P677" s="2"/>
      <c r="Q677" s="2"/>
    </row>
    <row r="678" ht="14.25" customHeight="1">
      <c r="P678" s="2"/>
      <c r="Q678" s="2"/>
    </row>
    <row r="679" ht="14.25" customHeight="1">
      <c r="P679" s="2"/>
      <c r="Q679" s="2"/>
    </row>
    <row r="680" ht="14.25" customHeight="1">
      <c r="P680" s="2"/>
      <c r="Q680" s="2"/>
    </row>
    <row r="681" ht="14.25" customHeight="1">
      <c r="P681" s="2"/>
      <c r="Q681" s="2"/>
    </row>
    <row r="682" ht="14.25" customHeight="1">
      <c r="P682" s="2"/>
      <c r="Q682" s="2"/>
    </row>
    <row r="683" ht="14.25" customHeight="1">
      <c r="P683" s="2"/>
      <c r="Q683" s="2"/>
    </row>
    <row r="684" ht="14.25" customHeight="1">
      <c r="P684" s="2"/>
      <c r="Q684" s="2"/>
    </row>
    <row r="685" ht="14.25" customHeight="1">
      <c r="P685" s="2"/>
      <c r="Q685" s="2"/>
    </row>
    <row r="686" ht="14.25" customHeight="1">
      <c r="P686" s="2"/>
      <c r="Q686" s="2"/>
    </row>
    <row r="687" ht="14.25" customHeight="1">
      <c r="P687" s="2"/>
      <c r="Q687" s="2"/>
    </row>
    <row r="688" ht="14.25" customHeight="1">
      <c r="P688" s="2"/>
      <c r="Q688" s="2"/>
    </row>
    <row r="689" ht="14.25" customHeight="1">
      <c r="P689" s="2"/>
      <c r="Q689" s="2"/>
    </row>
    <row r="690" ht="14.25" customHeight="1">
      <c r="P690" s="2"/>
      <c r="Q690" s="2"/>
    </row>
    <row r="691" ht="14.25" customHeight="1">
      <c r="P691" s="2"/>
      <c r="Q691" s="2"/>
    </row>
    <row r="692" ht="14.25" customHeight="1">
      <c r="P692" s="2"/>
      <c r="Q692" s="2"/>
    </row>
    <row r="693" ht="14.25" customHeight="1">
      <c r="P693" s="2"/>
      <c r="Q693" s="2"/>
    </row>
    <row r="694" ht="14.25" customHeight="1">
      <c r="P694" s="2"/>
      <c r="Q694" s="2"/>
    </row>
    <row r="695" ht="14.25" customHeight="1">
      <c r="P695" s="2"/>
      <c r="Q695" s="2"/>
    </row>
    <row r="696" ht="14.25" customHeight="1">
      <c r="P696" s="2"/>
      <c r="Q696" s="2"/>
    </row>
    <row r="697" ht="14.25" customHeight="1">
      <c r="P697" s="2"/>
      <c r="Q697" s="2"/>
    </row>
    <row r="698" ht="14.25" customHeight="1">
      <c r="P698" s="2"/>
      <c r="Q698" s="2"/>
    </row>
    <row r="699" ht="14.25" customHeight="1">
      <c r="P699" s="2"/>
      <c r="Q699" s="2"/>
    </row>
    <row r="700" ht="14.25" customHeight="1">
      <c r="P700" s="2"/>
      <c r="Q700" s="2"/>
    </row>
    <row r="701" ht="14.25" customHeight="1">
      <c r="P701" s="2"/>
      <c r="Q701" s="2"/>
    </row>
    <row r="702" ht="14.25" customHeight="1">
      <c r="P702" s="2"/>
      <c r="Q702" s="2"/>
    </row>
    <row r="703" ht="14.25" customHeight="1">
      <c r="P703" s="2"/>
      <c r="Q703" s="2"/>
    </row>
    <row r="704" ht="14.25" customHeight="1">
      <c r="P704" s="2"/>
      <c r="Q704" s="2"/>
    </row>
    <row r="705" ht="14.25" customHeight="1">
      <c r="P705" s="2"/>
      <c r="Q705" s="2"/>
    </row>
    <row r="706" ht="14.25" customHeight="1">
      <c r="P706" s="2"/>
      <c r="Q706" s="2"/>
    </row>
    <row r="707" ht="14.25" customHeight="1">
      <c r="P707" s="2"/>
      <c r="Q707" s="2"/>
    </row>
    <row r="708" ht="14.25" customHeight="1">
      <c r="P708" s="2"/>
      <c r="Q708" s="2"/>
    </row>
    <row r="709" ht="14.25" customHeight="1">
      <c r="P709" s="2"/>
      <c r="Q709" s="2"/>
    </row>
    <row r="710" ht="14.25" customHeight="1">
      <c r="P710" s="2"/>
      <c r="Q710" s="2"/>
    </row>
    <row r="711" ht="14.25" customHeight="1">
      <c r="P711" s="2"/>
      <c r="Q711" s="2"/>
    </row>
    <row r="712" ht="14.25" customHeight="1">
      <c r="P712" s="2"/>
      <c r="Q712" s="2"/>
    </row>
    <row r="713" ht="14.25" customHeight="1">
      <c r="P713" s="2"/>
      <c r="Q713" s="2"/>
    </row>
    <row r="714" ht="14.25" customHeight="1">
      <c r="P714" s="2"/>
      <c r="Q714" s="2"/>
    </row>
    <row r="715" ht="14.25" customHeight="1">
      <c r="P715" s="2"/>
      <c r="Q715" s="2"/>
    </row>
    <row r="716" ht="14.25" customHeight="1">
      <c r="P716" s="2"/>
      <c r="Q716" s="2"/>
    </row>
    <row r="717" ht="14.25" customHeight="1">
      <c r="P717" s="2"/>
      <c r="Q717" s="2"/>
    </row>
    <row r="718" ht="14.25" customHeight="1">
      <c r="P718" s="2"/>
      <c r="Q718" s="2"/>
    </row>
    <row r="719" ht="14.25" customHeight="1">
      <c r="P719" s="2"/>
      <c r="Q719" s="2"/>
    </row>
    <row r="720" ht="14.25" customHeight="1">
      <c r="P720" s="2"/>
      <c r="Q720" s="2"/>
    </row>
    <row r="721" ht="14.25" customHeight="1">
      <c r="P721" s="2"/>
      <c r="Q721" s="2"/>
    </row>
    <row r="722" ht="14.25" customHeight="1">
      <c r="P722" s="2"/>
      <c r="Q722" s="2"/>
    </row>
    <row r="723" ht="14.25" customHeight="1">
      <c r="P723" s="2"/>
      <c r="Q723" s="2"/>
    </row>
    <row r="724" ht="14.25" customHeight="1">
      <c r="P724" s="2"/>
      <c r="Q724" s="2"/>
    </row>
    <row r="725" ht="14.25" customHeight="1">
      <c r="P725" s="2"/>
      <c r="Q725" s="2"/>
    </row>
    <row r="726" ht="14.25" customHeight="1">
      <c r="P726" s="2"/>
      <c r="Q726" s="2"/>
    </row>
    <row r="727" ht="14.25" customHeight="1">
      <c r="P727" s="2"/>
      <c r="Q727" s="2"/>
    </row>
    <row r="728" ht="14.25" customHeight="1">
      <c r="P728" s="2"/>
      <c r="Q728" s="2"/>
    </row>
    <row r="729" ht="14.25" customHeight="1">
      <c r="P729" s="2"/>
      <c r="Q729" s="2"/>
    </row>
    <row r="730" ht="14.25" customHeight="1">
      <c r="P730" s="2"/>
      <c r="Q730" s="2"/>
    </row>
    <row r="731" ht="14.25" customHeight="1">
      <c r="P731" s="2"/>
      <c r="Q731" s="2"/>
    </row>
    <row r="732" ht="14.25" customHeight="1">
      <c r="P732" s="2"/>
      <c r="Q732" s="2"/>
    </row>
    <row r="733" ht="14.25" customHeight="1">
      <c r="P733" s="2"/>
      <c r="Q733" s="2"/>
    </row>
    <row r="734" ht="14.25" customHeight="1">
      <c r="P734" s="2"/>
      <c r="Q734" s="2"/>
    </row>
    <row r="735" ht="14.25" customHeight="1">
      <c r="P735" s="2"/>
      <c r="Q735" s="2"/>
    </row>
    <row r="736" ht="14.25" customHeight="1">
      <c r="P736" s="2"/>
      <c r="Q736" s="2"/>
    </row>
    <row r="737" ht="14.25" customHeight="1">
      <c r="P737" s="2"/>
      <c r="Q737" s="2"/>
    </row>
    <row r="738" ht="14.25" customHeight="1">
      <c r="P738" s="2"/>
      <c r="Q738" s="2"/>
    </row>
    <row r="739" ht="14.25" customHeight="1">
      <c r="P739" s="2"/>
      <c r="Q739" s="2"/>
    </row>
    <row r="740" ht="14.25" customHeight="1">
      <c r="P740" s="2"/>
      <c r="Q740" s="2"/>
    </row>
    <row r="741" ht="14.25" customHeight="1">
      <c r="P741" s="2"/>
      <c r="Q741" s="2"/>
    </row>
    <row r="742" ht="14.25" customHeight="1">
      <c r="P742" s="2"/>
      <c r="Q742" s="2"/>
    </row>
    <row r="743" ht="14.25" customHeight="1">
      <c r="P743" s="2"/>
      <c r="Q743" s="2"/>
    </row>
    <row r="744" ht="14.25" customHeight="1">
      <c r="P744" s="2"/>
      <c r="Q744" s="2"/>
    </row>
    <row r="745" ht="14.25" customHeight="1">
      <c r="P745" s="2"/>
      <c r="Q745" s="2"/>
    </row>
    <row r="746" ht="14.25" customHeight="1">
      <c r="P746" s="2"/>
      <c r="Q746" s="2"/>
    </row>
    <row r="747" ht="14.25" customHeight="1">
      <c r="P747" s="2"/>
      <c r="Q747" s="2"/>
    </row>
    <row r="748" ht="14.25" customHeight="1">
      <c r="P748" s="2"/>
      <c r="Q748" s="2"/>
    </row>
    <row r="749" ht="14.25" customHeight="1">
      <c r="P749" s="2"/>
      <c r="Q749" s="2"/>
    </row>
    <row r="750" ht="14.25" customHeight="1">
      <c r="P750" s="2"/>
      <c r="Q750" s="2"/>
    </row>
    <row r="751" ht="14.25" customHeight="1">
      <c r="P751" s="2"/>
      <c r="Q751" s="2"/>
    </row>
    <row r="752" ht="14.25" customHeight="1">
      <c r="P752" s="2"/>
      <c r="Q752" s="2"/>
    </row>
    <row r="753" ht="14.25" customHeight="1">
      <c r="P753" s="2"/>
      <c r="Q753" s="2"/>
    </row>
    <row r="754" ht="14.25" customHeight="1">
      <c r="P754" s="2"/>
      <c r="Q754" s="2"/>
    </row>
    <row r="755" ht="14.25" customHeight="1">
      <c r="P755" s="2"/>
      <c r="Q755" s="2"/>
    </row>
    <row r="756" ht="14.25" customHeight="1">
      <c r="P756" s="2"/>
      <c r="Q756" s="2"/>
    </row>
    <row r="757" ht="14.25" customHeight="1">
      <c r="P757" s="2"/>
      <c r="Q757" s="2"/>
    </row>
    <row r="758" ht="14.25" customHeight="1">
      <c r="P758" s="2"/>
      <c r="Q758" s="2"/>
    </row>
    <row r="759" ht="14.25" customHeight="1">
      <c r="P759" s="2"/>
      <c r="Q759" s="2"/>
    </row>
    <row r="760" ht="14.25" customHeight="1">
      <c r="P760" s="2"/>
      <c r="Q760" s="2"/>
    </row>
    <row r="761" ht="14.25" customHeight="1">
      <c r="P761" s="2"/>
      <c r="Q761" s="2"/>
    </row>
    <row r="762" ht="14.25" customHeight="1">
      <c r="P762" s="2"/>
      <c r="Q762" s="2"/>
    </row>
    <row r="763" ht="14.25" customHeight="1">
      <c r="P763" s="2"/>
      <c r="Q763" s="2"/>
    </row>
    <row r="764" ht="14.25" customHeight="1">
      <c r="P764" s="2"/>
      <c r="Q764" s="2"/>
    </row>
    <row r="765" ht="14.25" customHeight="1">
      <c r="P765" s="2"/>
      <c r="Q765" s="2"/>
    </row>
    <row r="766" ht="14.25" customHeight="1">
      <c r="P766" s="2"/>
      <c r="Q766" s="2"/>
    </row>
    <row r="767" ht="14.25" customHeight="1">
      <c r="P767" s="2"/>
      <c r="Q767" s="2"/>
    </row>
    <row r="768" ht="14.25" customHeight="1">
      <c r="P768" s="2"/>
      <c r="Q768" s="2"/>
    </row>
    <row r="769" ht="14.25" customHeight="1">
      <c r="P769" s="2"/>
      <c r="Q769" s="2"/>
    </row>
    <row r="770" ht="14.25" customHeight="1">
      <c r="P770" s="2"/>
      <c r="Q770" s="2"/>
    </row>
    <row r="771" ht="14.25" customHeight="1">
      <c r="P771" s="2"/>
      <c r="Q771" s="2"/>
    </row>
    <row r="772" ht="14.25" customHeight="1">
      <c r="P772" s="2"/>
      <c r="Q772" s="2"/>
    </row>
    <row r="773" ht="14.25" customHeight="1">
      <c r="P773" s="2"/>
      <c r="Q773" s="2"/>
    </row>
    <row r="774" ht="14.25" customHeight="1">
      <c r="P774" s="2"/>
      <c r="Q774" s="2"/>
    </row>
    <row r="775" ht="14.25" customHeight="1">
      <c r="P775" s="2"/>
      <c r="Q775" s="2"/>
    </row>
    <row r="776" ht="14.25" customHeight="1">
      <c r="P776" s="2"/>
      <c r="Q776" s="2"/>
    </row>
    <row r="777" ht="14.25" customHeight="1">
      <c r="P777" s="2"/>
      <c r="Q777" s="2"/>
    </row>
    <row r="778" ht="14.25" customHeight="1">
      <c r="P778" s="2"/>
      <c r="Q778" s="2"/>
    </row>
    <row r="779" ht="14.25" customHeight="1">
      <c r="P779" s="2"/>
      <c r="Q779" s="2"/>
    </row>
    <row r="780" ht="14.25" customHeight="1">
      <c r="P780" s="2"/>
      <c r="Q780" s="2"/>
    </row>
    <row r="781" ht="14.25" customHeight="1">
      <c r="P781" s="2"/>
      <c r="Q781" s="2"/>
    </row>
    <row r="782" ht="14.25" customHeight="1">
      <c r="P782" s="2"/>
      <c r="Q782" s="2"/>
    </row>
    <row r="783" ht="14.25" customHeight="1">
      <c r="P783" s="2"/>
      <c r="Q783" s="2"/>
    </row>
    <row r="784" ht="14.25" customHeight="1">
      <c r="P784" s="2"/>
      <c r="Q784" s="2"/>
    </row>
    <row r="785" ht="14.25" customHeight="1">
      <c r="P785" s="2"/>
      <c r="Q785" s="2"/>
    </row>
    <row r="786" ht="14.25" customHeight="1">
      <c r="P786" s="2"/>
      <c r="Q786" s="2"/>
    </row>
    <row r="787" ht="14.25" customHeight="1">
      <c r="P787" s="2"/>
      <c r="Q787" s="2"/>
    </row>
    <row r="788" ht="14.25" customHeight="1">
      <c r="P788" s="2"/>
      <c r="Q788" s="2"/>
    </row>
    <row r="789" ht="14.25" customHeight="1">
      <c r="P789" s="2"/>
      <c r="Q789" s="2"/>
    </row>
    <row r="790" ht="14.25" customHeight="1">
      <c r="P790" s="2"/>
      <c r="Q790" s="2"/>
    </row>
    <row r="791" ht="14.25" customHeight="1">
      <c r="P791" s="2"/>
      <c r="Q791" s="2"/>
    </row>
    <row r="792" ht="14.25" customHeight="1">
      <c r="P792" s="2"/>
      <c r="Q792" s="2"/>
    </row>
    <row r="793" ht="14.25" customHeight="1">
      <c r="P793" s="2"/>
      <c r="Q793" s="2"/>
    </row>
    <row r="794" ht="14.25" customHeight="1">
      <c r="P794" s="2"/>
      <c r="Q794" s="2"/>
    </row>
    <row r="795" ht="14.25" customHeight="1">
      <c r="P795" s="2"/>
      <c r="Q795" s="2"/>
    </row>
    <row r="796" ht="14.25" customHeight="1">
      <c r="P796" s="2"/>
      <c r="Q796" s="2"/>
    </row>
    <row r="797" ht="14.25" customHeight="1">
      <c r="P797" s="2"/>
      <c r="Q797" s="2"/>
    </row>
    <row r="798" ht="14.25" customHeight="1">
      <c r="P798" s="2"/>
      <c r="Q798" s="2"/>
    </row>
    <row r="799" ht="14.25" customHeight="1">
      <c r="P799" s="2"/>
      <c r="Q799" s="2"/>
    </row>
    <row r="800" ht="14.25" customHeight="1">
      <c r="P800" s="2"/>
      <c r="Q800" s="2"/>
    </row>
    <row r="801" ht="14.25" customHeight="1">
      <c r="P801" s="2"/>
      <c r="Q801" s="2"/>
    </row>
    <row r="802" ht="14.25" customHeight="1">
      <c r="P802" s="2"/>
      <c r="Q802" s="2"/>
    </row>
    <row r="803" ht="14.25" customHeight="1">
      <c r="P803" s="2"/>
      <c r="Q803" s="2"/>
    </row>
    <row r="804" ht="14.25" customHeight="1">
      <c r="P804" s="2"/>
      <c r="Q804" s="2"/>
    </row>
    <row r="805" ht="14.25" customHeight="1">
      <c r="P805" s="2"/>
      <c r="Q805" s="2"/>
    </row>
    <row r="806" ht="14.25" customHeight="1">
      <c r="P806" s="2"/>
      <c r="Q806" s="2"/>
    </row>
    <row r="807" ht="14.25" customHeight="1">
      <c r="P807" s="2"/>
      <c r="Q807" s="2"/>
    </row>
    <row r="808" ht="14.25" customHeight="1">
      <c r="P808" s="2"/>
      <c r="Q808" s="2"/>
    </row>
    <row r="809" ht="14.25" customHeight="1">
      <c r="P809" s="2"/>
      <c r="Q809" s="2"/>
    </row>
    <row r="810" ht="14.25" customHeight="1">
      <c r="P810" s="2"/>
      <c r="Q810" s="2"/>
    </row>
    <row r="811" ht="14.25" customHeight="1">
      <c r="P811" s="2"/>
      <c r="Q811" s="2"/>
    </row>
    <row r="812" ht="14.25" customHeight="1">
      <c r="P812" s="2"/>
      <c r="Q812" s="2"/>
    </row>
    <row r="813" ht="14.25" customHeight="1">
      <c r="P813" s="2"/>
      <c r="Q813" s="2"/>
    </row>
    <row r="814" ht="14.25" customHeight="1">
      <c r="P814" s="2"/>
      <c r="Q814" s="2"/>
    </row>
    <row r="815" ht="14.25" customHeight="1">
      <c r="P815" s="2"/>
      <c r="Q815" s="2"/>
    </row>
    <row r="816" ht="14.25" customHeight="1">
      <c r="P816" s="2"/>
      <c r="Q816" s="2"/>
    </row>
    <row r="817" ht="14.25" customHeight="1">
      <c r="P817" s="2"/>
      <c r="Q817" s="2"/>
    </row>
    <row r="818" ht="14.25" customHeight="1">
      <c r="P818" s="2"/>
      <c r="Q818" s="2"/>
    </row>
    <row r="819" ht="14.25" customHeight="1">
      <c r="P819" s="2"/>
      <c r="Q819" s="2"/>
    </row>
    <row r="820" ht="14.25" customHeight="1">
      <c r="P820" s="2"/>
      <c r="Q820" s="2"/>
    </row>
    <row r="821" ht="14.25" customHeight="1">
      <c r="P821" s="2"/>
      <c r="Q821" s="2"/>
    </row>
    <row r="822" ht="14.25" customHeight="1">
      <c r="P822" s="2"/>
      <c r="Q822" s="2"/>
    </row>
    <row r="823" ht="14.25" customHeight="1">
      <c r="P823" s="2"/>
      <c r="Q823" s="2"/>
    </row>
    <row r="824" ht="14.25" customHeight="1">
      <c r="P824" s="2"/>
      <c r="Q824" s="2"/>
    </row>
    <row r="825" ht="14.25" customHeight="1">
      <c r="P825" s="2"/>
      <c r="Q825" s="2"/>
    </row>
    <row r="826" ht="14.25" customHeight="1">
      <c r="P826" s="2"/>
      <c r="Q826" s="2"/>
    </row>
    <row r="827" ht="14.25" customHeight="1">
      <c r="P827" s="2"/>
      <c r="Q827" s="2"/>
    </row>
    <row r="828" ht="14.25" customHeight="1">
      <c r="P828" s="2"/>
      <c r="Q828" s="2"/>
    </row>
    <row r="829" ht="14.25" customHeight="1">
      <c r="P829" s="2"/>
      <c r="Q829" s="2"/>
    </row>
    <row r="830" ht="14.25" customHeight="1">
      <c r="P830" s="2"/>
      <c r="Q830" s="2"/>
    </row>
    <row r="831" ht="14.25" customHeight="1">
      <c r="P831" s="2"/>
      <c r="Q831" s="2"/>
    </row>
    <row r="832" ht="14.25" customHeight="1">
      <c r="P832" s="2"/>
      <c r="Q832" s="2"/>
    </row>
    <row r="833" ht="14.25" customHeight="1">
      <c r="P833" s="2"/>
      <c r="Q833" s="2"/>
    </row>
    <row r="834" ht="14.25" customHeight="1">
      <c r="P834" s="2"/>
      <c r="Q834" s="2"/>
    </row>
    <row r="835" ht="14.25" customHeight="1">
      <c r="P835" s="2"/>
      <c r="Q835" s="2"/>
    </row>
    <row r="836" ht="14.25" customHeight="1">
      <c r="P836" s="2"/>
      <c r="Q836" s="2"/>
    </row>
    <row r="837" ht="14.25" customHeight="1">
      <c r="P837" s="2"/>
      <c r="Q837" s="2"/>
    </row>
    <row r="838" ht="14.25" customHeight="1">
      <c r="P838" s="2"/>
      <c r="Q838" s="2"/>
    </row>
    <row r="839" ht="14.25" customHeight="1">
      <c r="P839" s="2"/>
      <c r="Q839" s="2"/>
    </row>
    <row r="840" ht="14.25" customHeight="1">
      <c r="P840" s="2"/>
      <c r="Q840" s="2"/>
    </row>
    <row r="841" ht="14.25" customHeight="1">
      <c r="P841" s="2"/>
      <c r="Q841" s="2"/>
    </row>
    <row r="842" ht="14.25" customHeight="1">
      <c r="P842" s="2"/>
      <c r="Q842" s="2"/>
    </row>
    <row r="843" ht="14.25" customHeight="1">
      <c r="P843" s="2"/>
      <c r="Q843" s="2"/>
    </row>
    <row r="844" ht="14.25" customHeight="1">
      <c r="P844" s="2"/>
      <c r="Q844" s="2"/>
    </row>
    <row r="845" ht="14.25" customHeight="1">
      <c r="P845" s="2"/>
      <c r="Q845" s="2"/>
    </row>
    <row r="846" ht="14.25" customHeight="1">
      <c r="P846" s="2"/>
      <c r="Q846" s="2"/>
    </row>
    <row r="847" ht="14.25" customHeight="1">
      <c r="P847" s="2"/>
      <c r="Q847" s="2"/>
    </row>
    <row r="848" ht="14.25" customHeight="1">
      <c r="P848" s="2"/>
      <c r="Q848" s="2"/>
    </row>
    <row r="849" ht="14.25" customHeight="1">
      <c r="P849" s="2"/>
      <c r="Q849" s="2"/>
    </row>
    <row r="850" ht="14.25" customHeight="1">
      <c r="P850" s="2"/>
      <c r="Q850" s="2"/>
    </row>
    <row r="851" ht="14.25" customHeight="1">
      <c r="P851" s="2"/>
      <c r="Q851" s="2"/>
    </row>
    <row r="852" ht="14.25" customHeight="1">
      <c r="P852" s="2"/>
      <c r="Q852" s="2"/>
    </row>
    <row r="853" ht="14.25" customHeight="1">
      <c r="P853" s="2"/>
      <c r="Q853" s="2"/>
    </row>
    <row r="854" ht="14.25" customHeight="1">
      <c r="P854" s="2"/>
      <c r="Q854" s="2"/>
    </row>
    <row r="855" ht="14.25" customHeight="1">
      <c r="P855" s="2"/>
      <c r="Q855" s="2"/>
    </row>
    <row r="856" ht="14.25" customHeight="1">
      <c r="P856" s="2"/>
      <c r="Q856" s="2"/>
    </row>
    <row r="857" ht="14.25" customHeight="1">
      <c r="P857" s="2"/>
      <c r="Q857" s="2"/>
    </row>
    <row r="858" ht="14.25" customHeight="1">
      <c r="P858" s="2"/>
      <c r="Q858" s="2"/>
    </row>
    <row r="859" ht="14.25" customHeight="1">
      <c r="P859" s="2"/>
      <c r="Q859" s="2"/>
    </row>
    <row r="860" ht="14.25" customHeight="1">
      <c r="P860" s="2"/>
      <c r="Q860" s="2"/>
    </row>
    <row r="861" ht="14.25" customHeight="1">
      <c r="P861" s="2"/>
      <c r="Q861" s="2"/>
    </row>
    <row r="862" ht="14.25" customHeight="1">
      <c r="P862" s="2"/>
      <c r="Q862" s="2"/>
    </row>
    <row r="863" ht="14.25" customHeight="1">
      <c r="P863" s="2"/>
      <c r="Q863" s="2"/>
    </row>
    <row r="864" ht="14.25" customHeight="1">
      <c r="P864" s="2"/>
      <c r="Q864" s="2"/>
    </row>
    <row r="865" ht="14.25" customHeight="1">
      <c r="P865" s="2"/>
      <c r="Q865" s="2"/>
    </row>
    <row r="866" ht="14.25" customHeight="1">
      <c r="P866" s="2"/>
      <c r="Q866" s="2"/>
    </row>
    <row r="867" ht="14.25" customHeight="1">
      <c r="P867" s="2"/>
      <c r="Q867" s="2"/>
    </row>
    <row r="868" ht="14.25" customHeight="1">
      <c r="P868" s="2"/>
      <c r="Q868" s="2"/>
    </row>
    <row r="869" ht="14.25" customHeight="1">
      <c r="P869" s="2"/>
      <c r="Q869" s="2"/>
    </row>
    <row r="870" ht="14.25" customHeight="1">
      <c r="P870" s="2"/>
      <c r="Q870" s="2"/>
    </row>
    <row r="871" ht="14.25" customHeight="1">
      <c r="P871" s="2"/>
      <c r="Q871" s="2"/>
    </row>
    <row r="872" ht="14.25" customHeight="1">
      <c r="P872" s="2"/>
      <c r="Q872" s="2"/>
    </row>
    <row r="873" ht="14.25" customHeight="1">
      <c r="P873" s="2"/>
      <c r="Q873" s="2"/>
    </row>
    <row r="874" ht="14.25" customHeight="1">
      <c r="P874" s="2"/>
      <c r="Q874" s="2"/>
    </row>
    <row r="875" ht="14.25" customHeight="1">
      <c r="P875" s="2"/>
      <c r="Q875" s="2"/>
    </row>
    <row r="876" ht="14.25" customHeight="1">
      <c r="P876" s="2"/>
      <c r="Q876" s="2"/>
    </row>
    <row r="877" ht="14.25" customHeight="1">
      <c r="P877" s="2"/>
      <c r="Q877" s="2"/>
    </row>
    <row r="878" ht="14.25" customHeight="1">
      <c r="P878" s="2"/>
      <c r="Q878" s="2"/>
    </row>
    <row r="879" ht="14.25" customHeight="1">
      <c r="P879" s="2"/>
      <c r="Q879" s="2"/>
    </row>
    <row r="880" ht="14.25" customHeight="1">
      <c r="P880" s="2"/>
      <c r="Q880" s="2"/>
    </row>
    <row r="881" ht="14.25" customHeight="1">
      <c r="P881" s="2"/>
      <c r="Q881" s="2"/>
    </row>
    <row r="882" ht="14.25" customHeight="1">
      <c r="P882" s="2"/>
      <c r="Q882" s="2"/>
    </row>
    <row r="883" ht="14.25" customHeight="1">
      <c r="P883" s="2"/>
      <c r="Q883" s="2"/>
    </row>
    <row r="884" ht="14.25" customHeight="1">
      <c r="P884" s="2"/>
      <c r="Q884" s="2"/>
    </row>
    <row r="885" ht="14.25" customHeight="1">
      <c r="P885" s="2"/>
      <c r="Q885" s="2"/>
    </row>
    <row r="886" ht="14.25" customHeight="1">
      <c r="P886" s="2"/>
      <c r="Q886" s="2"/>
    </row>
    <row r="887" ht="14.25" customHeight="1">
      <c r="P887" s="2"/>
      <c r="Q887" s="2"/>
    </row>
    <row r="888" ht="14.25" customHeight="1">
      <c r="P888" s="2"/>
      <c r="Q888" s="2"/>
    </row>
    <row r="889" ht="14.25" customHeight="1">
      <c r="P889" s="2"/>
      <c r="Q889" s="2"/>
    </row>
    <row r="890" ht="14.25" customHeight="1">
      <c r="P890" s="2"/>
      <c r="Q890" s="2"/>
    </row>
    <row r="891" ht="14.25" customHeight="1">
      <c r="P891" s="2"/>
      <c r="Q891" s="2"/>
    </row>
    <row r="892" ht="14.25" customHeight="1">
      <c r="P892" s="2"/>
      <c r="Q892" s="2"/>
    </row>
    <row r="893" ht="14.25" customHeight="1">
      <c r="P893" s="2"/>
      <c r="Q893" s="2"/>
    </row>
    <row r="894" ht="14.25" customHeight="1">
      <c r="P894" s="2"/>
      <c r="Q894" s="2"/>
    </row>
    <row r="895" ht="14.25" customHeight="1">
      <c r="P895" s="2"/>
      <c r="Q895" s="2"/>
    </row>
    <row r="896" ht="14.25" customHeight="1">
      <c r="P896" s="2"/>
      <c r="Q896" s="2"/>
    </row>
    <row r="897" ht="14.25" customHeight="1">
      <c r="P897" s="2"/>
      <c r="Q897" s="2"/>
    </row>
    <row r="898" ht="14.25" customHeight="1">
      <c r="P898" s="2"/>
      <c r="Q898" s="2"/>
    </row>
    <row r="899" ht="14.25" customHeight="1">
      <c r="P899" s="2"/>
      <c r="Q899" s="2"/>
    </row>
    <row r="900" ht="14.25" customHeight="1">
      <c r="P900" s="2"/>
      <c r="Q900" s="2"/>
    </row>
    <row r="901" ht="14.25" customHeight="1">
      <c r="P901" s="2"/>
      <c r="Q901" s="2"/>
    </row>
    <row r="902" ht="14.25" customHeight="1">
      <c r="P902" s="2"/>
      <c r="Q902" s="2"/>
    </row>
    <row r="903" ht="14.25" customHeight="1">
      <c r="P903" s="2"/>
      <c r="Q903" s="2"/>
    </row>
    <row r="904" ht="14.25" customHeight="1">
      <c r="P904" s="2"/>
      <c r="Q904" s="2"/>
    </row>
    <row r="905" ht="14.25" customHeight="1">
      <c r="P905" s="2"/>
      <c r="Q905" s="2"/>
    </row>
    <row r="906" ht="14.25" customHeight="1">
      <c r="P906" s="2"/>
      <c r="Q906" s="2"/>
    </row>
    <row r="907" ht="14.25" customHeight="1">
      <c r="P907" s="2"/>
      <c r="Q907" s="2"/>
    </row>
    <row r="908" ht="14.25" customHeight="1">
      <c r="P908" s="2"/>
      <c r="Q908" s="2"/>
    </row>
    <row r="909" ht="14.25" customHeight="1">
      <c r="P909" s="2"/>
      <c r="Q909" s="2"/>
    </row>
    <row r="910" ht="14.25" customHeight="1">
      <c r="P910" s="2"/>
      <c r="Q910" s="2"/>
    </row>
    <row r="911" ht="14.25" customHeight="1">
      <c r="P911" s="2"/>
      <c r="Q911" s="2"/>
    </row>
    <row r="912" ht="14.25" customHeight="1">
      <c r="P912" s="2"/>
      <c r="Q912" s="2"/>
    </row>
    <row r="913" ht="14.25" customHeight="1">
      <c r="P913" s="2"/>
      <c r="Q913" s="2"/>
    </row>
    <row r="914" ht="14.25" customHeight="1">
      <c r="P914" s="2"/>
      <c r="Q914" s="2"/>
    </row>
    <row r="915" ht="14.25" customHeight="1">
      <c r="P915" s="2"/>
      <c r="Q915" s="2"/>
    </row>
    <row r="916" ht="14.25" customHeight="1">
      <c r="P916" s="2"/>
      <c r="Q916" s="2"/>
    </row>
    <row r="917" ht="14.25" customHeight="1">
      <c r="P917" s="2"/>
      <c r="Q917" s="2"/>
    </row>
    <row r="918" ht="14.25" customHeight="1">
      <c r="P918" s="2"/>
      <c r="Q918" s="2"/>
    </row>
    <row r="919" ht="14.25" customHeight="1">
      <c r="P919" s="2"/>
      <c r="Q919" s="2"/>
    </row>
    <row r="920" ht="14.25" customHeight="1">
      <c r="P920" s="2"/>
      <c r="Q920" s="2"/>
    </row>
    <row r="921" ht="14.25" customHeight="1">
      <c r="P921" s="2"/>
      <c r="Q921" s="2"/>
    </row>
    <row r="922" ht="14.25" customHeight="1">
      <c r="P922" s="2"/>
      <c r="Q922" s="2"/>
    </row>
    <row r="923" ht="14.25" customHeight="1">
      <c r="P923" s="2"/>
      <c r="Q923" s="2"/>
    </row>
    <row r="924" ht="14.25" customHeight="1">
      <c r="P924" s="2"/>
      <c r="Q924" s="2"/>
    </row>
    <row r="925" ht="14.25" customHeight="1">
      <c r="P925" s="2"/>
      <c r="Q925" s="2"/>
    </row>
    <row r="926" ht="14.25" customHeight="1">
      <c r="P926" s="2"/>
      <c r="Q926" s="2"/>
    </row>
    <row r="927" ht="14.25" customHeight="1">
      <c r="P927" s="2"/>
      <c r="Q927" s="2"/>
    </row>
    <row r="928" ht="14.25" customHeight="1">
      <c r="P928" s="2"/>
      <c r="Q928" s="2"/>
    </row>
    <row r="929" ht="14.25" customHeight="1">
      <c r="P929" s="2"/>
      <c r="Q929" s="2"/>
    </row>
    <row r="930" ht="14.25" customHeight="1">
      <c r="P930" s="2"/>
      <c r="Q930" s="2"/>
    </row>
    <row r="931" ht="14.25" customHeight="1">
      <c r="P931" s="2"/>
      <c r="Q931" s="2"/>
    </row>
    <row r="932" ht="14.25" customHeight="1">
      <c r="P932" s="2"/>
      <c r="Q932" s="2"/>
    </row>
    <row r="933" ht="14.25" customHeight="1">
      <c r="P933" s="2"/>
      <c r="Q933" s="2"/>
    </row>
    <row r="934" ht="14.25" customHeight="1">
      <c r="P934" s="2"/>
      <c r="Q934" s="2"/>
    </row>
    <row r="935" ht="14.25" customHeight="1">
      <c r="P935" s="2"/>
      <c r="Q935" s="2"/>
    </row>
    <row r="936" ht="14.25" customHeight="1">
      <c r="P936" s="2"/>
      <c r="Q936" s="2"/>
    </row>
    <row r="937" ht="14.25" customHeight="1">
      <c r="P937" s="2"/>
      <c r="Q937" s="2"/>
    </row>
    <row r="938" ht="14.25" customHeight="1">
      <c r="P938" s="2"/>
      <c r="Q938" s="2"/>
    </row>
    <row r="939" ht="14.25" customHeight="1">
      <c r="P939" s="2"/>
      <c r="Q939" s="2"/>
    </row>
    <row r="940" ht="14.25" customHeight="1">
      <c r="P940" s="2"/>
      <c r="Q940" s="2"/>
    </row>
    <row r="941" ht="14.25" customHeight="1">
      <c r="P941" s="2"/>
      <c r="Q941" s="2"/>
    </row>
    <row r="942" ht="14.25" customHeight="1">
      <c r="P942" s="2"/>
      <c r="Q942" s="2"/>
    </row>
    <row r="943" ht="14.25" customHeight="1">
      <c r="P943" s="2"/>
      <c r="Q943" s="2"/>
    </row>
    <row r="944" ht="14.25" customHeight="1">
      <c r="P944" s="2"/>
      <c r="Q944" s="2"/>
    </row>
    <row r="945" ht="14.25" customHeight="1">
      <c r="P945" s="2"/>
      <c r="Q945" s="2"/>
    </row>
    <row r="946" ht="14.25" customHeight="1">
      <c r="P946" s="2"/>
      <c r="Q946" s="2"/>
    </row>
    <row r="947" ht="14.25" customHeight="1">
      <c r="P947" s="2"/>
      <c r="Q947" s="2"/>
    </row>
    <row r="948" ht="14.25" customHeight="1">
      <c r="P948" s="2"/>
      <c r="Q948" s="2"/>
    </row>
    <row r="949" ht="14.25" customHeight="1">
      <c r="P949" s="2"/>
      <c r="Q949" s="2"/>
    </row>
    <row r="950" ht="14.25" customHeight="1">
      <c r="P950" s="2"/>
      <c r="Q950" s="2"/>
    </row>
    <row r="951" ht="14.25" customHeight="1">
      <c r="P951" s="2"/>
      <c r="Q951" s="2"/>
    </row>
    <row r="952" ht="14.25" customHeight="1">
      <c r="P952" s="2"/>
      <c r="Q952" s="2"/>
    </row>
    <row r="953" ht="14.25" customHeight="1">
      <c r="P953" s="2"/>
      <c r="Q953" s="2"/>
    </row>
    <row r="954" ht="14.25" customHeight="1">
      <c r="P954" s="2"/>
      <c r="Q954" s="2"/>
    </row>
    <row r="955" ht="14.25" customHeight="1">
      <c r="P955" s="2"/>
      <c r="Q955" s="2"/>
    </row>
    <row r="956" ht="14.25" customHeight="1">
      <c r="P956" s="2"/>
      <c r="Q956" s="2"/>
    </row>
    <row r="957" ht="14.25" customHeight="1">
      <c r="P957" s="2"/>
      <c r="Q957" s="2"/>
    </row>
    <row r="958" ht="14.25" customHeight="1">
      <c r="P958" s="2"/>
      <c r="Q958" s="2"/>
    </row>
    <row r="959" ht="14.25" customHeight="1">
      <c r="P959" s="2"/>
      <c r="Q959" s="2"/>
    </row>
    <row r="960" ht="14.25" customHeight="1">
      <c r="P960" s="2"/>
      <c r="Q960" s="2"/>
    </row>
    <row r="961" ht="14.25" customHeight="1">
      <c r="P961" s="2"/>
      <c r="Q961" s="2"/>
    </row>
    <row r="962" ht="14.25" customHeight="1">
      <c r="P962" s="2"/>
      <c r="Q962" s="2"/>
    </row>
    <row r="963" ht="14.25" customHeight="1">
      <c r="P963" s="2"/>
      <c r="Q963" s="2"/>
    </row>
    <row r="964" ht="14.25" customHeight="1">
      <c r="P964" s="2"/>
      <c r="Q964" s="2"/>
    </row>
    <row r="965" ht="14.25" customHeight="1">
      <c r="P965" s="2"/>
      <c r="Q965" s="2"/>
    </row>
    <row r="966" ht="14.25" customHeight="1">
      <c r="P966" s="2"/>
      <c r="Q966" s="2"/>
    </row>
    <row r="967" ht="14.25" customHeight="1">
      <c r="P967" s="2"/>
      <c r="Q967" s="2"/>
    </row>
    <row r="968" ht="14.25" customHeight="1">
      <c r="P968" s="2"/>
      <c r="Q968" s="2"/>
    </row>
    <row r="969" ht="14.25" customHeight="1">
      <c r="P969" s="2"/>
      <c r="Q969" s="2"/>
    </row>
    <row r="970" ht="14.25" customHeight="1">
      <c r="P970" s="2"/>
      <c r="Q970" s="2"/>
    </row>
    <row r="971" ht="14.25" customHeight="1">
      <c r="P971" s="2"/>
      <c r="Q971" s="2"/>
    </row>
    <row r="972" ht="14.25" customHeight="1">
      <c r="P972" s="2"/>
      <c r="Q972" s="2"/>
    </row>
    <row r="973" ht="14.25" customHeight="1">
      <c r="P973" s="2"/>
      <c r="Q973" s="2"/>
    </row>
    <row r="974" ht="14.25" customHeight="1">
      <c r="P974" s="2"/>
      <c r="Q974" s="2"/>
    </row>
    <row r="975" ht="14.25" customHeight="1">
      <c r="P975" s="2"/>
      <c r="Q975" s="2"/>
    </row>
    <row r="976" ht="14.25" customHeight="1">
      <c r="P976" s="2"/>
      <c r="Q976" s="2"/>
    </row>
    <row r="977" ht="14.25" customHeight="1">
      <c r="P977" s="2"/>
      <c r="Q977" s="2"/>
    </row>
    <row r="978" ht="14.25" customHeight="1">
      <c r="P978" s="2"/>
      <c r="Q978" s="2"/>
    </row>
    <row r="979" ht="14.25" customHeight="1">
      <c r="P979" s="2"/>
      <c r="Q979" s="2"/>
    </row>
    <row r="980" ht="14.25" customHeight="1">
      <c r="P980" s="2"/>
      <c r="Q980" s="2"/>
    </row>
    <row r="981" ht="14.25" customHeight="1">
      <c r="P981" s="2"/>
      <c r="Q981" s="2"/>
    </row>
    <row r="982" ht="14.25" customHeight="1">
      <c r="P982" s="2"/>
      <c r="Q982" s="2"/>
    </row>
    <row r="983" ht="14.25" customHeight="1">
      <c r="P983" s="2"/>
      <c r="Q983" s="2"/>
    </row>
    <row r="984" ht="14.25" customHeight="1">
      <c r="P984" s="2"/>
      <c r="Q984" s="2"/>
    </row>
    <row r="985" ht="14.25" customHeight="1">
      <c r="P985" s="2"/>
      <c r="Q985" s="2"/>
    </row>
    <row r="986" ht="14.25" customHeight="1">
      <c r="P986" s="2"/>
      <c r="Q986" s="2"/>
    </row>
    <row r="987" ht="14.25" customHeight="1">
      <c r="P987" s="2"/>
      <c r="Q987" s="2"/>
    </row>
    <row r="988" ht="14.25" customHeight="1">
      <c r="P988" s="2"/>
      <c r="Q988" s="2"/>
    </row>
    <row r="989" ht="14.25" customHeight="1">
      <c r="P989" s="2"/>
      <c r="Q989" s="2"/>
    </row>
    <row r="990" ht="14.25" customHeight="1">
      <c r="P990" s="2"/>
      <c r="Q990" s="2"/>
    </row>
    <row r="991" ht="14.25" customHeight="1">
      <c r="P991" s="2"/>
      <c r="Q991" s="2"/>
    </row>
    <row r="992" ht="14.25" customHeight="1">
      <c r="P992" s="2"/>
      <c r="Q992" s="2"/>
    </row>
    <row r="993" ht="14.25" customHeight="1">
      <c r="P993" s="2"/>
      <c r="Q993" s="2"/>
    </row>
    <row r="994" ht="14.25" customHeight="1">
      <c r="P994" s="2"/>
      <c r="Q994" s="2"/>
    </row>
    <row r="995" ht="14.25" customHeight="1">
      <c r="P995" s="2"/>
      <c r="Q995" s="2"/>
    </row>
    <row r="996" ht="14.25" customHeight="1">
      <c r="P996" s="2"/>
      <c r="Q996" s="2"/>
    </row>
    <row r="997" ht="14.25" customHeight="1">
      <c r="P997" s="2"/>
      <c r="Q997" s="2"/>
    </row>
    <row r="998" ht="14.25" customHeight="1">
      <c r="P998" s="2"/>
      <c r="Q998" s="2"/>
    </row>
    <row r="999" ht="14.25" customHeight="1">
      <c r="P999" s="2"/>
      <c r="Q999" s="2"/>
    </row>
    <row r="1000" ht="14.25" customHeight="1">
      <c r="P1000" s="2"/>
      <c r="Q1000" s="2"/>
    </row>
  </sheetData>
  <conditionalFormatting sqref="N1:N1000">
    <cfRule type="cellIs" dxfId="0" priority="1" operator="lessThan">
      <formula>0.0009</formula>
    </cfRule>
  </conditionalFormatting>
  <conditionalFormatting sqref="O1:O1000">
    <cfRule type="cellIs" dxfId="0" priority="2" operator="lessThan">
      <formula>0.007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2024-05-14T23:57:42Z</dcterms:created>
  <dc:creator>Carla Lorraine Mejias</dc:creator>
</cp:coreProperties>
</file>